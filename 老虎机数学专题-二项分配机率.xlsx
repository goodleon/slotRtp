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60" activeTab="2"/>
  </bookViews>
  <sheets>
    <sheet name="说明" sheetId="1" r:id="rId1"/>
    <sheet name="二项分配 问1+问2+问3" sheetId="2" r:id="rId2"/>
    <sheet name="二项分配-三句用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<sst xmlns="http://schemas.openxmlformats.org/spreadsheetml/2006/main" count="234" uniqueCount="196">
  <si>
    <t>二项分配机率（Binomial Distribution）计算模型</t>
  </si>
  <si>
    <t>来源：https://ezslotdesign.com/binomial-distribution/</t>
  </si>
  <si>
    <t>前提：15格箱子奖励游戏，每箱开出五种图案之一，机率 B1=10% B2=15% B3=20% B4=25% B5=30%</t>
  </si>
  <si>
    <t>问1：BINOM.DIST(个数, 15, 图案机率, FALSE) → 每图案开到 0~15 个的机率</t>
  </si>
  <si>
    <t xml:space="preserve">     注意：不同图案个数互相关联，「每图案恰好各开3个」的机率≠各图案机率相乘</t>
  </si>
  <si>
    <t>问2：BINOM.DIST.RANGE(15, 机率, 下限, 上限) → 等级奖励机率（等级个数 5/9/12/14/15）</t>
  </si>
  <si>
    <t>问3：只收集B1、非B1箱子可重开、共5轮 -&gt; 见「问3-只搜集B1」内 Table4 单轮转移 + Table5（MMULT）迭代</t>
  </si>
  <si>
    <t>蓝字=输入；黑字=公式；黄底=关键结果</t>
  </si>
  <si>
    <t>注：原文表格数值在配图中未公开，本表按原文方法与参数重建，公式可直接改蓝字复算</t>
  </si>
  <si>
    <t>（本簿共 3 个页签：说明、二项分配 问1+问2+问3、二项分配-三句用法；各区块：问1-单个数 第2~23行，问2-等级奖励 第26~56行，问3-只搜集B1 第59~101行）</t>
  </si>
  <si>
    <t>── 完整文档（原 老虎机数学专题-二项分配机率.md 存档）──</t>
  </si>
  <si>
    <t>老虎机数学专题 —— 二项分配机率（Binomial Distribution）</t>
  </si>
  <si>
    <t>配图：原文 9 张配图已下载到本目录 images/binomial-distribution/ 并嵌入本文。</t>
  </si>
  <si>
    <t>配套模型：老虎机数学专题-二项分配机率.xlsx</t>
  </si>
  <si>
    <t>[图片] 原文头图：二项分配机率  images/binomial-distribution/01-feature-12-photo-1635070041078-e363dbe005cb-opt.webp</t>
  </si>
  <si>
    <t>一、概述</t>
  </si>
  <si>
    <t>二项分配描述「n 次独立试验中成功 k 次」的机率分配，在老虎机数学中广泛应用于：</t>
  </si>
  <si>
    <t>• 计算特定图案在多个滚轮上出现的机率</t>
  </si>
  <si>
    <t>• Scatter 触发 Free Game 的机率</t>
  </si>
  <si>
    <t>• 各种组合事件的期望值</t>
  </si>
  <si>
    <t>本文使用 3 个 Excel 函数：</t>
  </si>
  <si>
    <t>函数</t>
  </si>
  <si>
    <t>用途</t>
  </si>
  <si>
    <t>BINOM.DIST(k, n, p, cumulative)</t>
  </si>
  <si>
    <t>问1：恰好/累计开到 k 个--&gt; BINOM.DIST(实验成功的次数, 实验总次数,  成功率, 是否累计)</t>
  </si>
  <si>
    <t>BINOM.DIST.RANGE(n, p, lower, upper)</t>
  </si>
  <si>
    <t>问2：区间（等级奖励）机率  --&gt;BINOM.DIST.RANGE(实验总次数, 成功率, 下限, 上限)</t>
  </si>
  <si>
    <t>MMULT</t>
  </si>
  <si>
    <t>问3：多轮收集的矩阵迭代（马可夫链思想） MMULT(上一轮分布, 转移矩阵)</t>
  </si>
  <si>
    <t>VLookup</t>
  </si>
  <si>
    <t>问3：多轮收集的矩阵迭代（VLookup 思想） VLookup(k, Table5, 1, FALSE)</t>
  </si>
  <si>
    <t>二、前提设定（原文数据）</t>
  </si>
  <si>
    <t>一个 15 格箱子的奖励游戏，每个箱子都可能开出五种图案，机率分配如下：</t>
  </si>
  <si>
    <t>Symbol</t>
  </si>
  <si>
    <t>B1</t>
  </si>
  <si>
    <t>B2</t>
  </si>
  <si>
    <t>B3</t>
  </si>
  <si>
    <t>B4</t>
  </si>
  <si>
    <t>B5</t>
  </si>
  <si>
    <t>Chance</t>
  </si>
  <si>
    <t>10%</t>
  </si>
  <si>
    <t>15%</t>
  </si>
  <si>
    <t>20%</t>
  </si>
  <si>
    <t>25%</t>
  </si>
  <si>
    <t>30%</t>
  </si>
  <si>
    <t>（五图机率合计 100%）</t>
  </si>
  <si>
    <t>三、问1：每个图案开出 0~15 个的机率</t>
  </si>
  <si>
    <t>[图片] 原文 Table1（机率表）与 Table2（问1：BINOM.DIST 计算表）  images/binomial-distribution/03-Table2_--.png</t>
  </si>
  <si>
    <t>• 使用 BINOM.DIST(个数, 15, 该图案机率, FALSE)</t>
  </si>
  <si>
    <t>• 参数1 = 每个图案开到的个数；参数2 = 箱子总数（固定 15）；参数3 = 该图案的机率</t>
  </si>
  <si>
    <t>原文重要提醒：不同图案的个数是有关联性的。如果问「恰好每一种图案各开到 3 个」的机率，不能用每个图案各自开 3 个的机率相乘来获得（因为各图案个数受 15 格总量的约束，彼此不独立）。</t>
  </si>
  <si>
    <t>四、问2：各等级奖励的机率</t>
  </si>
  <si>
    <t>[图片] 原文 Table3（问2：BINOM.DIST.RANGE 等级奖励表）  images/binomial-distribution/05-Table3_--.png</t>
  </si>
  <si>
    <t>每种图案有 5 个等级奖励，所需累计个数分别为 [5, 9, 12, 14, 15]。</t>
  </si>
  <si>
    <t>• 使用 BINOM.DIST.RANGE(15, 图案机率, 下限, 上限)</t>
  </si>
  <si>
    <t>• 参数1 = 15；参数2 = 图案机率；参数3/4 = 该等级所需个数的下限与上限</t>
  </si>
  <si>
    <t>• 区间设计（模型采用）：L1=[5,8]、L2=[9,11]、L3=[12,13]、L4=[14,14]、L5=[15,15]</t>
  </si>
  <si>
    <t>五、问3：多轮收集 B1 的机率（最难一题）</t>
  </si>
  <si>
    <t>题目：只收集 B1，所有箱子开完后 B1 会留下，不是 B1 的箱子关起来可再次开启，共重复 5 轮，最后 B1 开出 0~15 个的机率？</t>
  </si>
  <si>
    <t>步骤一：单轮转移机率（Table 4）</t>
  </si>
  <si>
    <t>[图片] 原文 Table4（单轮转移机率矩阵）  images/binomial-distribution/07-Table4_--.png</t>
  </si>
  <si>
    <t>用 BINOM.DIST 算出「每轮开始时 B1 有 i 个 → 结束时 B1 有 j 个」的转移机率：</t>
  </si>
  <si>
    <t>• 参数2 = 15 − i（开始时剩下不是 B1 的箱子总数）</t>
  </si>
  <si>
    <t>• 参数1 = j − i（结束时总数 − 开始时总数）</t>
  </si>
  <si>
    <t>• 参数3 = 10%（B1 的机率）</t>
  </si>
  <si>
    <t>步骤二：多轮矩阵迭代（Table 5）</t>
  </si>
  <si>
    <t>[图片] 原文 Table5（五轮迭代，MMULT）  images/binomial-distribution/09-Table5_--.png</t>
  </si>
  <si>
    <t>• 第 1 轮：直接用 Table 4 的 Start = 0 那一栏</t>
  </si>
  <si>
    <t>• 第 2 轮起：用 MMULT（上一轮的分布向量 × 转移矩阵）迭代</t>
  </si>
  <si>
    <t>• 例：第 2 轮结束时开出 5 个 B1 = 【Table 4】中「开始 0~5 且结束 5」那一行矩阵 × Table 5 中「第 1 轮结束时是 0~5 个」那一栏矩阵</t>
  </si>
  <si>
    <t>• 依此迭代到第 5 轮</t>
  </si>
  <si>
    <t>这正是马可夫链的应用（见《马可夫链》一篇），Table 5 的每一列就是一次状态分布的转移。</t>
  </si>
  <si>
    <t>六、Excel 模型说明</t>
  </si>
  <si>
    <t>老虎机数学专题-二项分配机率.xlsx：</t>
  </si>
  <si>
    <t>工作表</t>
  </si>
  <si>
    <t>内容</t>
  </si>
  <si>
    <t>说明</t>
  </si>
  <si>
    <t>来源、公式、注意事项</t>
  </si>
  <si>
    <t>二项分配 问1+问2+问3</t>
  </si>
  <si>
    <t>问1-单个数（BINOM.DIST，5 图案 × 0~15 个机率表）+ 问2-等级奖励（BINOM.DIST.RANGE，5 图案 × 5 等级区间机率）+ 问3-只搜集B1（Table4 单轮转移：16×16 转移机率矩阵，i→j；Table5 五轮迭代：第 1~5 轮结束后的 0~15 个分布，MMULT 迭代）</t>
  </si>
  <si>
    <t>注：Table4 的矩阵用 IF(j&gt;=i, BINOM.DIST(j-i, 15-i, 10%, FALSE), 0) 构造；Table5 用 MMULT(上一轮分布, 转移矩阵) 逐轮推进。</t>
  </si>
  <si>
    <t>原文数据核对（读图回填）</t>
  </si>
  <si>
    <t>• Table1（原文）：B1~B5 权重/机率 = 10/15/20/25/30（%），与本模型一致 ✓</t>
  </si>
  <si>
    <t>• Table2（原文，问1）：B1 k=0 = 20.5881132095%、k=1 = 34.3151886824%… 本模型 BINOM.DIST 同公式，逐位一致 ✓</t>
  </si>
  <si>
    <t>• Table4（原文）：P(i→j) = BINOM.DIST(j−i, 15−i, 10%)，如 i=5 行：1.0470813556%/3.4902711854%/9.9722033669%/23.0127770466%/38.3546284110%/34.8678440100% —— 与本模型一致 ✓</t>
  </si>
  <si>
    <t>• Table5（原文）：Roll3 k=5 = 18.6070305103%、Roll5 k=0 = 0.0369988485%、Roll5 k=15 = 0.0001527452% —— 本模型复算完全相同 ✓；Roll2 k=5 ≈ 9.04%</t>
  </si>
  <si>
    <t>• 问2 区间设计（原文公式 IF(M=15,15,M-1)）：[5,8]/[9,11]/[12,13]/[14,14]/[15,15] —— 与本模型一致 ✓</t>
  </si>
  <si>
    <t>配图清单（images/binomial-distribution/）</t>
  </si>
  <si>
    <t>文件</t>
  </si>
  <si>
    <t>images/binomial-distribution/01-feature-12-photo-1635070041078-e363dbe005cb-opt.webp</t>
  </si>
  <si>
    <t>文章题图</t>
  </si>
  <si>
    <t>images/binomial-distribution/02-Table2_--.png</t>
  </si>
  <si>
    <t>Table2（小图重复）</t>
  </si>
  <si>
    <t>images/binomial-distribution/03-Table2_--.png</t>
  </si>
  <si>
    <t>Table1＋Table2（大图）</t>
  </si>
  <si>
    <t>images/binomial-distribution/04-Table3_--.png</t>
  </si>
  <si>
    <t>Table3（小图重复）</t>
  </si>
  <si>
    <t>images/binomial-distribution/05-Table3_--.png</t>
  </si>
  <si>
    <t>Table3（大图）</t>
  </si>
  <si>
    <t>images/binomial-distribution/06-Table4_--.png</t>
  </si>
  <si>
    <t>Table4（小图重复）</t>
  </si>
  <si>
    <t>images/binomial-distribution/07-Table4_--.png</t>
  </si>
  <si>
    <t>Table4（大图）</t>
  </si>
  <si>
    <t>images/binomial-distribution/08-Table5_--.png</t>
  </si>
  <si>
    <t>Table5（小图重复）</t>
  </si>
  <si>
    <t>images/binomial-distribution/09-Table5_--.png</t>
  </si>
  <si>
    <t>Table5（大图）</t>
  </si>
  <si>
    <t>【问1-单个数】</t>
  </si>
  <si>
    <t>问1：每个图案开到 0~15 个的机率（BINOM.DIST）</t>
  </si>
  <si>
    <t>图案</t>
  </si>
  <si>
    <t>机率</t>
  </si>
  <si>
    <t>个数k</t>
  </si>
  <si>
    <t>合计</t>
  </si>
  <si>
    <t>【问2-等级奖励】</t>
  </si>
  <si>
    <t>问2：各等级奖励机率（BINOM.DIST.RANGE）</t>
  </si>
  <si>
    <t>Table 1</t>
  </si>
  <si>
    <t>Table 2</t>
  </si>
  <si>
    <t>Table 3</t>
  </si>
  <si>
    <t>Weight</t>
  </si>
  <si>
    <t>Bonus #</t>
  </si>
  <si>
    <t>Total</t>
  </si>
  <si>
    <t>用法：BINOM.DIST.RANGE(试验总次数, 成功率, 下限, 上限) = 成功次数落在[下限,上限]区间内的机率</t>
  </si>
  <si>
    <t>本表：n=$F$20（15格）；p=VLOOKUP(本列表头,$B$4:$D$10,3,FALSE) 取该图案机率；下限=本行M列门槛；上限=下一行门槛-1（最后一行封顶15）</t>
  </si>
  <si>
    <t>M列门槛 0/5/9/12/14/15：第0行=不足5个(未达L1)；5=L1；9=L2；12=L3；14=L4；15=L5</t>
  </si>
  <si>
    <t>【问3-只搜集B1】</t>
  </si>
  <si>
    <t>问3：只搜集 B1（非 B1 的箱子关起来可重开，共 5 轮）</t>
  </si>
  <si>
    <t>每轮开始时有 i 个 B1，剩下 15-i 个箱子重开，每箱再开出 B1 的机率 = Table1 中 B1 的机率</t>
  </si>
  <si>
    <t>Table 4：单轮转移机率 P(开始 i 个 -&gt; 结束 j 个) = IFERROR(BINOM.DIST(j-i, 15-i, B1机率, FALSE), "")</t>
  </si>
  <si>
    <t>结束\开始</t>
  </si>
  <si>
    <t>Table 5：只收集 B1，每轮结束后 B1 的个数分布（第1轮 = Table4 开始=0 那一列；第2~5轮 = MMULT 迭代）</t>
  </si>
  <si>
    <t>第5轮结束后开出 5 个以上 B1 的机率</t>
  </si>
  <si>
    <t>二项分配「三句用法」解构：n / p / k 怎么取</t>
  </si>
  <si>
    <t>来源：https://ezslotdesign.com/binomial-distribution/  ｜  对应「说明」页签第 24~27 行  ｜  配合「二项分配 问1+问2+问3」页签</t>
  </si>
  <si>
    <t xml:space="preserve">本文函数：BINOM.DIST(k, n, p, 累计?)（旧式写法 BINOMDIST，本表沿用旧式以与既有页签一致）／ 区间机率 BINOM.DIST.RANGE(n, p, 下限, 上限)，等价写法 = 1 - BINOMDIST(下限-1, n, p, TRUE)　｜　蓝字＝输入（可直接改），黄底＝关键结果</t>
  </si>
  <si>
    <t>公式：P(k) = C(n,k) × p^k × (1-p)^(n-k)，即「n 次独立试验中成功 k 次」的机率。</t>
  </si>
  <si>
    <t>前提：三个条件同时成立，才能套用二项分配</t>
  </si>
  <si>
    <t>① 固定次数 n：试验次数事先定好（例：15 格箱子游戏、5 个滚轮）。</t>
  </si>
  <si>
    <t>② 每次独立：这一次成不成功，完全不影响下一次。</t>
  </si>
  <si>
    <t>③ 成功率 p 固定：每一次成功的机率都相同。</t>
  </si>
  <si>
    <t>第 1 句：计算特定图案在多个滚轮上出现的机率</t>
  </si>
  <si>
    <t>n = 滚轮数；p = 该图案单轮出现的机率（该图案在滚轮带上的格数 ÷ 带长）；k = 恰好有几个滚轮出现该图案。</t>
  </si>
  <si>
    <t>【示例参数（蓝字可改）】</t>
  </si>
  <si>
    <t>滚轮数 n</t>
  </si>
  <si>
    <t>例：5 滚轮机台</t>
  </si>
  <si>
    <t>每轮该图案机率 p</t>
  </si>
  <si>
    <t>例：40 格带上有 3 格该图案 → 3 ÷ 40 = 7.5%</t>
  </si>
  <si>
    <t>目标轮数 k</t>
  </si>
  <si>
    <t>例：至少 3 轮出现才连成线</t>
  </si>
  <si>
    <t>需求</t>
  </si>
  <si>
    <t>数值</t>
  </si>
  <si>
    <t>Excel 公式</t>
  </si>
  <si>
    <t>恰好 3 轮出现该图案</t>
  </si>
  <si>
    <t xml:space="preserve">BINOM.DIST(k, n, p, FALSE)　（旧式 BINOMDIST，＝问1 的算法）</t>
  </si>
  <si>
    <t>5 轮全出现（k = n）</t>
  </si>
  <si>
    <t>BINOM.DIST(n, n, p, FALSE)</t>
  </si>
  <si>
    <t>至少 3 轮出现（可连线）</t>
  </si>
  <si>
    <t xml:space="preserve">1 - BINOM.DIST(k-1, n, p, TRUE)　或　BINOM.DIST.RANGE(n, p, k, n)　（旧式 BINOMDIST）</t>
  </si>
  <si>
    <t>期望出现轮数 E = n × p</t>
  </si>
  <si>
    <t>期望值可以直接线性相加</t>
  </si>
  <si>
    <t>要点：中奖条件是「至少 k 轮」，所以实务用 RANGE 或 1−累计，而不是「恰好 k 个」——这正是问1 与问2 的差别。</t>
  </si>
  <si>
    <t>第 2 句：Scatter 触发 Free Game 的机率</t>
  </si>
  <si>
    <t>n = 独立位置数（或滚轮数）；p = 每轮（每位置）出 Scatter 的机率；触发条件通常是「至少 k 个」。</t>
  </si>
  <si>
    <t>5 滚轮机台</t>
  </si>
  <si>
    <t>每轮出 Scatter 机率 p</t>
  </si>
  <si>
    <t>例：每轮带上有 4% 机率开出 Scatter</t>
  </si>
  <si>
    <t>触发门槛 k</t>
  </si>
  <si>
    <t>例：集满 3 个 Scatter 触 Free Game</t>
  </si>
  <si>
    <t>至少 3 个 Scatter 触发 Free Game</t>
  </si>
  <si>
    <t>至少 2 个 Scatter（放宽门槛）</t>
  </si>
  <si>
    <t>把门槛 k 换成 2 即可</t>
  </si>
  <si>
    <t>期望 Scatter 个数 E = n × p</t>
  </si>
  <si>
    <t>三个必检查的坑：</t>
  </si>
  <si>
    <t>坑1：同一滚轮的多行不是独立的——符号在滚轮带上的位置固定，同一轮的 3 行会互相排斥，不能把 3 × 5 = 15 格当成 15 次独立试验。</t>
  </si>
  <si>
    <t>坑2：n 取错就全错（同 p = 5%、门槛 3 个）→ 按滚轮 n = 5</t>
  </si>
  <si>
    <t>正确建模：每轮是否出 Scatter</t>
  </si>
  <si>
    <t>坑2：误把 15 格当 15 次独立试验 n = 15</t>
  </si>
  <si>
    <t xml:space="preserve">机率虚高约 31 倍，这就是工作簿「问1」提醒的「各图案个数互相牵制」同类陷阱</t>
  </si>
  <si>
    <t>坑3：各滚轮带长／p 不同时，要用泊松二项（逐轮相乘），不能用一个 p 概括。</t>
  </si>
  <si>
    <t>第 3 句：各种组合事件的期望值</t>
  </si>
  <si>
    <t>期望值 E[个数] = n × p，而且期望可以线性相加 → 用来快速检查 RTP 量级是否合理。</t>
  </si>
  <si>
    <t>加权期望：E[赔付] = Σ P(k) × Pay(k)；P(k) 由 BINOM.DIST 给出，Pay(k) 由「问2」等级奖励表给出。</t>
  </si>
  <si>
    <t>例：期望 Scatter 数 = 5 × 4% = 0.2 个／转；某图案出现轮数期望 = 5 × 7.5% = 0.375 轮。</t>
  </si>
  <si>
    <t>三句话与工作簿的对应关系</t>
  </si>
  <si>
    <t>句子</t>
  </si>
  <si>
    <t>对应区块</t>
  </si>
  <si>
    <t>使用的函数</t>
  </si>
  <si>
    <t>第1句：特定图案出现轮数</t>
  </si>
  <si>
    <t>问1：5 图案 × 0~15 个机率</t>
  </si>
  <si>
    <t>BINOM.DIST(k, n, p, FALSE)</t>
  </si>
  <si>
    <t>第2句：Scatter／等级奖励触发</t>
  </si>
  <si>
    <t>问2：各等级奖励区间机率</t>
  </si>
  <si>
    <t>BINOM.DIST.RANGE(n, p, 下限, 上限)</t>
  </si>
  <si>
    <t>第3句：组合事件期望值</t>
  </si>
  <si>
    <t>问3：多轮收集（MMULT 迭代）＋ 机率加权</t>
  </si>
  <si>
    <t>期望值 ＋ MMULT</t>
  </si>
  <si>
    <t>一句话总括：三句都是「把老虎机事件翻译成 n（可重复的独立机会）、p（单次成功率）、k（成功几次）」；翻译对了才能直接套 BINOM.DIST——把同一滚轮的多行当成独立格，就会得到偏高的机率。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</si>
</sst>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sz val="11"/>
      <name val="宋体"/>
      <charset val="134"/>
    </font>
    <font>
      <sz val="11"/>
      <color rgb="FF000000"/>
      <name val="微软雅黑"/>
      <charset val="134"/>
    </font>
    <font>
      <b/>
      <sz val="11"/>
      <color rgb="FF1F4E79"/>
      <name val="微软雅黑"/>
      <charset val="134"/>
    </font>
    <font>
      <sz val="11"/>
      <color rgb="FF0000FF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0" borderId="4" applyNumberFormat="0" applyAlignment="0" applyProtection="0">
      <alignment vertical="center"/>
    </xf>
    <xf numFmtId="0" fontId="25" fillId="11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10" fontId="3" fillId="4" borderId="0" xfId="0" applyNumberFormat="1" applyFont="1" applyFill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4" fillId="3" borderId="0" xfId="0" applyFont="1" applyFill="1" applyAlignment="1">
      <alignment horizontal="center"/>
    </xf>
    <xf numFmtId="10" fontId="5" fillId="0" borderId="0" xfId="0" applyNumberFormat="1" applyFont="1"/>
    <xf numFmtId="0" fontId="8" fillId="0" borderId="0" xfId="0" applyFont="1"/>
    <xf numFmtId="10" fontId="7" fillId="0" borderId="0" xfId="0" applyNumberFormat="1" applyFont="1"/>
    <xf numFmtId="10" fontId="7" fillId="4" borderId="0" xfId="0" applyNumberFormat="1" applyFont="1" applyFill="1"/>
    <xf numFmtId="0" fontId="4" fillId="2" borderId="0" xfId="0" applyFont="1" applyFill="1" applyAlignment="1">
      <alignment horizontal="left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4" fillId="3" borderId="0" xfId="0" applyFont="1" applyFill="1" applyAlignment="1">
      <alignment horizontal="center" wrapText="1"/>
    </xf>
    <xf numFmtId="10" fontId="7" fillId="0" borderId="0" xfId="0" applyNumberFormat="1" applyFont="1" applyAlignment="1">
      <alignment horizontal="center"/>
    </xf>
    <xf numFmtId="0" fontId="7" fillId="0" borderId="0" xfId="0" applyFont="1" applyAlignment="1">
      <alignment vertical="center" wrapText="1"/>
    </xf>
    <xf numFmtId="10" fontId="7" fillId="5" borderId="0" xfId="0" applyNumberFormat="1" applyFont="1" applyFill="1"/>
    <xf numFmtId="0" fontId="8" fillId="0" borderId="0" xfId="0" applyFont="1" applyAlignment="1">
      <alignment vertical="center" wrapText="1"/>
    </xf>
    <xf numFmtId="10" fontId="7" fillId="6" borderId="0" xfId="0" applyNumberFormat="1" applyFont="1" applyFill="1"/>
    <xf numFmtId="10" fontId="7" fillId="7" borderId="0" xfId="0" applyNumberFormat="1" applyFont="1" applyFill="1"/>
    <xf numFmtId="0" fontId="7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49" fontId="10" fillId="0" borderId="0" xfId="0" applyNumberFormat="1" applyFont="1" applyAlignment="1">
      <alignment wrapText="1"/>
    </xf>
    <xf numFmtId="49" fontId="3" fillId="0" borderId="0" xfId="0" applyNumberFormat="1" applyFont="1" applyAlignment="1">
      <alignment vertical="center" wrapText="1"/>
    </xf>
    <xf numFmtId="49" fontId="9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49" fontId="11" fillId="3" borderId="0" xfId="0" applyNumberFormat="1" applyFont="1" applyFill="1" applyAlignment="1">
      <alignment wrapText="1"/>
    </xf>
    <xf numFmtId="49" fontId="11" fillId="3" borderId="0" xfId="0" applyNumberFormat="1" applyFont="1" applyFill="1"/>
    <xf numFmtId="49" fontId="12" fillId="0" borderId="0" xfId="0" applyNumberFormat="1" applyFont="1" applyAlignment="1">
      <alignment wrapText="1"/>
    </xf>
    <xf numFmtId="49" fontId="12" fillId="0" borderId="0" xfId="0" applyNumberFormat="1" applyFont="1" applyAlignment="1">
      <alignment vertical="center" wrapText="1"/>
    </xf>
    <xf numFmtId="49" fontId="12" fillId="0" borderId="0" xfId="0" applyNumberFormat="1" applyFont="1"/>
    <xf numFmtId="49" fontId="10" fillId="0" borderId="0" xfId="0" applyNumberFormat="1" applyFont="1" applyAlignment="1">
      <alignment vertical="center" wrapText="1"/>
    </xf>
    <xf numFmtId="49" fontId="3" fillId="0" borderId="0" xfId="0" applyNumberFormat="1" applyFont="1"/>
    <xf numFmtId="49" fontId="10" fillId="0" borderId="0" xfId="0" applyNumberFormat="1" applyFont="1"/>
    <xf numFmtId="49" fontId="12" fillId="0" borderId="0" xfId="0" applyNumberFormat="1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31679</xdr:colOff>
      <xdr:row>41</xdr:row>
      <xdr:rowOff>25200</xdr:rowOff>
    </xdr:from>
    <xdr:to>
      <xdr:col>9</xdr:col>
      <xdr:colOff>129999</xdr:colOff>
      <xdr:row>50</xdr:row>
      <xdr:rowOff>329999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028315" y="8673465"/>
          <a:ext cx="7494905" cy="28194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31679</xdr:colOff>
      <xdr:row>51</xdr:row>
      <xdr:rowOff>37799</xdr:rowOff>
    </xdr:from>
    <xdr:to>
      <xdr:col>9</xdr:col>
      <xdr:colOff>129999</xdr:colOff>
      <xdr:row>60</xdr:row>
      <xdr:rowOff>164998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028315" y="11619865"/>
          <a:ext cx="7494905" cy="22225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31679</xdr:colOff>
      <xdr:row>61</xdr:row>
      <xdr:rowOff>82439</xdr:rowOff>
    </xdr:from>
    <xdr:to>
      <xdr:col>9</xdr:col>
      <xdr:colOff>129999</xdr:colOff>
      <xdr:row>71</xdr:row>
      <xdr:rowOff>151560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3028315" y="13969365"/>
          <a:ext cx="7494905" cy="2336165"/>
        </a:xfrm>
        <a:prstGeom prst="rect">
          <a:avLst/>
        </a:prstGeom>
      </xdr:spPr>
    </xdr:pic>
    <xdr:clientData/>
  </xdr:twoCellAnchor>
  <xdr:twoCellAnchor editAs="absolute">
    <xdr:from>
      <xdr:col>1</xdr:col>
      <xdr:colOff>31679</xdr:colOff>
      <xdr:row>72</xdr:row>
      <xdr:rowOff>6119</xdr:rowOff>
    </xdr:from>
    <xdr:to>
      <xdr:col>9</xdr:col>
      <xdr:colOff>129999</xdr:colOff>
      <xdr:row>88</xdr:row>
      <xdr:rowOff>100800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3028315" y="16407765"/>
          <a:ext cx="7494905" cy="4599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168275</xdr:colOff>
      <xdr:row>0</xdr:row>
      <xdr:rowOff>244475</xdr:rowOff>
    </xdr:from>
    <xdr:to>
      <xdr:col>3</xdr:col>
      <xdr:colOff>206375</xdr:colOff>
      <xdr:row>9</xdr:row>
      <xdr:rowOff>1270</xdr:rowOff>
    </xdr:to>
    <xdr:pic>
      <xdr:nvPicPr>
        <xdr:cNvPr id="2" name="图片 1" descr="AB3E1471-7194-49D8-A16F-84D4083889A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9640" y="244475"/>
          <a:ext cx="5717540" cy="199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8"/>
  <sheetViews>
    <sheetView workbookViewId="0">
      <selection activeCell="A1" sqref="A1:F1"/>
    </sheetView>
  </sheetViews>
  <sheetFormatPr defaultColWidth="9" defaultRowHeight="16.8"/>
  <cols>
    <col min="1" max="1" width="42.1428571428571" customWidth="1"/>
    <col min="2" max="10" width="13" customWidth="1"/>
    <col min="11" max="24" width="13.5714285714286" customWidth="1"/>
  </cols>
  <sheetData>
    <row r="1" ht="21.75" customHeight="1" spans="1:10">
      <c r="A1" s="33" t="s">
        <v>0</v>
      </c>
      <c r="B1" s="33"/>
      <c r="C1" s="33"/>
      <c r="D1" s="33"/>
      <c r="E1" s="33"/>
      <c r="F1" s="33"/>
      <c r="G1" s="34"/>
      <c r="H1" s="34"/>
      <c r="I1" s="34"/>
      <c r="J1" s="34"/>
    </row>
    <row r="2" ht="16.5" customHeight="1" spans="1:10">
      <c r="A2" s="35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ht="13.5" customHeight="1" spans="1:10">
      <c r="A3" s="35"/>
      <c r="B3" s="34"/>
      <c r="C3" s="34"/>
      <c r="D3" s="34"/>
      <c r="E3" s="34"/>
      <c r="F3" s="34"/>
      <c r="G3" s="34"/>
      <c r="H3" s="34"/>
      <c r="I3" s="34"/>
      <c r="J3" s="34"/>
    </row>
    <row r="4" ht="16.5" customHeight="1" spans="1:10">
      <c r="A4" s="23" t="s">
        <v>2</v>
      </c>
      <c r="B4" s="23"/>
      <c r="C4" s="23"/>
      <c r="D4" s="34"/>
      <c r="E4" s="34"/>
      <c r="F4" s="34"/>
      <c r="G4" s="34"/>
      <c r="H4" s="34"/>
      <c r="I4" s="34"/>
      <c r="J4" s="34"/>
    </row>
    <row r="5" ht="13.5" customHeight="1" spans="1:10">
      <c r="A5" s="35"/>
      <c r="B5" s="34"/>
      <c r="C5" s="34"/>
      <c r="D5" s="34"/>
      <c r="E5" s="34"/>
      <c r="F5" s="34"/>
      <c r="G5" s="34"/>
      <c r="H5" s="34"/>
      <c r="I5" s="34"/>
      <c r="J5" s="34"/>
    </row>
    <row r="6" ht="16.5" customHeight="1" spans="1:10">
      <c r="A6" s="35" t="s">
        <v>3</v>
      </c>
      <c r="B6" s="34"/>
      <c r="C6" s="34"/>
      <c r="D6" s="34"/>
      <c r="E6" s="34"/>
      <c r="F6" s="34"/>
      <c r="G6" s="34"/>
      <c r="H6" s="34"/>
      <c r="I6" s="34"/>
      <c r="J6" s="34"/>
    </row>
    <row r="7" ht="16.5" customHeight="1" spans="1:10">
      <c r="A7" s="35" t="s">
        <v>4</v>
      </c>
      <c r="B7" s="34"/>
      <c r="C7" s="34"/>
      <c r="D7" s="34"/>
      <c r="E7" s="34"/>
      <c r="F7" s="34"/>
      <c r="G7" s="34"/>
      <c r="H7" s="34"/>
      <c r="I7" s="34"/>
      <c r="J7" s="34"/>
    </row>
    <row r="8" ht="15" customHeight="1" spans="1:10">
      <c r="A8" s="34" t="s">
        <v>5</v>
      </c>
    </row>
    <row r="9" ht="16.5" customHeight="1" spans="1:10">
      <c r="A9" s="23" t="s">
        <v>6</v>
      </c>
      <c r="B9" s="23"/>
      <c r="C9" s="23"/>
      <c r="D9" s="23"/>
      <c r="E9" s="34"/>
      <c r="F9" s="34"/>
      <c r="G9" s="34"/>
      <c r="H9" s="34"/>
      <c r="I9" s="34"/>
      <c r="J9" s="34"/>
    </row>
    <row r="10" ht="13.5" customHeight="1" spans="1:10">
      <c r="A10" s="35"/>
      <c r="B10" s="34"/>
      <c r="C10" s="34"/>
      <c r="D10" s="34"/>
      <c r="E10" s="34"/>
      <c r="F10" s="34"/>
      <c r="G10" s="34"/>
      <c r="H10" s="34"/>
      <c r="I10" s="34"/>
      <c r="J10" s="34"/>
    </row>
    <row r="11" ht="16.5" customHeight="1" spans="1:10">
      <c r="A11" s="35" t="s">
        <v>7</v>
      </c>
      <c r="B11" s="34"/>
      <c r="C11" s="34"/>
      <c r="D11" s="34"/>
      <c r="E11" s="34"/>
      <c r="F11" s="34"/>
      <c r="G11" s="34"/>
      <c r="H11" s="34"/>
      <c r="I11" s="34"/>
      <c r="J11" s="34"/>
    </row>
    <row r="12" ht="16.5" customHeight="1" spans="1:10">
      <c r="A12" s="35" t="s">
        <v>8</v>
      </c>
      <c r="B12" s="34"/>
      <c r="C12" s="34"/>
      <c r="D12" s="34"/>
      <c r="E12" s="34"/>
      <c r="F12" s="34"/>
      <c r="G12" s="34"/>
      <c r="H12" s="34"/>
      <c r="I12" s="34"/>
      <c r="J12" s="34"/>
    </row>
    <row r="13" ht="16.5" customHeight="1" spans="1:10">
      <c r="A13" s="35"/>
      <c r="B13" s="34"/>
      <c r="C13" s="34"/>
      <c r="D13" s="34"/>
      <c r="E13" s="34"/>
      <c r="F13" s="34"/>
      <c r="G13" s="34"/>
      <c r="H13" s="34"/>
      <c r="I13" s="34"/>
      <c r="J13" s="34"/>
    </row>
    <row r="14" ht="16.5" customHeight="1" spans="1:10">
      <c r="A14" s="23" t="s">
        <v>9</v>
      </c>
      <c r="B14" s="23"/>
      <c r="C14" s="23"/>
      <c r="D14" s="23"/>
      <c r="E14" s="23"/>
      <c r="F14" s="23"/>
      <c r="G14" s="34"/>
      <c r="H14" s="34"/>
      <c r="I14" s="34"/>
      <c r="J14" s="34"/>
    </row>
    <row r="15" ht="16.5" customHeight="1" spans="1:10">
      <c r="A15" s="35"/>
      <c r="B15" s="34"/>
      <c r="C15" s="34"/>
      <c r="D15" s="34"/>
      <c r="E15" s="34"/>
      <c r="F15" s="34"/>
      <c r="G15" s="34"/>
      <c r="H15" s="34"/>
      <c r="I15" s="34"/>
      <c r="J15" s="34"/>
    </row>
    <row r="16" ht="19.5" customHeight="1" spans="1:10">
      <c r="A16" s="36" t="s">
        <v>10</v>
      </c>
      <c r="B16" s="34"/>
      <c r="C16" s="34"/>
      <c r="D16" s="34"/>
      <c r="E16" s="34"/>
      <c r="F16" s="34"/>
      <c r="G16" s="34"/>
      <c r="H16" s="34"/>
      <c r="I16" s="34"/>
      <c r="J16" s="34"/>
    </row>
    <row r="17" ht="24" customHeight="1" spans="1:10">
      <c r="A17" s="37" t="s">
        <v>11</v>
      </c>
      <c r="B17" s="38"/>
      <c r="C17" s="38"/>
      <c r="D17" s="38"/>
      <c r="E17" s="38"/>
      <c r="F17" s="38"/>
      <c r="G17" s="38"/>
      <c r="H17" s="38"/>
      <c r="I17" s="38"/>
      <c r="J17" s="38"/>
    </row>
    <row r="18" ht="13.5" customHeight="1" spans="1:10">
      <c r="A18" s="39"/>
      <c r="B18" s="38"/>
      <c r="C18" s="38"/>
      <c r="D18" s="38"/>
      <c r="E18" s="38"/>
      <c r="F18" s="38"/>
      <c r="G18" s="38"/>
      <c r="H18" s="38"/>
      <c r="I18" s="38"/>
      <c r="J18" s="38"/>
    </row>
    <row r="19" ht="16.5" customHeight="1" spans="1:10">
      <c r="A19" s="40" t="s">
        <v>1</v>
      </c>
      <c r="B19" s="38"/>
      <c r="C19" s="38"/>
      <c r="D19" s="38"/>
      <c r="E19" s="38"/>
      <c r="F19" s="38"/>
      <c r="G19" s="38"/>
      <c r="H19" s="38"/>
      <c r="I19" s="38"/>
      <c r="J19" s="38"/>
    </row>
    <row r="20" ht="16.5" customHeight="1" spans="1:10">
      <c r="A20" s="40" t="s">
        <v>12</v>
      </c>
      <c r="B20" s="38"/>
      <c r="C20" s="38"/>
      <c r="D20" s="38"/>
      <c r="E20" s="38"/>
      <c r="F20" s="38"/>
      <c r="G20" s="38"/>
      <c r="H20" s="38"/>
      <c r="I20" s="38"/>
      <c r="J20" s="38"/>
    </row>
    <row r="21" ht="16.5" customHeight="1" spans="1:10">
      <c r="A21" s="40" t="s">
        <v>13</v>
      </c>
      <c r="B21" s="38"/>
      <c r="C21" s="38"/>
      <c r="D21" s="38"/>
      <c r="E21" s="38"/>
      <c r="F21" s="38"/>
      <c r="G21" s="38"/>
      <c r="H21" s="38"/>
      <c r="I21" s="38"/>
      <c r="J21" s="38"/>
    </row>
    <row r="22" ht="33" customHeight="1" spans="1:10">
      <c r="A22" s="41" t="s">
        <v>14</v>
      </c>
      <c r="B22" s="41"/>
      <c r="C22" s="41"/>
      <c r="D22" s="41"/>
      <c r="E22" s="41"/>
      <c r="F22" s="38"/>
      <c r="G22" s="38"/>
      <c r="H22" s="38"/>
      <c r="I22" s="38"/>
      <c r="J22" s="38"/>
    </row>
    <row r="23" ht="19.5" customHeight="1" spans="1:10">
      <c r="A23" s="42" t="s">
        <v>15</v>
      </c>
      <c r="B23" s="38"/>
      <c r="C23" s="38"/>
      <c r="D23" s="38"/>
      <c r="E23" s="38"/>
      <c r="F23" s="38"/>
      <c r="G23" s="38"/>
      <c r="H23" s="38"/>
      <c r="I23" s="38"/>
      <c r="J23" s="38"/>
    </row>
    <row r="24" ht="13.5" customHeight="1" spans="1:10">
      <c r="A24" s="39"/>
      <c r="B24" s="38"/>
      <c r="C24" s="38"/>
      <c r="D24" s="38"/>
      <c r="E24" s="38"/>
      <c r="F24" s="38"/>
      <c r="G24" s="38"/>
      <c r="H24" s="38"/>
      <c r="I24" s="38"/>
      <c r="J24" s="38"/>
    </row>
    <row r="25" ht="16.5" customHeight="1" spans="1:10">
      <c r="A25" s="43" t="s">
        <v>16</v>
      </c>
      <c r="B25" s="38"/>
      <c r="C25" s="38"/>
      <c r="D25" s="38"/>
      <c r="E25" s="38"/>
      <c r="F25" s="38"/>
      <c r="G25" s="38"/>
      <c r="H25" s="38"/>
      <c r="I25" s="38"/>
      <c r="J25" s="38"/>
    </row>
    <row r="26" ht="16.5" customHeight="1" spans="1:10">
      <c r="A26" s="43" t="s">
        <v>17</v>
      </c>
      <c r="B26" s="38"/>
      <c r="C26" s="38"/>
      <c r="D26" s="38"/>
      <c r="E26" s="38"/>
      <c r="F26" s="38"/>
      <c r="G26" s="38"/>
      <c r="H26" s="38"/>
      <c r="I26" s="38"/>
      <c r="J26" s="38"/>
    </row>
    <row r="27" ht="16.5" customHeight="1" spans="1:10">
      <c r="A27" s="43" t="s">
        <v>18</v>
      </c>
      <c r="B27" s="38"/>
      <c r="C27" s="38"/>
      <c r="D27" s="38"/>
      <c r="E27" s="38"/>
      <c r="F27" s="38"/>
      <c r="G27" s="38"/>
      <c r="H27" s="38"/>
      <c r="I27" s="38"/>
      <c r="J27" s="38"/>
    </row>
    <row r="28" ht="16.5" customHeight="1" spans="1:10">
      <c r="A28" s="43" t="s">
        <v>19</v>
      </c>
      <c r="B28" s="38"/>
      <c r="C28" s="38"/>
      <c r="D28" s="38"/>
      <c r="E28" s="38"/>
      <c r="F28" s="38"/>
      <c r="G28" s="38"/>
      <c r="H28" s="38"/>
      <c r="I28" s="38"/>
      <c r="J28" s="38"/>
    </row>
    <row r="29" ht="16.5" customHeight="1" spans="1:10">
      <c r="A29" s="43" t="s">
        <v>20</v>
      </c>
      <c r="B29" s="38"/>
      <c r="C29" s="38"/>
      <c r="D29" s="38"/>
      <c r="E29" s="38"/>
      <c r="F29" s="38"/>
      <c r="G29" s="38"/>
      <c r="H29" s="38"/>
      <c r="I29" s="38"/>
      <c r="J29" s="38"/>
    </row>
    <row r="30" ht="18" customHeight="1" spans="1:10">
      <c r="A30" s="44" t="s">
        <v>21</v>
      </c>
      <c r="B30" s="45" t="s">
        <v>22</v>
      </c>
      <c r="C30" s="38"/>
      <c r="D30" s="38"/>
      <c r="E30" s="38"/>
      <c r="F30" s="38"/>
      <c r="G30" s="38"/>
      <c r="H30" s="38"/>
      <c r="I30" s="38"/>
      <c r="J30" s="38"/>
    </row>
    <row r="31" ht="14.25" customHeight="1" spans="1:10">
      <c r="A31" s="46" t="s">
        <v>23</v>
      </c>
      <c r="B31" s="47" t="s">
        <v>24</v>
      </c>
      <c r="C31" s="47"/>
      <c r="D31" s="47"/>
      <c r="E31" s="47"/>
      <c r="F31" s="47"/>
      <c r="G31" s="47"/>
      <c r="H31" s="47"/>
      <c r="I31" s="47"/>
      <c r="J31" s="38"/>
    </row>
    <row r="32" ht="14.25" customHeight="1" spans="1:10">
      <c r="A32" s="46" t="s">
        <v>25</v>
      </c>
      <c r="B32" s="47" t="s">
        <v>26</v>
      </c>
      <c r="C32" s="47"/>
      <c r="D32" s="47"/>
      <c r="E32" s="47"/>
      <c r="F32" s="47"/>
      <c r="G32" s="47"/>
      <c r="H32" s="47"/>
      <c r="I32" s="38"/>
      <c r="J32" s="38"/>
    </row>
    <row r="33" ht="14.25" customHeight="1" spans="1:10">
      <c r="A33" s="46" t="s">
        <v>27</v>
      </c>
      <c r="B33" s="47" t="s">
        <v>28</v>
      </c>
      <c r="C33" s="47"/>
      <c r="D33" s="47"/>
      <c r="E33" s="47"/>
      <c r="F33" s="47"/>
      <c r="G33" s="47"/>
      <c r="H33" s="38"/>
      <c r="I33" s="38"/>
      <c r="J33" s="38"/>
    </row>
    <row r="34" ht="14.25" customHeight="1" spans="1:10">
      <c r="A34" s="46" t="s">
        <v>29</v>
      </c>
      <c r="B34" s="47" t="s">
        <v>30</v>
      </c>
      <c r="C34" s="47"/>
      <c r="D34" s="47"/>
      <c r="E34" s="47"/>
      <c r="F34" s="47"/>
      <c r="G34" s="47"/>
      <c r="H34" s="47"/>
      <c r="I34" s="38"/>
      <c r="J34" s="38"/>
    </row>
    <row r="35" ht="13.5" customHeight="1" spans="1:10">
      <c r="A35" s="39"/>
      <c r="B35" s="38"/>
      <c r="C35" s="38"/>
      <c r="D35" s="38"/>
      <c r="E35" s="38"/>
      <c r="F35" s="38"/>
      <c r="G35" s="38"/>
      <c r="H35" s="38"/>
      <c r="I35" s="38"/>
      <c r="J35" s="38"/>
    </row>
    <row r="36" ht="19.5" customHeight="1" spans="1:10">
      <c r="A36" s="42" t="s">
        <v>31</v>
      </c>
      <c r="B36" s="38"/>
      <c r="C36" s="38"/>
      <c r="D36" s="38"/>
      <c r="E36" s="38"/>
      <c r="F36" s="38"/>
      <c r="G36" s="38"/>
      <c r="H36" s="38"/>
      <c r="I36" s="38"/>
      <c r="J36" s="38"/>
    </row>
    <row r="37" ht="13.5" customHeight="1" spans="1:10">
      <c r="A37" s="39"/>
      <c r="B37" s="38"/>
      <c r="C37" s="38"/>
      <c r="D37" s="38"/>
      <c r="E37" s="38"/>
      <c r="F37" s="38"/>
      <c r="G37" s="38"/>
      <c r="H37" s="38"/>
      <c r="I37" s="38"/>
      <c r="J37" s="38"/>
    </row>
    <row r="38" ht="16.5" customHeight="1" spans="1:10">
      <c r="A38" s="43" t="s">
        <v>32</v>
      </c>
      <c r="B38" s="38"/>
      <c r="C38" s="38"/>
      <c r="D38" s="38"/>
      <c r="E38" s="38"/>
      <c r="F38" s="38"/>
      <c r="G38" s="38"/>
      <c r="H38" s="38"/>
      <c r="I38" s="38"/>
      <c r="J38" s="38"/>
    </row>
    <row r="39" ht="18" customHeight="1" spans="1:10">
      <c r="A39" s="44" t="s">
        <v>33</v>
      </c>
      <c r="B39" s="45" t="s">
        <v>34</v>
      </c>
      <c r="C39" s="45" t="s">
        <v>35</v>
      </c>
      <c r="D39" s="45" t="s">
        <v>36</v>
      </c>
      <c r="E39" s="45" t="s">
        <v>37</v>
      </c>
      <c r="F39" s="45" t="s">
        <v>38</v>
      </c>
      <c r="G39" s="38"/>
      <c r="H39" s="38"/>
      <c r="I39" s="38"/>
      <c r="J39" s="38"/>
    </row>
    <row r="40" ht="14.25" customHeight="1" spans="1:10">
      <c r="A40" s="46" t="s">
        <v>39</v>
      </c>
      <c r="B40" s="48" t="s">
        <v>40</v>
      </c>
      <c r="C40" s="48" t="s">
        <v>41</v>
      </c>
      <c r="D40" s="48" t="s">
        <v>42</v>
      </c>
      <c r="E40" s="48" t="s">
        <v>43</v>
      </c>
      <c r="F40" s="48" t="s">
        <v>44</v>
      </c>
      <c r="G40" s="38"/>
      <c r="H40" s="38"/>
      <c r="I40" s="38"/>
      <c r="J40" s="38"/>
    </row>
    <row r="41" ht="13.5" customHeight="1" spans="1:10">
      <c r="A41" s="39"/>
      <c r="B41" s="38"/>
      <c r="C41" s="38"/>
      <c r="D41" s="38"/>
      <c r="E41" s="38"/>
      <c r="F41" s="38"/>
      <c r="G41" s="38"/>
      <c r="H41" s="38"/>
      <c r="I41" s="38"/>
      <c r="J41" s="38"/>
    </row>
    <row r="42" ht="16.5" customHeight="1" spans="1:10">
      <c r="A42" s="43" t="s">
        <v>45</v>
      </c>
      <c r="B42" s="38"/>
      <c r="C42" s="38"/>
      <c r="D42" s="38"/>
      <c r="E42" s="38"/>
      <c r="F42" s="38"/>
      <c r="G42" s="38"/>
      <c r="H42" s="38"/>
      <c r="I42" s="38"/>
      <c r="J42" s="38"/>
    </row>
    <row r="43" ht="19.5" customHeight="1" spans="1:10">
      <c r="A43" s="42" t="s">
        <v>46</v>
      </c>
      <c r="B43" s="38"/>
      <c r="C43" s="38"/>
      <c r="D43" s="38"/>
      <c r="E43" s="38"/>
      <c r="F43" s="38"/>
      <c r="G43" s="38"/>
      <c r="H43" s="38"/>
      <c r="I43" s="38"/>
      <c r="J43" s="38"/>
    </row>
    <row r="44" ht="13.5" customHeight="1" spans="1:10">
      <c r="A44" s="39"/>
      <c r="B44" s="38"/>
      <c r="C44" s="38"/>
      <c r="D44" s="38"/>
      <c r="E44" s="38"/>
      <c r="F44" s="38"/>
      <c r="G44" s="38"/>
      <c r="H44" s="38"/>
      <c r="I44" s="38"/>
      <c r="J44" s="38"/>
    </row>
    <row r="45" ht="33" customHeight="1" spans="1:10">
      <c r="A45" s="41" t="s">
        <v>47</v>
      </c>
      <c r="B45" s="41"/>
      <c r="C45" s="41"/>
      <c r="D45" s="41"/>
      <c r="E45" s="38"/>
      <c r="F45" s="38"/>
      <c r="G45" s="38"/>
      <c r="H45" s="38"/>
      <c r="I45" s="38"/>
      <c r="J45" s="38"/>
    </row>
    <row r="46" ht="16.5" customHeight="1" spans="1:10">
      <c r="A46" s="43" t="s">
        <v>48</v>
      </c>
      <c r="B46" s="38"/>
      <c r="C46" s="38"/>
      <c r="D46" s="38"/>
      <c r="E46" s="38"/>
      <c r="F46" s="38"/>
      <c r="G46" s="38"/>
      <c r="H46" s="38"/>
      <c r="I46" s="38"/>
      <c r="J46" s="38"/>
    </row>
    <row r="47" ht="16.5" customHeight="1" spans="1:10">
      <c r="A47" s="43" t="s">
        <v>49</v>
      </c>
      <c r="B47" s="38"/>
      <c r="C47" s="38"/>
      <c r="D47" s="38"/>
      <c r="E47" s="38"/>
      <c r="F47" s="38"/>
      <c r="G47" s="38"/>
      <c r="H47" s="38"/>
      <c r="I47" s="38"/>
      <c r="J47" s="38"/>
    </row>
    <row r="48" ht="49.5" customHeight="1" spans="1:10">
      <c r="A48" s="49" t="s">
        <v>50</v>
      </c>
      <c r="B48" s="49"/>
      <c r="C48" s="49"/>
      <c r="D48" s="49"/>
      <c r="E48" s="49"/>
      <c r="F48" s="49"/>
      <c r="G48" s="49"/>
      <c r="H48" s="49"/>
      <c r="I48" s="49"/>
      <c r="J48" s="49"/>
    </row>
    <row r="49" ht="19.5" customHeight="1" spans="1:10">
      <c r="A49" s="42" t="s">
        <v>51</v>
      </c>
      <c r="B49" s="38"/>
      <c r="C49" s="38"/>
      <c r="D49" s="38"/>
      <c r="E49" s="38"/>
      <c r="F49" s="38"/>
      <c r="G49" s="38"/>
      <c r="H49" s="38"/>
      <c r="I49" s="38"/>
      <c r="J49" s="38"/>
    </row>
    <row r="50" ht="13.5" customHeight="1" spans="1:10">
      <c r="A50" s="39"/>
      <c r="B50" s="38"/>
      <c r="C50" s="38"/>
      <c r="D50" s="38"/>
      <c r="E50" s="38"/>
      <c r="F50" s="38"/>
      <c r="G50" s="38"/>
      <c r="H50" s="38"/>
      <c r="I50" s="38"/>
      <c r="J50" s="38"/>
    </row>
    <row r="51" ht="33" customHeight="1" spans="1:10">
      <c r="A51" s="41" t="s">
        <v>52</v>
      </c>
      <c r="B51" s="41"/>
      <c r="C51" s="41"/>
      <c r="D51" s="41"/>
      <c r="E51" s="38"/>
      <c r="F51" s="38"/>
      <c r="G51" s="38"/>
      <c r="H51" s="38"/>
      <c r="I51" s="38"/>
      <c r="J51" s="38"/>
    </row>
    <row r="52" ht="16.5" customHeight="1" spans="1:10">
      <c r="A52" s="43" t="s">
        <v>53</v>
      </c>
      <c r="B52" s="38"/>
      <c r="C52" s="38"/>
      <c r="D52" s="38"/>
      <c r="E52" s="38"/>
      <c r="F52" s="38"/>
      <c r="G52" s="38"/>
      <c r="H52" s="38"/>
      <c r="I52" s="38"/>
      <c r="J52" s="38"/>
    </row>
    <row r="53" ht="16.5" customHeight="1" spans="1:10">
      <c r="A53" s="43" t="s">
        <v>54</v>
      </c>
      <c r="B53" s="38"/>
      <c r="C53" s="38"/>
      <c r="D53" s="38"/>
      <c r="E53" s="38"/>
      <c r="F53" s="38"/>
      <c r="G53" s="38"/>
      <c r="H53" s="38"/>
      <c r="I53" s="38"/>
      <c r="J53" s="38"/>
    </row>
    <row r="54" ht="16.5" customHeight="1" spans="1:10">
      <c r="A54" s="43" t="s">
        <v>55</v>
      </c>
      <c r="B54" s="38"/>
      <c r="C54" s="38"/>
      <c r="D54" s="38"/>
      <c r="E54" s="38"/>
      <c r="F54" s="38"/>
      <c r="G54" s="38"/>
      <c r="H54" s="38"/>
      <c r="I54" s="38"/>
      <c r="J54" s="38"/>
    </row>
    <row r="55" ht="16.5" customHeight="1" spans="1:10">
      <c r="A55" s="43" t="s">
        <v>56</v>
      </c>
      <c r="B55" s="38"/>
      <c r="C55" s="38"/>
      <c r="D55" s="38"/>
      <c r="E55" s="38"/>
      <c r="F55" s="38"/>
      <c r="G55" s="38"/>
      <c r="H55" s="38"/>
      <c r="I55" s="38"/>
      <c r="J55" s="38"/>
    </row>
    <row r="56" ht="19.5" customHeight="1" spans="1:10">
      <c r="A56" s="42" t="s">
        <v>57</v>
      </c>
      <c r="B56" s="38"/>
      <c r="C56" s="38"/>
      <c r="D56" s="38"/>
      <c r="E56" s="38"/>
      <c r="F56" s="38"/>
      <c r="G56" s="38"/>
      <c r="H56" s="38"/>
      <c r="I56" s="38"/>
      <c r="J56" s="38"/>
    </row>
    <row r="57" ht="13.5" customHeight="1" spans="1:10">
      <c r="A57" s="39"/>
      <c r="B57" s="38"/>
      <c r="C57" s="38"/>
      <c r="D57" s="38"/>
      <c r="E57" s="38"/>
      <c r="F57" s="38"/>
      <c r="G57" s="38"/>
      <c r="H57" s="38"/>
      <c r="I57" s="38"/>
      <c r="J57" s="38"/>
    </row>
    <row r="58" ht="33" customHeight="1" spans="1:10">
      <c r="A58" s="41" t="s">
        <v>58</v>
      </c>
      <c r="B58" s="41"/>
      <c r="C58" s="41"/>
      <c r="D58" s="41"/>
      <c r="E58" s="41"/>
      <c r="F58" s="38"/>
      <c r="G58" s="38"/>
      <c r="H58" s="38"/>
      <c r="I58" s="38"/>
      <c r="J58" s="38"/>
    </row>
    <row r="59" ht="16.5" customHeight="1" spans="1:10">
      <c r="A59" s="43" t="s">
        <v>59</v>
      </c>
      <c r="B59" s="38"/>
      <c r="C59" s="38"/>
      <c r="D59" s="38"/>
      <c r="E59" s="38"/>
      <c r="F59" s="38"/>
      <c r="G59" s="38"/>
      <c r="H59" s="38"/>
      <c r="I59" s="38"/>
      <c r="J59" s="38"/>
    </row>
    <row r="60" ht="16.5" customHeight="1" spans="1:10">
      <c r="A60" s="41" t="s">
        <v>60</v>
      </c>
      <c r="B60" s="41"/>
      <c r="C60" s="41"/>
      <c r="D60" s="38"/>
      <c r="E60" s="38"/>
      <c r="F60" s="38"/>
      <c r="G60" s="38"/>
      <c r="H60" s="38"/>
      <c r="I60" s="38"/>
      <c r="J60" s="38"/>
    </row>
    <row r="61" ht="16.5" customHeight="1" spans="1:10">
      <c r="A61" s="43" t="s">
        <v>61</v>
      </c>
      <c r="B61" s="38"/>
      <c r="C61" s="38"/>
      <c r="D61" s="38"/>
      <c r="E61" s="38"/>
      <c r="F61" s="38"/>
      <c r="G61" s="38"/>
      <c r="H61" s="38"/>
      <c r="I61" s="38"/>
      <c r="J61" s="38"/>
    </row>
    <row r="62" ht="16.5" customHeight="1" spans="1:10">
      <c r="A62" s="43" t="s">
        <v>62</v>
      </c>
      <c r="B62" s="38"/>
      <c r="C62" s="38"/>
      <c r="D62" s="38"/>
      <c r="E62" s="38"/>
      <c r="F62" s="38"/>
      <c r="G62" s="38"/>
      <c r="H62" s="38"/>
      <c r="I62" s="38"/>
      <c r="J62" s="38"/>
    </row>
    <row r="63" ht="16.5" customHeight="1" spans="1:10">
      <c r="A63" s="43" t="s">
        <v>63</v>
      </c>
      <c r="B63" s="38"/>
      <c r="C63" s="38"/>
      <c r="D63" s="38"/>
      <c r="E63" s="38"/>
      <c r="F63" s="38"/>
      <c r="G63" s="38"/>
      <c r="H63" s="38"/>
      <c r="I63" s="38"/>
      <c r="J63" s="38"/>
    </row>
    <row r="64" ht="16.5" customHeight="1" spans="1:10">
      <c r="A64" s="43" t="s">
        <v>64</v>
      </c>
      <c r="B64" s="38"/>
      <c r="C64" s="38"/>
      <c r="D64" s="38"/>
      <c r="E64" s="38"/>
      <c r="F64" s="38"/>
      <c r="G64" s="38"/>
      <c r="H64" s="38"/>
      <c r="I64" s="38"/>
      <c r="J64" s="38"/>
    </row>
    <row r="65" ht="16.5" customHeight="1" spans="1:22">
      <c r="A65" s="43" t="s">
        <v>65</v>
      </c>
      <c r="B65" s="38"/>
      <c r="C65" s="38"/>
      <c r="D65" s="38"/>
      <c r="E65" s="38"/>
      <c r="F65" s="38"/>
      <c r="G65" s="38"/>
      <c r="H65" s="38"/>
      <c r="I65" s="38"/>
      <c r="J65" s="38"/>
    </row>
    <row r="66" ht="15" customHeight="1" spans="1:22">
      <c r="A66" s="50" t="s">
        <v>66</v>
      </c>
    </row>
    <row r="67" ht="16.5" customHeight="1" spans="1:22">
      <c r="A67" s="43" t="s">
        <v>67</v>
      </c>
      <c r="B67" s="38"/>
      <c r="C67" s="38"/>
      <c r="D67" s="38"/>
      <c r="E67" s="38"/>
      <c r="F67" s="38"/>
      <c r="G67" s="38"/>
      <c r="H67" s="38"/>
      <c r="I67" s="38"/>
      <c r="J67" s="38"/>
    </row>
    <row r="68" ht="16.5" customHeight="1" spans="1:22">
      <c r="A68" s="43" t="s">
        <v>68</v>
      </c>
      <c r="B68" s="38"/>
      <c r="C68" s="38"/>
      <c r="D68" s="38"/>
      <c r="E68" s="38"/>
      <c r="F68" s="38"/>
      <c r="G68" s="38"/>
      <c r="H68" s="38"/>
      <c r="I68" s="38"/>
      <c r="J68" s="38"/>
    </row>
    <row r="69" ht="33" customHeight="1" spans="1:22">
      <c r="A69" s="41" t="s">
        <v>69</v>
      </c>
      <c r="B69" s="41"/>
      <c r="C69" s="41"/>
      <c r="D69" s="41"/>
      <c r="E69" s="41"/>
      <c r="F69" s="41"/>
      <c r="G69" s="38"/>
      <c r="H69" s="38"/>
      <c r="I69" s="38"/>
      <c r="J69" s="38"/>
    </row>
    <row r="70" ht="16.5" customHeight="1" spans="1:22">
      <c r="A70" s="43" t="s">
        <v>70</v>
      </c>
      <c r="B70" s="38"/>
      <c r="C70" s="38"/>
      <c r="D70" s="38"/>
      <c r="E70" s="38"/>
      <c r="F70" s="38"/>
      <c r="G70" s="38"/>
      <c r="H70" s="38"/>
      <c r="I70" s="38"/>
      <c r="J70" s="38"/>
    </row>
    <row r="71" ht="15" customHeight="1" spans="1:22">
      <c r="A71" s="51" t="s">
        <v>71</v>
      </c>
    </row>
    <row r="72" ht="19.5" customHeight="1" spans="1:22">
      <c r="A72" s="42" t="s">
        <v>72</v>
      </c>
      <c r="B72" s="38"/>
      <c r="C72" s="38"/>
      <c r="D72" s="38"/>
      <c r="E72" s="38"/>
      <c r="F72" s="38"/>
      <c r="G72" s="38"/>
      <c r="H72" s="38"/>
      <c r="I72" s="38"/>
      <c r="J72" s="38"/>
    </row>
    <row r="73" ht="13.5" customHeight="1" spans="1:22">
      <c r="A73" s="39"/>
      <c r="B73" s="38"/>
      <c r="C73" s="38"/>
      <c r="D73" s="38"/>
      <c r="E73" s="38"/>
      <c r="F73" s="38"/>
      <c r="G73" s="38"/>
      <c r="H73" s="38"/>
      <c r="I73" s="38"/>
      <c r="J73" s="38"/>
    </row>
    <row r="74" ht="16.5" customHeight="1" spans="1:22">
      <c r="A74" s="43" t="s">
        <v>73</v>
      </c>
      <c r="B74" s="38"/>
      <c r="C74" s="38"/>
      <c r="D74" s="38"/>
      <c r="E74" s="38"/>
      <c r="F74" s="38"/>
      <c r="G74" s="38"/>
      <c r="H74" s="38"/>
      <c r="I74" s="38"/>
      <c r="J74" s="38"/>
    </row>
    <row r="75" ht="18" customHeight="1" spans="1:22">
      <c r="A75" s="44" t="s">
        <v>74</v>
      </c>
      <c r="B75" s="45" t="s">
        <v>75</v>
      </c>
      <c r="C75" s="38"/>
      <c r="D75" s="38"/>
      <c r="E75" s="38"/>
      <c r="F75" s="38"/>
      <c r="G75" s="38"/>
      <c r="H75" s="38"/>
      <c r="I75" s="38"/>
      <c r="J75" s="38"/>
    </row>
    <row r="76" ht="14.25" customHeight="1" spans="1:22">
      <c r="A76" s="46" t="s">
        <v>76</v>
      </c>
      <c r="B76" s="47" t="s">
        <v>77</v>
      </c>
      <c r="C76" s="47"/>
      <c r="D76" s="38"/>
      <c r="E76" s="38"/>
      <c r="F76" s="38"/>
      <c r="G76" s="38"/>
      <c r="H76" s="38"/>
      <c r="I76" s="38"/>
      <c r="J76" s="38"/>
    </row>
    <row r="77" ht="15" customHeight="1" spans="1:22">
      <c r="A77" s="46" t="s">
        <v>78</v>
      </c>
      <c r="B77" s="52" t="s">
        <v>79</v>
      </c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</row>
    <row r="78" ht="13.5" customHeight="1" spans="1:22">
      <c r="A78" s="39"/>
      <c r="B78" s="38"/>
      <c r="C78" s="38"/>
      <c r="D78" s="38"/>
      <c r="E78" s="38"/>
      <c r="F78" s="38"/>
      <c r="G78" s="38"/>
      <c r="H78" s="38"/>
      <c r="I78" s="38"/>
      <c r="J78" s="38"/>
    </row>
    <row r="79" ht="33" customHeight="1" spans="1:22">
      <c r="A79" s="41" t="s">
        <v>80</v>
      </c>
      <c r="B79" s="41"/>
      <c r="C79" s="41"/>
      <c r="D79" s="41"/>
      <c r="E79" s="41"/>
      <c r="F79" s="38"/>
      <c r="G79" s="38"/>
      <c r="H79" s="38"/>
      <c r="I79" s="38"/>
      <c r="J79" s="38"/>
    </row>
    <row r="80" ht="19.5" customHeight="1" spans="1:22">
      <c r="A80" s="42" t="s">
        <v>81</v>
      </c>
      <c r="B80" s="38"/>
      <c r="C80" s="38"/>
      <c r="D80" s="38"/>
      <c r="E80" s="38"/>
      <c r="F80" s="38"/>
      <c r="G80" s="38"/>
      <c r="H80" s="38"/>
      <c r="I80" s="38"/>
      <c r="J80" s="38"/>
    </row>
    <row r="81" ht="13.5" customHeight="1" spans="1:10">
      <c r="A81" s="39"/>
      <c r="B81" s="38"/>
      <c r="C81" s="38"/>
      <c r="D81" s="38"/>
      <c r="E81" s="38"/>
      <c r="F81" s="38"/>
      <c r="G81" s="38"/>
      <c r="H81" s="38"/>
      <c r="I81" s="38"/>
      <c r="J81" s="38"/>
    </row>
    <row r="82" ht="16.5" customHeight="1" spans="1:10">
      <c r="A82" s="43" t="s">
        <v>82</v>
      </c>
      <c r="B82" s="38"/>
      <c r="C82" s="38"/>
      <c r="D82" s="38"/>
      <c r="E82" s="38"/>
      <c r="F82" s="38"/>
      <c r="G82" s="38"/>
      <c r="H82" s="38"/>
      <c r="I82" s="38"/>
      <c r="J82" s="38"/>
    </row>
    <row r="83" ht="33" customHeight="1" spans="1:10">
      <c r="A83" s="41" t="s">
        <v>83</v>
      </c>
      <c r="B83" s="41"/>
      <c r="C83" s="41"/>
      <c r="D83" s="41"/>
      <c r="E83" s="38"/>
      <c r="F83" s="38"/>
      <c r="G83" s="38"/>
      <c r="H83" s="38"/>
      <c r="I83" s="38"/>
      <c r="J83" s="38"/>
    </row>
    <row r="84" ht="49.5" customHeight="1" spans="1:10">
      <c r="A84" s="41" t="s">
        <v>84</v>
      </c>
      <c r="B84" s="41"/>
      <c r="C84" s="41"/>
      <c r="D84" s="41"/>
      <c r="E84" s="41"/>
      <c r="F84" s="41"/>
      <c r="G84" s="41"/>
      <c r="H84" s="41"/>
      <c r="I84" s="41"/>
      <c r="J84" s="38"/>
    </row>
    <row r="85" ht="33" customHeight="1" spans="1:10">
      <c r="A85" s="41" t="s">
        <v>85</v>
      </c>
      <c r="B85" s="41"/>
      <c r="C85" s="41"/>
      <c r="D85" s="41"/>
      <c r="E85" s="41"/>
      <c r="F85" s="41"/>
      <c r="G85" s="41"/>
      <c r="H85" s="38"/>
      <c r="I85" s="38"/>
      <c r="J85" s="38"/>
    </row>
    <row r="86" ht="33" customHeight="1" spans="1:10">
      <c r="A86" s="41" t="s">
        <v>86</v>
      </c>
      <c r="B86" s="41"/>
      <c r="C86" s="41"/>
      <c r="D86" s="41"/>
      <c r="E86" s="38"/>
      <c r="F86" s="38"/>
      <c r="G86" s="38"/>
      <c r="H86" s="38"/>
      <c r="I86" s="38"/>
      <c r="J86" s="38"/>
    </row>
    <row r="87" ht="19.5" customHeight="1" spans="1:10">
      <c r="A87" s="42" t="s">
        <v>87</v>
      </c>
      <c r="B87" s="38"/>
      <c r="C87" s="38"/>
      <c r="D87" s="38"/>
      <c r="E87" s="38"/>
      <c r="F87" s="38"/>
      <c r="G87" s="38"/>
      <c r="H87" s="38"/>
      <c r="I87" s="38"/>
      <c r="J87" s="38"/>
    </row>
    <row r="88" ht="13.5" customHeight="1" spans="1:10">
      <c r="A88" s="39"/>
      <c r="B88" s="38"/>
      <c r="C88" s="38"/>
      <c r="D88" s="38"/>
      <c r="E88" s="38"/>
      <c r="F88" s="38"/>
      <c r="G88" s="38"/>
      <c r="H88" s="38"/>
      <c r="I88" s="38"/>
      <c r="J88" s="38"/>
    </row>
    <row r="89" ht="18" customHeight="1" spans="1:10">
      <c r="A89" s="44" t="s">
        <v>88</v>
      </c>
      <c r="B89" s="45" t="s">
        <v>76</v>
      </c>
      <c r="C89" s="38"/>
      <c r="D89" s="38"/>
      <c r="E89" s="38"/>
      <c r="F89" s="38"/>
      <c r="G89" s="38"/>
      <c r="H89" s="38"/>
      <c r="I89" s="38"/>
      <c r="J89" s="38"/>
    </row>
    <row r="90" ht="14.25" customHeight="1" spans="1:10">
      <c r="A90" s="46" t="s">
        <v>89</v>
      </c>
      <c r="B90" s="48" t="s">
        <v>90</v>
      </c>
      <c r="C90" s="38"/>
      <c r="D90" s="38"/>
      <c r="E90" s="38"/>
      <c r="F90" s="38"/>
      <c r="G90" s="38"/>
      <c r="H90" s="38"/>
      <c r="I90" s="38"/>
      <c r="J90" s="38"/>
    </row>
    <row r="91" ht="14.25" customHeight="1" spans="1:10">
      <c r="A91" s="46" t="s">
        <v>91</v>
      </c>
      <c r="B91" s="47" t="s">
        <v>92</v>
      </c>
      <c r="C91" s="47"/>
      <c r="D91" s="38"/>
      <c r="E91" s="38"/>
      <c r="F91" s="38"/>
      <c r="G91" s="38"/>
      <c r="H91" s="38"/>
      <c r="I91" s="38"/>
      <c r="J91" s="38"/>
    </row>
    <row r="92" ht="14.25" customHeight="1" spans="1:10">
      <c r="A92" s="46" t="s">
        <v>93</v>
      </c>
      <c r="B92" s="47" t="s">
        <v>94</v>
      </c>
      <c r="C92" s="47"/>
      <c r="D92" s="38"/>
      <c r="E92" s="38"/>
      <c r="F92" s="38"/>
      <c r="G92" s="38"/>
      <c r="H92" s="38"/>
      <c r="I92" s="38"/>
      <c r="J92" s="38"/>
    </row>
    <row r="93" ht="14.25" customHeight="1" spans="1:10">
      <c r="A93" s="46" t="s">
        <v>95</v>
      </c>
      <c r="B93" s="47" t="s">
        <v>96</v>
      </c>
      <c r="C93" s="47"/>
      <c r="D93" s="38"/>
      <c r="E93" s="38"/>
      <c r="F93" s="38"/>
      <c r="G93" s="38"/>
      <c r="H93" s="38"/>
      <c r="I93" s="38"/>
      <c r="J93" s="38"/>
    </row>
    <row r="94" ht="14.25" customHeight="1" spans="1:10">
      <c r="A94" s="46" t="s">
        <v>97</v>
      </c>
      <c r="B94" s="47" t="s">
        <v>98</v>
      </c>
      <c r="C94" s="47"/>
      <c r="D94" s="38"/>
      <c r="E94" s="38"/>
      <c r="F94" s="38"/>
      <c r="G94" s="38"/>
      <c r="H94" s="38"/>
      <c r="I94" s="38"/>
      <c r="J94" s="38"/>
    </row>
    <row r="95" ht="14.25" customHeight="1" spans="1:10">
      <c r="A95" s="46" t="s">
        <v>99</v>
      </c>
      <c r="B95" s="47" t="s">
        <v>100</v>
      </c>
      <c r="C95" s="47"/>
      <c r="D95" s="38"/>
      <c r="E95" s="38"/>
      <c r="F95" s="38"/>
      <c r="G95" s="38"/>
      <c r="H95" s="38"/>
      <c r="I95" s="38"/>
      <c r="J95" s="38"/>
    </row>
    <row r="96" ht="14.25" customHeight="1" spans="1:10">
      <c r="A96" s="46" t="s">
        <v>101</v>
      </c>
      <c r="B96" s="47" t="s">
        <v>102</v>
      </c>
      <c r="C96" s="47"/>
      <c r="D96" s="38"/>
      <c r="E96" s="38"/>
      <c r="F96" s="38"/>
      <c r="G96" s="38"/>
      <c r="H96" s="38"/>
      <c r="I96" s="38"/>
      <c r="J96" s="38"/>
    </row>
    <row r="97" ht="14.25" customHeight="1" spans="1:10">
      <c r="A97" s="46" t="s">
        <v>103</v>
      </c>
      <c r="B97" s="47" t="s">
        <v>104</v>
      </c>
      <c r="C97" s="47"/>
      <c r="D97" s="38"/>
      <c r="E97" s="38"/>
      <c r="F97" s="38"/>
      <c r="G97" s="38"/>
      <c r="H97" s="38"/>
      <c r="I97" s="38"/>
      <c r="J97" s="38"/>
    </row>
    <row r="98" ht="14.25" customHeight="1" spans="1:10">
      <c r="A98" s="46" t="s">
        <v>105</v>
      </c>
      <c r="B98" s="47" t="s">
        <v>106</v>
      </c>
      <c r="C98" s="47"/>
      <c r="D98" s="38"/>
      <c r="E98" s="38"/>
      <c r="F98" s="38"/>
      <c r="G98" s="38"/>
      <c r="H98" s="38"/>
      <c r="I98" s="38"/>
      <c r="J98" s="38"/>
    </row>
  </sheetData>
  <mergeCells count="30">
    <mergeCell ref="A1:F1"/>
    <mergeCell ref="A4:C4"/>
    <mergeCell ref="A9:D9"/>
    <mergeCell ref="A14:F14"/>
    <mergeCell ref="A22:E22"/>
    <mergeCell ref="B31:I31"/>
    <mergeCell ref="B32:H32"/>
    <mergeCell ref="B33:G33"/>
    <mergeCell ref="B34:H34"/>
    <mergeCell ref="A45:D45"/>
    <mergeCell ref="A48:J48"/>
    <mergeCell ref="A51:D51"/>
    <mergeCell ref="A58:E58"/>
    <mergeCell ref="A60:C60"/>
    <mergeCell ref="A69:F69"/>
    <mergeCell ref="B76:C76"/>
    <mergeCell ref="B77:V77"/>
    <mergeCell ref="A79:E79"/>
    <mergeCell ref="A83:D83"/>
    <mergeCell ref="A84:I84"/>
    <mergeCell ref="A85:G85"/>
    <mergeCell ref="A86:D86"/>
    <mergeCell ref="B91:C91"/>
    <mergeCell ref="B92:C92"/>
    <mergeCell ref="B93:C9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paperSize="1" orientation="portrait"/>
  <headerFooter/>
  <ignoredErrors>
    <ignoredError sqref="A1:V98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1"/>
  <sheetViews>
    <sheetView workbookViewId="0">
      <selection activeCell="A1" sqref="A1:Y1"/>
    </sheetView>
  </sheetViews>
  <sheetFormatPr defaultColWidth="9" defaultRowHeight="16.8"/>
  <cols>
    <col min="1" max="1" width="10" customWidth="1"/>
    <col min="2" max="2" width="28.2857142857143" customWidth="1"/>
    <col min="3" max="3" width="17.4285714285714" customWidth="1"/>
    <col min="4" max="4" width="16" customWidth="1"/>
    <col min="5" max="5" width="15.8571428571429" customWidth="1"/>
    <col min="6" max="6" width="14.5714285714286" customWidth="1"/>
    <col min="7" max="7" width="9.28571428571429" customWidth="1"/>
    <col min="8" max="8" width="13" customWidth="1"/>
    <col min="9" max="9" width="21.4285714285714" customWidth="1"/>
    <col min="10" max="10" width="19.4285714285714" customWidth="1"/>
    <col min="11" max="11" width="24.5714285714286" customWidth="1"/>
    <col min="12" max="12" width="19.7142857142857" customWidth="1"/>
    <col min="13" max="13" width="18.8571428571429" customWidth="1"/>
    <col min="14" max="14" width="20.2857142857143" customWidth="1"/>
    <col min="15" max="15" width="18.4285714285714" customWidth="1"/>
    <col min="16" max="16" width="18.1428571428571" customWidth="1"/>
    <col min="17" max="17" width="21.5714285714286" customWidth="1"/>
    <col min="18" max="18" width="22" customWidth="1"/>
    <col min="19" max="19" width="21.1428571428571" customWidth="1"/>
    <col min="20" max="20" width="23.1428571428571" customWidth="1"/>
    <col min="21" max="21" width="19.2857142857143" customWidth="1"/>
    <col min="22" max="22" width="22.1428571428571" customWidth="1"/>
    <col min="23" max="23" width="21" customWidth="1"/>
    <col min="24" max="24" width="21.4285714285714" customWidth="1"/>
    <col min="25" max="25" width="20.2857142857143" customWidth="1"/>
  </cols>
  <sheetData>
    <row r="1" ht="16.5" customHeight="1" spans="1:25">
      <c r="A1" s="4" t="s">
        <v>107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6.5" customHeight="1" spans="1:25">
      <c r="A2" s="15" t="s">
        <v>108</v>
      </c>
      <c r="B2" s="15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ht="16.5" customHeight="1" spans="1: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ht="13.5" customHeight="1" spans="1:25">
      <c r="A4" s="17" t="s">
        <v>109</v>
      </c>
      <c r="B4" s="17" t="s">
        <v>34</v>
      </c>
      <c r="C4" s="17" t="s">
        <v>35</v>
      </c>
      <c r="D4" s="17" t="s">
        <v>36</v>
      </c>
      <c r="E4" s="17" t="s">
        <v>37</v>
      </c>
      <c r="F4" s="17" t="s">
        <v>38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16.5" customHeight="1" spans="1:25">
      <c r="A5" s="16" t="s">
        <v>110</v>
      </c>
      <c r="B5" s="18">
        <v>0.1</v>
      </c>
      <c r="C5" s="18">
        <v>0.15</v>
      </c>
      <c r="D5" s="18">
        <v>0.2</v>
      </c>
      <c r="E5" s="18">
        <v>0.25</v>
      </c>
      <c r="F5" s="18">
        <v>0.3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16.5" customHeight="1" spans="1:25">
      <c r="A6" s="16" t="s">
        <v>111</v>
      </c>
      <c r="B6" s="19"/>
      <c r="C6" s="19"/>
      <c r="D6" s="19"/>
      <c r="E6" s="19"/>
      <c r="F6" s="19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16.5" customHeight="1" spans="1:25">
      <c r="A7" s="16">
        <v>0</v>
      </c>
      <c r="B7" s="20">
        <f t="shared" ref="B7:B22" si="0">BINOMDIST($A7,15,B$5,FALSE())</f>
        <v>0.205891132094649</v>
      </c>
      <c r="C7" s="20">
        <f t="shared" ref="C7:C22" si="1">BINOMDIST($A7,15,C$5,FALSE())</f>
        <v>0.0873542191012517</v>
      </c>
      <c r="D7" s="20">
        <f t="shared" ref="D7:D22" si="2">BINOMDIST($A7,15,D$5,FALSE())</f>
        <v>0.035184372088832</v>
      </c>
      <c r="E7" s="20">
        <f t="shared" ref="E7:E22" si="3">BINOMDIST($A7,15,E$5,FALSE())</f>
        <v>0.0133634610101581</v>
      </c>
      <c r="F7" s="20">
        <f t="shared" ref="F7:F22" si="4">BINOMDIST($A7,15,F$5,FALSE())</f>
        <v>0.00474756150994299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ht="16.5" customHeight="1" spans="1:25">
      <c r="A8" s="16">
        <v>1</v>
      </c>
      <c r="B8" s="20">
        <f t="shared" si="0"/>
        <v>0.343151886824415</v>
      </c>
      <c r="C8" s="20">
        <f t="shared" si="1"/>
        <v>0.23123175644449</v>
      </c>
      <c r="D8" s="20">
        <f t="shared" si="2"/>
        <v>0.13194139533312</v>
      </c>
      <c r="E8" s="20">
        <f t="shared" si="3"/>
        <v>0.0668173050507903</v>
      </c>
      <c r="F8" s="20">
        <f t="shared" si="4"/>
        <v>0.030520038278205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6.5" customHeight="1" spans="1:25">
      <c r="A9" s="16">
        <v>2</v>
      </c>
      <c r="B9" s="20">
        <f t="shared" si="0"/>
        <v>0.266895911974545</v>
      </c>
      <c r="C9" s="20">
        <f t="shared" si="1"/>
        <v>0.285639228549076</v>
      </c>
      <c r="D9" s="20">
        <f t="shared" si="2"/>
        <v>0.23089744183296</v>
      </c>
      <c r="E9" s="20">
        <f t="shared" si="3"/>
        <v>0.155907045118511</v>
      </c>
      <c r="F9" s="20">
        <f t="shared" si="4"/>
        <v>0.0915601148346149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16.5" customHeight="1" spans="1:25">
      <c r="A10" s="16">
        <v>3</v>
      </c>
      <c r="B10" s="20">
        <f t="shared" si="0"/>
        <v>0.128505439098855</v>
      </c>
      <c r="C10" s="20">
        <f t="shared" si="1"/>
        <v>0.218429998302234</v>
      </c>
      <c r="D10" s="20">
        <f t="shared" si="2"/>
        <v>0.25013889531904</v>
      </c>
      <c r="E10" s="20">
        <f t="shared" si="3"/>
        <v>0.225199065171182</v>
      </c>
      <c r="F10" s="20">
        <f t="shared" si="4"/>
        <v>0.170040213264285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16.5" customHeight="1" spans="1:25">
      <c r="A11" s="16">
        <v>4</v>
      </c>
      <c r="B11" s="20">
        <f t="shared" si="0"/>
        <v>0.0428351463662851</v>
      </c>
      <c r="C11" s="20">
        <f t="shared" si="1"/>
        <v>0.115639410865889</v>
      </c>
      <c r="D11" s="20">
        <f t="shared" si="2"/>
        <v>0.18760417148928</v>
      </c>
      <c r="E11" s="20">
        <f t="shared" si="3"/>
        <v>0.225199065171182</v>
      </c>
      <c r="F11" s="20">
        <f t="shared" si="4"/>
        <v>0.218623131339795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ht="16.5" customHeight="1" spans="1:25">
      <c r="A12" s="16">
        <v>5</v>
      </c>
      <c r="B12" s="20">
        <f t="shared" si="0"/>
        <v>0.010470813556203</v>
      </c>
      <c r="C12" s="20">
        <f t="shared" si="1"/>
        <v>0.0448953006891097</v>
      </c>
      <c r="D12" s="20">
        <f t="shared" si="2"/>
        <v>0.103182294319104</v>
      </c>
      <c r="E12" s="20">
        <f t="shared" si="3"/>
        <v>0.165145981125534</v>
      </c>
      <c r="F12" s="20">
        <f t="shared" si="4"/>
        <v>0.206130380977521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ht="16.5" customHeight="1" spans="1:25">
      <c r="A13" s="16">
        <v>6</v>
      </c>
      <c r="B13" s="20">
        <f t="shared" si="0"/>
        <v>0.001939039547445</v>
      </c>
      <c r="C13" s="20">
        <f t="shared" si="1"/>
        <v>0.0132045002026793</v>
      </c>
      <c r="D13" s="20">
        <f t="shared" si="2"/>
        <v>0.04299262263296</v>
      </c>
      <c r="E13" s="20">
        <f t="shared" si="3"/>
        <v>0.0917477672919629</v>
      </c>
      <c r="F13" s="20">
        <f t="shared" si="4"/>
        <v>0.147235986412515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ht="16.5" customHeight="1" spans="1:25">
      <c r="A14" s="16">
        <v>7</v>
      </c>
      <c r="B14" s="20">
        <f t="shared" si="0"/>
        <v>0.000277005649635</v>
      </c>
      <c r="C14" s="20">
        <f t="shared" si="1"/>
        <v>0.00299597903758271</v>
      </c>
      <c r="D14" s="20">
        <f t="shared" si="2"/>
        <v>0.01381905727488</v>
      </c>
      <c r="E14" s="20">
        <f t="shared" si="3"/>
        <v>0.0393204716965555</v>
      </c>
      <c r="F14" s="20">
        <f t="shared" si="4"/>
        <v>0.0811300333293451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ht="16.5" customHeight="1" spans="1:25">
      <c r="A15" s="16">
        <v>8</v>
      </c>
      <c r="B15" s="20">
        <f t="shared" si="0"/>
        <v>3.0778405515e-5</v>
      </c>
      <c r="C15" s="20">
        <f t="shared" si="1"/>
        <v>0.00052870218310283</v>
      </c>
      <c r="D15" s="20">
        <f t="shared" si="2"/>
        <v>0.00345476431872</v>
      </c>
      <c r="E15" s="20">
        <f t="shared" si="3"/>
        <v>0.0131068238988519</v>
      </c>
      <c r="F15" s="20">
        <f t="shared" si="4"/>
        <v>0.034770014284005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16.5" customHeight="1" spans="1:25">
      <c r="A16" s="16">
        <v>9</v>
      </c>
      <c r="B16" s="20">
        <f t="shared" si="0"/>
        <v>2.659862205e-6</v>
      </c>
      <c r="C16" s="20">
        <f t="shared" si="1"/>
        <v>7.25669663082317e-5</v>
      </c>
      <c r="D16" s="20">
        <f t="shared" si="2"/>
        <v>0.00067175972864</v>
      </c>
      <c r="E16" s="20">
        <f t="shared" si="3"/>
        <v>0.00339806545525789</v>
      </c>
      <c r="F16" s="20">
        <f t="shared" si="4"/>
        <v>0.011590004761335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ht="16.5" customHeight="1" spans="1:25">
      <c r="A17" s="16">
        <v>10</v>
      </c>
      <c r="B17" s="20">
        <f t="shared" si="0"/>
        <v>1.77324147e-7</v>
      </c>
      <c r="C17" s="20">
        <f t="shared" si="1"/>
        <v>7.68356113851866e-6</v>
      </c>
      <c r="D17" s="20">
        <f t="shared" si="2"/>
        <v>0.000100763959296</v>
      </c>
      <c r="E17" s="20">
        <f t="shared" si="3"/>
        <v>0.000679613091051579</v>
      </c>
      <c r="F17" s="20">
        <f t="shared" si="4"/>
        <v>0.002980286938629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ht="16.5" customHeight="1" spans="1:25">
      <c r="A18" s="16">
        <v>11</v>
      </c>
      <c r="B18" s="20">
        <f t="shared" si="0"/>
        <v>8.95576499999999e-9</v>
      </c>
      <c r="C18" s="20">
        <f t="shared" si="1"/>
        <v>6.16328433571014e-7</v>
      </c>
      <c r="D18" s="20">
        <f t="shared" si="2"/>
        <v>1.145044992e-5</v>
      </c>
      <c r="E18" s="20">
        <f t="shared" si="3"/>
        <v>0.000102971680462361</v>
      </c>
      <c r="F18" s="20">
        <f t="shared" si="4"/>
        <v>0.000580575377655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16.5" customHeight="1" spans="1:25">
      <c r="A19" s="16">
        <v>12</v>
      </c>
      <c r="B19" s="20">
        <f t="shared" si="0"/>
        <v>3.31695000000002e-10</v>
      </c>
      <c r="C19" s="20">
        <f t="shared" si="1"/>
        <v>3.62546137394715e-8</v>
      </c>
      <c r="D19" s="20">
        <f t="shared" si="2"/>
        <v>9.54204160000001e-7</v>
      </c>
      <c r="E19" s="20">
        <f t="shared" si="3"/>
        <v>1.14412978291512e-5</v>
      </c>
      <c r="F19" s="20">
        <f t="shared" si="4"/>
        <v>8.29393396650001e-5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ht="16.5" customHeight="1" spans="1:25">
      <c r="A20" s="16">
        <v>13</v>
      </c>
      <c r="B20" s="20">
        <f t="shared" si="0"/>
        <v>8.50500000000002e-12</v>
      </c>
      <c r="C20" s="20">
        <f t="shared" si="1"/>
        <v>1.47643223373413e-9</v>
      </c>
      <c r="D20" s="20">
        <f t="shared" si="2"/>
        <v>5.505024e-8</v>
      </c>
      <c r="E20" s="20">
        <f t="shared" si="3"/>
        <v>8.80099833011629e-7</v>
      </c>
      <c r="F20" s="20">
        <f t="shared" si="4"/>
        <v>8.20279183500003e-6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16.5" customHeight="1" spans="1:25">
      <c r="A21" s="16">
        <v>14</v>
      </c>
      <c r="B21" s="20">
        <f t="shared" si="0"/>
        <v>1.35e-13</v>
      </c>
      <c r="C21" s="20">
        <f t="shared" si="1"/>
        <v>3.7220980682373e-11</v>
      </c>
      <c r="D21" s="20">
        <f t="shared" si="2"/>
        <v>1.96607999999999e-9</v>
      </c>
      <c r="E21" s="20">
        <f t="shared" si="3"/>
        <v>4.19095158576965e-8</v>
      </c>
      <c r="F21" s="20">
        <f t="shared" si="4"/>
        <v>5.02211745e-7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16.5" customHeight="1" spans="1:25">
      <c r="A22" s="16">
        <v>15</v>
      </c>
      <c r="B22" s="20">
        <f t="shared" si="0"/>
        <v>1e-15</v>
      </c>
      <c r="C22" s="20">
        <f t="shared" si="1"/>
        <v>4.3789389038086e-13</v>
      </c>
      <c r="D22" s="20">
        <f t="shared" si="2"/>
        <v>3.2768e-11</v>
      </c>
      <c r="E22" s="20">
        <f t="shared" si="3"/>
        <v>9.31322574615479e-10</v>
      </c>
      <c r="F22" s="20">
        <f t="shared" si="4"/>
        <v>1.4348907e-8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16.5" customHeight="1" spans="1:25">
      <c r="A23" s="19" t="s">
        <v>112</v>
      </c>
      <c r="B23" s="21">
        <f>SUM(B7:B22)</f>
        <v>1</v>
      </c>
      <c r="C23" s="21">
        <f>SUM(C7:C22)</f>
        <v>1</v>
      </c>
      <c r="D23" s="21">
        <f>SUM(D7:D22)</f>
        <v>1</v>
      </c>
      <c r="E23" s="21">
        <f>SUM(E7:E22)</f>
        <v>1</v>
      </c>
      <c r="F23" s="21">
        <f>SUM(F7:F22)</f>
        <v>1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16.5" customHeight="1" spans="1: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16.5" customHeight="1" spans="1:25">
      <c r="A25" s="4" t="s">
        <v>113</v>
      </c>
      <c r="B25" s="4"/>
      <c r="C25" s="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16"/>
      <c r="T25" s="16"/>
      <c r="U25" s="16"/>
      <c r="V25" s="16"/>
      <c r="W25" s="16"/>
      <c r="X25" s="16"/>
      <c r="Y25" s="16"/>
    </row>
    <row r="26" ht="16.5" customHeight="1" spans="1:25">
      <c r="A26" s="23" t="s">
        <v>114</v>
      </c>
      <c r="B26" s="23"/>
      <c r="C26" s="23"/>
      <c r="D26" s="16"/>
      <c r="E26" s="16"/>
      <c r="F26" s="24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16.5" customHeight="1" spans="1:25">
      <c r="A27" s="16"/>
      <c r="B27" s="16"/>
      <c r="C27" s="16"/>
      <c r="D27" s="16"/>
      <c r="E27" s="16"/>
      <c r="F27" s="2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16.5" customHeight="1" spans="1:25">
      <c r="A28" s="17"/>
      <c r="B28" s="17" t="s">
        <v>115</v>
      </c>
      <c r="C28" s="17"/>
      <c r="D28" s="17"/>
      <c r="E28" s="25"/>
      <c r="F28" s="25" t="s">
        <v>116</v>
      </c>
      <c r="G28" s="25"/>
      <c r="H28" s="25"/>
      <c r="I28" s="25"/>
      <c r="J28" s="25"/>
      <c r="K28" s="25"/>
      <c r="L28" s="25"/>
      <c r="M28" s="25" t="s">
        <v>117</v>
      </c>
      <c r="N28" s="25"/>
      <c r="O28" s="25"/>
      <c r="P28" s="25"/>
      <c r="Q28" s="25"/>
      <c r="R28" s="25"/>
      <c r="S28" s="16"/>
      <c r="T28" s="16"/>
      <c r="U28" s="16"/>
      <c r="V28" s="16"/>
      <c r="W28" s="16"/>
      <c r="X28" s="16"/>
      <c r="Y28" s="16"/>
    </row>
    <row r="29" ht="16.5" customHeight="1" spans="1:25">
      <c r="A29" s="16"/>
      <c r="B29" s="24"/>
      <c r="C29" s="24" t="s">
        <v>118</v>
      </c>
      <c r="D29" s="24" t="s">
        <v>39</v>
      </c>
      <c r="E29" s="16"/>
      <c r="F29" s="24" t="s">
        <v>119</v>
      </c>
      <c r="G29" s="16"/>
      <c r="H29" s="16"/>
      <c r="I29" s="16"/>
      <c r="J29" s="16"/>
      <c r="K29" s="16"/>
      <c r="L29" s="16"/>
      <c r="M29" s="24" t="s">
        <v>119</v>
      </c>
      <c r="N29" s="24" t="s">
        <v>34</v>
      </c>
      <c r="O29" s="24" t="s">
        <v>35</v>
      </c>
      <c r="P29" s="24" t="s">
        <v>36</v>
      </c>
      <c r="Q29" s="24" t="s">
        <v>37</v>
      </c>
      <c r="R29" s="24" t="s">
        <v>38</v>
      </c>
      <c r="S29" s="16"/>
      <c r="T29" s="16"/>
      <c r="U29" s="16"/>
      <c r="V29" s="16"/>
      <c r="W29" s="16"/>
      <c r="X29" s="16"/>
      <c r="Y29" s="16"/>
    </row>
    <row r="30" ht="16.5" customHeight="1" spans="1:25">
      <c r="A30" s="16"/>
      <c r="B30" s="24" t="s">
        <v>34</v>
      </c>
      <c r="C30" s="24">
        <v>10</v>
      </c>
      <c r="D30" s="26">
        <v>0.1</v>
      </c>
      <c r="E30" s="16"/>
      <c r="F30" s="24">
        <v>0</v>
      </c>
      <c r="G30" s="16"/>
      <c r="H30" s="16"/>
      <c r="I30" s="16"/>
      <c r="J30" s="16"/>
      <c r="K30" s="16"/>
      <c r="L30" s="16"/>
      <c r="M30" s="24">
        <v>0</v>
      </c>
      <c r="N30" s="26">
        <f t="shared" ref="N30:N35" si="5">BINOMDIST(IF($M30=15,15,$M31-1),$F$45,VLOOKUP(N$29,$B$29:$D$35,3,FALSE()),TRUE())-IF($M30&lt;=0,0,BINOMDIST($M30-1,$F$45,VLOOKUP(N$29,$B$29:$D$35,3,FALSE()),TRUE()))</f>
        <v>0.987279516358749</v>
      </c>
      <c r="O30" s="26">
        <f t="shared" ref="O30:O35" si="6">BINOMDIST(IF($M30=15,15,$M31-1),$F$45,VLOOKUP(O$29,$B$29:$D$35,3,FALSE()),TRUE())-IF($M30&lt;=0,0,BINOMDIST($M30-1,$F$45,VLOOKUP(O$29,$B$29:$D$35,3,FALSE()),TRUE()))</f>
        <v>0.93829461326294</v>
      </c>
      <c r="P30" s="26">
        <f t="shared" ref="P30:P35" si="7">BINOMDIST(IF($M30=15,15,$M31-1),$F$45,VLOOKUP(P$29,$B$29:$D$35,3,FALSE()),TRUE())-IF($M30&lt;=0,0,BINOMDIST($M30-1,$F$45,VLOOKUP(P$29,$B$29:$D$35,3,FALSE()),TRUE()))</f>
        <v>0.835766276063232</v>
      </c>
      <c r="Q30" s="26">
        <f t="shared" ref="Q30:Q35" si="8">BINOMDIST(IF($M30=15,15,$M31-1),$F$45,VLOOKUP(Q$29,$B$29:$D$35,3,FALSE()),TRUE())-IF($M30&lt;=0,0,BINOMDIST($M30-1,$F$45,VLOOKUP(Q$29,$B$29:$D$35,3,FALSE()),TRUE()))</f>
        <v>0.686485941521823</v>
      </c>
      <c r="R30" s="26">
        <f t="shared" ref="R30:R35" si="9">BINOMDIST(IF($M30=15,15,$M31-1),$F$45,VLOOKUP(R$29,$B$29:$D$35,3,FALSE()),TRUE())-IF($M30&lt;=0,0,BINOMDIST($M30-1,$F$45,VLOOKUP(R$29,$B$29:$D$35,3,FALSE()),TRUE()))</f>
        <v>0.515491059226843</v>
      </c>
      <c r="S30" s="16"/>
      <c r="T30" s="16"/>
      <c r="U30" s="16"/>
      <c r="V30" s="16"/>
      <c r="W30" s="16"/>
      <c r="X30" s="16"/>
      <c r="Y30" s="16"/>
    </row>
    <row r="31" ht="16.5" customHeight="1" spans="1:25">
      <c r="A31" s="16"/>
      <c r="B31" s="24" t="s">
        <v>35</v>
      </c>
      <c r="C31" s="24">
        <v>15</v>
      </c>
      <c r="D31" s="26">
        <v>0.15</v>
      </c>
      <c r="E31" s="16"/>
      <c r="F31" s="24">
        <v>1</v>
      </c>
      <c r="G31" s="16"/>
      <c r="H31" s="16"/>
      <c r="I31" s="16"/>
      <c r="J31" s="16"/>
      <c r="K31" s="16"/>
      <c r="L31" s="16"/>
      <c r="M31" s="24">
        <v>5</v>
      </c>
      <c r="N31" s="26">
        <f t="shared" si="5"/>
        <v>0.012717637158798</v>
      </c>
      <c r="O31" s="26">
        <f t="shared" si="6"/>
        <v>0.0616244821124745</v>
      </c>
      <c r="P31" s="26">
        <f t="shared" si="7"/>
        <v>0.163448738545664</v>
      </c>
      <c r="Q31" s="26">
        <f t="shared" si="8"/>
        <v>0.309321044012904</v>
      </c>
      <c r="R31" s="26">
        <f t="shared" si="9"/>
        <v>0.469266415003386</v>
      </c>
      <c r="S31" s="16"/>
      <c r="T31" s="16"/>
      <c r="U31" s="16"/>
      <c r="V31" s="16"/>
      <c r="W31" s="16"/>
      <c r="X31" s="16"/>
      <c r="Y31" s="16"/>
    </row>
    <row r="32" ht="16.5" customHeight="1" spans="1:25">
      <c r="A32" s="16"/>
      <c r="B32" s="24" t="s">
        <v>36</v>
      </c>
      <c r="C32" s="24">
        <v>20</v>
      </c>
      <c r="D32" s="26">
        <v>0.2</v>
      </c>
      <c r="E32" s="16"/>
      <c r="F32" s="24">
        <v>2</v>
      </c>
      <c r="G32" s="16"/>
      <c r="H32" s="16"/>
      <c r="I32" s="16"/>
      <c r="J32" s="16"/>
      <c r="K32" s="16"/>
      <c r="L32" s="16"/>
      <c r="M32" s="24">
        <v>9</v>
      </c>
      <c r="N32" s="26">
        <f t="shared" si="5"/>
        <v>2.84614211698564e-6</v>
      </c>
      <c r="O32" s="26">
        <f t="shared" si="6"/>
        <v>8.08668558803793e-5</v>
      </c>
      <c r="P32" s="26">
        <f t="shared" si="7"/>
        <v>0.000783974137856025</v>
      </c>
      <c r="Q32" s="26">
        <f t="shared" si="8"/>
        <v>0.00418065022677183</v>
      </c>
      <c r="R32" s="26">
        <f t="shared" si="9"/>
        <v>0.015150867077619</v>
      </c>
      <c r="S32" s="16"/>
      <c r="T32" s="16"/>
      <c r="U32" s="16"/>
      <c r="V32" s="16"/>
      <c r="W32" s="16"/>
      <c r="X32" s="16"/>
      <c r="Y32" s="16"/>
    </row>
    <row r="33" ht="16.5" customHeight="1" spans="1:25">
      <c r="A33" s="16"/>
      <c r="B33" s="24" t="s">
        <v>37</v>
      </c>
      <c r="C33" s="24">
        <v>25</v>
      </c>
      <c r="D33" s="26">
        <v>0.25</v>
      </c>
      <c r="E33" s="16"/>
      <c r="F33" s="24">
        <v>3</v>
      </c>
      <c r="G33" s="16"/>
      <c r="H33" s="16"/>
      <c r="I33" s="16"/>
      <c r="J33" s="16"/>
      <c r="K33" s="16"/>
      <c r="L33" s="16"/>
      <c r="M33" s="24">
        <v>12</v>
      </c>
      <c r="N33" s="26">
        <f t="shared" si="5"/>
        <v>3.40199979298461e-10</v>
      </c>
      <c r="O33" s="26">
        <f t="shared" si="6"/>
        <v>3.77310459542812e-8</v>
      </c>
      <c r="P33" s="26">
        <f t="shared" si="7"/>
        <v>1.00925440005284e-6</v>
      </c>
      <c r="Q33" s="26">
        <f t="shared" si="8"/>
        <v>1.23213976621628e-5</v>
      </c>
      <c r="R33" s="26">
        <f t="shared" si="9"/>
        <v>9.11421314999661e-5</v>
      </c>
      <c r="S33" s="16"/>
      <c r="T33" s="16"/>
      <c r="U33" s="16"/>
      <c r="V33" s="16"/>
      <c r="W33" s="16"/>
      <c r="X33" s="16"/>
      <c r="Y33" s="16"/>
    </row>
    <row r="34" ht="16.5" customHeight="1" spans="1:25">
      <c r="A34" s="16"/>
      <c r="B34" s="24" t="s">
        <v>38</v>
      </c>
      <c r="C34" s="24">
        <v>30</v>
      </c>
      <c r="D34" s="26">
        <v>0.3</v>
      </c>
      <c r="E34" s="16"/>
      <c r="F34" s="24">
        <v>4</v>
      </c>
      <c r="G34" s="16"/>
      <c r="H34" s="16"/>
      <c r="I34" s="16"/>
      <c r="J34" s="16"/>
      <c r="K34" s="16"/>
      <c r="L34" s="16"/>
      <c r="M34" s="24">
        <v>14</v>
      </c>
      <c r="N34" s="26">
        <f t="shared" si="5"/>
        <v>1.35003119794419e-13</v>
      </c>
      <c r="O34" s="26">
        <f t="shared" si="6"/>
        <v>3.72210040566756e-11</v>
      </c>
      <c r="P34" s="26">
        <f t="shared" si="7"/>
        <v>1.96607996549858e-9</v>
      </c>
      <c r="Q34" s="26">
        <f t="shared" si="8"/>
        <v>4.19095158576965e-8</v>
      </c>
      <c r="R34" s="26">
        <f t="shared" si="9"/>
        <v>5.02211745079251e-7</v>
      </c>
      <c r="S34" s="16"/>
      <c r="T34" s="16"/>
      <c r="U34" s="16"/>
      <c r="V34" s="16"/>
      <c r="W34" s="16"/>
      <c r="X34" s="16"/>
      <c r="Y34" s="16"/>
    </row>
    <row r="35" ht="16.5" customHeight="1" spans="1:25">
      <c r="A35" s="16"/>
      <c r="B35" s="24" t="s">
        <v>120</v>
      </c>
      <c r="C35" s="24">
        <v>100</v>
      </c>
      <c r="D35" s="24"/>
      <c r="E35" s="16"/>
      <c r="F35" s="24">
        <v>5</v>
      </c>
      <c r="G35" s="16"/>
      <c r="H35" s="16"/>
      <c r="I35" s="16"/>
      <c r="J35" s="16"/>
      <c r="K35" s="16"/>
      <c r="L35" s="16"/>
      <c r="M35" s="24">
        <v>15</v>
      </c>
      <c r="N35" s="26">
        <f t="shared" si="5"/>
        <v>0</v>
      </c>
      <c r="O35" s="26">
        <f t="shared" si="6"/>
        <v>4.37871960912162e-13</v>
      </c>
      <c r="P35" s="26">
        <f t="shared" si="7"/>
        <v>3.27680105272066e-11</v>
      </c>
      <c r="Q35" s="26">
        <f t="shared" si="8"/>
        <v>9.31322574615479e-10</v>
      </c>
      <c r="R35" s="26">
        <f t="shared" si="9"/>
        <v>1.43489069515113e-8</v>
      </c>
      <c r="S35" s="16"/>
      <c r="T35" s="16"/>
      <c r="U35" s="16"/>
      <c r="V35" s="16"/>
      <c r="W35" s="16"/>
      <c r="X35" s="16"/>
      <c r="Y35" s="16"/>
    </row>
    <row r="36" ht="16.5" customHeight="1" spans="1:25">
      <c r="A36" s="16"/>
      <c r="B36" s="16"/>
      <c r="C36" s="16"/>
      <c r="D36" s="16"/>
      <c r="E36" s="16"/>
      <c r="F36" s="24">
        <v>6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ht="16.5" customHeight="1" spans="1:25">
      <c r="A37" s="16"/>
      <c r="B37" s="16"/>
      <c r="C37" s="16"/>
      <c r="D37" s="16"/>
      <c r="E37" s="16"/>
      <c r="F37" s="24">
        <v>7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ht="16.5" customHeight="1" spans="1:25">
      <c r="A38" s="16"/>
      <c r="B38" s="16"/>
      <c r="C38" s="16"/>
      <c r="D38" s="16"/>
      <c r="E38" s="16"/>
      <c r="F38" s="24">
        <v>8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ht="16.5" customHeight="1" spans="1:25">
      <c r="A39" s="16"/>
      <c r="B39" s="16"/>
      <c r="C39" s="16"/>
      <c r="D39" s="16"/>
      <c r="E39" s="16"/>
      <c r="F39" s="24">
        <v>9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ht="16.5" customHeight="1" spans="1:25">
      <c r="A40" s="16"/>
      <c r="B40" s="16"/>
      <c r="C40" s="16"/>
      <c r="D40" s="16"/>
      <c r="E40" s="16"/>
      <c r="F40" s="24">
        <v>10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ht="16.5" customHeight="1" spans="1:25">
      <c r="A41" s="16"/>
      <c r="B41" s="16"/>
      <c r="C41" s="16"/>
      <c r="D41" s="16"/>
      <c r="E41" s="16"/>
      <c r="F41" s="24">
        <v>11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ht="16.5" customHeight="1" spans="1:25">
      <c r="A42" s="16"/>
      <c r="B42" s="16"/>
      <c r="C42" s="16"/>
      <c r="D42" s="16"/>
      <c r="E42" s="16"/>
      <c r="F42" s="24">
        <v>12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ht="16.5" customHeight="1" spans="1:25">
      <c r="A43" s="16"/>
      <c r="B43" s="16"/>
      <c r="C43" s="16"/>
      <c r="D43" s="16"/>
      <c r="E43" s="16"/>
      <c r="F43" s="24">
        <v>13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ht="16.5" customHeight="1" spans="1:25">
      <c r="A44" s="16"/>
      <c r="B44" s="16"/>
      <c r="C44" s="16"/>
      <c r="D44" s="16"/>
      <c r="E44" s="16"/>
      <c r="F44" s="24">
        <v>14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ht="16.5" customHeight="1" spans="1:25">
      <c r="A45" s="16"/>
      <c r="B45" s="16"/>
      <c r="C45" s="16"/>
      <c r="D45" s="16"/>
      <c r="E45" s="16"/>
      <c r="F45" s="24">
        <v>15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ht="16.5" customHeight="1" spans="1:25">
      <c r="A46" s="16"/>
      <c r="B46" s="16"/>
      <c r="C46" s="16"/>
      <c r="D46" s="16"/>
      <c r="E46" s="16"/>
      <c r="F46" s="24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ht="16.5" customHeight="1" spans="1:25">
      <c r="A47" s="16"/>
      <c r="B47" s="16"/>
      <c r="C47" s="16"/>
      <c r="D47" s="16"/>
      <c r="E47" s="16"/>
      <c r="F47" s="24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ht="16.5" customHeight="1" spans="1:25">
      <c r="A48" s="16"/>
      <c r="B48" s="16"/>
      <c r="C48" s="16"/>
      <c r="D48" s="16"/>
      <c r="E48" s="16"/>
      <c r="F48" s="24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ht="16.5" customHeight="1" spans="1:25">
      <c r="A49" s="16"/>
      <c r="B49" s="16"/>
      <c r="C49" s="16"/>
      <c r="D49" s="16"/>
      <c r="E49" s="16"/>
      <c r="F49" s="24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ht="16.5" customHeight="1" spans="1:25">
      <c r="A50" s="16"/>
      <c r="B50" s="16"/>
      <c r="C50" s="16"/>
      <c r="D50" s="16"/>
      <c r="E50" s="16"/>
      <c r="F50" s="24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ht="16.5" customHeight="1" spans="1:25">
      <c r="A51" s="16"/>
      <c r="B51" s="16"/>
      <c r="C51" s="16"/>
      <c r="D51" s="16"/>
      <c r="E51" s="16"/>
      <c r="F51" s="24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ht="16.5" customHeight="1" spans="1:25">
      <c r="A52" s="16"/>
      <c r="B52" s="16"/>
      <c r="C52" s="16"/>
      <c r="D52" s="16"/>
      <c r="E52" s="16"/>
      <c r="F52" s="24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ht="16.5" customHeight="1" spans="1:25">
      <c r="A53" s="16"/>
      <c r="B53" s="16"/>
      <c r="C53" s="16"/>
      <c r="D53" s="16"/>
      <c r="E53" s="16"/>
      <c r="F53" s="24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ht="16.5" customHeight="1" spans="1:25">
      <c r="A54" s="27" t="s">
        <v>121</v>
      </c>
      <c r="B54" s="27"/>
      <c r="C54" s="27"/>
      <c r="D54" s="27"/>
      <c r="E54" s="27"/>
      <c r="F54" s="27"/>
      <c r="G54" s="27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ht="16.5" customHeight="1" spans="1:25">
      <c r="A55" s="27" t="s">
        <v>122</v>
      </c>
      <c r="B55" s="27"/>
      <c r="C55" s="27"/>
      <c r="D55" s="27"/>
      <c r="E55" s="27"/>
      <c r="F55" s="27"/>
      <c r="G55" s="27"/>
      <c r="H55" s="27"/>
      <c r="I55" s="27"/>
      <c r="J55" s="27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ht="16.5" customHeight="1" spans="1:25">
      <c r="A56" s="27" t="s">
        <v>123</v>
      </c>
      <c r="B56" s="27"/>
      <c r="C56" s="27"/>
      <c r="D56" s="27"/>
      <c r="E56" s="27"/>
      <c r="F56" s="27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ht="16.5" customHeight="1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ht="16.5" customHeight="1" spans="1:25">
      <c r="A58" s="4" t="s">
        <v>124</v>
      </c>
      <c r="B58" s="4"/>
      <c r="C58" s="4"/>
      <c r="D58" s="4"/>
      <c r="E58" s="4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ht="16.5" customHeight="1" spans="1:25">
      <c r="A59" s="23" t="s">
        <v>125</v>
      </c>
      <c r="B59" s="23"/>
      <c r="C59" s="23"/>
      <c r="D59" s="23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ht="16.5" customHeight="1" spans="1:25">
      <c r="A60" s="9" t="s">
        <v>126</v>
      </c>
      <c r="B60" s="9"/>
      <c r="C60" s="9"/>
      <c r="D60" s="9"/>
      <c r="E60" s="9"/>
      <c r="F60" s="9"/>
      <c r="G60" s="9" t="s">
        <v>127</v>
      </c>
      <c r="H60" s="9"/>
      <c r="I60" s="9"/>
      <c r="J60" s="9"/>
      <c r="K60" s="9"/>
      <c r="L60" s="9"/>
      <c r="M60" s="9"/>
      <c r="N60" s="9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ht="16.5" customHeight="1" spans="1:25">
      <c r="A61" s="16"/>
      <c r="B61" s="19" t="s">
        <v>115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ht="16.5" customHeight="1" spans="1:25">
      <c r="A62" s="16"/>
      <c r="B62" s="16"/>
      <c r="C62" s="24" t="s">
        <v>118</v>
      </c>
      <c r="D62" s="24" t="s">
        <v>39</v>
      </c>
      <c r="E62" s="16"/>
      <c r="F62" s="16" t="s">
        <v>109</v>
      </c>
      <c r="G62" s="16"/>
      <c r="H62" s="24" t="s">
        <v>128</v>
      </c>
      <c r="I62" s="24">
        <v>0</v>
      </c>
      <c r="J62" s="24">
        <v>1</v>
      </c>
      <c r="K62" s="24">
        <v>2</v>
      </c>
      <c r="L62" s="24">
        <v>3</v>
      </c>
      <c r="M62" s="24">
        <v>4</v>
      </c>
      <c r="N62" s="24">
        <v>5</v>
      </c>
      <c r="O62" s="24">
        <v>6</v>
      </c>
      <c r="P62" s="24">
        <v>7</v>
      </c>
      <c r="Q62" s="24">
        <v>8</v>
      </c>
      <c r="R62" s="24">
        <v>9</v>
      </c>
      <c r="S62" s="24">
        <v>10</v>
      </c>
      <c r="T62" s="24">
        <v>11</v>
      </c>
      <c r="U62" s="24">
        <v>12</v>
      </c>
      <c r="V62" s="24">
        <v>13</v>
      </c>
      <c r="W62" s="24">
        <v>14</v>
      </c>
      <c r="X62" s="24">
        <v>15</v>
      </c>
      <c r="Y62" s="24"/>
    </row>
    <row r="63" ht="16.5" customHeight="1" spans="1:25">
      <c r="A63" s="16"/>
      <c r="B63" s="16" t="s">
        <v>34</v>
      </c>
      <c r="C63" s="16">
        <v>10</v>
      </c>
      <c r="D63" s="20">
        <v>0.1</v>
      </c>
      <c r="E63" s="16"/>
      <c r="F63" s="16" t="s">
        <v>34</v>
      </c>
      <c r="G63" s="16"/>
      <c r="H63" s="24">
        <v>0</v>
      </c>
      <c r="I63" s="20">
        <f t="shared" ref="I63:Y63" si="10">IFERROR(BINOMDIST($H63-I$62,15-I$62,VLOOKUP($F$63,$B$62:$D$68,3,FALSE()),FALSE()),"")</f>
        <v>0.205891132094649</v>
      </c>
      <c r="J63" s="20" t="str">
        <f t="shared" si="10"/>
        <v/>
      </c>
      <c r="K63" s="20" t="str">
        <f t="shared" si="10"/>
        <v/>
      </c>
      <c r="L63" s="20" t="str">
        <f t="shared" si="10"/>
        <v/>
      </c>
      <c r="M63" s="20" t="str">
        <f t="shared" si="10"/>
        <v/>
      </c>
      <c r="N63" s="20" t="str">
        <f t="shared" si="10"/>
        <v/>
      </c>
      <c r="O63" s="20" t="str">
        <f t="shared" si="10"/>
        <v/>
      </c>
      <c r="P63" s="20" t="str">
        <f t="shared" si="10"/>
        <v/>
      </c>
      <c r="Q63" s="20" t="str">
        <f t="shared" si="10"/>
        <v/>
      </c>
      <c r="R63" s="20" t="str">
        <f t="shared" si="10"/>
        <v/>
      </c>
      <c r="S63" s="20" t="str">
        <f t="shared" si="10"/>
        <v/>
      </c>
      <c r="T63" s="20" t="str">
        <f t="shared" si="10"/>
        <v/>
      </c>
      <c r="U63" s="20" t="str">
        <f t="shared" si="10"/>
        <v/>
      </c>
      <c r="V63" s="20" t="str">
        <f t="shared" si="10"/>
        <v/>
      </c>
      <c r="W63" s="20" t="str">
        <f t="shared" si="10"/>
        <v/>
      </c>
      <c r="X63" s="20" t="str">
        <f t="shared" si="10"/>
        <v/>
      </c>
      <c r="Y63" s="20">
        <f t="shared" si="10"/>
        <v>0.205891132094649</v>
      </c>
    </row>
    <row r="64" ht="16.5" customHeight="1" spans="1:25">
      <c r="A64" s="16"/>
      <c r="B64" s="16" t="s">
        <v>35</v>
      </c>
      <c r="C64" s="16">
        <v>15</v>
      </c>
      <c r="D64" s="20">
        <v>0.15</v>
      </c>
      <c r="E64" s="16"/>
      <c r="F64" s="16"/>
      <c r="G64" s="16"/>
      <c r="H64" s="24">
        <v>1</v>
      </c>
      <c r="I64" s="20">
        <f t="shared" ref="I64:Y64" si="11">IFERROR(BINOMDIST($H64-I$62,15-I$62,VLOOKUP($F$63,$B$62:$D$68,3,FALSE()),FALSE()),"")</f>
        <v>0.343151886824415</v>
      </c>
      <c r="J64" s="20">
        <f t="shared" si="11"/>
        <v>0.22876792454961</v>
      </c>
      <c r="K64" s="20" t="str">
        <f t="shared" si="11"/>
        <v/>
      </c>
      <c r="L64" s="20" t="str">
        <f t="shared" si="11"/>
        <v/>
      </c>
      <c r="M64" s="20" t="str">
        <f t="shared" si="11"/>
        <v/>
      </c>
      <c r="N64" s="20" t="str">
        <f t="shared" si="11"/>
        <v/>
      </c>
      <c r="O64" s="20" t="str">
        <f t="shared" si="11"/>
        <v/>
      </c>
      <c r="P64" s="20" t="str">
        <f t="shared" si="11"/>
        <v/>
      </c>
      <c r="Q64" s="20" t="str">
        <f t="shared" si="11"/>
        <v/>
      </c>
      <c r="R64" s="20" t="str">
        <f t="shared" si="11"/>
        <v/>
      </c>
      <c r="S64" s="20" t="str">
        <f t="shared" si="11"/>
        <v/>
      </c>
      <c r="T64" s="20" t="str">
        <f t="shared" si="11"/>
        <v/>
      </c>
      <c r="U64" s="20" t="str">
        <f t="shared" si="11"/>
        <v/>
      </c>
      <c r="V64" s="20" t="str">
        <f t="shared" si="11"/>
        <v/>
      </c>
      <c r="W64" s="20" t="str">
        <f t="shared" si="11"/>
        <v/>
      </c>
      <c r="X64" s="20" t="str">
        <f t="shared" si="11"/>
        <v/>
      </c>
      <c r="Y64" s="20">
        <f t="shared" si="11"/>
        <v>0.343151886824415</v>
      </c>
    </row>
    <row r="65" ht="16.5" customHeight="1" spans="1:25">
      <c r="A65" s="16"/>
      <c r="B65" s="16" t="s">
        <v>36</v>
      </c>
      <c r="C65" s="16">
        <v>20</v>
      </c>
      <c r="D65" s="20">
        <v>0.2</v>
      </c>
      <c r="E65" s="16"/>
      <c r="F65" s="16"/>
      <c r="G65" s="16"/>
      <c r="H65" s="24">
        <v>2</v>
      </c>
      <c r="I65" s="20">
        <f t="shared" ref="I65:Y65" si="12">IFERROR(BINOMDIST($H65-I$62,15-I$62,VLOOKUP($F$63,$B$62:$D$68,3,FALSE()),FALSE()),"")</f>
        <v>0.266895911974545</v>
      </c>
      <c r="J65" s="20">
        <f t="shared" si="12"/>
        <v>0.35586121596606</v>
      </c>
      <c r="K65" s="20">
        <f t="shared" si="12"/>
        <v>0.2541865828329</v>
      </c>
      <c r="L65" s="20" t="str">
        <f t="shared" si="12"/>
        <v/>
      </c>
      <c r="M65" s="20" t="str">
        <f t="shared" si="12"/>
        <v/>
      </c>
      <c r="N65" s="20" t="str">
        <f t="shared" si="12"/>
        <v/>
      </c>
      <c r="O65" s="20" t="str">
        <f t="shared" si="12"/>
        <v/>
      </c>
      <c r="P65" s="20" t="str">
        <f t="shared" si="12"/>
        <v/>
      </c>
      <c r="Q65" s="20" t="str">
        <f t="shared" si="12"/>
        <v/>
      </c>
      <c r="R65" s="20" t="str">
        <f t="shared" si="12"/>
        <v/>
      </c>
      <c r="S65" s="20" t="str">
        <f t="shared" si="12"/>
        <v/>
      </c>
      <c r="T65" s="20" t="str">
        <f t="shared" si="12"/>
        <v/>
      </c>
      <c r="U65" s="20" t="str">
        <f t="shared" si="12"/>
        <v/>
      </c>
      <c r="V65" s="20" t="str">
        <f t="shared" si="12"/>
        <v/>
      </c>
      <c r="W65" s="20" t="str">
        <f t="shared" si="12"/>
        <v/>
      </c>
      <c r="X65" s="20" t="str">
        <f t="shared" si="12"/>
        <v/>
      </c>
      <c r="Y65" s="20">
        <f t="shared" si="12"/>
        <v>0.266895911974545</v>
      </c>
    </row>
    <row r="66" ht="16.5" customHeight="1" spans="1:25">
      <c r="A66" s="16"/>
      <c r="B66" s="16" t="s">
        <v>37</v>
      </c>
      <c r="C66" s="16">
        <v>25</v>
      </c>
      <c r="D66" s="20">
        <v>0.25</v>
      </c>
      <c r="E66" s="16"/>
      <c r="F66" s="16"/>
      <c r="G66" s="16"/>
      <c r="H66" s="24">
        <v>3</v>
      </c>
      <c r="I66" s="20">
        <f t="shared" ref="I66:Y66" si="13">IFERROR(BINOMDIST($H66-I$62,15-I$62,VLOOKUP($F$63,$B$62:$D$68,3,FALSE()),FALSE()),"")</f>
        <v>0.128505439098855</v>
      </c>
      <c r="J66" s="20">
        <f t="shared" si="13"/>
        <v>0.25701087819771</v>
      </c>
      <c r="K66" s="20">
        <f t="shared" si="13"/>
        <v>0.3671583974253</v>
      </c>
      <c r="L66" s="20">
        <f t="shared" si="13"/>
        <v>0.282429536481</v>
      </c>
      <c r="M66" s="20" t="str">
        <f t="shared" si="13"/>
        <v/>
      </c>
      <c r="N66" s="20" t="str">
        <f t="shared" si="13"/>
        <v/>
      </c>
      <c r="O66" s="20" t="str">
        <f t="shared" si="13"/>
        <v/>
      </c>
      <c r="P66" s="20" t="str">
        <f t="shared" si="13"/>
        <v/>
      </c>
      <c r="Q66" s="20" t="str">
        <f t="shared" si="13"/>
        <v/>
      </c>
      <c r="R66" s="20" t="str">
        <f t="shared" si="13"/>
        <v/>
      </c>
      <c r="S66" s="20" t="str">
        <f t="shared" si="13"/>
        <v/>
      </c>
      <c r="T66" s="20" t="str">
        <f t="shared" si="13"/>
        <v/>
      </c>
      <c r="U66" s="20" t="str">
        <f t="shared" si="13"/>
        <v/>
      </c>
      <c r="V66" s="20" t="str">
        <f t="shared" si="13"/>
        <v/>
      </c>
      <c r="W66" s="20" t="str">
        <f t="shared" si="13"/>
        <v/>
      </c>
      <c r="X66" s="20" t="str">
        <f t="shared" si="13"/>
        <v/>
      </c>
      <c r="Y66" s="20">
        <f t="shared" si="13"/>
        <v>0.128505439098855</v>
      </c>
    </row>
    <row r="67" ht="16.5" customHeight="1" spans="1:25">
      <c r="A67" s="16"/>
      <c r="B67" s="16" t="s">
        <v>38</v>
      </c>
      <c r="C67" s="16">
        <v>30</v>
      </c>
      <c r="D67" s="20">
        <v>0.3</v>
      </c>
      <c r="E67" s="16"/>
      <c r="F67" s="16"/>
      <c r="G67" s="16"/>
      <c r="H67" s="24">
        <v>4</v>
      </c>
      <c r="I67" s="20">
        <f t="shared" ref="I67:Y67" si="14">IFERROR(BINOMDIST($H67-I$62,15-I$62,VLOOKUP($F$63,$B$62:$D$68,3,FALSE()),FALSE()),"")</f>
        <v>0.0428351463662851</v>
      </c>
      <c r="J67" s="20">
        <f t="shared" si="14"/>
        <v>0.11422705697676</v>
      </c>
      <c r="K67" s="20">
        <f t="shared" si="14"/>
        <v>0.2447722649502</v>
      </c>
      <c r="L67" s="20">
        <f t="shared" si="14"/>
        <v>0.376572715308</v>
      </c>
      <c r="M67" s="20">
        <f t="shared" si="14"/>
        <v>0.31381059609</v>
      </c>
      <c r="N67" s="20" t="str">
        <f t="shared" si="14"/>
        <v/>
      </c>
      <c r="O67" s="20" t="str">
        <f t="shared" si="14"/>
        <v/>
      </c>
      <c r="P67" s="20" t="str">
        <f t="shared" si="14"/>
        <v/>
      </c>
      <c r="Q67" s="20" t="str">
        <f t="shared" si="14"/>
        <v/>
      </c>
      <c r="R67" s="20" t="str">
        <f t="shared" si="14"/>
        <v/>
      </c>
      <c r="S67" s="20" t="str">
        <f t="shared" si="14"/>
        <v/>
      </c>
      <c r="T67" s="20" t="str">
        <f t="shared" si="14"/>
        <v/>
      </c>
      <c r="U67" s="20" t="str">
        <f t="shared" si="14"/>
        <v/>
      </c>
      <c r="V67" s="20" t="str">
        <f t="shared" si="14"/>
        <v/>
      </c>
      <c r="W67" s="20" t="str">
        <f t="shared" si="14"/>
        <v/>
      </c>
      <c r="X67" s="20" t="str">
        <f t="shared" si="14"/>
        <v/>
      </c>
      <c r="Y67" s="20">
        <f t="shared" si="14"/>
        <v>0.0428351463662851</v>
      </c>
    </row>
    <row r="68" ht="16.5" customHeight="1" spans="1:25">
      <c r="A68" s="16"/>
      <c r="B68" s="16" t="s">
        <v>120</v>
      </c>
      <c r="C68" s="16">
        <v>100</v>
      </c>
      <c r="D68" s="16"/>
      <c r="E68" s="16"/>
      <c r="F68" s="16"/>
      <c r="G68" s="16"/>
      <c r="H68" s="24">
        <v>5</v>
      </c>
      <c r="I68" s="28">
        <f t="shared" ref="I68:Y68" si="15">IFERROR(BINOMDIST($H68-I$62,15-I$62,VLOOKUP($F$63,$B$62:$D$68,3,FALSE()),FALSE()),"")</f>
        <v>0.010470813556203</v>
      </c>
      <c r="J68" s="28">
        <f t="shared" si="15"/>
        <v>0.03490271185401</v>
      </c>
      <c r="K68" s="28">
        <f t="shared" si="15"/>
        <v>0.0997220338686001</v>
      </c>
      <c r="L68" s="28">
        <f t="shared" si="15"/>
        <v>0.230127770466</v>
      </c>
      <c r="M68" s="28">
        <f t="shared" si="15"/>
        <v>0.38354628411</v>
      </c>
      <c r="N68" s="28">
        <f t="shared" si="15"/>
        <v>0.3486784401</v>
      </c>
      <c r="O68" s="20" t="str">
        <f t="shared" si="15"/>
        <v/>
      </c>
      <c r="P68" s="20" t="str">
        <f t="shared" si="15"/>
        <v/>
      </c>
      <c r="Q68" s="20" t="str">
        <f t="shared" si="15"/>
        <v/>
      </c>
      <c r="R68" s="20" t="str">
        <f t="shared" si="15"/>
        <v/>
      </c>
      <c r="S68" s="20" t="str">
        <f t="shared" si="15"/>
        <v/>
      </c>
      <c r="T68" s="20" t="str">
        <f t="shared" si="15"/>
        <v/>
      </c>
      <c r="U68" s="20" t="str">
        <f t="shared" si="15"/>
        <v/>
      </c>
      <c r="V68" s="20" t="str">
        <f t="shared" si="15"/>
        <v/>
      </c>
      <c r="W68" s="20" t="str">
        <f t="shared" si="15"/>
        <v/>
      </c>
      <c r="X68" s="20" t="str">
        <f t="shared" si="15"/>
        <v/>
      </c>
      <c r="Y68" s="20">
        <f t="shared" si="15"/>
        <v>0.010470813556203</v>
      </c>
    </row>
    <row r="69" ht="16.5" customHeight="1" spans="1:25">
      <c r="A69" s="16"/>
      <c r="B69" s="16"/>
      <c r="C69" s="16"/>
      <c r="D69" s="16"/>
      <c r="E69" s="16"/>
      <c r="F69" s="16"/>
      <c r="G69" s="16"/>
      <c r="H69" s="24">
        <v>6</v>
      </c>
      <c r="I69" s="20">
        <f t="shared" ref="I69:Y69" si="16">IFERROR(BINOMDIST($H69-I$62,15-I$62,VLOOKUP($F$63,$B$62:$D$68,3,FALSE()),FALSE()),"")</f>
        <v>0.001939039547445</v>
      </c>
      <c r="J69" s="20">
        <f t="shared" si="16"/>
        <v>0.00775615818978</v>
      </c>
      <c r="K69" s="20">
        <f t="shared" si="16"/>
        <v>0.0277005649635</v>
      </c>
      <c r="L69" s="20">
        <f t="shared" si="16"/>
        <v>0.08523250758</v>
      </c>
      <c r="M69" s="20">
        <f t="shared" si="16"/>
        <v>0.21308126895</v>
      </c>
      <c r="N69" s="20">
        <f t="shared" si="16"/>
        <v>0.387420489</v>
      </c>
      <c r="O69" s="20">
        <f t="shared" si="16"/>
        <v>0.387420489</v>
      </c>
      <c r="P69" s="20" t="str">
        <f t="shared" si="16"/>
        <v/>
      </c>
      <c r="Q69" s="20" t="str">
        <f t="shared" si="16"/>
        <v/>
      </c>
      <c r="R69" s="20" t="str">
        <f t="shared" si="16"/>
        <v/>
      </c>
      <c r="S69" s="20" t="str">
        <f t="shared" si="16"/>
        <v/>
      </c>
      <c r="T69" s="20" t="str">
        <f t="shared" si="16"/>
        <v/>
      </c>
      <c r="U69" s="20" t="str">
        <f t="shared" si="16"/>
        <v/>
      </c>
      <c r="V69" s="20" t="str">
        <f t="shared" si="16"/>
        <v/>
      </c>
      <c r="W69" s="20" t="str">
        <f t="shared" si="16"/>
        <v/>
      </c>
      <c r="X69" s="20" t="str">
        <f t="shared" si="16"/>
        <v/>
      </c>
      <c r="Y69" s="20">
        <f t="shared" si="16"/>
        <v>0.001939039547445</v>
      </c>
    </row>
    <row r="70" ht="16.5" customHeight="1" spans="1:25">
      <c r="A70" s="16"/>
      <c r="B70" s="16"/>
      <c r="C70" s="16"/>
      <c r="D70" s="16"/>
      <c r="E70" s="16"/>
      <c r="F70" s="16"/>
      <c r="G70" s="16"/>
      <c r="H70" s="24">
        <v>7</v>
      </c>
      <c r="I70" s="20">
        <f t="shared" ref="I70:Y70" si="17">IFERROR(BINOMDIST($H70-I$62,15-I$62,VLOOKUP($F$63,$B$62:$D$68,3,FALSE()),FALSE()),"")</f>
        <v>0.000277005649635</v>
      </c>
      <c r="J70" s="20">
        <f t="shared" si="17"/>
        <v>0.00129269303163</v>
      </c>
      <c r="K70" s="20">
        <f t="shared" si="17"/>
        <v>0.0055401129927</v>
      </c>
      <c r="L70" s="20">
        <f t="shared" si="17"/>
        <v>0.021308126895</v>
      </c>
      <c r="M70" s="20">
        <f t="shared" si="17"/>
        <v>0.07102708965</v>
      </c>
      <c r="N70" s="20">
        <f t="shared" si="17"/>
        <v>0.1937102445</v>
      </c>
      <c r="O70" s="20">
        <f t="shared" si="17"/>
        <v>0.387420489</v>
      </c>
      <c r="P70" s="20">
        <f t="shared" si="17"/>
        <v>0.43046721</v>
      </c>
      <c r="Q70" s="20" t="str">
        <f t="shared" si="17"/>
        <v/>
      </c>
      <c r="R70" s="20" t="str">
        <f t="shared" si="17"/>
        <v/>
      </c>
      <c r="S70" s="20" t="str">
        <f t="shared" si="17"/>
        <v/>
      </c>
      <c r="T70" s="20" t="str">
        <f t="shared" si="17"/>
        <v/>
      </c>
      <c r="U70" s="20" t="str">
        <f t="shared" si="17"/>
        <v/>
      </c>
      <c r="V70" s="20" t="str">
        <f t="shared" si="17"/>
        <v/>
      </c>
      <c r="W70" s="20" t="str">
        <f t="shared" si="17"/>
        <v/>
      </c>
      <c r="X70" s="20" t="str">
        <f t="shared" si="17"/>
        <v/>
      </c>
      <c r="Y70" s="20">
        <f t="shared" si="17"/>
        <v>0.000277005649635</v>
      </c>
    </row>
    <row r="71" ht="16.5" customHeight="1" spans="1:25">
      <c r="A71" s="16"/>
      <c r="B71" s="16"/>
      <c r="C71" s="16"/>
      <c r="D71" s="16"/>
      <c r="E71" s="16"/>
      <c r="F71" s="16"/>
      <c r="G71" s="16"/>
      <c r="H71" s="24">
        <v>8</v>
      </c>
      <c r="I71" s="20">
        <f t="shared" ref="I71:Y71" si="18">IFERROR(BINOMDIST($H71-I$62,15-I$62,VLOOKUP($F$63,$B$62:$D$68,3,FALSE()),FALSE()),"")</f>
        <v>3.0778405515e-5</v>
      </c>
      <c r="J71" s="20">
        <f t="shared" si="18"/>
        <v>0.00016415149608</v>
      </c>
      <c r="K71" s="20">
        <f t="shared" si="18"/>
        <v>0.0008207574804</v>
      </c>
      <c r="L71" s="20">
        <f t="shared" si="18"/>
        <v>0.003788111448</v>
      </c>
      <c r="M71" s="20">
        <f t="shared" si="18"/>
        <v>0.0157837977</v>
      </c>
      <c r="N71" s="20">
        <f t="shared" si="18"/>
        <v>0.057395628</v>
      </c>
      <c r="O71" s="20">
        <f t="shared" si="18"/>
        <v>0.172186884</v>
      </c>
      <c r="P71" s="20">
        <f t="shared" si="18"/>
        <v>0.38263752</v>
      </c>
      <c r="Q71" s="20">
        <f t="shared" si="18"/>
        <v>0.4782969</v>
      </c>
      <c r="R71" s="20" t="str">
        <f t="shared" si="18"/>
        <v/>
      </c>
      <c r="S71" s="20" t="str">
        <f t="shared" si="18"/>
        <v/>
      </c>
      <c r="T71" s="20" t="str">
        <f t="shared" si="18"/>
        <v/>
      </c>
      <c r="U71" s="20" t="str">
        <f t="shared" si="18"/>
        <v/>
      </c>
      <c r="V71" s="20" t="str">
        <f t="shared" si="18"/>
        <v/>
      </c>
      <c r="W71" s="20" t="str">
        <f t="shared" si="18"/>
        <v/>
      </c>
      <c r="X71" s="20" t="str">
        <f t="shared" si="18"/>
        <v/>
      </c>
      <c r="Y71" s="20">
        <f t="shared" si="18"/>
        <v>3.0778405515e-5</v>
      </c>
    </row>
    <row r="72" ht="16.5" customHeight="1" spans="1:25">
      <c r="A72" s="16"/>
      <c r="B72" s="16"/>
      <c r="C72" s="16"/>
      <c r="D72" s="16"/>
      <c r="E72" s="16"/>
      <c r="F72" s="16"/>
      <c r="G72" s="16"/>
      <c r="H72" s="24">
        <v>9</v>
      </c>
      <c r="I72" s="20">
        <f t="shared" ref="I72:Y72" si="19">IFERROR(BINOMDIST($H72-I$62,15-I$62,VLOOKUP($F$63,$B$62:$D$68,3,FALSE()),FALSE()),"")</f>
        <v>2.659862205e-6</v>
      </c>
      <c r="J72" s="20">
        <f t="shared" si="19"/>
        <v>1.595917323e-5</v>
      </c>
      <c r="K72" s="20">
        <f t="shared" si="19"/>
        <v>9.11952756e-5</v>
      </c>
      <c r="L72" s="20">
        <f t="shared" si="19"/>
        <v>0.000491051484000001</v>
      </c>
      <c r="M72" s="20">
        <f t="shared" si="19"/>
        <v>0.00245525742</v>
      </c>
      <c r="N72" s="20">
        <f t="shared" si="19"/>
        <v>0.011160261</v>
      </c>
      <c r="O72" s="20">
        <f t="shared" si="19"/>
        <v>0.044641044</v>
      </c>
      <c r="P72" s="20">
        <f t="shared" si="19"/>
        <v>0.14880348</v>
      </c>
      <c r="Q72" s="20">
        <f t="shared" si="19"/>
        <v>0.3720087</v>
      </c>
      <c r="R72" s="20">
        <f t="shared" si="19"/>
        <v>0.531441</v>
      </c>
      <c r="S72" s="20" t="str">
        <f t="shared" si="19"/>
        <v/>
      </c>
      <c r="T72" s="20" t="str">
        <f t="shared" si="19"/>
        <v/>
      </c>
      <c r="U72" s="20" t="str">
        <f t="shared" si="19"/>
        <v/>
      </c>
      <c r="V72" s="20" t="str">
        <f t="shared" si="19"/>
        <v/>
      </c>
      <c r="W72" s="20" t="str">
        <f t="shared" si="19"/>
        <v/>
      </c>
      <c r="X72" s="20" t="str">
        <f t="shared" si="19"/>
        <v/>
      </c>
      <c r="Y72" s="20">
        <f t="shared" si="19"/>
        <v>2.659862205e-6</v>
      </c>
    </row>
    <row r="73" ht="16.5" customHeight="1" spans="1:25">
      <c r="A73" s="16"/>
      <c r="B73" s="16"/>
      <c r="C73" s="16"/>
      <c r="D73" s="16"/>
      <c r="E73" s="16"/>
      <c r="F73" s="16"/>
      <c r="G73" s="16"/>
      <c r="H73" s="24">
        <v>10</v>
      </c>
      <c r="I73" s="20">
        <f t="shared" ref="I73:Y73" si="20">IFERROR(BINOMDIST($H73-I$62,15-I$62,VLOOKUP($F$63,$B$62:$D$68,3,FALSE()),FALSE()),"")</f>
        <v>1.77324147e-7</v>
      </c>
      <c r="J73" s="20">
        <f t="shared" si="20"/>
        <v>1.18216098e-6</v>
      </c>
      <c r="K73" s="20">
        <f t="shared" si="20"/>
        <v>7.5996063e-6</v>
      </c>
      <c r="L73" s="20">
        <f t="shared" si="20"/>
        <v>4.6766808e-5</v>
      </c>
      <c r="M73" s="20">
        <f t="shared" si="20"/>
        <v>0.00027280638</v>
      </c>
      <c r="N73" s="20">
        <f t="shared" si="20"/>
        <v>0.0014880348</v>
      </c>
      <c r="O73" s="20">
        <f t="shared" si="20"/>
        <v>0.00744017399999999</v>
      </c>
      <c r="P73" s="20">
        <f t="shared" si="20"/>
        <v>0.03306744</v>
      </c>
      <c r="Q73" s="20">
        <f t="shared" si="20"/>
        <v>0.1240029</v>
      </c>
      <c r="R73" s="20">
        <f t="shared" si="20"/>
        <v>0.354294</v>
      </c>
      <c r="S73" s="20">
        <f t="shared" si="20"/>
        <v>0.59049</v>
      </c>
      <c r="T73" s="20" t="str">
        <f t="shared" si="20"/>
        <v/>
      </c>
      <c r="U73" s="20" t="str">
        <f t="shared" si="20"/>
        <v/>
      </c>
      <c r="V73" s="20" t="str">
        <f t="shared" si="20"/>
        <v/>
      </c>
      <c r="W73" s="20" t="str">
        <f t="shared" si="20"/>
        <v/>
      </c>
      <c r="X73" s="20" t="str">
        <f t="shared" si="20"/>
        <v/>
      </c>
      <c r="Y73" s="20">
        <f t="shared" si="20"/>
        <v>1.77324147e-7</v>
      </c>
    </row>
    <row r="74" ht="16.5" customHeight="1" spans="1:25">
      <c r="A74" s="16"/>
      <c r="B74" s="16"/>
      <c r="C74" s="16"/>
      <c r="D74" s="16"/>
      <c r="E74" s="16"/>
      <c r="F74" s="16"/>
      <c r="G74" s="16"/>
      <c r="H74" s="24">
        <v>11</v>
      </c>
      <c r="I74" s="20">
        <f t="shared" ref="I74:Y74" si="21">IFERROR(BINOMDIST($H74-I$62,15-I$62,VLOOKUP($F$63,$B$62:$D$68,3,FALSE()),FALSE()),"")</f>
        <v>8.95576499999999e-9</v>
      </c>
      <c r="J74" s="20">
        <f t="shared" si="21"/>
        <v>6.56756100000002e-8</v>
      </c>
      <c r="K74" s="20">
        <f t="shared" si="21"/>
        <v>4.69111499999999e-7</v>
      </c>
      <c r="L74" s="20">
        <f t="shared" si="21"/>
        <v>3.247695e-6</v>
      </c>
      <c r="M74" s="20">
        <f t="shared" si="21"/>
        <v>2.16512999999999e-5</v>
      </c>
      <c r="N74" s="20">
        <f t="shared" si="21"/>
        <v>0.000137781</v>
      </c>
      <c r="O74" s="20">
        <f t="shared" si="21"/>
        <v>0.000826686</v>
      </c>
      <c r="P74" s="20">
        <f t="shared" si="21"/>
        <v>0.0045927</v>
      </c>
      <c r="Q74" s="20">
        <f t="shared" si="21"/>
        <v>0.0229635</v>
      </c>
      <c r="R74" s="20">
        <f t="shared" si="21"/>
        <v>0.0984150000000001</v>
      </c>
      <c r="S74" s="20">
        <f t="shared" si="21"/>
        <v>0.32805</v>
      </c>
      <c r="T74" s="20">
        <f t="shared" si="21"/>
        <v>0.6561</v>
      </c>
      <c r="U74" s="20" t="str">
        <f t="shared" si="21"/>
        <v/>
      </c>
      <c r="V74" s="20" t="str">
        <f t="shared" si="21"/>
        <v/>
      </c>
      <c r="W74" s="20" t="str">
        <f t="shared" si="21"/>
        <v/>
      </c>
      <c r="X74" s="20" t="str">
        <f t="shared" si="21"/>
        <v/>
      </c>
      <c r="Y74" s="20">
        <f t="shared" si="21"/>
        <v>8.95576499999999e-9</v>
      </c>
    </row>
    <row r="75" ht="16.5" customHeight="1" spans="1:25">
      <c r="A75" s="16"/>
      <c r="B75" s="16"/>
      <c r="C75" s="16"/>
      <c r="D75" s="16"/>
      <c r="E75" s="16"/>
      <c r="F75" s="16"/>
      <c r="G75" s="16"/>
      <c r="H75" s="24">
        <v>12</v>
      </c>
      <c r="I75" s="20">
        <f t="shared" ref="I75:Y75" si="22">IFERROR(BINOMDIST($H75-I$62,15-I$62,VLOOKUP($F$63,$B$62:$D$68,3,FALSE()),FALSE()),"")</f>
        <v>3.31695000000002e-10</v>
      </c>
      <c r="J75" s="20">
        <f t="shared" si="22"/>
        <v>2.65356e-9</v>
      </c>
      <c r="K75" s="20">
        <f t="shared" si="22"/>
        <v>2.08494e-8</v>
      </c>
      <c r="L75" s="20">
        <f t="shared" si="22"/>
        <v>1.6038e-7</v>
      </c>
      <c r="M75" s="20">
        <f t="shared" si="22"/>
        <v>1.20285e-6</v>
      </c>
      <c r="N75" s="20">
        <f t="shared" si="22"/>
        <v>8.74800000000001e-6</v>
      </c>
      <c r="O75" s="20">
        <f t="shared" si="22"/>
        <v>6.1236e-5</v>
      </c>
      <c r="P75" s="20">
        <f t="shared" si="22"/>
        <v>0.00040824</v>
      </c>
      <c r="Q75" s="20">
        <f t="shared" si="22"/>
        <v>0.0025515</v>
      </c>
      <c r="R75" s="20">
        <f t="shared" si="22"/>
        <v>0.01458</v>
      </c>
      <c r="S75" s="20">
        <f t="shared" si="22"/>
        <v>0.0729</v>
      </c>
      <c r="T75" s="20">
        <f t="shared" si="22"/>
        <v>0.2916</v>
      </c>
      <c r="U75" s="20">
        <f t="shared" si="22"/>
        <v>0.729</v>
      </c>
      <c r="V75" s="20" t="str">
        <f t="shared" si="22"/>
        <v/>
      </c>
      <c r="W75" s="20" t="str">
        <f t="shared" si="22"/>
        <v/>
      </c>
      <c r="X75" s="20" t="str">
        <f t="shared" si="22"/>
        <v/>
      </c>
      <c r="Y75" s="20">
        <f t="shared" si="22"/>
        <v>3.31695000000002e-10</v>
      </c>
    </row>
    <row r="76" ht="16.5" customHeight="1" spans="1:25">
      <c r="A76" s="16"/>
      <c r="B76" s="16"/>
      <c r="C76" s="16"/>
      <c r="D76" s="16"/>
      <c r="E76" s="16"/>
      <c r="F76" s="16"/>
      <c r="G76" s="16"/>
      <c r="H76" s="24">
        <v>13</v>
      </c>
      <c r="I76" s="20">
        <f t="shared" ref="I76:Y76" si="23">IFERROR(BINOMDIST($H76-I$62,15-I$62,VLOOKUP($F$63,$B$62:$D$68,3,FALSE()),FALSE()),"")</f>
        <v>8.50500000000002e-12</v>
      </c>
      <c r="J76" s="20">
        <f t="shared" si="23"/>
        <v>7.37100000000002e-11</v>
      </c>
      <c r="K76" s="20">
        <f t="shared" si="23"/>
        <v>6.318e-10</v>
      </c>
      <c r="L76" s="20">
        <f t="shared" si="23"/>
        <v>5.34599999999998e-9</v>
      </c>
      <c r="M76" s="20">
        <f t="shared" si="23"/>
        <v>4.455e-8</v>
      </c>
      <c r="N76" s="20">
        <f t="shared" si="23"/>
        <v>3.64500000000001e-7</v>
      </c>
      <c r="O76" s="20">
        <f t="shared" si="23"/>
        <v>2.916e-6</v>
      </c>
      <c r="P76" s="20">
        <f t="shared" si="23"/>
        <v>2.268e-5</v>
      </c>
      <c r="Q76" s="20">
        <f t="shared" si="23"/>
        <v>0.0001701</v>
      </c>
      <c r="R76" s="20">
        <f t="shared" si="23"/>
        <v>0.001215</v>
      </c>
      <c r="S76" s="20">
        <f t="shared" si="23"/>
        <v>0.0081</v>
      </c>
      <c r="T76" s="20">
        <f t="shared" si="23"/>
        <v>0.0486</v>
      </c>
      <c r="U76" s="20">
        <f t="shared" si="23"/>
        <v>0.243</v>
      </c>
      <c r="V76" s="20">
        <f t="shared" si="23"/>
        <v>0.81</v>
      </c>
      <c r="W76" s="20" t="str">
        <f t="shared" si="23"/>
        <v/>
      </c>
      <c r="X76" s="20" t="str">
        <f t="shared" si="23"/>
        <v/>
      </c>
      <c r="Y76" s="20">
        <f t="shared" si="23"/>
        <v>8.50500000000002e-12</v>
      </c>
    </row>
    <row r="77" ht="16.5" customHeight="1" spans="1:25">
      <c r="A77" s="16"/>
      <c r="B77" s="16"/>
      <c r="C77" s="16"/>
      <c r="D77" s="16"/>
      <c r="E77" s="16"/>
      <c r="F77" s="16"/>
      <c r="G77" s="16"/>
      <c r="H77" s="24">
        <v>14</v>
      </c>
      <c r="I77" s="20">
        <f t="shared" ref="I77:Y77" si="24">IFERROR(BINOMDIST($H77-I$62,15-I$62,VLOOKUP($F$63,$B$62:$D$68,3,FALSE()),FALSE()),"")</f>
        <v>1.35e-13</v>
      </c>
      <c r="J77" s="20">
        <f t="shared" si="24"/>
        <v>1.26000000000001e-12</v>
      </c>
      <c r="K77" s="20">
        <f t="shared" si="24"/>
        <v>1.17e-11</v>
      </c>
      <c r="L77" s="20">
        <f t="shared" si="24"/>
        <v>1.08e-10</v>
      </c>
      <c r="M77" s="20">
        <f t="shared" si="24"/>
        <v>9.89999999999998e-10</v>
      </c>
      <c r="N77" s="20">
        <f t="shared" si="24"/>
        <v>9e-9</v>
      </c>
      <c r="O77" s="20">
        <f t="shared" si="24"/>
        <v>8.10000000000002e-8</v>
      </c>
      <c r="P77" s="20">
        <f t="shared" si="24"/>
        <v>7.19999999999999e-7</v>
      </c>
      <c r="Q77" s="20">
        <f t="shared" si="24"/>
        <v>6.30000000000001e-6</v>
      </c>
      <c r="R77" s="20">
        <f t="shared" si="24"/>
        <v>5.39999999999999e-5</v>
      </c>
      <c r="S77" s="20">
        <f t="shared" si="24"/>
        <v>0.000450000000000001</v>
      </c>
      <c r="T77" s="20">
        <f t="shared" si="24"/>
        <v>0.0036</v>
      </c>
      <c r="U77" s="20">
        <f t="shared" si="24"/>
        <v>0.027</v>
      </c>
      <c r="V77" s="20">
        <f t="shared" si="24"/>
        <v>0.18</v>
      </c>
      <c r="W77" s="20">
        <f t="shared" si="24"/>
        <v>0.9</v>
      </c>
      <c r="X77" s="20" t="str">
        <f t="shared" si="24"/>
        <v/>
      </c>
      <c r="Y77" s="20">
        <f t="shared" si="24"/>
        <v>1.35e-13</v>
      </c>
    </row>
    <row r="78" ht="16.5" customHeight="1" spans="1:25">
      <c r="A78" s="16"/>
      <c r="B78" s="16"/>
      <c r="C78" s="16"/>
      <c r="D78" s="16"/>
      <c r="E78" s="16"/>
      <c r="F78" s="16"/>
      <c r="G78" s="16"/>
      <c r="H78" s="24">
        <v>15</v>
      </c>
      <c r="I78" s="20">
        <f t="shared" ref="I78:Y78" si="25">IFERROR(BINOMDIST($H78-I$62,15-I$62,VLOOKUP($F$63,$B$62:$D$68,3,FALSE()),FALSE()),"")</f>
        <v>1e-15</v>
      </c>
      <c r="J78" s="20">
        <f t="shared" si="25"/>
        <v>1.00000000000001e-14</v>
      </c>
      <c r="K78" s="20">
        <f t="shared" si="25"/>
        <v>1e-13</v>
      </c>
      <c r="L78" s="20">
        <f t="shared" si="25"/>
        <v>1e-12</v>
      </c>
      <c r="M78" s="20">
        <f t="shared" si="25"/>
        <v>1e-11</v>
      </c>
      <c r="N78" s="20">
        <f t="shared" si="25"/>
        <v>1e-10</v>
      </c>
      <c r="O78" s="20">
        <f t="shared" si="25"/>
        <v>1e-9</v>
      </c>
      <c r="P78" s="20">
        <f t="shared" si="25"/>
        <v>1e-8</v>
      </c>
      <c r="Q78" s="20">
        <f t="shared" si="25"/>
        <v>1e-7</v>
      </c>
      <c r="R78" s="20">
        <f t="shared" si="25"/>
        <v>1e-6</v>
      </c>
      <c r="S78" s="20">
        <f t="shared" si="25"/>
        <v>1e-5</v>
      </c>
      <c r="T78" s="20">
        <f t="shared" si="25"/>
        <v>0.0001</v>
      </c>
      <c r="U78" s="20">
        <f t="shared" si="25"/>
        <v>0.001</v>
      </c>
      <c r="V78" s="20">
        <f t="shared" si="25"/>
        <v>0.01</v>
      </c>
      <c r="W78" s="20">
        <f t="shared" si="25"/>
        <v>0.1</v>
      </c>
      <c r="X78" s="20">
        <f t="shared" si="25"/>
        <v>1</v>
      </c>
      <c r="Y78" s="20">
        <f t="shared" si="25"/>
        <v>1e-15</v>
      </c>
    </row>
    <row r="79" ht="16.5" customHeight="1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ht="16.5" customHeight="1" spans="1:25">
      <c r="A80" s="16"/>
      <c r="B80" s="16"/>
      <c r="C80" s="16"/>
      <c r="D80" s="16"/>
      <c r="E80" s="16"/>
      <c r="F80" s="16"/>
      <c r="G80" s="29" t="s">
        <v>129</v>
      </c>
      <c r="H80" s="29"/>
      <c r="I80" s="29"/>
      <c r="J80" s="29"/>
      <c r="K80" s="29"/>
      <c r="L80" s="29"/>
      <c r="M80" s="29"/>
      <c r="N80" s="29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ht="16.5" customHeight="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ht="16.5" customHeight="1" spans="1:25">
      <c r="A82" s="16"/>
      <c r="B82" s="16"/>
      <c r="C82" s="16"/>
      <c r="D82" s="16"/>
      <c r="E82" s="16"/>
      <c r="F82" s="16"/>
      <c r="G82" s="16"/>
      <c r="H82" s="24" t="s">
        <v>119</v>
      </c>
      <c r="I82" s="24">
        <v>1</v>
      </c>
      <c r="J82" s="24">
        <v>2</v>
      </c>
      <c r="K82" s="24">
        <v>3</v>
      </c>
      <c r="L82" s="24">
        <v>4</v>
      </c>
      <c r="M82" s="24">
        <v>5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ht="16.5" customHeight="1" spans="1:25">
      <c r="A83" s="16"/>
      <c r="B83" s="16"/>
      <c r="C83" s="16"/>
      <c r="D83" s="16"/>
      <c r="E83" s="16"/>
      <c r="F83" s="16"/>
      <c r="G83" s="16"/>
      <c r="H83" s="24">
        <v>0</v>
      </c>
      <c r="I83" s="30">
        <f t="shared" ref="I83:I98" si="26">I63</f>
        <v>0.205891132094649</v>
      </c>
      <c r="J83" s="20">
        <f ca="1" t="shared" ref="J83:J98" si="27">MMULT(OFFSET($H$62,$H83+1,1,1,$H83+1),OFFSET($I$83,0,J$82-2,$H83+1,1))</f>
        <v>0.0423911582752162</v>
      </c>
      <c r="K83" s="20">
        <f ca="1" t="shared" ref="K83:K98" si="28">MMULT(OFFSET($H$62,$H83+1,1,1,$H83+1),OFFSET($I$83,0,K$82-2,$H83+1,1))</f>
        <v>0.00872796356808772</v>
      </c>
      <c r="L83" s="20">
        <f ca="1" t="shared" ref="L83:L98" si="29">MMULT(OFFSET($H$62,$H83+1,1,1,$H83+1),OFFSET($I$83,0,L$82-2,$H83+1,1))</f>
        <v>0.00179701029991443</v>
      </c>
      <c r="M83" s="20">
        <f ca="1" t="shared" ref="M83:M98" si="30">MMULT(OFFSET($H$62,$H83+1,1,1,$H83+1),OFFSET($I$83,0,M$82-2,$H83+1,1))</f>
        <v>0.000369988485035128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ht="16.5" customHeight="1" spans="1:25">
      <c r="A84" s="16"/>
      <c r="B84" s="16"/>
      <c r="C84" s="16"/>
      <c r="D84" s="16"/>
      <c r="E84" s="16"/>
      <c r="F84" s="16"/>
      <c r="G84" s="16"/>
      <c r="H84" s="24">
        <v>1</v>
      </c>
      <c r="I84" s="30">
        <f t="shared" si="26"/>
        <v>0.343151886824415</v>
      </c>
      <c r="J84" s="20">
        <f ca="1" t="shared" si="27"/>
        <v>0.149154075412798</v>
      </c>
      <c r="K84" s="20">
        <f ca="1" t="shared" si="28"/>
        <v>0.0486682742171146</v>
      </c>
      <c r="L84" s="20">
        <f ca="1" t="shared" si="29"/>
        <v>0.0141287572505847</v>
      </c>
      <c r="M84" s="20">
        <f ca="1" t="shared" si="30"/>
        <v>0.00384885394774006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ht="16.5" customHeight="1" spans="1:25">
      <c r="A85" s="16"/>
      <c r="B85" s="16"/>
      <c r="C85" s="16"/>
      <c r="D85" s="16"/>
      <c r="E85" s="16"/>
      <c r="F85" s="16"/>
      <c r="G85" s="16"/>
      <c r="H85" s="24">
        <v>2</v>
      </c>
      <c r="I85" s="30">
        <f t="shared" si="26"/>
        <v>0.266895911974545</v>
      </c>
      <c r="J85" s="20">
        <f ca="1" t="shared" si="27"/>
        <v>0.244907309011137</v>
      </c>
      <c r="K85" s="20">
        <f ca="1" t="shared" si="28"/>
        <v>0.126644329478555</v>
      </c>
      <c r="L85" s="20">
        <f ca="1" t="shared" si="29"/>
        <v>0.0518398983833752</v>
      </c>
      <c r="M85" s="20">
        <f ca="1" t="shared" si="30"/>
        <v>0.0186844980625806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ht="16.5" customHeight="1" spans="1:25">
      <c r="A86" s="16"/>
      <c r="B86" s="16"/>
      <c r="C86" s="16"/>
      <c r="D86" s="16"/>
      <c r="E86" s="16"/>
      <c r="F86" s="16"/>
      <c r="G86" s="16"/>
      <c r="H86" s="24">
        <v>3</v>
      </c>
      <c r="I86" s="30">
        <f t="shared" si="26"/>
        <v>0.128505439098855</v>
      </c>
      <c r="J86" s="20">
        <f ca="1" t="shared" si="27"/>
        <v>0.248938705044242</v>
      </c>
      <c r="K86" s="20">
        <f ca="1" t="shared" si="28"/>
        <v>0.204009132488774</v>
      </c>
      <c r="L86" s="20">
        <f ca="1" t="shared" si="29"/>
        <v>0.117746600468707</v>
      </c>
      <c r="M86" s="20">
        <f ca="1" t="shared" si="30"/>
        <v>0.0561507417121915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ht="16.5" customHeight="1" spans="1:25">
      <c r="A87" s="16"/>
      <c r="B87" s="16"/>
      <c r="C87" s="16"/>
      <c r="D87" s="16"/>
      <c r="E87" s="16"/>
      <c r="F87" s="16"/>
      <c r="G87" s="16"/>
      <c r="H87" s="24">
        <v>4</v>
      </c>
      <c r="I87" s="30">
        <f t="shared" si="26"/>
        <v>0.0428351463662851</v>
      </c>
      <c r="J87" s="20">
        <f ca="1" t="shared" si="27"/>
        <v>0.175179088734837</v>
      </c>
      <c r="K87" s="20">
        <f ca="1" t="shared" si="28"/>
        <v>0.227516357631513</v>
      </c>
      <c r="L87" s="20">
        <f ca="1" t="shared" si="29"/>
        <v>0.185153433475941</v>
      </c>
      <c r="M87" s="20">
        <f ca="1" t="shared" si="30"/>
        <v>0.116823097284761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ht="16.5" customHeight="1" spans="1:25">
      <c r="A88" s="16"/>
      <c r="B88" s="16"/>
      <c r="C88" s="16"/>
      <c r="D88" s="16"/>
      <c r="E88" s="16"/>
      <c r="F88" s="16"/>
      <c r="G88" s="16"/>
      <c r="H88" s="24">
        <v>5</v>
      </c>
      <c r="I88" s="30">
        <f t="shared" si="26"/>
        <v>0.010470813556203</v>
      </c>
      <c r="J88" s="31">
        <f ca="1" t="shared" si="27"/>
        <v>0.0904010606063728</v>
      </c>
      <c r="K88" s="20">
        <f ca="1" t="shared" si="28"/>
        <v>0.186070305102755</v>
      </c>
      <c r="L88" s="20">
        <f ca="1" t="shared" si="29"/>
        <v>0.213509197834518</v>
      </c>
      <c r="M88" s="20">
        <f ca="1" t="shared" si="30"/>
        <v>0.178239256298975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ht="16.5" customHeight="1" spans="1:25">
      <c r="A89" s="16"/>
      <c r="B89" s="16"/>
      <c r="C89" s="16"/>
      <c r="D89" s="16"/>
      <c r="E89" s="16"/>
      <c r="F89" s="16"/>
      <c r="G89" s="16"/>
      <c r="H89" s="24">
        <v>6</v>
      </c>
      <c r="I89" s="20">
        <f t="shared" si="26"/>
        <v>0.001939039547445</v>
      </c>
      <c r="J89" s="20">
        <f ca="1" t="shared" si="27"/>
        <v>0.0353419784263597</v>
      </c>
      <c r="K89" s="20">
        <f ca="1" t="shared" si="28"/>
        <v>0.115283613815378</v>
      </c>
      <c r="L89" s="20">
        <f ca="1" t="shared" si="29"/>
        <v>0.186520888927731</v>
      </c>
      <c r="M89" s="20">
        <f ca="1" t="shared" si="30"/>
        <v>0.206017482223783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ht="16.5" customHeight="1" spans="1:25">
      <c r="A90" s="16"/>
      <c r="B90" s="16"/>
      <c r="C90" s="16"/>
      <c r="D90" s="16"/>
      <c r="E90" s="16"/>
      <c r="F90" s="16"/>
      <c r="G90" s="16"/>
      <c r="H90" s="24">
        <v>7</v>
      </c>
      <c r="I90" s="20">
        <f t="shared" si="26"/>
        <v>0.000277005649635</v>
      </c>
      <c r="J90" s="20">
        <f ca="1" t="shared" si="27"/>
        <v>0.0106586919063625</v>
      </c>
      <c r="K90" s="20">
        <f ca="1" t="shared" si="28"/>
        <v>0.0551002810299252</v>
      </c>
      <c r="L90" s="20">
        <f ca="1" t="shared" si="29"/>
        <v>0.125699654521354</v>
      </c>
      <c r="M90" s="20">
        <f ca="1" t="shared" si="30"/>
        <v>0.183696342337757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ht="16.5" customHeight="1" spans="1:25">
      <c r="A91" s="16"/>
      <c r="B91" s="16"/>
      <c r="C91" s="16"/>
      <c r="D91" s="16"/>
      <c r="E91" s="16"/>
      <c r="F91" s="16"/>
      <c r="G91" s="16"/>
      <c r="H91" s="24">
        <v>8</v>
      </c>
      <c r="I91" s="20">
        <f t="shared" si="26"/>
        <v>3.0778405515e-5</v>
      </c>
      <c r="J91" s="20">
        <f ca="1" t="shared" si="27"/>
        <v>0.00250018699038132</v>
      </c>
      <c r="K91" s="20">
        <f ca="1" t="shared" si="28"/>
        <v>0.0204830948684633</v>
      </c>
      <c r="L91" s="20">
        <f ca="1" t="shared" si="29"/>
        <v>0.0658864672914092</v>
      </c>
      <c r="M91" s="20">
        <f ca="1" t="shared" si="30"/>
        <v>0.127395026419981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ht="16.5" customHeight="1" spans="1:25">
      <c r="A92" s="16"/>
      <c r="B92" s="16"/>
      <c r="C92" s="16"/>
      <c r="D92" s="16"/>
      <c r="E92" s="16"/>
      <c r="F92" s="16"/>
      <c r="G92" s="16"/>
      <c r="H92" s="24">
        <v>9</v>
      </c>
      <c r="I92" s="20">
        <f t="shared" si="26"/>
        <v>2.659862205e-6</v>
      </c>
      <c r="J92" s="20">
        <f ca="1" t="shared" si="27"/>
        <v>0.00045613836724378</v>
      </c>
      <c r="K92" s="20">
        <f ca="1" t="shared" si="28"/>
        <v>0.00592233363290273</v>
      </c>
      <c r="L92" s="20">
        <f ca="1" t="shared" si="29"/>
        <v>0.0268604875121694</v>
      </c>
      <c r="M92" s="20">
        <f ca="1" t="shared" si="30"/>
        <v>0.0687163318006563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ht="16.5" customHeight="1" spans="1:25">
      <c r="A93" s="16"/>
      <c r="B93" s="16"/>
      <c r="C93" s="16"/>
      <c r="D93" s="16"/>
      <c r="E93" s="16"/>
      <c r="F93" s="16"/>
      <c r="G93" s="16"/>
      <c r="H93" s="24">
        <v>10</v>
      </c>
      <c r="I93" s="20">
        <f t="shared" si="26"/>
        <v>1.77324147e-7</v>
      </c>
      <c r="J93" s="20">
        <f ca="1" t="shared" si="27"/>
        <v>6.41972516861616e-5</v>
      </c>
      <c r="K93" s="20">
        <f ca="1" t="shared" si="28"/>
        <v>0.00132094848931411</v>
      </c>
      <c r="L93" s="20">
        <f ca="1" t="shared" si="29"/>
        <v>0.00844748208087341</v>
      </c>
      <c r="M93" s="20">
        <f ca="1" t="shared" si="30"/>
        <v>0.0285932276946469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ht="16.5" customHeight="1" spans="1:25">
      <c r="A94" s="16"/>
      <c r="B94" s="16"/>
      <c r="C94" s="16"/>
      <c r="D94" s="16"/>
      <c r="E94" s="16"/>
      <c r="F94" s="16"/>
      <c r="G94" s="16"/>
      <c r="H94" s="24">
        <v>11</v>
      </c>
      <c r="I94" s="20">
        <f t="shared" si="26"/>
        <v>8.95576499999999e-9</v>
      </c>
      <c r="J94" s="20">
        <f ca="1" t="shared" si="27"/>
        <v>6.84482481502284e-6</v>
      </c>
      <c r="K94" s="20">
        <f ca="1" t="shared" si="28"/>
        <v>0.000223205537226664</v>
      </c>
      <c r="L94" s="20">
        <f ca="1" t="shared" si="29"/>
        <v>0.00201264295050115</v>
      </c>
      <c r="M94" s="20">
        <f ca="1" t="shared" si="30"/>
        <v>0.0090134793085826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ht="16.5" customHeight="1" spans="1:25">
      <c r="A95" s="16"/>
      <c r="B95" s="16"/>
      <c r="C95" s="16"/>
      <c r="D95" s="16"/>
      <c r="E95" s="16"/>
      <c r="F95" s="16"/>
      <c r="G95" s="16"/>
      <c r="H95" s="24">
        <v>12</v>
      </c>
      <c r="I95" s="20">
        <f t="shared" si="26"/>
        <v>3.31695000000002e-10</v>
      </c>
      <c r="J95" s="20">
        <f ca="1" t="shared" si="27"/>
        <v>5.35192063726066e-7</v>
      </c>
      <c r="K95" s="20">
        <f ca="1" t="shared" si="28"/>
        <v>2.76582993088367e-5</v>
      </c>
      <c r="L95" s="20">
        <f ca="1" t="shared" si="29"/>
        <v>0.000351647569312272</v>
      </c>
      <c r="M95" s="20">
        <f ca="1" t="shared" si="30"/>
        <v>0.00208364234881633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ht="16.5" customHeight="1" spans="1:25">
      <c r="A96" s="16"/>
      <c r="B96" s="16"/>
      <c r="C96" s="16"/>
      <c r="D96" s="16"/>
      <c r="E96" s="16"/>
      <c r="F96" s="16"/>
      <c r="G96" s="16"/>
      <c r="H96" s="24">
        <v>13</v>
      </c>
      <c r="I96" s="20">
        <f t="shared" si="26"/>
        <v>8.50500000000002e-12</v>
      </c>
      <c r="J96" s="20">
        <f ca="1" t="shared" si="27"/>
        <v>2.89705105720662e-8</v>
      </c>
      <c r="K96" s="20">
        <f ca="1" t="shared" si="28"/>
        <v>2.37271260294231e-6</v>
      </c>
      <c r="L96" s="20">
        <f ca="1" t="shared" si="29"/>
        <v>4.25351197940594e-5</v>
      </c>
      <c r="M96" s="20">
        <f ca="1" t="shared" si="30"/>
        <v>0.000333467138086273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ht="16.5" customHeight="1" spans="1:25">
      <c r="A97" s="16"/>
      <c r="B97" s="16"/>
      <c r="C97" s="16"/>
      <c r="D97" s="16"/>
      <c r="E97" s="16"/>
      <c r="F97" s="16"/>
      <c r="G97" s="16"/>
      <c r="H97" s="24">
        <v>14</v>
      </c>
      <c r="I97" s="20">
        <f t="shared" si="26"/>
        <v>1.35e-13</v>
      </c>
      <c r="J97" s="20">
        <f ca="1" t="shared" si="27"/>
        <v>9.70793123226205e-10</v>
      </c>
      <c r="K97" s="20">
        <f ca="1" t="shared" si="28"/>
        <v>1.26005313618923e-7</v>
      </c>
      <c r="L97" s="20">
        <f ca="1" t="shared" si="29"/>
        <v>3.18501702640648e-6</v>
      </c>
      <c r="M97" s="20">
        <f ca="1" t="shared" si="30"/>
        <v>3.30374840550607e-5</v>
      </c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ht="16.5" customHeight="1" spans="1:25">
      <c r="A98" s="16"/>
      <c r="B98" s="16"/>
      <c r="C98" s="16"/>
      <c r="D98" s="16"/>
      <c r="E98" s="16"/>
      <c r="F98" s="16"/>
      <c r="G98" s="16"/>
      <c r="H98" s="24">
        <v>15</v>
      </c>
      <c r="I98" s="20">
        <f t="shared" si="26"/>
        <v>1e-15</v>
      </c>
      <c r="J98" s="20">
        <f ca="1" t="shared" si="27"/>
        <v>1.51811270298748e-11</v>
      </c>
      <c r="K98" s="20">
        <f ca="1" t="shared" si="28"/>
        <v>3.12276543125086e-9</v>
      </c>
      <c r="L98" s="20">
        <f ca="1" t="shared" si="29"/>
        <v>1.11296789654137e-7</v>
      </c>
      <c r="M98" s="20">
        <f ca="1" t="shared" si="30"/>
        <v>1.52745235260974e-6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ht="16.5" customHeight="1" spans="1:25">
      <c r="A99" s="16"/>
      <c r="B99" s="16"/>
      <c r="C99" s="16"/>
      <c r="D99" s="16"/>
      <c r="E99" s="16"/>
      <c r="F99" s="16"/>
      <c r="G99" s="16"/>
      <c r="H99" s="24" t="s">
        <v>112</v>
      </c>
      <c r="I99" s="20">
        <f>SUM(I83:I98)</f>
        <v>1</v>
      </c>
      <c r="J99" s="20">
        <f ca="1">SUM(J83:J98)</f>
        <v>1</v>
      </c>
      <c r="K99" s="20">
        <f ca="1">SUM(K83:K98)</f>
        <v>1</v>
      </c>
      <c r="L99" s="20">
        <f ca="1">SUM(L83:L98)</f>
        <v>1</v>
      </c>
      <c r="M99" s="20">
        <f ca="1">SUM(M83:M98)</f>
        <v>1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ht="16.5" customHeight="1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ht="60" customHeight="1" spans="1:25">
      <c r="A101" s="32" t="s">
        <v>130</v>
      </c>
      <c r="B101" s="20">
        <f ca="1">SUM(M88:M98)</f>
        <v>0.804122820507692</v>
      </c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</sheetData>
  <mergeCells count="12">
    <mergeCell ref="A1:Y1"/>
    <mergeCell ref="A2:C2"/>
    <mergeCell ref="A25:C25"/>
    <mergeCell ref="A26:C26"/>
    <mergeCell ref="A54:G54"/>
    <mergeCell ref="A55:J55"/>
    <mergeCell ref="A56:F56"/>
    <mergeCell ref="A58:F58"/>
    <mergeCell ref="A59:D59"/>
    <mergeCell ref="A60:F60"/>
    <mergeCell ref="G60:N60"/>
    <mergeCell ref="G80:N80"/>
  </mergeCells>
  <pageMargins left="0.7" right="0.7" top="0.75" bottom="0.75" header="0.3" footer="0.3"/>
  <pageSetup paperSize="1" orientation="portrait"/>
  <headerFooter/>
  <ignoredErrors>
    <ignoredError sqref="A1:Y101" evalError="1" twoDigitTextYear="1" numberStoredAsText="1" formula="1" formulaRange="1" unlockedFormula="1" emptyCellReference="1" listDataValidation="1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11" workbookViewId="0">
      <selection activeCell="B29" sqref="B29"/>
    </sheetView>
  </sheetViews>
  <sheetFormatPr defaultColWidth="9" defaultRowHeight="16.8" outlineLevelCol="2"/>
  <cols>
    <col min="1" max="1" width="61.0089285714286" customWidth="1"/>
    <col min="2" max="2" width="74.6964285714286" customWidth="1"/>
    <col min="3" max="3" width="79.8571428571429" customWidth="1"/>
    <col min="4" max="24" width="7.85714285714286" customWidth="1"/>
  </cols>
  <sheetData>
    <row r="1" ht="21" spans="1:3">
      <c r="A1" s="1" t="s">
        <v>131</v>
      </c>
      <c r="B1" s="2"/>
      <c r="C1" s="2"/>
    </row>
    <row r="2" spans="1:3">
      <c r="A2" s="3" t="s">
        <v>132</v>
      </c>
      <c r="B2" s="3"/>
      <c r="C2" s="2"/>
    </row>
    <row r="3" spans="1:3">
      <c r="A3" s="3" t="s">
        <v>133</v>
      </c>
      <c r="B3" s="3"/>
      <c r="C3" s="2"/>
    </row>
    <row r="4" ht="36.75" customHeight="1" spans="1:3">
      <c r="A4" s="3" t="s">
        <v>134</v>
      </c>
      <c r="B4" s="3"/>
      <c r="C4" s="2"/>
    </row>
    <row r="5" ht="17" spans="1:3">
      <c r="A5" s="4" t="s">
        <v>135</v>
      </c>
      <c r="B5" s="4"/>
      <c r="C5" s="4"/>
    </row>
    <row r="6" ht="17" spans="1:3">
      <c r="A6" s="3" t="s">
        <v>136</v>
      </c>
      <c r="B6" s="2"/>
      <c r="C6" s="2"/>
    </row>
    <row r="7" ht="17" spans="1:3">
      <c r="A7" s="3" t="s">
        <v>137</v>
      </c>
      <c r="B7" s="2"/>
      <c r="C7" s="2"/>
    </row>
    <row r="8" ht="17" spans="1:3">
      <c r="A8" s="3" t="s">
        <v>138</v>
      </c>
      <c r="B8" s="2"/>
      <c r="C8" s="2"/>
    </row>
    <row r="9" spans="1:3">
      <c r="A9" s="2"/>
      <c r="B9" s="2"/>
      <c r="C9" s="2"/>
    </row>
    <row r="10" ht="17" spans="1:3">
      <c r="A10" s="4" t="s">
        <v>139</v>
      </c>
      <c r="B10" s="4"/>
      <c r="C10" s="4"/>
    </row>
    <row r="11" spans="1:3">
      <c r="A11" s="3" t="s">
        <v>140</v>
      </c>
      <c r="B11" s="3"/>
      <c r="C11" s="2"/>
    </row>
    <row r="12" ht="17" spans="1:3">
      <c r="A12" s="5" t="s">
        <v>141</v>
      </c>
      <c r="B12" s="2"/>
      <c r="C12" s="2"/>
    </row>
    <row r="13" ht="17" spans="1:3">
      <c r="A13" s="3" t="s">
        <v>142</v>
      </c>
      <c r="B13" s="6">
        <v>5</v>
      </c>
      <c r="C13" s="3" t="s">
        <v>143</v>
      </c>
    </row>
    <row r="14" ht="17" spans="1:3">
      <c r="A14" s="3" t="s">
        <v>144</v>
      </c>
      <c r="B14" s="7">
        <v>0.075</v>
      </c>
      <c r="C14" s="3" t="s">
        <v>145</v>
      </c>
    </row>
    <row r="15" ht="17" spans="1:3">
      <c r="A15" s="3" t="s">
        <v>146</v>
      </c>
      <c r="B15" s="6">
        <v>3</v>
      </c>
      <c r="C15" s="3" t="s">
        <v>147</v>
      </c>
    </row>
    <row r="16" spans="1:3">
      <c r="A16" s="2"/>
      <c r="B16" s="2"/>
      <c r="C16" s="2"/>
    </row>
    <row r="17" ht="17" spans="1:3">
      <c r="A17" s="8" t="s">
        <v>148</v>
      </c>
      <c r="B17" s="9" t="s">
        <v>149</v>
      </c>
      <c r="C17" s="8" t="s">
        <v>150</v>
      </c>
    </row>
    <row r="18" ht="17" spans="1:3">
      <c r="A18" s="3" t="s">
        <v>151</v>
      </c>
      <c r="B18" s="10">
        <f>BINOMDIST($B$15,$B$13,$B$14,FALSE)</f>
        <v>0.00360966796875</v>
      </c>
      <c r="C18" s="3" t="s">
        <v>152</v>
      </c>
    </row>
    <row r="19" ht="17" spans="1:3">
      <c r="A19" s="3" t="s">
        <v>153</v>
      </c>
      <c r="B19" s="11">
        <f>BINOMDIST($B$13,$B$13,$B$14,FALSE)</f>
        <v>2.373046875e-6</v>
      </c>
      <c r="C19" s="3" t="s">
        <v>154</v>
      </c>
    </row>
    <row r="20" ht="17" spans="1:3">
      <c r="A20" s="3" t="s">
        <v>155</v>
      </c>
      <c r="B20" s="10">
        <f>1-BINOMDIST($B$15-1,$B$13,$B$14,TRUE)</f>
        <v>0.00375837890624997</v>
      </c>
      <c r="C20" s="3" t="s">
        <v>156</v>
      </c>
    </row>
    <row r="21" ht="17" spans="1:3">
      <c r="A21" s="3" t="s">
        <v>157</v>
      </c>
      <c r="B21" s="12">
        <f>$B$13*$B$14</f>
        <v>0.375</v>
      </c>
      <c r="C21" s="3" t="s">
        <v>158</v>
      </c>
    </row>
    <row r="22" spans="1:3">
      <c r="A22" s="3" t="s">
        <v>159</v>
      </c>
      <c r="B22" s="3"/>
      <c r="C22" s="2"/>
    </row>
    <row r="23" spans="1:3">
      <c r="A23" s="2"/>
      <c r="B23" s="2"/>
      <c r="C23" s="2"/>
    </row>
    <row r="24" ht="17" spans="1:3">
      <c r="A24" s="4" t="s">
        <v>160</v>
      </c>
      <c r="B24" s="4"/>
      <c r="C24" s="4"/>
    </row>
    <row r="25" spans="1:3">
      <c r="A25" s="3" t="s">
        <v>161</v>
      </c>
      <c r="B25" s="3"/>
      <c r="C25" s="2"/>
    </row>
    <row r="26" ht="17" spans="1:3">
      <c r="A26" s="5" t="s">
        <v>141</v>
      </c>
      <c r="B26" s="2"/>
      <c r="C26" s="2"/>
    </row>
    <row r="27" ht="17" spans="1:3">
      <c r="A27" s="3" t="s">
        <v>142</v>
      </c>
      <c r="B27" s="6">
        <v>5</v>
      </c>
      <c r="C27" s="3" t="s">
        <v>162</v>
      </c>
    </row>
    <row r="28" ht="17" spans="1:3">
      <c r="A28" s="3" t="s">
        <v>163</v>
      </c>
      <c r="B28" s="7">
        <v>0.04</v>
      </c>
      <c r="C28" s="3" t="s">
        <v>164</v>
      </c>
    </row>
    <row r="29" ht="17" spans="1:3">
      <c r="A29" s="3" t="s">
        <v>165</v>
      </c>
      <c r="B29" s="6">
        <v>3</v>
      </c>
      <c r="C29" s="3" t="s">
        <v>166</v>
      </c>
    </row>
    <row r="30" spans="1:3">
      <c r="A30" s="2"/>
      <c r="B30" s="2"/>
      <c r="C30" s="2"/>
    </row>
    <row r="31" ht="17" spans="1:3">
      <c r="A31" s="8" t="s">
        <v>148</v>
      </c>
      <c r="B31" s="9" t="s">
        <v>149</v>
      </c>
      <c r="C31" s="8" t="s">
        <v>150</v>
      </c>
    </row>
    <row r="32" ht="17" spans="1:3">
      <c r="A32" s="3" t="s">
        <v>167</v>
      </c>
      <c r="B32" s="10">
        <f>1-BINOMDIST($B$29-1,$B$27,$B$28,TRUE)</f>
        <v>0.000602214399999967</v>
      </c>
      <c r="C32" s="3" t="s">
        <v>156</v>
      </c>
    </row>
    <row r="33" ht="17" spans="1:3">
      <c r="A33" s="3" t="s">
        <v>168</v>
      </c>
      <c r="B33" s="11">
        <f>1-BINOMDIST(1,$B$27,$B$28,TRUE)</f>
        <v>0.0147579904</v>
      </c>
      <c r="C33" s="3" t="s">
        <v>169</v>
      </c>
    </row>
    <row r="34" ht="17" spans="1:3">
      <c r="A34" s="3" t="s">
        <v>170</v>
      </c>
      <c r="B34" s="12">
        <f>$B$27*$B$28</f>
        <v>0.2</v>
      </c>
      <c r="C34" s="3"/>
    </row>
    <row r="35" spans="1:3">
      <c r="A35" s="2"/>
      <c r="B35" s="2"/>
      <c r="C35" s="2"/>
    </row>
    <row r="36" ht="17" spans="1:3">
      <c r="A36" s="5" t="s">
        <v>171</v>
      </c>
      <c r="B36" s="2"/>
      <c r="C36" s="2"/>
    </row>
    <row r="37" spans="1:3">
      <c r="A37" s="3" t="s">
        <v>172</v>
      </c>
      <c r="B37" s="3"/>
      <c r="C37" s="2"/>
    </row>
    <row r="38" ht="17" spans="1:3">
      <c r="A38" s="3" t="s">
        <v>173</v>
      </c>
      <c r="B38" s="11">
        <f>1-BINOMDIST(2,5,0.05,TRUE)</f>
        <v>0.00115812500000001</v>
      </c>
      <c r="C38" s="3" t="s">
        <v>174</v>
      </c>
    </row>
    <row r="39" ht="17" spans="1:3">
      <c r="A39" s="3" t="s">
        <v>175</v>
      </c>
      <c r="B39" s="10">
        <f>1-BINOMDIST(2,15,0.05,TRUE)</f>
        <v>0.0362002386427291</v>
      </c>
      <c r="C39" s="3" t="s">
        <v>176</v>
      </c>
    </row>
    <row r="40" ht="17" spans="1:3">
      <c r="A40" s="3" t="s">
        <v>177</v>
      </c>
      <c r="B40" s="2"/>
      <c r="C40" s="2"/>
    </row>
    <row r="41" spans="1:3">
      <c r="A41" s="2"/>
      <c r="B41" s="2"/>
      <c r="C41" s="2"/>
    </row>
    <row r="42" ht="17" spans="1:3">
      <c r="A42" s="4" t="s">
        <v>178</v>
      </c>
      <c r="B42" s="4"/>
      <c r="C42" s="4"/>
    </row>
    <row r="43" ht="17" spans="1:3">
      <c r="A43" s="3" t="s">
        <v>179</v>
      </c>
      <c r="B43" s="2"/>
      <c r="C43" s="2"/>
    </row>
    <row r="44" spans="1:3">
      <c r="A44" s="3" t="s">
        <v>180</v>
      </c>
      <c r="B44" s="3"/>
      <c r="C44" s="2"/>
    </row>
    <row r="45" ht="17" spans="1:3">
      <c r="A45" s="3" t="s">
        <v>181</v>
      </c>
      <c r="B45" s="2"/>
      <c r="C45" s="2"/>
    </row>
    <row r="46" spans="1:3">
      <c r="A46" s="2"/>
      <c r="B46" s="2"/>
      <c r="C46" s="2"/>
    </row>
    <row r="47" ht="17" spans="1:3">
      <c r="A47" s="4" t="s">
        <v>182</v>
      </c>
      <c r="B47" s="4"/>
      <c r="C47" s="4"/>
    </row>
    <row r="48" ht="17" spans="1:3">
      <c r="A48" s="8" t="s">
        <v>183</v>
      </c>
      <c r="B48" s="9" t="s">
        <v>184</v>
      </c>
      <c r="C48" s="8" t="s">
        <v>185</v>
      </c>
    </row>
    <row r="49" ht="17" spans="1:3">
      <c r="A49" s="3" t="s">
        <v>186</v>
      </c>
      <c r="B49" s="13" t="s">
        <v>187</v>
      </c>
      <c r="C49" s="3" t="s">
        <v>188</v>
      </c>
    </row>
    <row r="50" ht="17" spans="1:3">
      <c r="A50" s="3" t="s">
        <v>189</v>
      </c>
      <c r="B50" s="13" t="s">
        <v>190</v>
      </c>
      <c r="C50" s="3" t="s">
        <v>191</v>
      </c>
    </row>
    <row r="51" ht="17" spans="1:3">
      <c r="A51" s="3" t="s">
        <v>192</v>
      </c>
      <c r="B51" s="13" t="s">
        <v>193</v>
      </c>
      <c r="C51" s="3" t="s">
        <v>194</v>
      </c>
    </row>
    <row r="52" spans="1:3">
      <c r="A52" s="2"/>
      <c r="B52" s="2"/>
      <c r="C52" s="2"/>
    </row>
    <row r="53" spans="1:3">
      <c r="A53" s="14" t="s">
        <v>195</v>
      </c>
      <c r="B53" s="14"/>
      <c r="C53" s="14"/>
    </row>
  </sheetData>
  <mergeCells count="9">
    <mergeCell ref="A2:B2"/>
    <mergeCell ref="A3:B3"/>
    <mergeCell ref="A4:B4"/>
    <mergeCell ref="A11:B11"/>
    <mergeCell ref="A22:B22"/>
    <mergeCell ref="A25:B25"/>
    <mergeCell ref="A37:B37"/>
    <mergeCell ref="A44:B44"/>
    <mergeCell ref="A53:C53"/>
  </mergeCells>
  <pageMargins left="0.7" right="0.7" top="0.75" bottom="0.75" header="0.3" footer="0.3"/>
  <pageSetup paperSize="1" orientation="portrait"/>
  <headerFooter/>
  <ignoredErrors>
    <ignoredError sqref="A1:C53" evalError="1" twoDigitTextYear="1" numberStoredAsText="1" formula="1" formulaRange="1" unlockedFormula="1" emptyCellReference="1" listDataValidation="1" calculatedColumn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二项分配 问1+问2+问3</vt:lpstr>
      <vt:lpstr>二项分配-三句用法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ChuanXiang Wang</cp:lastModifiedBy>
  <dcterms:created xsi:type="dcterms:W3CDTF">2026-10-01T13:00:00Z</dcterms:created>
  <dcterms:modified xsi:type="dcterms:W3CDTF">2026-10-01T13:20:41Z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B5737293C810530A71EDBD6A897DC1FE_42</vt:lpwstr>
  </property>
  <property fmtid="{D5CDD505-2E9C-101B-9397-08002B2CF9AE}" pid="3" name="KSOProductBuildVer">
    <vt:lpwstr>2052-12.1.26050.26050</vt:lpwstr>
  </property>
  <property fmtid="{D5CDD505-2E9C-101B-9397-08002B2CF9AE}" pid="4" name="CalculationRule">
    <vt:i4>0</vt:i4>
  </property>
</Properties>
</file>