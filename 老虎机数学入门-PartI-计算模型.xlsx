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PartI 转轮表+模式计数→RTP" sheetId="2" r:id="rId2"/>
  </sheets>
  <definedNames>
    <definedName name="模式次数">'PartI 转轮表+模式计数→RTP'!$A$69:$F$80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<sst xmlns="http://schemas.openxmlformats.org/spreadsheetml/2006/main" count="4467" uniqueCount="278">
  <si>
    <t>老虎机数学入门 PART Ⅰ —— 可改参数的 RTP 计算模型（复刻自 ezslotdesign.com/firstslotmath/）</t>
  </si>
  <si>
    <t xml:space="preserve"> </t>
  </si>
  <si>
    <t>用法</t>
  </si>
  <si>
    <t>1) 在「PartI 转轮表+模式计数→RTP」的第 1~54 行「转轮表」区填各转轮的符号（现为原文示范机台：5 轮 × 20 格，符号 K/Q/J/10/9/W/S）</t>
  </si>
  <si>
    <t>2) 在第 57~64 行「赔率表」区填各图案 3 / 4 / 5 连线的赔付（S 行第一列 = 出现 3 个 SCATTER 的赔付）</t>
  </si>
  <si>
    <t>3) 第 67~81 行「模式计数」区自动算出每个组合模式在各转轮上的次数（W+符号 / 非W非符号 / 3*S / 自由轮）</t>
  </si>
  <si>
    <t>4) 第 84~106 行「组合与期望值」区逐组合用 PRODUCT+VLOOKUP 算出现次数 → 机率 → 期望值，底部即总期望值（RTP）</t>
  </si>
  <si>
    <t>（原「转轮表 / 赔率表 / 模式计数 / 组合与期望值」四个页签已合并为同一个「PartI 转轮表+模式计数→RTP」页签，公式引用已同步改写）</t>
  </si>
  <si>
    <t>建模要点</t>
  </si>
  <si>
    <t>· 出现次数 = 组合涉及的各转轮次数「相乘」（各轮独立），不是相加</t>
  </si>
  <si>
    <t>· 「-」= 该轮不参与判定，次数 = 该轮格数；「3*S」= 3 行视窗 × 该轮 S 个数</t>
  </si>
  <si>
    <t>· 「X_W符号」= 该轮既不是 WILD 也不是该图案（用来截断连线，保证只中 N 连）</t>
  </si>
  <si>
    <t>· 本表转轮只按顺序还原到「各符号个数」一致；转轮顺序不影响任何计算结果</t>
  </si>
  <si>
    <t>· 期望值 = 机率 × 得分；全部相加 = 总期望值（RTP）</t>
  </si>
  <si>
    <t>校验（原文结果）: 所有可能数 3,200,000；总期望值 ≈ 80%（本模型精确值约 80.05%）</t>
  </si>
  <si>
    <t>Source: ezslotdesign.com《老虎机数学入门 PART Ⅰ》, 2025, https://ezslotdesign.com/firstslotmath/</t>
  </si>
  <si>
    <t>── 完整文档（原 老虎机数学入门-PartI-从转轮表算RTP.md 存档）──</t>
  </si>
  <si>
    <t>老虎机数学入门（PART Ⅰ）：从转轮表与赔率表算出期望值 / RTP</t>
  </si>
  <si>
    <t>来源文章：&lt;https://ezslotdesign.com/firstslotmath/&gt;（SLOT设计王 · 老虎机数学入门 PART Ⅰ，繁体中文）</t>
  </si>
  <si>
    <t>整理日期：2026-09-27</t>
  </si>
  <si>
    <t>配图：原文 9 张配图已下载到本目录 images/ 并嵌入本文（转轮表、赔率表、统计表、组合次数、机率、期望值表等）。</t>
  </si>
  <si>
    <t>校验：2026-09-28 已逐张重读 9 张配图核对。本文与 老虎机数学入门-PartI-计算模型.xlsx 的转轮计数、赔率表、16 组「出现次数 / 机率 / 得分 / 期望值」以及总期望值均与原文一致（详见第 4 节）。</t>
  </si>
  <si>
    <t>0. 一句话概括</t>
  </si>
  <si>
    <t>这篇文章教的是用 Excel 把一台老虎机的期望值（RTP 的计算基础）算出来：先把转轮表统计成符号计数表，穷举所有能得分的组合，算出每个组合的出现次数与概率，再乘上赔率表得分并全部相加 —— 原文示范机台的最终结果：总期望值 = 80%。</t>
  </si>
  <si>
    <t>1. 示范游戏设定（原文）</t>
  </si>
  <si>
    <t>项目</t>
  </si>
  <si>
    <t>设定</t>
  </si>
  <si>
    <t>视窗</t>
  </si>
  <si>
    <t>3 横列 × 5 转轮</t>
  </si>
  <si>
    <t>押线</t>
  </si>
  <si>
    <t>一般机台可自选押几条线并提供连线表；除含特殊规则的机台外，多线与单线的期望值算法一致，因此教程只算「一条线」</t>
  </si>
  <si>
    <t>普通符号</t>
  </si>
  <si>
    <t>K Q J 10 9 —— 出现在所有转轮；相同图案由左至右连线时按赔率表赔付</t>
  </si>
  <si>
    <t>WILD（W）</t>
  </si>
  <si>
    <t>可替代除 SCATTER 以外的任何图案；只出现在第 2、3、4、5 转轮</t>
  </si>
  <si>
    <t>SCATTER（S）</t>
  </si>
  <si>
    <t>按视窗中出现的个数、依赔率表 × 押线数 赔付；只出现在第 2、3、4 转轮（因此视窗上 S 最多 3 个）</t>
  </si>
  <si>
    <t>两个「出现位置限制」（W 不在第 1 轮、S 只在第 2~4 轮）是后面算概率时最重要的约束，枚举组合时必须遵守。</t>
  </si>
  <si>
    <t>1.1 转轮表（原文配图）</t>
  </si>
  <si>
    <t>[图片] 转轮表：5 个转轮各 20 格，符号为 K / Q / J / 10 / 9 / W / S  images/01-image12.png</t>
  </si>
  <si>
    <t>1.2 赔率表（原文配图）</t>
  </si>
  <si>
    <t>[图片] 赔率表：K/Q/J/10/9 的 3 连、4 连、5 连赔付；S 按出现个数赔付  images/02-image13.webp</t>
  </si>
  <si>
    <t>图案</t>
  </si>
  <si>
    <t>3 连线</t>
  </si>
  <si>
    <t>4 连线</t>
  </si>
  <si>
    <t>5 连线</t>
  </si>
  <si>
    <t>K</t>
  </si>
  <si>
    <t>5</t>
  </si>
  <si>
    <t>30</t>
  </si>
  <si>
    <t>100</t>
  </si>
  <si>
    <t>Q</t>
  </si>
  <si>
    <t>25</t>
  </si>
  <si>
    <t>J</t>
  </si>
  <si>
    <t>20</t>
  </si>
  <si>
    <t>75</t>
  </si>
  <si>
    <t>10</t>
  </si>
  <si>
    <t>9</t>
  </si>
  <si>
    <t>50</t>
  </si>
  <si>
    <t>S（按个数）</t>
  </si>
  <si>
    <t>3 个 = 50</t>
  </si>
  <si>
    <t>—（最多 3 个）</t>
  </si>
  <si>
    <t>—</t>
  </si>
  <si>
    <t>转轮表每轮 20 格、共 5 轮 → 所有可能总数 = 20⁵ = 3,200,000（原文表格中的「所有可能数」单元格）。</t>
  </si>
  <si>
    <t>2. 算概率：原文的四步法</t>
  </si>
  <si>
    <t>第 1 步：统计转轮表（COUNTIF）</t>
  </si>
  <si>
    <t>依转轮表统计出三张表：各符号在各转轮的出现次数、WILD + 符号 的组合个数、非 WILD 也非该符号 的个数。</t>
  </si>
  <si>
    <t>[图片] 三张统计表：各图案出现次数 / WILD+各图案个数 / 非 WILD 也非各图案的个数  images/03-image14.png</t>
  </si>
  <si>
    <t>符号</t>
  </si>
  <si>
    <t>第 1 轮</t>
  </si>
  <si>
    <t>第 2 轮</t>
  </si>
  <si>
    <t>第 3 轮</t>
  </si>
  <si>
    <t>第 4 轮</t>
  </si>
  <si>
    <t>第 5 轮</t>
  </si>
  <si>
    <t>合计</t>
  </si>
  <si>
    <t>W</t>
  </si>
  <si>
    <t>0</t>
  </si>
  <si>
    <t>1</t>
  </si>
  <si>
    <t>4</t>
  </si>
  <si>
    <t>2</t>
  </si>
  <si>
    <t>3</t>
  </si>
  <si>
    <t>14</t>
  </si>
  <si>
    <t>15</t>
  </si>
  <si>
    <t>21</t>
  </si>
  <si>
    <t>6</t>
  </si>
  <si>
    <t>23</t>
  </si>
  <si>
    <t>S</t>
  </si>
  <si>
    <t>第 2 步：列出所有可能得分的组合</t>
  </si>
  <si>
    <t>每个「图案 × 连线数」都要拆成 5 个转轮上的组合模式：能中奖的轮用 W+图案（如 WK），其余轮用「非 W 也非该图案」（如 X_WK），不参与的位置记 -。</t>
  </si>
  <si>
    <t>[图片] 得分组合清单：S 3 为 3*S；K/Q/J/10/9 各连线数对应 WK / X_WK 等模式  images/04-image15.png</t>
  </si>
  <si>
    <t>第 3 步：算每个组合的出现次数（PRODUCT + VLOOKUP）</t>
  </si>
  <si>
    <t>出现次数 = 组合涉及的各个转轮出现次数相乘（乘积，而不是相加，因为各转轮相互独立）。</t>
  </si>
  <si>
    <t>[图片] 组合次数计算：公式栏为 PRODUCT(VLOOKUP(...)) 连乘；所有可能数为 3,200,000  images/05-image16.webp</t>
  </si>
  <si>
    <t>第 4 步：算出现机率</t>
  </si>
  <si>
    <t>出现机率 = 出现次数 ÷ 所有可能总数（截图中为 =V6/$V$2，$V$2 即 3,200,000）。</t>
  </si>
  <si>
    <t>[图片] 出现机率：出现次数 10,800 ÷ 3,200,000 = 0.0034  images/06-image17.webp</t>
  </si>
  <si>
    <t>3. 算期望值 / RTP</t>
  </si>
  <si>
    <t>单个组合期望值 = 出现机率 × 赔率表对应的得分数；SUM 全部相加 = 总期望值。</t>
  </si>
  <si>
    <t>[图片] 期望值列公式：=X6*W6（机率 × 得分数）  images/07-image18.png</t>
  </si>
  <si>
    <t>[图片] 最终结果表：16 个组合的次数 / 机率 / 得分 / 期望值，右上角「总期望值 80%」  images/08-image19.png</t>
  </si>
  <si>
    <t>4. 原文实测结果（从配图读取）</t>
  </si>
  <si>
    <t>所有可能数 = 3,200,000；总期望值 = 80%。</t>
  </si>
  <si>
    <t>连线数</t>
  </si>
  <si>
    <t>组合模式（轮 1→5）</t>
  </si>
  <si>
    <t>出现次数</t>
  </si>
  <si>
    <t>出现机率</t>
  </si>
  <si>
    <t>得分数</t>
  </si>
  <si>
    <t>期望值</t>
  </si>
  <si>
    <t>3 个</t>
  </si>
  <si>
    <t>- 3*S 3*S 3*S -</t>
  </si>
  <si>
    <t>10,800</t>
  </si>
  <si>
    <t>0.0034</t>
  </si>
  <si>
    <t>17%</t>
  </si>
  <si>
    <t>WK ×5</t>
  </si>
  <si>
    <t>512</t>
  </si>
  <si>
    <t>0.0002</t>
  </si>
  <si>
    <t>2%</t>
  </si>
  <si>
    <t>WK ×4 + X_WK</t>
  </si>
  <si>
    <t>2,048</t>
  </si>
  <si>
    <t>0.0006</t>
  </si>
  <si>
    <t>WK ×3 + X_WK + -</t>
  </si>
  <si>
    <t>10,240</t>
  </si>
  <si>
    <t>0.0032</t>
  </si>
  <si>
    <t>WQ ×5</t>
  </si>
  <si>
    <t>768</t>
  </si>
  <si>
    <t>WQ ×4 + X_WQ</t>
  </si>
  <si>
    <t>3,072</t>
  </si>
  <si>
    <t>0.0010</t>
  </si>
  <si>
    <t>WQ ×3 + X_WQ + -</t>
  </si>
  <si>
    <t>15,360</t>
  </si>
  <si>
    <t>0.0048</t>
  </si>
  <si>
    <t>WJ ×5</t>
  </si>
  <si>
    <t>3,000</t>
  </si>
  <si>
    <t>0.0009</t>
  </si>
  <si>
    <t>7%</t>
  </si>
  <si>
    <t>WJ ×4 + X_WJ</t>
  </si>
  <si>
    <t>9,000</t>
  </si>
  <si>
    <t>0.0028</t>
  </si>
  <si>
    <t>6%</t>
  </si>
  <si>
    <t>WJ ×3 + X_WJ + -</t>
  </si>
  <si>
    <t>36,000</t>
  </si>
  <si>
    <t>0.0113</t>
  </si>
  <si>
    <t>W10 ×5</t>
  </si>
  <si>
    <t>2,500</t>
  </si>
  <si>
    <t>0.0008</t>
  </si>
  <si>
    <t>W10 ×4 + X_W10</t>
  </si>
  <si>
    <t>7,500</t>
  </si>
  <si>
    <t>0.0023</t>
  </si>
  <si>
    <t>5%</t>
  </si>
  <si>
    <t>W10 ×3 + X_W10 + -</t>
  </si>
  <si>
    <t>30,000</t>
  </si>
  <si>
    <t>0.0094</t>
  </si>
  <si>
    <t>W9 ×5</t>
  </si>
  <si>
    <t>4,500</t>
  </si>
  <si>
    <t>0.0014</t>
  </si>
  <si>
    <t>W9 ×4 + X_W9</t>
  </si>
  <si>
    <t>10,500</t>
  </si>
  <si>
    <t>0.0033</t>
  </si>
  <si>
    <t>3%</t>
  </si>
  <si>
    <t>W9 ×3 + X_W9 + -</t>
  </si>
  <si>
    <t>45,000</t>
  </si>
  <si>
    <t>0.0141</t>
  </si>
  <si>
    <t>≈ 80%（原文标注）</t>
  </si>
  <si>
    <t>读表要点：</t>
  </si>
  <si>
    <t>• 期望值占比最大的是 S（3 个 SCATTER）：10,800 × 50 ÷ 3,200,000 = 16.875% ≈ 17%，比任何一条 5 连线（最高 7%）都高 —— 这类「散点重赏」会显着抬高 RTP。</t>
  </si>
  <si>
    <t>• 各符号「3 / 4 / 5 连」合计贡献：K ≈ 5.1%、Q ≈ 7.2%、J ≈ 18.3%、10 ≈ 15.2%、9 ≈ 17.3%（加总 ≈ 80.05%，即总期望值）。贡献差距较大，说明这台示范机台的赔率表并没有把各符号的整体贡献配平（J / 9 明显高于 K / Q）。</t>
  </si>
  <si>
    <t>• 注意：图中每行的 17% / 7% / 6% / 2% 是四舍五入到整数后的显示值，直接把这一列相加会得到 81%，而精确合计是 80.05%（原文标注为 80%）。</t>
  </si>
  <si>
    <t>• SCATTER 因位置限制最多 3 个，故赔率表只需给「3 个」一个档位。</t>
  </si>
  <si>
    <t>5. Excel 落地：表格结构（依原文方法整理）</t>
  </si>
  <si>
    <t>表 A —— 转轮符号计数表（第 1 步产物，可用 COUNTIF 直接统计转轮表）</t>
  </si>
  <si>
    <t>表 B —— 得分组合清单 + 计算列（对应 xlsx 的「组合与期望值」表）</t>
  </si>
  <si>
    <t>轮1</t>
  </si>
  <si>
    <t>轮2</t>
  </si>
  <si>
    <t>轮3</t>
  </si>
  <si>
    <t>轮4</t>
  </si>
  <si>
    <t>轮5</t>
  </si>
  <si>
    <t>-</t>
  </si>
  <si>
    <t>3*S</t>
  </si>
  <si>
    <t>16.875%</t>
  </si>
  <si>
    <t>WK</t>
  </si>
  <si>
    <t>1.600%</t>
  </si>
  <si>
    <t>X_WK</t>
  </si>
  <si>
    <t>1.920%</t>
  </si>
  <si>
    <t>WQ</t>
  </si>
  <si>
    <t>2.400%</t>
  </si>
  <si>
    <t>X_WQ</t>
  </si>
  <si>
    <t>WJ</t>
  </si>
  <si>
    <t>7.031%</t>
  </si>
  <si>
    <t>X_WJ</t>
  </si>
  <si>
    <t>5.625%</t>
  </si>
  <si>
    <t>W10</t>
  </si>
  <si>
    <t>5.859%</t>
  </si>
  <si>
    <t>X_W10</t>
  </si>
  <si>
    <t>4.688%</t>
  </si>
  <si>
    <t>W9</t>
  </si>
  <si>
    <t>X_W9</t>
  </si>
  <si>
    <t>3.281%</t>
  </si>
  <si>
    <t>190,800</t>
  </si>
  <si>
    <t>5.96%（命中率）</t>
  </si>
  <si>
    <t>80.05%（RTP）</t>
  </si>
  <si>
    <t>「合计」行的 190,800 是 16 个组合的出现次数之和，除以 3,200,000 即命中率 ≈ 5.96%（原文未列）。</t>
  </si>
  <si>
    <t>公式对照（与原文截图一致）</t>
  </si>
  <si>
    <t>所有可能总数   = PRODUCT(各转轮长度)                     → 本例 20*20*20*20*20 = 3,200,000</t>
  </si>
  <si>
    <t>组合出现次数   = PRODUCT( VLOOKUP(轮1模式…, 表A, 次数列, FALSE), … )   ← 每个参与转轮一项</t>
  </si>
  <si>
    <t>出现机率       = 出现次数 / 所有可能总数                  → 截图：=V6/$V$2</t>
  </si>
  <si>
    <t>期望值         = 出现机率 * 得分数                        → 截图：=X6*W6</t>
  </si>
  <si>
    <t>总期望值(RTP)  = SUM(期望值列)                            → 本例 80%</t>
  </si>
  <si>
    <t>6. 术语速查</t>
  </si>
  <si>
    <t>术语</t>
  </si>
  <si>
    <t>含义</t>
  </si>
  <si>
    <t>转轮表（Reel Strip）</t>
  </si>
  <si>
    <t>每个转轮上符号的排列清单（本例每轮 20 格），概率计算的输入</t>
  </si>
  <si>
    <t>赔率表（Paytable）</t>
  </si>
  <si>
    <t>各符号在 3 / 4 / 5 连等情形下的赔付表</t>
  </si>
  <si>
    <t>押线（Lines）</t>
  </si>
  <si>
    <t>一次押注覆盖的连线数；SCATTER 按出现个数 × 押线数赔付</t>
  </si>
  <si>
    <t>WILD</t>
  </si>
  <si>
    <t>万能符号，可替代除 SCATTER 外的符号（本例只在第 2~5 轮）</t>
  </si>
  <si>
    <t>SCATTER</t>
  </si>
  <si>
    <t>散点符号，按出现个数赔付，不要求连线（本例只在第 2~4 轮）</t>
  </si>
  <si>
    <t>期望值（EV）</t>
  </si>
  <si>
    <t>机率 × 得分；全部组合之和 = 总期望值</t>
  </si>
  <si>
    <t>RTP</t>
  </si>
  <si>
    <t>总期望值 / 总押注，玩家的长期回收率（本例 80%）</t>
  </si>
  <si>
    <t>命中率 / 波动率</t>
  </si>
  <si>
    <t>原文未涉及，是评估机台手感的常见延伸指标（命中频率、收益波动幅度）</t>
  </si>
  <si>
    <t>7. 配图清单（images/）</t>
  </si>
  <si>
    <t>文件</t>
  </si>
  <si>
    <t>原文图</t>
  </si>
  <si>
    <t>内容</t>
  </si>
  <si>
    <t>00-封面.webp</t>
  </si>
  <si>
    <t>feature-06-photo…</t>
  </si>
  <si>
    <t>文章封面</t>
  </si>
  <si>
    <t>01-image12.png</t>
  </si>
  <si>
    <t>image-12</t>
  </si>
  <si>
    <t>转轮表（5 轮 × 20 格）</t>
  </si>
  <si>
    <t>02-image13.webp</t>
  </si>
  <si>
    <t>image-13</t>
  </si>
  <si>
    <t>赔率表</t>
  </si>
  <si>
    <t>03-image14.png</t>
  </si>
  <si>
    <t>image-14</t>
  </si>
  <si>
    <t>三张统计表（符号计数 / WILD+符号 / 非 WILD 非符号）</t>
  </si>
  <si>
    <t>04-image15.png</t>
  </si>
  <si>
    <t>image-15</t>
  </si>
  <si>
    <t>得分组合清单</t>
  </si>
  <si>
    <t>05-image16.webp</t>
  </si>
  <si>
    <t>image-16</t>
  </si>
  <si>
    <t>组合次数计算（PRODUCT + VLOOKUP 公式栏）</t>
  </si>
  <si>
    <t>06-image17.webp</t>
  </si>
  <si>
    <t>image-17</t>
  </si>
  <si>
    <t>出现机率（=V6/$V$2）</t>
  </si>
  <si>
    <t>07-image18.png</t>
  </si>
  <si>
    <t>image-18</t>
  </si>
  <si>
    <t>期望值（=X6*W6）</t>
  </si>
  <si>
    <t>08-image19.png</t>
  </si>
  <si>
    <t>image-19</t>
  </si>
  <si>
    <t>最终结果表与「总期望值 80%」</t>
  </si>
  <si>
    <t>8. 参考链接</t>
  </si>
  <si>
    <t>• 原文：&lt;https://ezslotdesign.com/firstslotmath/&gt;</t>
  </si>
  <si>
    <t>• 站内入口（回到文章机台）：&lt;https://ezslotdesign.com/#machine&gt;</t>
  </si>
  <si>
    <t>• 站点首页：&lt;https://ezslotdesign.com/&gt;</t>
  </si>
  <si>
    <t>• Excel 函数官方说明：</t>
  </si>
  <si>
    <t>• COUNTIF：&lt;https://support.office.com/zh-tw/article/e0de10c6-f885-4e71-abb4-1f464816df34&gt;</t>
  </si>
  <si>
    <t>• PRODUCT：&lt;https://support.office.com/zh-tw/article/8e6b5b24-90ee-4650-aeec-80982a0512ce&gt;</t>
  </si>
  <si>
    <t>• VLOOKUP：&lt;https://support.office.com/zh-tw/article/0bbc8083-26fe-4963-8ab8-93a18ad188a1&gt;</t>
  </si>
  <si>
    <t>• SUM：&lt;https://support.office.com/zh-tw/article/043e1c7d-7726-4e80-8f32-07b23e057f89&gt;</t>
  </si>
  <si>
    <t>转轮表（蓝色为输入；下方计数用 COUNTIF 自动重算）</t>
  </si>
  <si>
    <t>赔率表（列 = 连线数；S 行第 1 列 = 出现 3 个 SCATTER 的赔付，4/5 个不存在故为 0）</t>
  </si>
  <si>
    <t>每轮格数</t>
  </si>
  <si>
    <t>每个组合模式在各转轮上的出现次数（由「转轮表」的计数推导）</t>
  </si>
  <si>
    <t>模式</t>
  </si>
  <si>
    <t>符号计数（转轮 1~5） 各符号在各转轮的出现次数</t>
  </si>
  <si>
    <t>所有可能数</t>
  </si>
  <si>
    <t>说明：各转轮格数相乘（原文 20^5 = 3,200,000）</t>
  </si>
  <si>
    <t>WILD + 各符号(图案)个数</t>
  </si>
  <si>
    <t>注：「W符号」=WILD 或该图案；「X_W符号」= 既非 WILD 也非该图案；「3*S」=3 行视窗 × S 个数；「-」= 该轮不参与判定</t>
  </si>
  <si>
    <t>总期望值（RTP）= 上列期望值合计（原文：80%）</t>
  </si>
  <si>
    <t>非WILD + 也非各符号(图案)个数</t>
  </si>
  <si>
    <t>机率合计 = 命中率（任一组合中奖的概率，原文未列）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</si>
</sst>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%"/>
  </numFmts>
  <fonts count="32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4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3" borderId="4" applyNumberFormat="0" applyAlignment="0" applyProtection="0">
      <alignment vertical="center"/>
    </xf>
    <xf numFmtId="0" fontId="24" fillId="14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2" fillId="0" borderId="0" xfId="0" applyFont="1" applyBorder="1"/>
    <xf numFmtId="0" fontId="4" fillId="6" borderId="0" xfId="0" applyFont="1" applyFill="1" applyBorder="1"/>
    <xf numFmtId="0" fontId="3" fillId="7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5" fillId="9" borderId="0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3" fontId="6" fillId="0" borderId="0" xfId="0" applyNumberFormat="1" applyFont="1" applyBorder="1"/>
    <xf numFmtId="0" fontId="3" fillId="5" borderId="0" xfId="0" applyFont="1" applyFill="1" applyBorder="1"/>
    <xf numFmtId="0" fontId="5" fillId="0" borderId="0" xfId="0" applyFont="1" applyBorder="1"/>
    <xf numFmtId="0" fontId="7" fillId="5" borderId="0" xfId="0" applyFont="1" applyFill="1" applyBorder="1" applyAlignment="1">
      <alignment horizontal="center"/>
    </xf>
    <xf numFmtId="0" fontId="2" fillId="11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3" fontId="5" fillId="0" borderId="0" xfId="0" applyNumberFormat="1" applyFont="1" applyBorder="1"/>
    <xf numFmtId="176" fontId="5" fillId="0" borderId="0" xfId="0" applyNumberFormat="1" applyFont="1" applyBorder="1"/>
    <xf numFmtId="177" fontId="5" fillId="0" borderId="0" xfId="0" applyNumberFormat="1" applyFont="1" applyBorder="1"/>
    <xf numFmtId="0" fontId="7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/>
    <xf numFmtId="176" fontId="6" fillId="0" borderId="0" xfId="0" applyNumberFormat="1" applyFont="1" applyBorder="1"/>
    <xf numFmtId="177" fontId="6" fillId="4" borderId="0" xfId="0" applyNumberFormat="1" applyFont="1" applyFill="1" applyBorder="1"/>
    <xf numFmtId="0" fontId="2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8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0" fillId="0" borderId="0" xfId="0" applyNumberFormat="1" applyFont="1" applyAlignment="1">
      <alignment wrapText="1"/>
    </xf>
    <xf numFmtId="49" fontId="10" fillId="0" borderId="0" xfId="0" applyNumberFormat="1" applyFont="1" applyAlignment="1"/>
    <xf numFmtId="49" fontId="9" fillId="0" borderId="0" xfId="0" applyNumberFormat="1" applyFont="1" applyAlignment="1">
      <alignment wrapText="1"/>
    </xf>
    <xf numFmtId="49" fontId="5" fillId="0" borderId="0" xfId="0" applyNumberFormat="1" applyFont="1" applyAlignment="1"/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/>
    <xf numFmtId="49" fontId="1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2"/>
  <sheetViews>
    <sheetView workbookViewId="0">
      <selection activeCell="A1" sqref="A1:K1"/>
    </sheetView>
  </sheetViews>
  <sheetFormatPr defaultColWidth="9" defaultRowHeight="14"/>
  <cols>
    <col min="1" max="1" width="84.6363636363636" style="43" customWidth="1"/>
  </cols>
  <sheetData>
    <row r="1" ht="22" customHeight="1" spans="1:11">
      <c r="A1" s="44" t="s">
        <v>0</v>
      </c>
      <c r="B1" s="45" t="s">
        <v>1</v>
      </c>
      <c r="C1" s="45" t="s">
        <v>1</v>
      </c>
      <c r="D1" s="45" t="s">
        <v>1</v>
      </c>
      <c r="E1" s="45" t="s">
        <v>1</v>
      </c>
      <c r="F1" s="45" t="s">
        <v>1</v>
      </c>
      <c r="G1" s="45" t="s">
        <v>1</v>
      </c>
      <c r="H1" s="45" t="s">
        <v>1</v>
      </c>
      <c r="I1" s="45" t="s">
        <v>1</v>
      </c>
      <c r="J1" s="45" t="s">
        <v>1</v>
      </c>
      <c r="K1" s="45" t="s">
        <v>1</v>
      </c>
    </row>
    <row r="2" customHeight="1" spans="1:11">
      <c r="A2" s="46" t="s">
        <v>1</v>
      </c>
      <c r="B2" s="47" t="s">
        <v>1</v>
      </c>
      <c r="C2" s="47" t="s">
        <v>1</v>
      </c>
      <c r="D2" s="47" t="s">
        <v>1</v>
      </c>
      <c r="E2" s="47" t="s">
        <v>1</v>
      </c>
      <c r="F2" s="47" t="s">
        <v>1</v>
      </c>
      <c r="G2" s="47" t="s">
        <v>1</v>
      </c>
      <c r="H2" s="47" t="s">
        <v>1</v>
      </c>
      <c r="I2" s="47" t="s">
        <v>1</v>
      </c>
      <c r="J2" s="47" t="s">
        <v>1</v>
      </c>
      <c r="K2" s="47" t="s">
        <v>1</v>
      </c>
    </row>
    <row r="3" customHeight="1" spans="1:11">
      <c r="A3" s="48" t="s">
        <v>2</v>
      </c>
      <c r="B3" s="47" t="s">
        <v>1</v>
      </c>
      <c r="C3" s="47" t="s">
        <v>1</v>
      </c>
      <c r="D3" s="47" t="s">
        <v>1</v>
      </c>
      <c r="E3" s="47" t="s">
        <v>1</v>
      </c>
      <c r="F3" s="47" t="s">
        <v>1</v>
      </c>
      <c r="G3" s="47" t="s">
        <v>1</v>
      </c>
      <c r="H3" s="47" t="s">
        <v>1</v>
      </c>
      <c r="I3" s="47" t="s">
        <v>1</v>
      </c>
      <c r="J3" s="47" t="s">
        <v>1</v>
      </c>
      <c r="K3" s="47" t="s">
        <v>1</v>
      </c>
    </row>
    <row r="4" customHeight="1" spans="1:11">
      <c r="A4" s="46" t="s">
        <v>3</v>
      </c>
      <c r="B4" s="47" t="s">
        <v>1</v>
      </c>
      <c r="C4" s="47" t="s">
        <v>1</v>
      </c>
      <c r="D4" s="47" t="s">
        <v>1</v>
      </c>
      <c r="E4" s="47" t="s">
        <v>1</v>
      </c>
      <c r="F4" s="47" t="s">
        <v>1</v>
      </c>
      <c r="G4" s="47" t="s">
        <v>1</v>
      </c>
      <c r="H4" s="47" t="s">
        <v>1</v>
      </c>
      <c r="I4" s="47" t="s">
        <v>1</v>
      </c>
      <c r="J4" s="47" t="s">
        <v>1</v>
      </c>
      <c r="K4" s="47" t="s">
        <v>1</v>
      </c>
    </row>
    <row r="5" customHeight="1" spans="1:11">
      <c r="A5" s="46" t="s">
        <v>4</v>
      </c>
      <c r="B5" s="47" t="s">
        <v>1</v>
      </c>
      <c r="C5" s="47" t="s">
        <v>1</v>
      </c>
      <c r="D5" s="47" t="s">
        <v>1</v>
      </c>
      <c r="E5" s="47" t="s">
        <v>1</v>
      </c>
      <c r="F5" s="47" t="s">
        <v>1</v>
      </c>
      <c r="G5" s="47" t="s">
        <v>1</v>
      </c>
      <c r="H5" s="47" t="s">
        <v>1</v>
      </c>
      <c r="I5" s="47" t="s">
        <v>1</v>
      </c>
      <c r="J5" s="47" t="s">
        <v>1</v>
      </c>
      <c r="K5" s="47" t="s">
        <v>1</v>
      </c>
    </row>
    <row r="6" customHeight="1" spans="1:11">
      <c r="A6" s="46" t="s">
        <v>5</v>
      </c>
      <c r="B6" s="47" t="s">
        <v>1</v>
      </c>
      <c r="C6" s="47" t="s">
        <v>1</v>
      </c>
      <c r="D6" s="47" t="s">
        <v>1</v>
      </c>
      <c r="E6" s="47" t="s">
        <v>1</v>
      </c>
      <c r="F6" s="47" t="s">
        <v>1</v>
      </c>
      <c r="G6" s="47" t="s">
        <v>1</v>
      </c>
      <c r="H6" s="47" t="s">
        <v>1</v>
      </c>
      <c r="I6" s="47" t="s">
        <v>1</v>
      </c>
      <c r="J6" s="47" t="s">
        <v>1</v>
      </c>
      <c r="K6" s="47" t="s">
        <v>1</v>
      </c>
    </row>
    <row r="7" customHeight="1" spans="1:11">
      <c r="A7" s="46" t="s">
        <v>6</v>
      </c>
      <c r="B7" s="47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</row>
    <row r="8" customHeight="1" spans="1:11">
      <c r="A8" s="46" t="s">
        <v>7</v>
      </c>
      <c r="B8" s="47" t="s">
        <v>1</v>
      </c>
      <c r="C8" s="47" t="s">
        <v>1</v>
      </c>
      <c r="D8" s="47" t="s">
        <v>1</v>
      </c>
      <c r="E8" s="47" t="s">
        <v>1</v>
      </c>
      <c r="F8" s="47" t="s">
        <v>1</v>
      </c>
      <c r="G8" s="47" t="s">
        <v>1</v>
      </c>
      <c r="H8" s="47" t="s">
        <v>1</v>
      </c>
      <c r="I8" s="47" t="s">
        <v>1</v>
      </c>
      <c r="J8" s="47" t="s">
        <v>1</v>
      </c>
      <c r="K8" s="47" t="s">
        <v>1</v>
      </c>
    </row>
    <row r="9" customHeight="1" spans="1:11">
      <c r="A9" s="48" t="s">
        <v>8</v>
      </c>
      <c r="B9" s="47" t="s">
        <v>1</v>
      </c>
      <c r="C9" s="47" t="s">
        <v>1</v>
      </c>
      <c r="D9" s="47" t="s">
        <v>1</v>
      </c>
      <c r="E9" s="47" t="s">
        <v>1</v>
      </c>
      <c r="F9" s="47" t="s">
        <v>1</v>
      </c>
      <c r="G9" s="47" t="s">
        <v>1</v>
      </c>
      <c r="H9" s="47" t="s">
        <v>1</v>
      </c>
      <c r="I9" s="47" t="s">
        <v>1</v>
      </c>
      <c r="J9" s="47" t="s">
        <v>1</v>
      </c>
      <c r="K9" s="47" t="s">
        <v>1</v>
      </c>
    </row>
    <row r="10" customHeight="1" spans="1:11">
      <c r="A10" s="46" t="s">
        <v>9</v>
      </c>
      <c r="B10" s="47" t="s">
        <v>1</v>
      </c>
      <c r="C10" s="47" t="s">
        <v>1</v>
      </c>
      <c r="D10" s="47" t="s">
        <v>1</v>
      </c>
      <c r="E10" s="47" t="s">
        <v>1</v>
      </c>
      <c r="F10" s="47" t="s">
        <v>1</v>
      </c>
      <c r="G10" s="47" t="s">
        <v>1</v>
      </c>
      <c r="H10" s="47" t="s">
        <v>1</v>
      </c>
      <c r="I10" s="47" t="s">
        <v>1</v>
      </c>
      <c r="J10" s="47" t="s">
        <v>1</v>
      </c>
      <c r="K10" s="47" t="s">
        <v>1</v>
      </c>
    </row>
    <row r="11" customHeight="1" spans="1:11">
      <c r="A11" s="46" t="s">
        <v>10</v>
      </c>
      <c r="B11" s="47" t="s">
        <v>1</v>
      </c>
      <c r="C11" s="47" t="s">
        <v>1</v>
      </c>
      <c r="D11" s="47" t="s">
        <v>1</v>
      </c>
      <c r="E11" s="47" t="s">
        <v>1</v>
      </c>
      <c r="F11" s="47" t="s">
        <v>1</v>
      </c>
      <c r="G11" s="47" t="s">
        <v>1</v>
      </c>
      <c r="H11" s="47" t="s">
        <v>1</v>
      </c>
      <c r="I11" s="47" t="s">
        <v>1</v>
      </c>
      <c r="J11" s="47" t="s">
        <v>1</v>
      </c>
      <c r="K11" s="47" t="s">
        <v>1</v>
      </c>
    </row>
    <row r="12" customHeight="1" spans="1:11">
      <c r="A12" s="46" t="s">
        <v>11</v>
      </c>
      <c r="B12" s="47" t="s">
        <v>1</v>
      </c>
      <c r="C12" s="47" t="s">
        <v>1</v>
      </c>
      <c r="D12" s="47" t="s">
        <v>1</v>
      </c>
      <c r="E12" s="47" t="s">
        <v>1</v>
      </c>
      <c r="F12" s="47" t="s">
        <v>1</v>
      </c>
      <c r="G12" s="47" t="s">
        <v>1</v>
      </c>
      <c r="H12" s="47" t="s">
        <v>1</v>
      </c>
      <c r="I12" s="47" t="s">
        <v>1</v>
      </c>
      <c r="J12" s="47" t="s">
        <v>1</v>
      </c>
      <c r="K12" s="47" t="s">
        <v>1</v>
      </c>
    </row>
    <row r="13" customHeight="1" spans="1:11">
      <c r="A13" s="46" t="s">
        <v>12</v>
      </c>
      <c r="B13" s="47" t="s">
        <v>1</v>
      </c>
      <c r="C13" s="47" t="s">
        <v>1</v>
      </c>
      <c r="D13" s="47" t="s">
        <v>1</v>
      </c>
      <c r="E13" s="47" t="s">
        <v>1</v>
      </c>
      <c r="F13" s="47" t="s">
        <v>1</v>
      </c>
      <c r="G13" s="47" t="s">
        <v>1</v>
      </c>
      <c r="H13" s="47" t="s">
        <v>1</v>
      </c>
      <c r="I13" s="47" t="s">
        <v>1</v>
      </c>
      <c r="J13" s="47" t="s">
        <v>1</v>
      </c>
      <c r="K13" s="47" t="s">
        <v>1</v>
      </c>
    </row>
    <row r="14" customHeight="1" spans="1:11">
      <c r="A14" s="46" t="s">
        <v>13</v>
      </c>
      <c r="B14" s="47" t="s">
        <v>1</v>
      </c>
      <c r="C14" s="47" t="s">
        <v>1</v>
      </c>
      <c r="D14" s="47" t="s">
        <v>1</v>
      </c>
      <c r="E14" s="47" t="s">
        <v>1</v>
      </c>
      <c r="F14" s="47" t="s">
        <v>1</v>
      </c>
      <c r="G14" s="47" t="s">
        <v>1</v>
      </c>
      <c r="H14" s="47" t="s">
        <v>1</v>
      </c>
      <c r="I14" s="47" t="s">
        <v>1</v>
      </c>
      <c r="J14" s="47" t="s">
        <v>1</v>
      </c>
      <c r="K14" s="47" t="s">
        <v>1</v>
      </c>
    </row>
    <row r="15" customHeight="1" spans="1:11">
      <c r="A15" s="46" t="s">
        <v>1</v>
      </c>
      <c r="B15" s="47" t="s">
        <v>1</v>
      </c>
      <c r="C15" s="47" t="s">
        <v>1</v>
      </c>
      <c r="D15" s="47" t="s">
        <v>1</v>
      </c>
      <c r="E15" s="47" t="s">
        <v>1</v>
      </c>
      <c r="F15" s="47" t="s">
        <v>1</v>
      </c>
      <c r="G15" s="47" t="s">
        <v>1</v>
      </c>
      <c r="H15" s="47" t="s">
        <v>1</v>
      </c>
      <c r="I15" s="47" t="s">
        <v>1</v>
      </c>
      <c r="J15" s="47" t="s">
        <v>1</v>
      </c>
      <c r="K15" s="47" t="s">
        <v>1</v>
      </c>
    </row>
    <row r="16" customHeight="1" spans="1:11">
      <c r="A16" s="46" t="s">
        <v>14</v>
      </c>
      <c r="B16" s="47" t="s">
        <v>1</v>
      </c>
      <c r="C16" s="47" t="s">
        <v>1</v>
      </c>
      <c r="D16" s="47" t="s">
        <v>1</v>
      </c>
      <c r="E16" s="47" t="s">
        <v>1</v>
      </c>
      <c r="F16" s="47" t="s">
        <v>1</v>
      </c>
      <c r="G16" s="47" t="s">
        <v>1</v>
      </c>
      <c r="H16" s="47" t="s">
        <v>1</v>
      </c>
      <c r="I16" s="47" t="s">
        <v>1</v>
      </c>
      <c r="J16" s="47" t="s">
        <v>1</v>
      </c>
      <c r="K16" s="47" t="s">
        <v>1</v>
      </c>
    </row>
    <row r="17" customHeight="1" spans="1:11">
      <c r="A17" s="46" t="s">
        <v>15</v>
      </c>
      <c r="B17" s="47" t="s">
        <v>1</v>
      </c>
      <c r="C17" s="47" t="s">
        <v>1</v>
      </c>
      <c r="D17" s="47" t="s">
        <v>1</v>
      </c>
      <c r="E17" s="47" t="s">
        <v>1</v>
      </c>
      <c r="F17" s="47" t="s">
        <v>1</v>
      </c>
      <c r="G17" s="47" t="s">
        <v>1</v>
      </c>
      <c r="H17" s="47" t="s">
        <v>1</v>
      </c>
      <c r="I17" s="47" t="s">
        <v>1</v>
      </c>
      <c r="J17" s="47" t="s">
        <v>1</v>
      </c>
      <c r="K17" s="47" t="s">
        <v>1</v>
      </c>
    </row>
    <row r="18" ht="16.5" spans="1:11">
      <c r="A18" s="46" t="s">
        <v>1</v>
      </c>
      <c r="B18" s="47" t="s">
        <v>1</v>
      </c>
      <c r="C18" s="47" t="s">
        <v>1</v>
      </c>
      <c r="D18" s="47" t="s">
        <v>1</v>
      </c>
      <c r="E18" s="47" t="s">
        <v>1</v>
      </c>
      <c r="F18" s="47" t="s">
        <v>1</v>
      </c>
      <c r="G18" s="47" t="s">
        <v>1</v>
      </c>
      <c r="H18" s="47" t="s">
        <v>1</v>
      </c>
      <c r="I18" s="47" t="s">
        <v>1</v>
      </c>
      <c r="J18" s="47" t="s">
        <v>1</v>
      </c>
      <c r="K18" s="47" t="s">
        <v>1</v>
      </c>
    </row>
    <row r="19" ht="20" customHeight="1" spans="1:11">
      <c r="A19" s="49" t="s">
        <v>16</v>
      </c>
      <c r="B19" s="47" t="s">
        <v>1</v>
      </c>
      <c r="C19" s="47" t="s">
        <v>1</v>
      </c>
      <c r="D19" s="47" t="s">
        <v>1</v>
      </c>
      <c r="E19" s="47" t="s">
        <v>1</v>
      </c>
      <c r="F19" s="47" t="s">
        <v>1</v>
      </c>
      <c r="G19" s="47" t="s">
        <v>1</v>
      </c>
      <c r="H19" s="47" t="s">
        <v>1</v>
      </c>
      <c r="I19" s="47" t="s">
        <v>1</v>
      </c>
      <c r="J19" s="47" t="s">
        <v>1</v>
      </c>
      <c r="K19" s="47" t="s">
        <v>1</v>
      </c>
    </row>
    <row r="20" ht="24" customHeight="1" spans="1:11">
      <c r="A20" s="50" t="s">
        <v>17</v>
      </c>
      <c r="B20" s="51" t="s">
        <v>1</v>
      </c>
      <c r="C20" s="51" t="s">
        <v>1</v>
      </c>
      <c r="D20" s="51" t="s">
        <v>1</v>
      </c>
      <c r="E20" s="51" t="s">
        <v>1</v>
      </c>
      <c r="F20" s="51" t="s">
        <v>1</v>
      </c>
      <c r="G20" s="51" t="s">
        <v>1</v>
      </c>
      <c r="H20" s="51" t="s">
        <v>1</v>
      </c>
      <c r="I20" s="51" t="s">
        <v>1</v>
      </c>
      <c r="J20" s="51" t="s">
        <v>1</v>
      </c>
      <c r="K20" s="51" t="s">
        <v>1</v>
      </c>
    </row>
    <row r="21" spans="1:11">
      <c r="A21" s="52" t="s">
        <v>1</v>
      </c>
      <c r="B21" s="51" t="s">
        <v>1</v>
      </c>
      <c r="C21" s="51" t="s">
        <v>1</v>
      </c>
      <c r="D21" s="51" t="s">
        <v>1</v>
      </c>
      <c r="E21" s="51" t="s">
        <v>1</v>
      </c>
      <c r="F21" s="51" t="s">
        <v>1</v>
      </c>
      <c r="G21" s="51" t="s">
        <v>1</v>
      </c>
      <c r="H21" s="51" t="s">
        <v>1</v>
      </c>
      <c r="I21" s="51" t="s">
        <v>1</v>
      </c>
      <c r="J21" s="51" t="s">
        <v>1</v>
      </c>
      <c r="K21" s="51" t="s">
        <v>1</v>
      </c>
    </row>
    <row r="22" ht="16.5" spans="1:11">
      <c r="A22" s="53" t="s">
        <v>18</v>
      </c>
      <c r="B22" s="51" t="s">
        <v>1</v>
      </c>
      <c r="C22" s="51" t="s">
        <v>1</v>
      </c>
      <c r="D22" s="51" t="s">
        <v>1</v>
      </c>
      <c r="E22" s="51" t="s">
        <v>1</v>
      </c>
      <c r="F22" s="51" t="s">
        <v>1</v>
      </c>
      <c r="G22" s="51" t="s">
        <v>1</v>
      </c>
      <c r="H22" s="51" t="s">
        <v>1</v>
      </c>
      <c r="I22" s="51" t="s">
        <v>1</v>
      </c>
      <c r="J22" s="51" t="s">
        <v>1</v>
      </c>
      <c r="K22" s="51" t="s">
        <v>1</v>
      </c>
    </row>
    <row r="23" ht="16.5" spans="1:11">
      <c r="A23" s="53" t="s">
        <v>19</v>
      </c>
      <c r="B23" s="51" t="s">
        <v>1</v>
      </c>
      <c r="C23" s="51" t="s">
        <v>1</v>
      </c>
      <c r="D23" s="51" t="s">
        <v>1</v>
      </c>
      <c r="E23" s="51" t="s">
        <v>1</v>
      </c>
      <c r="F23" s="51" t="s">
        <v>1</v>
      </c>
      <c r="G23" s="51" t="s">
        <v>1</v>
      </c>
      <c r="H23" s="51" t="s">
        <v>1</v>
      </c>
      <c r="I23" s="51" t="s">
        <v>1</v>
      </c>
      <c r="J23" s="51" t="s">
        <v>1</v>
      </c>
      <c r="K23" s="51" t="s">
        <v>1</v>
      </c>
    </row>
    <row r="24" ht="16.5" spans="1:11">
      <c r="A24" s="53" t="s">
        <v>20</v>
      </c>
      <c r="B24" s="51" t="s">
        <v>1</v>
      </c>
      <c r="C24" s="51" t="s">
        <v>1</v>
      </c>
      <c r="D24" s="51" t="s">
        <v>1</v>
      </c>
      <c r="E24" s="51" t="s">
        <v>1</v>
      </c>
      <c r="F24" s="51" t="s">
        <v>1</v>
      </c>
      <c r="G24" s="51" t="s">
        <v>1</v>
      </c>
      <c r="H24" s="51" t="s">
        <v>1</v>
      </c>
      <c r="I24" s="51" t="s">
        <v>1</v>
      </c>
      <c r="J24" s="51" t="s">
        <v>1</v>
      </c>
      <c r="K24" s="51" t="s">
        <v>1</v>
      </c>
    </row>
    <row r="25" ht="16.5" spans="1:11">
      <c r="A25" s="54" t="s">
        <v>21</v>
      </c>
      <c r="B25" s="51" t="s">
        <v>1</v>
      </c>
      <c r="C25" s="51" t="s">
        <v>1</v>
      </c>
      <c r="D25" s="51" t="s">
        <v>1</v>
      </c>
      <c r="E25" s="51" t="s">
        <v>1</v>
      </c>
      <c r="F25" s="51" t="s">
        <v>1</v>
      </c>
      <c r="G25" s="51" t="s">
        <v>1</v>
      </c>
      <c r="H25" s="51" t="s">
        <v>1</v>
      </c>
      <c r="I25" s="51" t="s">
        <v>1</v>
      </c>
      <c r="J25" s="51" t="s">
        <v>1</v>
      </c>
      <c r="K25" s="51" t="s">
        <v>1</v>
      </c>
    </row>
    <row r="26" ht="20" customHeight="1" spans="1:11">
      <c r="A26" s="55" t="s">
        <v>22</v>
      </c>
      <c r="B26" s="51" t="s">
        <v>1</v>
      </c>
      <c r="C26" s="51" t="s">
        <v>1</v>
      </c>
      <c r="D26" s="51" t="s">
        <v>1</v>
      </c>
      <c r="E26" s="51" t="s">
        <v>1</v>
      </c>
      <c r="F26" s="51" t="s">
        <v>1</v>
      </c>
      <c r="G26" s="51" t="s">
        <v>1</v>
      </c>
      <c r="H26" s="51" t="s">
        <v>1</v>
      </c>
      <c r="I26" s="51" t="s">
        <v>1</v>
      </c>
      <c r="J26" s="51" t="s">
        <v>1</v>
      </c>
      <c r="K26" s="51" t="s">
        <v>1</v>
      </c>
    </row>
    <row r="27" spans="1:11">
      <c r="A27" s="52" t="s">
        <v>1</v>
      </c>
      <c r="B27" s="51" t="s">
        <v>1</v>
      </c>
      <c r="C27" s="51" t="s">
        <v>1</v>
      </c>
      <c r="D27" s="51" t="s">
        <v>1</v>
      </c>
      <c r="E27" s="51" t="s">
        <v>1</v>
      </c>
      <c r="F27" s="51" t="s">
        <v>1</v>
      </c>
      <c r="G27" s="51" t="s">
        <v>1</v>
      </c>
      <c r="H27" s="51" t="s">
        <v>1</v>
      </c>
      <c r="I27" s="51" t="s">
        <v>1</v>
      </c>
      <c r="J27" s="51" t="s">
        <v>1</v>
      </c>
      <c r="K27" s="51" t="s">
        <v>1</v>
      </c>
    </row>
    <row r="28" ht="16.5" spans="1:11">
      <c r="A28" s="56" t="s">
        <v>23</v>
      </c>
      <c r="B28" s="51" t="s">
        <v>1</v>
      </c>
      <c r="C28" s="51" t="s">
        <v>1</v>
      </c>
      <c r="D28" s="51" t="s">
        <v>1</v>
      </c>
      <c r="E28" s="51" t="s">
        <v>1</v>
      </c>
      <c r="F28" s="51" t="s">
        <v>1</v>
      </c>
      <c r="G28" s="51" t="s">
        <v>1</v>
      </c>
      <c r="H28" s="51" t="s">
        <v>1</v>
      </c>
      <c r="I28" s="51" t="s">
        <v>1</v>
      </c>
      <c r="J28" s="51" t="s">
        <v>1</v>
      </c>
      <c r="K28" s="51" t="s">
        <v>1</v>
      </c>
    </row>
    <row r="29" ht="20" customHeight="1" spans="1:11">
      <c r="A29" s="55" t="s">
        <v>24</v>
      </c>
      <c r="B29" s="51" t="s">
        <v>1</v>
      </c>
      <c r="C29" s="51" t="s">
        <v>1</v>
      </c>
      <c r="D29" s="51" t="s">
        <v>1</v>
      </c>
      <c r="E29" s="51" t="s">
        <v>1</v>
      </c>
      <c r="F29" s="51" t="s">
        <v>1</v>
      </c>
      <c r="G29" s="51" t="s">
        <v>1</v>
      </c>
      <c r="H29" s="51" t="s">
        <v>1</v>
      </c>
      <c r="I29" s="51" t="s">
        <v>1</v>
      </c>
      <c r="J29" s="51" t="s">
        <v>1</v>
      </c>
      <c r="K29" s="51" t="s">
        <v>1</v>
      </c>
    </row>
    <row r="30" spans="1:11">
      <c r="A30" s="52" t="s">
        <v>1</v>
      </c>
      <c r="B30" s="51" t="s">
        <v>1</v>
      </c>
      <c r="C30" s="51" t="s">
        <v>1</v>
      </c>
      <c r="D30" s="51" t="s">
        <v>1</v>
      </c>
      <c r="E30" s="51" t="s">
        <v>1</v>
      </c>
      <c r="F30" s="51" t="s">
        <v>1</v>
      </c>
      <c r="G30" s="51" t="s">
        <v>1</v>
      </c>
      <c r="H30" s="51" t="s">
        <v>1</v>
      </c>
      <c r="I30" s="51" t="s">
        <v>1</v>
      </c>
      <c r="J30" s="51" t="s">
        <v>1</v>
      </c>
      <c r="K30" s="51" t="s">
        <v>1</v>
      </c>
    </row>
    <row r="31" ht="18" customHeight="1" spans="1:11">
      <c r="A31" s="57" t="s">
        <v>25</v>
      </c>
      <c r="B31" s="58" t="s">
        <v>26</v>
      </c>
      <c r="C31" s="51" t="s">
        <v>1</v>
      </c>
      <c r="D31" s="51" t="s">
        <v>1</v>
      </c>
      <c r="E31" s="51" t="s">
        <v>1</v>
      </c>
      <c r="F31" s="51" t="s">
        <v>1</v>
      </c>
      <c r="G31" s="51" t="s">
        <v>1</v>
      </c>
      <c r="H31" s="51" t="s">
        <v>1</v>
      </c>
      <c r="I31" s="51" t="s">
        <v>1</v>
      </c>
      <c r="J31" s="51" t="s">
        <v>1</v>
      </c>
      <c r="K31" s="51" t="s">
        <v>1</v>
      </c>
    </row>
    <row r="32" ht="14.5" spans="1:11">
      <c r="A32" s="59" t="s">
        <v>27</v>
      </c>
      <c r="B32" s="60" t="s">
        <v>28</v>
      </c>
      <c r="C32" s="51" t="s">
        <v>1</v>
      </c>
      <c r="D32" s="51" t="s">
        <v>1</v>
      </c>
      <c r="E32" s="51" t="s">
        <v>1</v>
      </c>
      <c r="F32" s="51" t="s">
        <v>1</v>
      </c>
      <c r="G32" s="51" t="s">
        <v>1</v>
      </c>
      <c r="H32" s="51" t="s">
        <v>1</v>
      </c>
      <c r="I32" s="51" t="s">
        <v>1</v>
      </c>
      <c r="J32" s="51" t="s">
        <v>1</v>
      </c>
      <c r="K32" s="51" t="s">
        <v>1</v>
      </c>
    </row>
    <row r="33" ht="14.5" spans="1:11">
      <c r="A33" s="59" t="s">
        <v>29</v>
      </c>
      <c r="B33" s="60" t="s">
        <v>30</v>
      </c>
      <c r="C33" s="51" t="s">
        <v>1</v>
      </c>
      <c r="D33" s="51" t="s">
        <v>1</v>
      </c>
      <c r="E33" s="51" t="s">
        <v>1</v>
      </c>
      <c r="F33" s="51" t="s">
        <v>1</v>
      </c>
      <c r="G33" s="51" t="s">
        <v>1</v>
      </c>
      <c r="H33" s="51" t="s">
        <v>1</v>
      </c>
      <c r="I33" s="51" t="s">
        <v>1</v>
      </c>
      <c r="J33" s="51" t="s">
        <v>1</v>
      </c>
      <c r="K33" s="51" t="s">
        <v>1</v>
      </c>
    </row>
    <row r="34" ht="14.5" spans="1:11">
      <c r="A34" s="59" t="s">
        <v>31</v>
      </c>
      <c r="B34" s="60" t="s">
        <v>32</v>
      </c>
      <c r="C34" s="51" t="s">
        <v>1</v>
      </c>
      <c r="D34" s="51" t="s">
        <v>1</v>
      </c>
      <c r="E34" s="51" t="s">
        <v>1</v>
      </c>
      <c r="F34" s="51" t="s">
        <v>1</v>
      </c>
      <c r="G34" s="51" t="s">
        <v>1</v>
      </c>
      <c r="H34" s="51" t="s">
        <v>1</v>
      </c>
      <c r="I34" s="51" t="s">
        <v>1</v>
      </c>
      <c r="J34" s="51" t="s">
        <v>1</v>
      </c>
      <c r="K34" s="51" t="s">
        <v>1</v>
      </c>
    </row>
    <row r="35" ht="14.5" spans="1:11">
      <c r="A35" s="59" t="s">
        <v>33</v>
      </c>
      <c r="B35" s="60" t="s">
        <v>34</v>
      </c>
      <c r="C35" s="51" t="s">
        <v>1</v>
      </c>
      <c r="D35" s="51" t="s">
        <v>1</v>
      </c>
      <c r="E35" s="51" t="s">
        <v>1</v>
      </c>
      <c r="F35" s="51" t="s">
        <v>1</v>
      </c>
      <c r="G35" s="51" t="s">
        <v>1</v>
      </c>
      <c r="H35" s="51" t="s">
        <v>1</v>
      </c>
      <c r="I35" s="51" t="s">
        <v>1</v>
      </c>
      <c r="J35" s="51" t="s">
        <v>1</v>
      </c>
      <c r="K35" s="51" t="s">
        <v>1</v>
      </c>
    </row>
    <row r="36" ht="14.5" spans="1:11">
      <c r="A36" s="59" t="s">
        <v>35</v>
      </c>
      <c r="B36" s="60" t="s">
        <v>36</v>
      </c>
      <c r="C36" s="51" t="s">
        <v>1</v>
      </c>
      <c r="D36" s="51" t="s">
        <v>1</v>
      </c>
      <c r="E36" s="51" t="s">
        <v>1</v>
      </c>
      <c r="F36" s="51" t="s">
        <v>1</v>
      </c>
      <c r="G36" s="51" t="s">
        <v>1</v>
      </c>
      <c r="H36" s="51" t="s">
        <v>1</v>
      </c>
      <c r="I36" s="51" t="s">
        <v>1</v>
      </c>
      <c r="J36" s="51" t="s">
        <v>1</v>
      </c>
      <c r="K36" s="51" t="s">
        <v>1</v>
      </c>
    </row>
    <row r="37" spans="1:11">
      <c r="A37" s="52" t="s">
        <v>1</v>
      </c>
      <c r="B37" s="51" t="s">
        <v>1</v>
      </c>
      <c r="C37" s="51" t="s">
        <v>1</v>
      </c>
      <c r="D37" s="51" t="s">
        <v>1</v>
      </c>
      <c r="E37" s="51" t="s">
        <v>1</v>
      </c>
      <c r="F37" s="51" t="s">
        <v>1</v>
      </c>
      <c r="G37" s="51" t="s">
        <v>1</v>
      </c>
      <c r="H37" s="51" t="s">
        <v>1</v>
      </c>
      <c r="I37" s="51" t="s">
        <v>1</v>
      </c>
      <c r="J37" s="51" t="s">
        <v>1</v>
      </c>
      <c r="K37" s="51" t="s">
        <v>1</v>
      </c>
    </row>
    <row r="38" ht="16.5" spans="1:11">
      <c r="A38" s="53" t="s">
        <v>37</v>
      </c>
      <c r="B38" s="51" t="s">
        <v>1</v>
      </c>
      <c r="C38" s="51" t="s">
        <v>1</v>
      </c>
      <c r="D38" s="51" t="s">
        <v>1</v>
      </c>
      <c r="E38" s="51" t="s">
        <v>1</v>
      </c>
      <c r="F38" s="51" t="s">
        <v>1</v>
      </c>
      <c r="G38" s="51" t="s">
        <v>1</v>
      </c>
      <c r="H38" s="51" t="s">
        <v>1</v>
      </c>
      <c r="I38" s="51" t="s">
        <v>1</v>
      </c>
      <c r="J38" s="51" t="s">
        <v>1</v>
      </c>
      <c r="K38" s="51" t="s">
        <v>1</v>
      </c>
    </row>
    <row r="39" ht="17" customHeight="1" spans="1:11">
      <c r="A39" s="61" t="s">
        <v>38</v>
      </c>
      <c r="B39" s="51" t="s">
        <v>1</v>
      </c>
      <c r="C39" s="51" t="s">
        <v>1</v>
      </c>
      <c r="D39" s="51" t="s">
        <v>1</v>
      </c>
      <c r="E39" s="51" t="s">
        <v>1</v>
      </c>
      <c r="F39" s="51" t="s">
        <v>1</v>
      </c>
      <c r="G39" s="51" t="s">
        <v>1</v>
      </c>
      <c r="H39" s="51" t="s">
        <v>1</v>
      </c>
      <c r="I39" s="51" t="s">
        <v>1</v>
      </c>
      <c r="J39" s="51" t="s">
        <v>1</v>
      </c>
      <c r="K39" s="51" t="s">
        <v>1</v>
      </c>
    </row>
    <row r="40" ht="16.5" spans="1:11">
      <c r="A40" s="62" t="s">
        <v>39</v>
      </c>
      <c r="B40" s="51" t="s">
        <v>1</v>
      </c>
      <c r="C40" s="51" t="s">
        <v>1</v>
      </c>
      <c r="D40" s="51" t="s">
        <v>1</v>
      </c>
      <c r="E40" s="51" t="s">
        <v>1</v>
      </c>
      <c r="F40" s="51" t="s">
        <v>1</v>
      </c>
      <c r="G40" s="51" t="s">
        <v>1</v>
      </c>
      <c r="H40" s="51" t="s">
        <v>1</v>
      </c>
      <c r="I40" s="51" t="s">
        <v>1</v>
      </c>
      <c r="J40" s="51" t="s">
        <v>1</v>
      </c>
      <c r="K40" s="51" t="s">
        <v>1</v>
      </c>
    </row>
    <row r="41" ht="17" customHeight="1" spans="1:11">
      <c r="A41" s="61" t="s">
        <v>40</v>
      </c>
      <c r="B41" s="51" t="s">
        <v>1</v>
      </c>
      <c r="C41" s="51" t="s">
        <v>1</v>
      </c>
      <c r="D41" s="51" t="s">
        <v>1</v>
      </c>
      <c r="E41" s="51" t="s">
        <v>1</v>
      </c>
      <c r="F41" s="51" t="s">
        <v>1</v>
      </c>
      <c r="G41" s="51" t="s">
        <v>1</v>
      </c>
      <c r="H41" s="51" t="s">
        <v>1</v>
      </c>
      <c r="I41" s="51" t="s">
        <v>1</v>
      </c>
      <c r="J41" s="51" t="s">
        <v>1</v>
      </c>
      <c r="K41" s="51" t="s">
        <v>1</v>
      </c>
    </row>
    <row r="42" ht="16.5" spans="1:11">
      <c r="A42" s="62" t="s">
        <v>41</v>
      </c>
      <c r="B42" s="51" t="s">
        <v>1</v>
      </c>
      <c r="C42" s="51" t="s">
        <v>1</v>
      </c>
      <c r="D42" s="51" t="s">
        <v>1</v>
      </c>
      <c r="E42" s="51" t="s">
        <v>1</v>
      </c>
      <c r="F42" s="51" t="s">
        <v>1</v>
      </c>
      <c r="G42" s="51" t="s">
        <v>1</v>
      </c>
      <c r="H42" s="51" t="s">
        <v>1</v>
      </c>
      <c r="I42" s="51" t="s">
        <v>1</v>
      </c>
      <c r="J42" s="51" t="s">
        <v>1</v>
      </c>
      <c r="K42" s="51" t="s">
        <v>1</v>
      </c>
    </row>
    <row r="43" ht="18" customHeight="1" spans="1:11">
      <c r="A43" s="57" t="s">
        <v>42</v>
      </c>
      <c r="B43" s="58" t="s">
        <v>43</v>
      </c>
      <c r="C43" s="58" t="s">
        <v>44</v>
      </c>
      <c r="D43" s="58" t="s">
        <v>45</v>
      </c>
      <c r="E43" s="51" t="s">
        <v>1</v>
      </c>
      <c r="F43" s="51" t="s">
        <v>1</v>
      </c>
      <c r="G43" s="51" t="s">
        <v>1</v>
      </c>
      <c r="H43" s="51" t="s">
        <v>1</v>
      </c>
      <c r="I43" s="51" t="s">
        <v>1</v>
      </c>
      <c r="J43" s="51" t="s">
        <v>1</v>
      </c>
      <c r="K43" s="51" t="s">
        <v>1</v>
      </c>
    </row>
    <row r="44" ht="14.5" spans="1:11">
      <c r="A44" s="59" t="s">
        <v>46</v>
      </c>
      <c r="B44" s="60" t="s">
        <v>47</v>
      </c>
      <c r="C44" s="60" t="s">
        <v>48</v>
      </c>
      <c r="D44" s="60" t="s">
        <v>49</v>
      </c>
      <c r="E44" s="51" t="s">
        <v>1</v>
      </c>
      <c r="F44" s="51" t="s">
        <v>1</v>
      </c>
      <c r="G44" s="51" t="s">
        <v>1</v>
      </c>
      <c r="H44" s="51" t="s">
        <v>1</v>
      </c>
      <c r="I44" s="51" t="s">
        <v>1</v>
      </c>
      <c r="J44" s="51" t="s">
        <v>1</v>
      </c>
      <c r="K44" s="51" t="s">
        <v>1</v>
      </c>
    </row>
    <row r="45" ht="14.5" spans="1:11">
      <c r="A45" s="59" t="s">
        <v>50</v>
      </c>
      <c r="B45" s="60" t="s">
        <v>47</v>
      </c>
      <c r="C45" s="60" t="s">
        <v>51</v>
      </c>
      <c r="D45" s="60" t="s">
        <v>49</v>
      </c>
      <c r="E45" s="51" t="s">
        <v>1</v>
      </c>
      <c r="F45" s="51" t="s">
        <v>1</v>
      </c>
      <c r="G45" s="51" t="s">
        <v>1</v>
      </c>
      <c r="H45" s="51" t="s">
        <v>1</v>
      </c>
      <c r="I45" s="51" t="s">
        <v>1</v>
      </c>
      <c r="J45" s="51" t="s">
        <v>1</v>
      </c>
      <c r="K45" s="51" t="s">
        <v>1</v>
      </c>
    </row>
    <row r="46" ht="14.5" spans="1:11">
      <c r="A46" s="59" t="s">
        <v>52</v>
      </c>
      <c r="B46" s="60" t="s">
        <v>47</v>
      </c>
      <c r="C46" s="60" t="s">
        <v>53</v>
      </c>
      <c r="D46" s="60" t="s">
        <v>54</v>
      </c>
      <c r="E46" s="51" t="s">
        <v>1</v>
      </c>
      <c r="F46" s="51" t="s">
        <v>1</v>
      </c>
      <c r="G46" s="51" t="s">
        <v>1</v>
      </c>
      <c r="H46" s="51" t="s">
        <v>1</v>
      </c>
      <c r="I46" s="51" t="s">
        <v>1</v>
      </c>
      <c r="J46" s="51" t="s">
        <v>1</v>
      </c>
      <c r="K46" s="51" t="s">
        <v>1</v>
      </c>
    </row>
    <row r="47" ht="14.5" spans="1:11">
      <c r="A47" s="59" t="s">
        <v>55</v>
      </c>
      <c r="B47" s="60" t="s">
        <v>47</v>
      </c>
      <c r="C47" s="60" t="s">
        <v>53</v>
      </c>
      <c r="D47" s="60" t="s">
        <v>54</v>
      </c>
      <c r="E47" s="51" t="s">
        <v>1</v>
      </c>
      <c r="F47" s="51" t="s">
        <v>1</v>
      </c>
      <c r="G47" s="51" t="s">
        <v>1</v>
      </c>
      <c r="H47" s="51" t="s">
        <v>1</v>
      </c>
      <c r="I47" s="51" t="s">
        <v>1</v>
      </c>
      <c r="J47" s="51" t="s">
        <v>1</v>
      </c>
      <c r="K47" s="51" t="s">
        <v>1</v>
      </c>
    </row>
    <row r="48" ht="14.5" spans="1:11">
      <c r="A48" s="59" t="s">
        <v>56</v>
      </c>
      <c r="B48" s="60" t="s">
        <v>47</v>
      </c>
      <c r="C48" s="60" t="s">
        <v>55</v>
      </c>
      <c r="D48" s="60" t="s">
        <v>57</v>
      </c>
      <c r="E48" s="51" t="s">
        <v>1</v>
      </c>
      <c r="F48" s="51" t="s">
        <v>1</v>
      </c>
      <c r="G48" s="51" t="s">
        <v>1</v>
      </c>
      <c r="H48" s="51" t="s">
        <v>1</v>
      </c>
      <c r="I48" s="51" t="s">
        <v>1</v>
      </c>
      <c r="J48" s="51" t="s">
        <v>1</v>
      </c>
      <c r="K48" s="51" t="s">
        <v>1</v>
      </c>
    </row>
    <row r="49" ht="30" customHeight="1" spans="1:11">
      <c r="A49" s="59" t="s">
        <v>58</v>
      </c>
      <c r="B49" s="59" t="s">
        <v>59</v>
      </c>
      <c r="C49" s="59" t="s">
        <v>60</v>
      </c>
      <c r="D49" s="60" t="s">
        <v>61</v>
      </c>
      <c r="E49" s="51" t="s">
        <v>1</v>
      </c>
      <c r="F49" s="51" t="s">
        <v>1</v>
      </c>
      <c r="G49" s="51" t="s">
        <v>1</v>
      </c>
      <c r="H49" s="51" t="s">
        <v>1</v>
      </c>
      <c r="I49" s="51" t="s">
        <v>1</v>
      </c>
      <c r="J49" s="51" t="s">
        <v>1</v>
      </c>
      <c r="K49" s="51" t="s">
        <v>1</v>
      </c>
    </row>
    <row r="50" spans="1:11">
      <c r="A50" s="52" t="s">
        <v>1</v>
      </c>
      <c r="B50" s="51" t="s">
        <v>1</v>
      </c>
      <c r="C50" s="51" t="s">
        <v>1</v>
      </c>
      <c r="D50" s="51" t="s">
        <v>1</v>
      </c>
      <c r="E50" s="51" t="s">
        <v>1</v>
      </c>
      <c r="F50" s="51" t="s">
        <v>1</v>
      </c>
      <c r="G50" s="51" t="s">
        <v>1</v>
      </c>
      <c r="H50" s="51" t="s">
        <v>1</v>
      </c>
      <c r="I50" s="51" t="s">
        <v>1</v>
      </c>
      <c r="J50" s="51" t="s">
        <v>1</v>
      </c>
      <c r="K50" s="51" t="s">
        <v>1</v>
      </c>
    </row>
    <row r="51" ht="16.5" spans="1:11">
      <c r="A51" s="53" t="s">
        <v>62</v>
      </c>
      <c r="B51" s="51" t="s">
        <v>1</v>
      </c>
      <c r="C51" s="51" t="s">
        <v>1</v>
      </c>
      <c r="D51" s="51" t="s">
        <v>1</v>
      </c>
      <c r="E51" s="51" t="s">
        <v>1</v>
      </c>
      <c r="F51" s="51" t="s">
        <v>1</v>
      </c>
      <c r="G51" s="51" t="s">
        <v>1</v>
      </c>
      <c r="H51" s="51" t="s">
        <v>1</v>
      </c>
      <c r="I51" s="51" t="s">
        <v>1</v>
      </c>
      <c r="J51" s="51" t="s">
        <v>1</v>
      </c>
      <c r="K51" s="51" t="s">
        <v>1</v>
      </c>
    </row>
    <row r="52" ht="20" customHeight="1" spans="1:11">
      <c r="A52" s="55" t="s">
        <v>63</v>
      </c>
      <c r="B52" s="51" t="s">
        <v>1</v>
      </c>
      <c r="C52" s="51" t="s">
        <v>1</v>
      </c>
      <c r="D52" s="51" t="s">
        <v>1</v>
      </c>
      <c r="E52" s="51" t="s">
        <v>1</v>
      </c>
      <c r="F52" s="51" t="s">
        <v>1</v>
      </c>
      <c r="G52" s="51" t="s">
        <v>1</v>
      </c>
      <c r="H52" s="51" t="s">
        <v>1</v>
      </c>
      <c r="I52" s="51" t="s">
        <v>1</v>
      </c>
      <c r="J52" s="51" t="s">
        <v>1</v>
      </c>
      <c r="K52" s="51" t="s">
        <v>1</v>
      </c>
    </row>
    <row r="53" spans="1:11">
      <c r="A53" s="52" t="s">
        <v>1</v>
      </c>
      <c r="B53" s="51" t="s">
        <v>1</v>
      </c>
      <c r="C53" s="51" t="s">
        <v>1</v>
      </c>
      <c r="D53" s="51" t="s">
        <v>1</v>
      </c>
      <c r="E53" s="51" t="s">
        <v>1</v>
      </c>
      <c r="F53" s="51" t="s">
        <v>1</v>
      </c>
      <c r="G53" s="51" t="s">
        <v>1</v>
      </c>
      <c r="H53" s="51" t="s">
        <v>1</v>
      </c>
      <c r="I53" s="51" t="s">
        <v>1</v>
      </c>
      <c r="J53" s="51" t="s">
        <v>1</v>
      </c>
      <c r="K53" s="51" t="s">
        <v>1</v>
      </c>
    </row>
    <row r="54" ht="17" customHeight="1" spans="1:11">
      <c r="A54" s="61" t="s">
        <v>64</v>
      </c>
      <c r="B54" s="51" t="s">
        <v>1</v>
      </c>
      <c r="C54" s="51" t="s">
        <v>1</v>
      </c>
      <c r="D54" s="51" t="s">
        <v>1</v>
      </c>
      <c r="E54" s="51" t="s">
        <v>1</v>
      </c>
      <c r="F54" s="51" t="s">
        <v>1</v>
      </c>
      <c r="G54" s="51" t="s">
        <v>1</v>
      </c>
      <c r="H54" s="51" t="s">
        <v>1</v>
      </c>
      <c r="I54" s="51" t="s">
        <v>1</v>
      </c>
      <c r="J54" s="51" t="s">
        <v>1</v>
      </c>
      <c r="K54" s="51" t="s">
        <v>1</v>
      </c>
    </row>
    <row r="55" ht="16.5" spans="1:11">
      <c r="A55" s="62" t="s">
        <v>65</v>
      </c>
      <c r="B55" s="51" t="s">
        <v>1</v>
      </c>
      <c r="C55" s="51" t="s">
        <v>1</v>
      </c>
      <c r="D55" s="51" t="s">
        <v>1</v>
      </c>
      <c r="E55" s="51" t="s">
        <v>1</v>
      </c>
      <c r="F55" s="51" t="s">
        <v>1</v>
      </c>
      <c r="G55" s="51" t="s">
        <v>1</v>
      </c>
      <c r="H55" s="51" t="s">
        <v>1</v>
      </c>
      <c r="I55" s="51" t="s">
        <v>1</v>
      </c>
      <c r="J55" s="51" t="s">
        <v>1</v>
      </c>
      <c r="K55" s="51" t="s">
        <v>1</v>
      </c>
    </row>
    <row r="56" ht="16.5" spans="1:11">
      <c r="A56" s="62" t="s">
        <v>66</v>
      </c>
      <c r="B56" s="51" t="s">
        <v>1</v>
      </c>
      <c r="C56" s="51" t="s">
        <v>1</v>
      </c>
      <c r="D56" s="51" t="s">
        <v>1</v>
      </c>
      <c r="E56" s="51" t="s">
        <v>1</v>
      </c>
      <c r="F56" s="51" t="s">
        <v>1</v>
      </c>
      <c r="G56" s="51" t="s">
        <v>1</v>
      </c>
      <c r="H56" s="51" t="s">
        <v>1</v>
      </c>
      <c r="I56" s="51" t="s">
        <v>1</v>
      </c>
      <c r="J56" s="51" t="s">
        <v>1</v>
      </c>
      <c r="K56" s="51" t="s">
        <v>1</v>
      </c>
    </row>
    <row r="57" ht="18" customHeight="1" spans="1:11">
      <c r="A57" s="57" t="s">
        <v>67</v>
      </c>
      <c r="B57" s="58" t="s">
        <v>68</v>
      </c>
      <c r="C57" s="58" t="s">
        <v>69</v>
      </c>
      <c r="D57" s="58" t="s">
        <v>70</v>
      </c>
      <c r="E57" s="58" t="s">
        <v>71</v>
      </c>
      <c r="F57" s="58" t="s">
        <v>72</v>
      </c>
      <c r="G57" s="58" t="s">
        <v>73</v>
      </c>
      <c r="H57" s="51" t="s">
        <v>1</v>
      </c>
      <c r="I57" s="51" t="s">
        <v>1</v>
      </c>
      <c r="J57" s="51" t="s">
        <v>1</v>
      </c>
      <c r="K57" s="51" t="s">
        <v>1</v>
      </c>
    </row>
    <row r="58" ht="14.5" spans="1:11">
      <c r="A58" s="59" t="s">
        <v>74</v>
      </c>
      <c r="B58" s="60" t="s">
        <v>75</v>
      </c>
      <c r="C58" s="60" t="s">
        <v>76</v>
      </c>
      <c r="D58" s="60" t="s">
        <v>76</v>
      </c>
      <c r="E58" s="60" t="s">
        <v>76</v>
      </c>
      <c r="F58" s="60" t="s">
        <v>76</v>
      </c>
      <c r="G58" s="60" t="s">
        <v>77</v>
      </c>
      <c r="H58" s="51" t="s">
        <v>1</v>
      </c>
      <c r="I58" s="51" t="s">
        <v>1</v>
      </c>
      <c r="J58" s="51" t="s">
        <v>1</v>
      </c>
      <c r="K58" s="51" t="s">
        <v>1</v>
      </c>
    </row>
    <row r="59" ht="14.5" spans="1:11">
      <c r="A59" s="59" t="s">
        <v>46</v>
      </c>
      <c r="B59" s="60" t="s">
        <v>78</v>
      </c>
      <c r="C59" s="60" t="s">
        <v>79</v>
      </c>
      <c r="D59" s="60" t="s">
        <v>79</v>
      </c>
      <c r="E59" s="60" t="s">
        <v>79</v>
      </c>
      <c r="F59" s="60" t="s">
        <v>79</v>
      </c>
      <c r="G59" s="60" t="s">
        <v>80</v>
      </c>
      <c r="H59" s="51" t="s">
        <v>1</v>
      </c>
      <c r="I59" s="51" t="s">
        <v>1</v>
      </c>
      <c r="J59" s="51" t="s">
        <v>1</v>
      </c>
      <c r="K59" s="51" t="s">
        <v>1</v>
      </c>
    </row>
    <row r="60" ht="14.5" spans="1:11">
      <c r="A60" s="59" t="s">
        <v>50</v>
      </c>
      <c r="B60" s="60" t="s">
        <v>79</v>
      </c>
      <c r="C60" s="60" t="s">
        <v>79</v>
      </c>
      <c r="D60" s="60" t="s">
        <v>79</v>
      </c>
      <c r="E60" s="60" t="s">
        <v>79</v>
      </c>
      <c r="F60" s="60" t="s">
        <v>79</v>
      </c>
      <c r="G60" s="60" t="s">
        <v>81</v>
      </c>
      <c r="H60" s="51" t="s">
        <v>1</v>
      </c>
      <c r="I60" s="51" t="s">
        <v>1</v>
      </c>
      <c r="J60" s="51" t="s">
        <v>1</v>
      </c>
      <c r="K60" s="51" t="s">
        <v>1</v>
      </c>
    </row>
    <row r="61" ht="14.5" spans="1:11">
      <c r="A61" s="59" t="s">
        <v>52</v>
      </c>
      <c r="B61" s="60" t="s">
        <v>77</v>
      </c>
      <c r="C61" s="60" t="s">
        <v>47</v>
      </c>
      <c r="D61" s="60" t="s">
        <v>77</v>
      </c>
      <c r="E61" s="60" t="s">
        <v>77</v>
      </c>
      <c r="F61" s="60" t="s">
        <v>77</v>
      </c>
      <c r="G61" s="60" t="s">
        <v>82</v>
      </c>
      <c r="H61" s="51" t="s">
        <v>1</v>
      </c>
      <c r="I61" s="51" t="s">
        <v>1</v>
      </c>
      <c r="J61" s="51" t="s">
        <v>1</v>
      </c>
      <c r="K61" s="51" t="s">
        <v>1</v>
      </c>
    </row>
    <row r="62" ht="14.5" spans="1:11">
      <c r="A62" s="59" t="s">
        <v>55</v>
      </c>
      <c r="B62" s="60" t="s">
        <v>47</v>
      </c>
      <c r="C62" s="60" t="s">
        <v>79</v>
      </c>
      <c r="D62" s="60" t="s">
        <v>77</v>
      </c>
      <c r="E62" s="60" t="s">
        <v>77</v>
      </c>
      <c r="F62" s="60" t="s">
        <v>77</v>
      </c>
      <c r="G62" s="60" t="s">
        <v>53</v>
      </c>
      <c r="H62" s="51" t="s">
        <v>1</v>
      </c>
      <c r="I62" s="51" t="s">
        <v>1</v>
      </c>
      <c r="J62" s="51" t="s">
        <v>1</v>
      </c>
      <c r="K62" s="51" t="s">
        <v>1</v>
      </c>
    </row>
    <row r="63" ht="14.5" spans="1:11">
      <c r="A63" s="59" t="s">
        <v>56</v>
      </c>
      <c r="B63" s="60" t="s">
        <v>83</v>
      </c>
      <c r="C63" s="60" t="s">
        <v>77</v>
      </c>
      <c r="D63" s="60" t="s">
        <v>77</v>
      </c>
      <c r="E63" s="60" t="s">
        <v>77</v>
      </c>
      <c r="F63" s="60" t="s">
        <v>47</v>
      </c>
      <c r="G63" s="60" t="s">
        <v>84</v>
      </c>
      <c r="H63" s="51" t="s">
        <v>1</v>
      </c>
      <c r="I63" s="51" t="s">
        <v>1</v>
      </c>
      <c r="J63" s="51" t="s">
        <v>1</v>
      </c>
      <c r="K63" s="51" t="s">
        <v>1</v>
      </c>
    </row>
    <row r="64" ht="14.5" spans="1:11">
      <c r="A64" s="59" t="s">
        <v>85</v>
      </c>
      <c r="B64" s="60" t="s">
        <v>75</v>
      </c>
      <c r="C64" s="60" t="s">
        <v>76</v>
      </c>
      <c r="D64" s="60" t="s">
        <v>76</v>
      </c>
      <c r="E64" s="60" t="s">
        <v>76</v>
      </c>
      <c r="F64" s="60" t="s">
        <v>75</v>
      </c>
      <c r="G64" s="60" t="s">
        <v>79</v>
      </c>
      <c r="H64" s="51" t="s">
        <v>1</v>
      </c>
      <c r="I64" s="51" t="s">
        <v>1</v>
      </c>
      <c r="J64" s="51" t="s">
        <v>1</v>
      </c>
      <c r="K64" s="51" t="s">
        <v>1</v>
      </c>
    </row>
    <row r="65" ht="14.5" spans="1:11">
      <c r="A65" s="59" t="s">
        <v>73</v>
      </c>
      <c r="B65" s="60" t="s">
        <v>53</v>
      </c>
      <c r="C65" s="60" t="s">
        <v>53</v>
      </c>
      <c r="D65" s="60" t="s">
        <v>53</v>
      </c>
      <c r="E65" s="60" t="s">
        <v>53</v>
      </c>
      <c r="F65" s="60" t="s">
        <v>53</v>
      </c>
      <c r="G65" s="60" t="s">
        <v>49</v>
      </c>
      <c r="H65" s="51" t="s">
        <v>1</v>
      </c>
      <c r="I65" s="51" t="s">
        <v>1</v>
      </c>
      <c r="J65" s="51" t="s">
        <v>1</v>
      </c>
      <c r="K65" s="51" t="s">
        <v>1</v>
      </c>
    </row>
    <row r="66" spans="1:11">
      <c r="A66" s="52" t="s">
        <v>1</v>
      </c>
      <c r="B66" s="51" t="s">
        <v>1</v>
      </c>
      <c r="C66" s="51" t="s">
        <v>1</v>
      </c>
      <c r="D66" s="51" t="s">
        <v>1</v>
      </c>
      <c r="E66" s="51" t="s">
        <v>1</v>
      </c>
      <c r="F66" s="51" t="s">
        <v>1</v>
      </c>
      <c r="G66" s="51" t="s">
        <v>1</v>
      </c>
      <c r="H66" s="51" t="s">
        <v>1</v>
      </c>
      <c r="I66" s="51" t="s">
        <v>1</v>
      </c>
      <c r="J66" s="51" t="s">
        <v>1</v>
      </c>
      <c r="K66" s="51" t="s">
        <v>1</v>
      </c>
    </row>
    <row r="67" ht="17" customHeight="1" spans="1:11">
      <c r="A67" s="61" t="s">
        <v>86</v>
      </c>
      <c r="B67" s="51" t="s">
        <v>1</v>
      </c>
      <c r="C67" s="51" t="s">
        <v>1</v>
      </c>
      <c r="D67" s="51" t="s">
        <v>1</v>
      </c>
      <c r="E67" s="51" t="s">
        <v>1</v>
      </c>
      <c r="F67" s="51" t="s">
        <v>1</v>
      </c>
      <c r="G67" s="51" t="s">
        <v>1</v>
      </c>
      <c r="H67" s="51" t="s">
        <v>1</v>
      </c>
      <c r="I67" s="51" t="s">
        <v>1</v>
      </c>
      <c r="J67" s="51" t="s">
        <v>1</v>
      </c>
      <c r="K67" s="51" t="s">
        <v>1</v>
      </c>
    </row>
    <row r="68" ht="16.5" spans="1:11">
      <c r="A68" s="56" t="s">
        <v>87</v>
      </c>
      <c r="B68" s="51" t="s">
        <v>1</v>
      </c>
      <c r="C68" s="51" t="s">
        <v>1</v>
      </c>
      <c r="D68" s="51" t="s">
        <v>1</v>
      </c>
      <c r="E68" s="51" t="s">
        <v>1</v>
      </c>
      <c r="F68" s="51" t="s">
        <v>1</v>
      </c>
      <c r="G68" s="51" t="s">
        <v>1</v>
      </c>
      <c r="H68" s="51" t="s">
        <v>1</v>
      </c>
      <c r="I68" s="51" t="s">
        <v>1</v>
      </c>
      <c r="J68" s="51" t="s">
        <v>1</v>
      </c>
      <c r="K68" s="51" t="s">
        <v>1</v>
      </c>
    </row>
    <row r="69" ht="16.5" spans="1:11">
      <c r="A69" s="62" t="s">
        <v>88</v>
      </c>
      <c r="B69" s="51" t="s">
        <v>1</v>
      </c>
      <c r="C69" s="51" t="s">
        <v>1</v>
      </c>
      <c r="D69" s="51" t="s">
        <v>1</v>
      </c>
      <c r="E69" s="51" t="s">
        <v>1</v>
      </c>
      <c r="F69" s="51" t="s">
        <v>1</v>
      </c>
      <c r="G69" s="51" t="s">
        <v>1</v>
      </c>
      <c r="H69" s="51" t="s">
        <v>1</v>
      </c>
      <c r="I69" s="51" t="s">
        <v>1</v>
      </c>
      <c r="J69" s="51" t="s">
        <v>1</v>
      </c>
      <c r="K69" s="51" t="s">
        <v>1</v>
      </c>
    </row>
    <row r="70" ht="17" customHeight="1" spans="1:11">
      <c r="A70" s="61" t="s">
        <v>89</v>
      </c>
      <c r="B70" s="51" t="s">
        <v>1</v>
      </c>
      <c r="C70" s="51" t="s">
        <v>1</v>
      </c>
      <c r="D70" s="51" t="s">
        <v>1</v>
      </c>
      <c r="E70" s="51" t="s">
        <v>1</v>
      </c>
      <c r="F70" s="51" t="s">
        <v>1</v>
      </c>
      <c r="G70" s="51" t="s">
        <v>1</v>
      </c>
      <c r="H70" s="51" t="s">
        <v>1</v>
      </c>
      <c r="I70" s="51" t="s">
        <v>1</v>
      </c>
      <c r="J70" s="51" t="s">
        <v>1</v>
      </c>
      <c r="K70" s="51" t="s">
        <v>1</v>
      </c>
    </row>
    <row r="71" ht="16.5" spans="1:11">
      <c r="A71" s="56" t="s">
        <v>90</v>
      </c>
    </row>
    <row r="72" ht="16.5" spans="1:11">
      <c r="A72" s="62" t="s">
        <v>91</v>
      </c>
      <c r="B72" s="51" t="s">
        <v>1</v>
      </c>
      <c r="C72" s="51" t="s">
        <v>1</v>
      </c>
      <c r="D72" s="51" t="s">
        <v>1</v>
      </c>
      <c r="E72" s="51" t="s">
        <v>1</v>
      </c>
      <c r="F72" s="51" t="s">
        <v>1</v>
      </c>
      <c r="G72" s="51" t="s">
        <v>1</v>
      </c>
      <c r="H72" s="51" t="s">
        <v>1</v>
      </c>
      <c r="I72" s="51" t="s">
        <v>1</v>
      </c>
      <c r="J72" s="51" t="s">
        <v>1</v>
      </c>
      <c r="K72" s="51" t="s">
        <v>1</v>
      </c>
    </row>
    <row r="73" ht="17" customHeight="1" spans="1:11">
      <c r="A73" s="61" t="s">
        <v>92</v>
      </c>
      <c r="B73" s="51" t="s">
        <v>1</v>
      </c>
      <c r="C73" s="51" t="s">
        <v>1</v>
      </c>
      <c r="D73" s="51" t="s">
        <v>1</v>
      </c>
      <c r="E73" s="51" t="s">
        <v>1</v>
      </c>
      <c r="F73" s="51" t="s">
        <v>1</v>
      </c>
      <c r="G73" s="51" t="s">
        <v>1</v>
      </c>
      <c r="H73" s="51" t="s">
        <v>1</v>
      </c>
      <c r="I73" s="51" t="s">
        <v>1</v>
      </c>
      <c r="J73" s="51" t="s">
        <v>1</v>
      </c>
      <c r="K73" s="51" t="s">
        <v>1</v>
      </c>
    </row>
    <row r="74" ht="16.5" spans="1:11">
      <c r="A74" s="62" t="s">
        <v>93</v>
      </c>
      <c r="B74" s="51" t="s">
        <v>1</v>
      </c>
      <c r="C74" s="51" t="s">
        <v>1</v>
      </c>
      <c r="D74" s="51" t="s">
        <v>1</v>
      </c>
      <c r="E74" s="51" t="s">
        <v>1</v>
      </c>
      <c r="F74" s="51" t="s">
        <v>1</v>
      </c>
      <c r="G74" s="51" t="s">
        <v>1</v>
      </c>
      <c r="H74" s="51" t="s">
        <v>1</v>
      </c>
      <c r="I74" s="51" t="s">
        <v>1</v>
      </c>
      <c r="J74" s="51" t="s">
        <v>1</v>
      </c>
      <c r="K74" s="51" t="s">
        <v>1</v>
      </c>
    </row>
    <row r="75" ht="16.5" spans="1:11">
      <c r="A75" s="62" t="s">
        <v>94</v>
      </c>
      <c r="B75" s="51" t="s">
        <v>1</v>
      </c>
      <c r="C75" s="51" t="s">
        <v>1</v>
      </c>
      <c r="D75" s="51" t="s">
        <v>1</v>
      </c>
      <c r="E75" s="51" t="s">
        <v>1</v>
      </c>
      <c r="F75" s="51" t="s">
        <v>1</v>
      </c>
      <c r="G75" s="51" t="s">
        <v>1</v>
      </c>
      <c r="H75" s="51" t="s">
        <v>1</v>
      </c>
      <c r="I75" s="51" t="s">
        <v>1</v>
      </c>
      <c r="J75" s="51" t="s">
        <v>1</v>
      </c>
      <c r="K75" s="51" t="s">
        <v>1</v>
      </c>
    </row>
    <row r="76" ht="20" customHeight="1" spans="1:11">
      <c r="A76" s="55" t="s">
        <v>95</v>
      </c>
      <c r="B76" s="51" t="s">
        <v>1</v>
      </c>
      <c r="C76" s="51" t="s">
        <v>1</v>
      </c>
      <c r="D76" s="51" t="s">
        <v>1</v>
      </c>
      <c r="E76" s="51" t="s">
        <v>1</v>
      </c>
      <c r="F76" s="51" t="s">
        <v>1</v>
      </c>
      <c r="G76" s="51" t="s">
        <v>1</v>
      </c>
      <c r="H76" s="51" t="s">
        <v>1</v>
      </c>
      <c r="I76" s="51" t="s">
        <v>1</v>
      </c>
      <c r="J76" s="51" t="s">
        <v>1</v>
      </c>
      <c r="K76" s="51" t="s">
        <v>1</v>
      </c>
    </row>
    <row r="77" spans="1:11">
      <c r="A77" s="52" t="s">
        <v>1</v>
      </c>
      <c r="B77" s="51" t="s">
        <v>1</v>
      </c>
      <c r="C77" s="51" t="s">
        <v>1</v>
      </c>
      <c r="D77" s="51" t="s">
        <v>1</v>
      </c>
      <c r="E77" s="51" t="s">
        <v>1</v>
      </c>
      <c r="F77" s="51" t="s">
        <v>1</v>
      </c>
      <c r="G77" s="51" t="s">
        <v>1</v>
      </c>
      <c r="H77" s="51" t="s">
        <v>1</v>
      </c>
      <c r="I77" s="51" t="s">
        <v>1</v>
      </c>
      <c r="J77" s="51" t="s">
        <v>1</v>
      </c>
      <c r="K77" s="51" t="s">
        <v>1</v>
      </c>
    </row>
    <row r="78" ht="16.5" spans="1:11">
      <c r="A78" s="62" t="s">
        <v>96</v>
      </c>
      <c r="B78" s="51" t="s">
        <v>1</v>
      </c>
      <c r="C78" s="51" t="s">
        <v>1</v>
      </c>
      <c r="D78" s="51" t="s">
        <v>1</v>
      </c>
      <c r="E78" s="51" t="s">
        <v>1</v>
      </c>
      <c r="F78" s="51" t="s">
        <v>1</v>
      </c>
      <c r="G78" s="51" t="s">
        <v>1</v>
      </c>
      <c r="H78" s="51" t="s">
        <v>1</v>
      </c>
      <c r="I78" s="51" t="s">
        <v>1</v>
      </c>
      <c r="J78" s="51" t="s">
        <v>1</v>
      </c>
      <c r="K78" s="51" t="s">
        <v>1</v>
      </c>
    </row>
    <row r="79" ht="16.5" spans="1:11">
      <c r="A79" s="62" t="s">
        <v>97</v>
      </c>
      <c r="B79" s="51" t="s">
        <v>1</v>
      </c>
      <c r="C79" s="51" t="s">
        <v>1</v>
      </c>
      <c r="D79" s="51" t="s">
        <v>1</v>
      </c>
      <c r="E79" s="51" t="s">
        <v>1</v>
      </c>
      <c r="F79" s="51" t="s">
        <v>1</v>
      </c>
      <c r="G79" s="51" t="s">
        <v>1</v>
      </c>
      <c r="H79" s="51" t="s">
        <v>1</v>
      </c>
      <c r="I79" s="51" t="s">
        <v>1</v>
      </c>
      <c r="J79" s="51" t="s">
        <v>1</v>
      </c>
      <c r="K79" s="51" t="s">
        <v>1</v>
      </c>
    </row>
    <row r="80" ht="16.5" spans="1:11">
      <c r="A80" s="62" t="s">
        <v>98</v>
      </c>
      <c r="B80" s="51" t="s">
        <v>1</v>
      </c>
      <c r="C80" s="51" t="s">
        <v>1</v>
      </c>
      <c r="D80" s="51" t="s">
        <v>1</v>
      </c>
      <c r="E80" s="51" t="s">
        <v>1</v>
      </c>
      <c r="F80" s="51" t="s">
        <v>1</v>
      </c>
      <c r="G80" s="51" t="s">
        <v>1</v>
      </c>
      <c r="H80" s="51" t="s">
        <v>1</v>
      </c>
      <c r="I80" s="51" t="s">
        <v>1</v>
      </c>
      <c r="J80" s="51" t="s">
        <v>1</v>
      </c>
      <c r="K80" s="51" t="s">
        <v>1</v>
      </c>
    </row>
    <row r="81" ht="20" customHeight="1" spans="1:11">
      <c r="A81" s="55" t="s">
        <v>99</v>
      </c>
      <c r="B81" s="51" t="s">
        <v>1</v>
      </c>
      <c r="C81" s="51" t="s">
        <v>1</v>
      </c>
      <c r="D81" s="51" t="s">
        <v>1</v>
      </c>
      <c r="E81" s="51" t="s">
        <v>1</v>
      </c>
      <c r="F81" s="51" t="s">
        <v>1</v>
      </c>
      <c r="G81" s="51" t="s">
        <v>1</v>
      </c>
      <c r="H81" s="51" t="s">
        <v>1</v>
      </c>
      <c r="I81" s="51" t="s">
        <v>1</v>
      </c>
      <c r="J81" s="51" t="s">
        <v>1</v>
      </c>
      <c r="K81" s="51" t="s">
        <v>1</v>
      </c>
    </row>
    <row r="82" spans="1:11">
      <c r="A82" s="52" t="s">
        <v>1</v>
      </c>
      <c r="B82" s="51" t="s">
        <v>1</v>
      </c>
      <c r="C82" s="51" t="s">
        <v>1</v>
      </c>
      <c r="D82" s="51" t="s">
        <v>1</v>
      </c>
      <c r="E82" s="51" t="s">
        <v>1</v>
      </c>
      <c r="F82" s="51" t="s">
        <v>1</v>
      </c>
      <c r="G82" s="51" t="s">
        <v>1</v>
      </c>
      <c r="H82" s="51" t="s">
        <v>1</v>
      </c>
      <c r="I82" s="51" t="s">
        <v>1</v>
      </c>
      <c r="J82" s="51" t="s">
        <v>1</v>
      </c>
      <c r="K82" s="51" t="s">
        <v>1</v>
      </c>
    </row>
    <row r="83" ht="16.5" spans="1:11">
      <c r="A83" s="62" t="s">
        <v>100</v>
      </c>
      <c r="B83" s="51" t="s">
        <v>1</v>
      </c>
      <c r="C83" s="51" t="s">
        <v>1</v>
      </c>
      <c r="D83" s="51" t="s">
        <v>1</v>
      </c>
      <c r="E83" s="51" t="s">
        <v>1</v>
      </c>
      <c r="F83" s="51" t="s">
        <v>1</v>
      </c>
      <c r="G83" s="51" t="s">
        <v>1</v>
      </c>
      <c r="H83" s="51" t="s">
        <v>1</v>
      </c>
      <c r="I83" s="51" t="s">
        <v>1</v>
      </c>
      <c r="J83" s="51" t="s">
        <v>1</v>
      </c>
      <c r="K83" s="51" t="s">
        <v>1</v>
      </c>
    </row>
    <row r="84" ht="45" customHeight="1" spans="1:11">
      <c r="A84" s="57" t="s">
        <v>42</v>
      </c>
      <c r="B84" s="58" t="s">
        <v>101</v>
      </c>
      <c r="C84" s="57" t="s">
        <v>102</v>
      </c>
      <c r="D84" s="58" t="s">
        <v>103</v>
      </c>
      <c r="E84" s="58" t="s">
        <v>104</v>
      </c>
      <c r="F84" s="58" t="s">
        <v>105</v>
      </c>
      <c r="G84" s="58" t="s">
        <v>106</v>
      </c>
      <c r="H84" s="51" t="s">
        <v>1</v>
      </c>
      <c r="I84" s="51" t="s">
        <v>1</v>
      </c>
      <c r="J84" s="51" t="s">
        <v>1</v>
      </c>
      <c r="K84" s="51" t="s">
        <v>1</v>
      </c>
    </row>
    <row r="85" ht="30" customHeight="1" spans="1:11">
      <c r="A85" s="59" t="s">
        <v>85</v>
      </c>
      <c r="B85" s="60" t="s">
        <v>107</v>
      </c>
      <c r="C85" s="59" t="s">
        <v>108</v>
      </c>
      <c r="D85" s="60" t="s">
        <v>109</v>
      </c>
      <c r="E85" s="60" t="s">
        <v>110</v>
      </c>
      <c r="F85" s="60" t="s">
        <v>57</v>
      </c>
      <c r="G85" s="60" t="s">
        <v>111</v>
      </c>
      <c r="H85" s="51" t="s">
        <v>1</v>
      </c>
      <c r="I85" s="51" t="s">
        <v>1</v>
      </c>
      <c r="J85" s="51" t="s">
        <v>1</v>
      </c>
      <c r="K85" s="51" t="s">
        <v>1</v>
      </c>
    </row>
    <row r="86" ht="14.5" spans="1:11">
      <c r="A86" s="59" t="s">
        <v>46</v>
      </c>
      <c r="B86" s="60" t="s">
        <v>47</v>
      </c>
      <c r="C86" s="60" t="s">
        <v>112</v>
      </c>
      <c r="D86" s="60" t="s">
        <v>113</v>
      </c>
      <c r="E86" s="60" t="s">
        <v>114</v>
      </c>
      <c r="F86" s="60" t="s">
        <v>49</v>
      </c>
      <c r="G86" s="60" t="s">
        <v>115</v>
      </c>
      <c r="H86" s="51" t="s">
        <v>1</v>
      </c>
      <c r="I86" s="51" t="s">
        <v>1</v>
      </c>
      <c r="J86" s="51" t="s">
        <v>1</v>
      </c>
      <c r="K86" s="51" t="s">
        <v>1</v>
      </c>
    </row>
    <row r="87" ht="29" spans="1:11">
      <c r="A87" s="59" t="s">
        <v>46</v>
      </c>
      <c r="B87" s="60" t="s">
        <v>77</v>
      </c>
      <c r="C87" s="59" t="s">
        <v>116</v>
      </c>
      <c r="D87" s="60" t="s">
        <v>117</v>
      </c>
      <c r="E87" s="60" t="s">
        <v>118</v>
      </c>
      <c r="F87" s="60" t="s">
        <v>48</v>
      </c>
      <c r="G87" s="60" t="s">
        <v>115</v>
      </c>
      <c r="H87" s="51" t="s">
        <v>1</v>
      </c>
      <c r="I87" s="51" t="s">
        <v>1</v>
      </c>
      <c r="J87" s="51" t="s">
        <v>1</v>
      </c>
      <c r="K87" s="51" t="s">
        <v>1</v>
      </c>
    </row>
    <row r="88" ht="30" customHeight="1" spans="1:11">
      <c r="A88" s="59" t="s">
        <v>46</v>
      </c>
      <c r="B88" s="60" t="s">
        <v>79</v>
      </c>
      <c r="C88" s="59" t="s">
        <v>119</v>
      </c>
      <c r="D88" s="60" t="s">
        <v>120</v>
      </c>
      <c r="E88" s="60" t="s">
        <v>121</v>
      </c>
      <c r="F88" s="60" t="s">
        <v>47</v>
      </c>
      <c r="G88" s="60" t="s">
        <v>115</v>
      </c>
      <c r="H88" s="51" t="s">
        <v>1</v>
      </c>
      <c r="I88" s="51" t="s">
        <v>1</v>
      </c>
      <c r="J88" s="51" t="s">
        <v>1</v>
      </c>
      <c r="K88" s="51" t="s">
        <v>1</v>
      </c>
    </row>
    <row r="89" ht="14.5" spans="1:11">
      <c r="A89" s="59" t="s">
        <v>50</v>
      </c>
      <c r="B89" s="60" t="s">
        <v>47</v>
      </c>
      <c r="C89" s="60" t="s">
        <v>122</v>
      </c>
      <c r="D89" s="60" t="s">
        <v>123</v>
      </c>
      <c r="E89" s="60" t="s">
        <v>114</v>
      </c>
      <c r="F89" s="60" t="s">
        <v>49</v>
      </c>
      <c r="G89" s="60" t="s">
        <v>115</v>
      </c>
      <c r="H89" s="51" t="s">
        <v>1</v>
      </c>
      <c r="I89" s="51" t="s">
        <v>1</v>
      </c>
      <c r="J89" s="51" t="s">
        <v>1</v>
      </c>
      <c r="K89" s="51" t="s">
        <v>1</v>
      </c>
    </row>
    <row r="90" ht="29" spans="1:11">
      <c r="A90" s="59" t="s">
        <v>50</v>
      </c>
      <c r="B90" s="60" t="s">
        <v>77</v>
      </c>
      <c r="C90" s="59" t="s">
        <v>124</v>
      </c>
      <c r="D90" s="60" t="s">
        <v>125</v>
      </c>
      <c r="E90" s="60" t="s">
        <v>126</v>
      </c>
      <c r="F90" s="60" t="s">
        <v>51</v>
      </c>
      <c r="G90" s="60" t="s">
        <v>115</v>
      </c>
      <c r="H90" s="51" t="s">
        <v>1</v>
      </c>
      <c r="I90" s="51" t="s">
        <v>1</v>
      </c>
      <c r="J90" s="51" t="s">
        <v>1</v>
      </c>
      <c r="K90" s="51" t="s">
        <v>1</v>
      </c>
    </row>
    <row r="91" ht="30" customHeight="1" spans="1:11">
      <c r="A91" s="59" t="s">
        <v>50</v>
      </c>
      <c r="B91" s="60" t="s">
        <v>79</v>
      </c>
      <c r="C91" s="59" t="s">
        <v>127</v>
      </c>
      <c r="D91" s="60" t="s">
        <v>128</v>
      </c>
      <c r="E91" s="60" t="s">
        <v>129</v>
      </c>
      <c r="F91" s="60" t="s">
        <v>47</v>
      </c>
      <c r="G91" s="60" t="s">
        <v>115</v>
      </c>
      <c r="H91" s="51" t="s">
        <v>1</v>
      </c>
      <c r="I91" s="51" t="s">
        <v>1</v>
      </c>
      <c r="J91" s="51" t="s">
        <v>1</v>
      </c>
      <c r="K91" s="51" t="s">
        <v>1</v>
      </c>
    </row>
    <row r="92" ht="14.5" spans="1:11">
      <c r="A92" s="59" t="s">
        <v>52</v>
      </c>
      <c r="B92" s="60" t="s">
        <v>47</v>
      </c>
      <c r="C92" s="60" t="s">
        <v>130</v>
      </c>
      <c r="D92" s="60" t="s">
        <v>131</v>
      </c>
      <c r="E92" s="60" t="s">
        <v>132</v>
      </c>
      <c r="F92" s="60" t="s">
        <v>54</v>
      </c>
      <c r="G92" s="60" t="s">
        <v>133</v>
      </c>
      <c r="H92" s="51" t="s">
        <v>1</v>
      </c>
      <c r="I92" s="51" t="s">
        <v>1</v>
      </c>
      <c r="J92" s="51" t="s">
        <v>1</v>
      </c>
      <c r="K92" s="51" t="s">
        <v>1</v>
      </c>
    </row>
    <row r="93" ht="29" spans="1:11">
      <c r="A93" s="59" t="s">
        <v>52</v>
      </c>
      <c r="B93" s="60" t="s">
        <v>77</v>
      </c>
      <c r="C93" s="59" t="s">
        <v>134</v>
      </c>
      <c r="D93" s="60" t="s">
        <v>135</v>
      </c>
      <c r="E93" s="60" t="s">
        <v>136</v>
      </c>
      <c r="F93" s="60" t="s">
        <v>53</v>
      </c>
      <c r="G93" s="60" t="s">
        <v>137</v>
      </c>
      <c r="H93" s="51" t="s">
        <v>1</v>
      </c>
      <c r="I93" s="51" t="s">
        <v>1</v>
      </c>
      <c r="J93" s="51" t="s">
        <v>1</v>
      </c>
      <c r="K93" s="51" t="s">
        <v>1</v>
      </c>
    </row>
    <row r="94" ht="30" customHeight="1" spans="1:11">
      <c r="A94" s="59" t="s">
        <v>52</v>
      </c>
      <c r="B94" s="60" t="s">
        <v>79</v>
      </c>
      <c r="C94" s="59" t="s">
        <v>138</v>
      </c>
      <c r="D94" s="60" t="s">
        <v>139</v>
      </c>
      <c r="E94" s="60" t="s">
        <v>140</v>
      </c>
      <c r="F94" s="60" t="s">
        <v>47</v>
      </c>
      <c r="G94" s="60" t="s">
        <v>137</v>
      </c>
      <c r="H94" s="51" t="s">
        <v>1</v>
      </c>
      <c r="I94" s="51" t="s">
        <v>1</v>
      </c>
      <c r="J94" s="51" t="s">
        <v>1</v>
      </c>
      <c r="K94" s="51" t="s">
        <v>1</v>
      </c>
    </row>
    <row r="95" ht="14.5" spans="1:11">
      <c r="A95" s="59" t="s">
        <v>55</v>
      </c>
      <c r="B95" s="60" t="s">
        <v>47</v>
      </c>
      <c r="C95" s="60" t="s">
        <v>141</v>
      </c>
      <c r="D95" s="60" t="s">
        <v>142</v>
      </c>
      <c r="E95" s="60" t="s">
        <v>143</v>
      </c>
      <c r="F95" s="60" t="s">
        <v>54</v>
      </c>
      <c r="G95" s="60" t="s">
        <v>137</v>
      </c>
      <c r="H95" s="51" t="s">
        <v>1</v>
      </c>
      <c r="I95" s="51" t="s">
        <v>1</v>
      </c>
      <c r="J95" s="51" t="s">
        <v>1</v>
      </c>
      <c r="K95" s="51" t="s">
        <v>1</v>
      </c>
    </row>
    <row r="96" ht="30" customHeight="1" spans="1:11">
      <c r="A96" s="59" t="s">
        <v>55</v>
      </c>
      <c r="B96" s="60" t="s">
        <v>77</v>
      </c>
      <c r="C96" s="59" t="s">
        <v>144</v>
      </c>
      <c r="D96" s="60" t="s">
        <v>145</v>
      </c>
      <c r="E96" s="60" t="s">
        <v>146</v>
      </c>
      <c r="F96" s="60" t="s">
        <v>53</v>
      </c>
      <c r="G96" s="60" t="s">
        <v>147</v>
      </c>
      <c r="H96" s="51" t="s">
        <v>1</v>
      </c>
      <c r="I96" s="51" t="s">
        <v>1</v>
      </c>
      <c r="J96" s="51" t="s">
        <v>1</v>
      </c>
      <c r="K96" s="51" t="s">
        <v>1</v>
      </c>
    </row>
    <row r="97" ht="45" customHeight="1" spans="1:11">
      <c r="A97" s="59" t="s">
        <v>55</v>
      </c>
      <c r="B97" s="60" t="s">
        <v>79</v>
      </c>
      <c r="C97" s="59" t="s">
        <v>148</v>
      </c>
      <c r="D97" s="60" t="s">
        <v>149</v>
      </c>
      <c r="E97" s="60" t="s">
        <v>150</v>
      </c>
      <c r="F97" s="60" t="s">
        <v>47</v>
      </c>
      <c r="G97" s="60" t="s">
        <v>147</v>
      </c>
      <c r="H97" s="51" t="s">
        <v>1</v>
      </c>
      <c r="I97" s="51" t="s">
        <v>1</v>
      </c>
      <c r="J97" s="51" t="s">
        <v>1</v>
      </c>
      <c r="K97" s="51" t="s">
        <v>1</v>
      </c>
    </row>
    <row r="98" ht="14.5" spans="1:11">
      <c r="A98" s="59" t="s">
        <v>56</v>
      </c>
      <c r="B98" s="60" t="s">
        <v>47</v>
      </c>
      <c r="C98" s="60" t="s">
        <v>151</v>
      </c>
      <c r="D98" s="60" t="s">
        <v>152</v>
      </c>
      <c r="E98" s="60" t="s">
        <v>153</v>
      </c>
      <c r="F98" s="60" t="s">
        <v>57</v>
      </c>
      <c r="G98" s="60" t="s">
        <v>133</v>
      </c>
      <c r="H98" s="51" t="s">
        <v>1</v>
      </c>
      <c r="I98" s="51" t="s">
        <v>1</v>
      </c>
      <c r="J98" s="51" t="s">
        <v>1</v>
      </c>
      <c r="K98" s="51" t="s">
        <v>1</v>
      </c>
    </row>
    <row r="99" ht="29" spans="1:11">
      <c r="A99" s="59" t="s">
        <v>56</v>
      </c>
      <c r="B99" s="60" t="s">
        <v>77</v>
      </c>
      <c r="C99" s="59" t="s">
        <v>154</v>
      </c>
      <c r="D99" s="60" t="s">
        <v>155</v>
      </c>
      <c r="E99" s="60" t="s">
        <v>156</v>
      </c>
      <c r="F99" s="60" t="s">
        <v>55</v>
      </c>
      <c r="G99" s="60" t="s">
        <v>157</v>
      </c>
      <c r="H99" s="51" t="s">
        <v>1</v>
      </c>
      <c r="I99" s="51" t="s">
        <v>1</v>
      </c>
      <c r="J99" s="51" t="s">
        <v>1</v>
      </c>
      <c r="K99" s="51" t="s">
        <v>1</v>
      </c>
    </row>
    <row r="100" ht="30" customHeight="1" spans="1:11">
      <c r="A100" s="59" t="s">
        <v>56</v>
      </c>
      <c r="B100" s="60" t="s">
        <v>79</v>
      </c>
      <c r="C100" s="59" t="s">
        <v>158</v>
      </c>
      <c r="D100" s="60" t="s">
        <v>159</v>
      </c>
      <c r="E100" s="60" t="s">
        <v>160</v>
      </c>
      <c r="F100" s="60" t="s">
        <v>47</v>
      </c>
      <c r="G100" s="60" t="s">
        <v>133</v>
      </c>
      <c r="H100" s="51" t="s">
        <v>1</v>
      </c>
      <c r="I100" s="51" t="s">
        <v>1</v>
      </c>
      <c r="J100" s="51" t="s">
        <v>1</v>
      </c>
      <c r="K100" s="51" t="s">
        <v>1</v>
      </c>
    </row>
    <row r="101" ht="14.5" spans="1:11">
      <c r="A101" s="59" t="s">
        <v>73</v>
      </c>
      <c r="B101" s="60" t="s">
        <v>1</v>
      </c>
      <c r="C101" s="60" t="s">
        <v>1</v>
      </c>
      <c r="D101" s="60" t="s">
        <v>1</v>
      </c>
      <c r="E101" s="60" t="s">
        <v>1</v>
      </c>
      <c r="F101" s="60" t="s">
        <v>1</v>
      </c>
      <c r="G101" s="60" t="s">
        <v>161</v>
      </c>
      <c r="H101" s="51" t="s">
        <v>1</v>
      </c>
      <c r="I101" s="51" t="s">
        <v>1</v>
      </c>
      <c r="J101" s="51" t="s">
        <v>1</v>
      </c>
      <c r="K101" s="51" t="s">
        <v>1</v>
      </c>
    </row>
    <row r="102" spans="1:11">
      <c r="A102" s="52" t="s">
        <v>1</v>
      </c>
      <c r="B102" s="51" t="s">
        <v>1</v>
      </c>
      <c r="C102" s="51" t="s">
        <v>1</v>
      </c>
      <c r="D102" s="51" t="s">
        <v>1</v>
      </c>
      <c r="E102" s="51" t="s">
        <v>1</v>
      </c>
      <c r="F102" s="51" t="s">
        <v>1</v>
      </c>
      <c r="G102" s="51" t="s">
        <v>1</v>
      </c>
      <c r="H102" s="51" t="s">
        <v>1</v>
      </c>
      <c r="I102" s="51" t="s">
        <v>1</v>
      </c>
      <c r="J102" s="51" t="s">
        <v>1</v>
      </c>
      <c r="K102" s="51" t="s">
        <v>1</v>
      </c>
    </row>
    <row r="103" ht="16.5" spans="1:11">
      <c r="A103" s="62" t="s">
        <v>162</v>
      </c>
      <c r="B103" s="51" t="s">
        <v>1</v>
      </c>
      <c r="C103" s="51" t="s">
        <v>1</v>
      </c>
      <c r="D103" s="51" t="s">
        <v>1</v>
      </c>
      <c r="E103" s="51" t="s">
        <v>1</v>
      </c>
      <c r="F103" s="51" t="s">
        <v>1</v>
      </c>
      <c r="G103" s="51" t="s">
        <v>1</v>
      </c>
      <c r="H103" s="51" t="s">
        <v>1</v>
      </c>
      <c r="I103" s="51" t="s">
        <v>1</v>
      </c>
      <c r="J103" s="51" t="s">
        <v>1</v>
      </c>
      <c r="K103" s="51" t="s">
        <v>1</v>
      </c>
    </row>
    <row r="104" ht="16.5" spans="1:11">
      <c r="A104" s="56" t="s">
        <v>163</v>
      </c>
      <c r="B104" s="51" t="s">
        <v>1</v>
      </c>
      <c r="C104" s="51" t="s">
        <v>1</v>
      </c>
      <c r="D104" s="51" t="s">
        <v>1</v>
      </c>
      <c r="E104" s="51" t="s">
        <v>1</v>
      </c>
      <c r="F104" s="51" t="s">
        <v>1</v>
      </c>
      <c r="G104" s="51" t="s">
        <v>1</v>
      </c>
      <c r="H104" s="51" t="s">
        <v>1</v>
      </c>
      <c r="I104" s="51" t="s">
        <v>1</v>
      </c>
      <c r="J104" s="51" t="s">
        <v>1</v>
      </c>
      <c r="K104" s="51" t="s">
        <v>1</v>
      </c>
    </row>
    <row r="105" ht="16.5" spans="1:11">
      <c r="A105" s="56" t="s">
        <v>164</v>
      </c>
      <c r="B105" s="51" t="s">
        <v>1</v>
      </c>
      <c r="C105" s="51" t="s">
        <v>1</v>
      </c>
      <c r="D105" s="51" t="s">
        <v>1</v>
      </c>
      <c r="E105" s="51" t="s">
        <v>1</v>
      </c>
      <c r="F105" s="51" t="s">
        <v>1</v>
      </c>
      <c r="G105" s="51" t="s">
        <v>1</v>
      </c>
      <c r="H105" s="51" t="s">
        <v>1</v>
      </c>
      <c r="I105" s="51" t="s">
        <v>1</v>
      </c>
      <c r="J105" s="51" t="s">
        <v>1</v>
      </c>
      <c r="K105" s="51" t="s">
        <v>1</v>
      </c>
    </row>
    <row r="106" ht="16.5" spans="1:11">
      <c r="A106" s="56" t="s">
        <v>165</v>
      </c>
      <c r="B106" s="51" t="s">
        <v>1</v>
      </c>
      <c r="C106" s="51" t="s">
        <v>1</v>
      </c>
      <c r="D106" s="51" t="s">
        <v>1</v>
      </c>
      <c r="E106" s="51" t="s">
        <v>1</v>
      </c>
      <c r="F106" s="51" t="s">
        <v>1</v>
      </c>
      <c r="G106" s="51" t="s">
        <v>1</v>
      </c>
      <c r="H106" s="51" t="s">
        <v>1</v>
      </c>
      <c r="I106" s="51" t="s">
        <v>1</v>
      </c>
      <c r="J106" s="51" t="s">
        <v>1</v>
      </c>
      <c r="K106" s="51" t="s">
        <v>1</v>
      </c>
    </row>
    <row r="107" ht="16.5" spans="1:11">
      <c r="A107" s="62" t="s">
        <v>166</v>
      </c>
      <c r="B107" s="51" t="s">
        <v>1</v>
      </c>
      <c r="C107" s="51" t="s">
        <v>1</v>
      </c>
      <c r="D107" s="51" t="s">
        <v>1</v>
      </c>
      <c r="E107" s="51" t="s">
        <v>1</v>
      </c>
      <c r="F107" s="51" t="s">
        <v>1</v>
      </c>
      <c r="G107" s="51" t="s">
        <v>1</v>
      </c>
      <c r="H107" s="51" t="s">
        <v>1</v>
      </c>
      <c r="I107" s="51" t="s">
        <v>1</v>
      </c>
      <c r="J107" s="51" t="s">
        <v>1</v>
      </c>
      <c r="K107" s="51" t="s">
        <v>1</v>
      </c>
    </row>
    <row r="108" ht="20" customHeight="1" spans="1:11">
      <c r="A108" s="55" t="s">
        <v>167</v>
      </c>
      <c r="B108" s="51" t="s">
        <v>1</v>
      </c>
      <c r="C108" s="51" t="s">
        <v>1</v>
      </c>
      <c r="D108" s="51" t="s">
        <v>1</v>
      </c>
      <c r="E108" s="51" t="s">
        <v>1</v>
      </c>
      <c r="F108" s="51" t="s">
        <v>1</v>
      </c>
      <c r="G108" s="51" t="s">
        <v>1</v>
      </c>
      <c r="H108" s="51" t="s">
        <v>1</v>
      </c>
      <c r="I108" s="51" t="s">
        <v>1</v>
      </c>
      <c r="J108" s="51" t="s">
        <v>1</v>
      </c>
      <c r="K108" s="51" t="s">
        <v>1</v>
      </c>
    </row>
    <row r="109" spans="1:11">
      <c r="A109" s="52" t="s">
        <v>1</v>
      </c>
      <c r="B109" s="51" t="s">
        <v>1</v>
      </c>
      <c r="C109" s="51" t="s">
        <v>1</v>
      </c>
      <c r="D109" s="51" t="s">
        <v>1</v>
      </c>
      <c r="E109" s="51" t="s">
        <v>1</v>
      </c>
      <c r="F109" s="51" t="s">
        <v>1</v>
      </c>
      <c r="G109" s="51" t="s">
        <v>1</v>
      </c>
      <c r="H109" s="51" t="s">
        <v>1</v>
      </c>
      <c r="I109" s="51" t="s">
        <v>1</v>
      </c>
      <c r="J109" s="51" t="s">
        <v>1</v>
      </c>
      <c r="K109" s="51" t="s">
        <v>1</v>
      </c>
    </row>
    <row r="110" ht="16.5" spans="1:11">
      <c r="A110" s="62" t="s">
        <v>168</v>
      </c>
      <c r="B110" s="51" t="s">
        <v>1</v>
      </c>
      <c r="C110" s="51" t="s">
        <v>1</v>
      </c>
      <c r="D110" s="51" t="s">
        <v>1</v>
      </c>
      <c r="E110" s="51" t="s">
        <v>1</v>
      </c>
      <c r="F110" s="51" t="s">
        <v>1</v>
      </c>
      <c r="G110" s="51" t="s">
        <v>1</v>
      </c>
      <c r="H110" s="51" t="s">
        <v>1</v>
      </c>
      <c r="I110" s="51" t="s">
        <v>1</v>
      </c>
      <c r="J110" s="51" t="s">
        <v>1</v>
      </c>
      <c r="K110" s="51" t="s">
        <v>1</v>
      </c>
    </row>
    <row r="111" ht="18" customHeight="1" spans="1:11">
      <c r="A111" s="57" t="s">
        <v>67</v>
      </c>
      <c r="B111" s="58" t="s">
        <v>68</v>
      </c>
      <c r="C111" s="58" t="s">
        <v>69</v>
      </c>
      <c r="D111" s="58" t="s">
        <v>70</v>
      </c>
      <c r="E111" s="58" t="s">
        <v>71</v>
      </c>
      <c r="F111" s="58" t="s">
        <v>72</v>
      </c>
      <c r="G111" s="58" t="s">
        <v>73</v>
      </c>
      <c r="H111" s="51" t="s">
        <v>1</v>
      </c>
      <c r="I111" s="51" t="s">
        <v>1</v>
      </c>
      <c r="J111" s="51" t="s">
        <v>1</v>
      </c>
      <c r="K111" s="51" t="s">
        <v>1</v>
      </c>
    </row>
    <row r="112" ht="14.5" spans="1:11">
      <c r="A112" s="59" t="s">
        <v>74</v>
      </c>
      <c r="B112" s="60" t="s">
        <v>75</v>
      </c>
      <c r="C112" s="60" t="s">
        <v>76</v>
      </c>
      <c r="D112" s="60" t="s">
        <v>76</v>
      </c>
      <c r="E112" s="60" t="s">
        <v>76</v>
      </c>
      <c r="F112" s="60" t="s">
        <v>76</v>
      </c>
      <c r="G112" s="60" t="s">
        <v>77</v>
      </c>
      <c r="H112" s="51" t="s">
        <v>1</v>
      </c>
      <c r="I112" s="51" t="s">
        <v>1</v>
      </c>
      <c r="J112" s="51" t="s">
        <v>1</v>
      </c>
      <c r="K112" s="51" t="s">
        <v>1</v>
      </c>
    </row>
    <row r="113" ht="14.5" spans="1:11">
      <c r="A113" s="59" t="s">
        <v>46</v>
      </c>
      <c r="B113" s="60" t="s">
        <v>78</v>
      </c>
      <c r="C113" s="60" t="s">
        <v>79</v>
      </c>
      <c r="D113" s="60" t="s">
        <v>79</v>
      </c>
      <c r="E113" s="60" t="s">
        <v>79</v>
      </c>
      <c r="F113" s="60" t="s">
        <v>79</v>
      </c>
      <c r="G113" s="60" t="s">
        <v>80</v>
      </c>
      <c r="H113" s="51" t="s">
        <v>1</v>
      </c>
      <c r="I113" s="51" t="s">
        <v>1</v>
      </c>
      <c r="J113" s="51" t="s">
        <v>1</v>
      </c>
      <c r="K113" s="51" t="s">
        <v>1</v>
      </c>
    </row>
    <row r="114" ht="14.5" spans="1:11">
      <c r="A114" s="59" t="s">
        <v>50</v>
      </c>
      <c r="B114" s="60" t="s">
        <v>79</v>
      </c>
      <c r="C114" s="60" t="s">
        <v>79</v>
      </c>
      <c r="D114" s="60" t="s">
        <v>79</v>
      </c>
      <c r="E114" s="60" t="s">
        <v>79</v>
      </c>
      <c r="F114" s="60" t="s">
        <v>79</v>
      </c>
      <c r="G114" s="60" t="s">
        <v>81</v>
      </c>
      <c r="H114" s="51" t="s">
        <v>1</v>
      </c>
      <c r="I114" s="51" t="s">
        <v>1</v>
      </c>
      <c r="J114" s="51" t="s">
        <v>1</v>
      </c>
      <c r="K114" s="51" t="s">
        <v>1</v>
      </c>
    </row>
    <row r="115" ht="14.5" spans="1:11">
      <c r="A115" s="59" t="s">
        <v>52</v>
      </c>
      <c r="B115" s="60" t="s">
        <v>77</v>
      </c>
      <c r="C115" s="60" t="s">
        <v>47</v>
      </c>
      <c r="D115" s="60" t="s">
        <v>77</v>
      </c>
      <c r="E115" s="60" t="s">
        <v>77</v>
      </c>
      <c r="F115" s="60" t="s">
        <v>77</v>
      </c>
      <c r="G115" s="60" t="s">
        <v>82</v>
      </c>
      <c r="H115" s="51" t="s">
        <v>1</v>
      </c>
      <c r="I115" s="51" t="s">
        <v>1</v>
      </c>
      <c r="J115" s="51" t="s">
        <v>1</v>
      </c>
      <c r="K115" s="51" t="s">
        <v>1</v>
      </c>
    </row>
    <row r="116" ht="14.5" spans="1:11">
      <c r="A116" s="59" t="s">
        <v>55</v>
      </c>
      <c r="B116" s="60" t="s">
        <v>47</v>
      </c>
      <c r="C116" s="60" t="s">
        <v>79</v>
      </c>
      <c r="D116" s="60" t="s">
        <v>77</v>
      </c>
      <c r="E116" s="60" t="s">
        <v>77</v>
      </c>
      <c r="F116" s="60" t="s">
        <v>77</v>
      </c>
      <c r="G116" s="60" t="s">
        <v>53</v>
      </c>
      <c r="H116" s="51" t="s">
        <v>1</v>
      </c>
      <c r="I116" s="51" t="s">
        <v>1</v>
      </c>
      <c r="J116" s="51" t="s">
        <v>1</v>
      </c>
      <c r="K116" s="51" t="s">
        <v>1</v>
      </c>
    </row>
    <row r="117" ht="14.5" spans="1:11">
      <c r="A117" s="59" t="s">
        <v>56</v>
      </c>
      <c r="B117" s="60" t="s">
        <v>83</v>
      </c>
      <c r="C117" s="60" t="s">
        <v>77</v>
      </c>
      <c r="D117" s="60" t="s">
        <v>77</v>
      </c>
      <c r="E117" s="60" t="s">
        <v>77</v>
      </c>
      <c r="F117" s="60" t="s">
        <v>47</v>
      </c>
      <c r="G117" s="60" t="s">
        <v>84</v>
      </c>
      <c r="H117" s="51" t="s">
        <v>1</v>
      </c>
      <c r="I117" s="51" t="s">
        <v>1</v>
      </c>
      <c r="J117" s="51" t="s">
        <v>1</v>
      </c>
      <c r="K117" s="51" t="s">
        <v>1</v>
      </c>
    </row>
    <row r="118" ht="14.5" spans="1:11">
      <c r="A118" s="59" t="s">
        <v>85</v>
      </c>
      <c r="B118" s="60" t="s">
        <v>75</v>
      </c>
      <c r="C118" s="60" t="s">
        <v>76</v>
      </c>
      <c r="D118" s="60" t="s">
        <v>76</v>
      </c>
      <c r="E118" s="60" t="s">
        <v>76</v>
      </c>
      <c r="F118" s="60" t="s">
        <v>75</v>
      </c>
      <c r="G118" s="60" t="s">
        <v>79</v>
      </c>
      <c r="H118" s="51" t="s">
        <v>1</v>
      </c>
      <c r="I118" s="51" t="s">
        <v>1</v>
      </c>
      <c r="J118" s="51" t="s">
        <v>1</v>
      </c>
      <c r="K118" s="51" t="s">
        <v>1</v>
      </c>
    </row>
    <row r="119" ht="14.5" spans="1:11">
      <c r="A119" s="59" t="s">
        <v>73</v>
      </c>
      <c r="B119" s="60" t="s">
        <v>53</v>
      </c>
      <c r="C119" s="60" t="s">
        <v>53</v>
      </c>
      <c r="D119" s="60" t="s">
        <v>53</v>
      </c>
      <c r="E119" s="60" t="s">
        <v>53</v>
      </c>
      <c r="F119" s="60" t="s">
        <v>53</v>
      </c>
      <c r="G119" s="60" t="s">
        <v>49</v>
      </c>
      <c r="H119" s="51" t="s">
        <v>1</v>
      </c>
      <c r="I119" s="51" t="s">
        <v>1</v>
      </c>
      <c r="J119" s="51" t="s">
        <v>1</v>
      </c>
      <c r="K119" s="51" t="s">
        <v>1</v>
      </c>
    </row>
    <row r="120" spans="1:11">
      <c r="A120" s="52" t="s">
        <v>1</v>
      </c>
      <c r="B120" s="51" t="s">
        <v>1</v>
      </c>
      <c r="C120" s="51" t="s">
        <v>1</v>
      </c>
      <c r="D120" s="51" t="s">
        <v>1</v>
      </c>
      <c r="E120" s="51" t="s">
        <v>1</v>
      </c>
      <c r="F120" s="51" t="s">
        <v>1</v>
      </c>
      <c r="G120" s="51" t="s">
        <v>1</v>
      </c>
      <c r="H120" s="51" t="s">
        <v>1</v>
      </c>
      <c r="I120" s="51" t="s">
        <v>1</v>
      </c>
      <c r="J120" s="51" t="s">
        <v>1</v>
      </c>
      <c r="K120" s="51" t="s">
        <v>1</v>
      </c>
    </row>
    <row r="121" ht="16.5" spans="1:11">
      <c r="A121" s="62" t="s">
        <v>169</v>
      </c>
      <c r="B121" s="51" t="s">
        <v>1</v>
      </c>
      <c r="C121" s="51" t="s">
        <v>1</v>
      </c>
      <c r="D121" s="51" t="s">
        <v>1</v>
      </c>
      <c r="E121" s="51" t="s">
        <v>1</v>
      </c>
      <c r="F121" s="51" t="s">
        <v>1</v>
      </c>
      <c r="G121" s="51" t="s">
        <v>1</v>
      </c>
      <c r="H121" s="51" t="s">
        <v>1</v>
      </c>
      <c r="I121" s="51" t="s">
        <v>1</v>
      </c>
      <c r="J121" s="51" t="s">
        <v>1</v>
      </c>
      <c r="K121" s="51" t="s">
        <v>1</v>
      </c>
    </row>
    <row r="122" ht="18" customHeight="1" spans="1:11">
      <c r="A122" s="57" t="s">
        <v>42</v>
      </c>
      <c r="B122" s="58" t="s">
        <v>101</v>
      </c>
      <c r="C122" s="58" t="s">
        <v>170</v>
      </c>
      <c r="D122" s="58" t="s">
        <v>171</v>
      </c>
      <c r="E122" s="58" t="s">
        <v>172</v>
      </c>
      <c r="F122" s="58" t="s">
        <v>173</v>
      </c>
      <c r="G122" s="58" t="s">
        <v>174</v>
      </c>
      <c r="H122" s="58" t="s">
        <v>103</v>
      </c>
      <c r="I122" s="58" t="s">
        <v>104</v>
      </c>
      <c r="J122" s="58" t="s">
        <v>105</v>
      </c>
      <c r="K122" s="58" t="s">
        <v>106</v>
      </c>
    </row>
    <row r="123" ht="14.5" spans="1:11">
      <c r="A123" s="59" t="s">
        <v>85</v>
      </c>
      <c r="B123" s="60" t="s">
        <v>79</v>
      </c>
      <c r="C123" s="60" t="s">
        <v>175</v>
      </c>
      <c r="D123" s="60" t="s">
        <v>176</v>
      </c>
      <c r="E123" s="60" t="s">
        <v>176</v>
      </c>
      <c r="F123" s="60" t="s">
        <v>176</v>
      </c>
      <c r="G123" s="60" t="s">
        <v>175</v>
      </c>
      <c r="H123" s="60" t="s">
        <v>109</v>
      </c>
      <c r="I123" s="60" t="s">
        <v>110</v>
      </c>
      <c r="J123" s="60" t="s">
        <v>57</v>
      </c>
      <c r="K123" s="60" t="s">
        <v>177</v>
      </c>
    </row>
    <row r="124" ht="14.5" spans="1:11">
      <c r="A124" s="59" t="s">
        <v>46</v>
      </c>
      <c r="B124" s="60" t="s">
        <v>47</v>
      </c>
      <c r="C124" s="60" t="s">
        <v>178</v>
      </c>
      <c r="D124" s="60" t="s">
        <v>178</v>
      </c>
      <c r="E124" s="60" t="s">
        <v>178</v>
      </c>
      <c r="F124" s="60" t="s">
        <v>178</v>
      </c>
      <c r="G124" s="60" t="s">
        <v>178</v>
      </c>
      <c r="H124" s="60" t="s">
        <v>113</v>
      </c>
      <c r="I124" s="60" t="s">
        <v>114</v>
      </c>
      <c r="J124" s="60" t="s">
        <v>49</v>
      </c>
      <c r="K124" s="60" t="s">
        <v>179</v>
      </c>
    </row>
    <row r="125" ht="14.5" spans="1:11">
      <c r="A125" s="59" t="s">
        <v>46</v>
      </c>
      <c r="B125" s="60" t="s">
        <v>77</v>
      </c>
      <c r="C125" s="60" t="s">
        <v>178</v>
      </c>
      <c r="D125" s="60" t="s">
        <v>178</v>
      </c>
      <c r="E125" s="60" t="s">
        <v>178</v>
      </c>
      <c r="F125" s="60" t="s">
        <v>178</v>
      </c>
      <c r="G125" s="60" t="s">
        <v>180</v>
      </c>
      <c r="H125" s="60" t="s">
        <v>117</v>
      </c>
      <c r="I125" s="60" t="s">
        <v>118</v>
      </c>
      <c r="J125" s="60" t="s">
        <v>48</v>
      </c>
      <c r="K125" s="60" t="s">
        <v>181</v>
      </c>
    </row>
    <row r="126" ht="14.5" spans="1:11">
      <c r="A126" s="59" t="s">
        <v>46</v>
      </c>
      <c r="B126" s="60" t="s">
        <v>79</v>
      </c>
      <c r="C126" s="60" t="s">
        <v>178</v>
      </c>
      <c r="D126" s="60" t="s">
        <v>178</v>
      </c>
      <c r="E126" s="60" t="s">
        <v>178</v>
      </c>
      <c r="F126" s="60" t="s">
        <v>180</v>
      </c>
      <c r="G126" s="60" t="s">
        <v>175</v>
      </c>
      <c r="H126" s="60" t="s">
        <v>120</v>
      </c>
      <c r="I126" s="60" t="s">
        <v>121</v>
      </c>
      <c r="J126" s="60" t="s">
        <v>47</v>
      </c>
      <c r="K126" s="60" t="s">
        <v>179</v>
      </c>
    </row>
    <row r="127" ht="14.5" spans="1:11">
      <c r="A127" s="59" t="s">
        <v>50</v>
      </c>
      <c r="B127" s="60" t="s">
        <v>47</v>
      </c>
      <c r="C127" s="60" t="s">
        <v>182</v>
      </c>
      <c r="D127" s="60" t="s">
        <v>182</v>
      </c>
      <c r="E127" s="60" t="s">
        <v>182</v>
      </c>
      <c r="F127" s="60" t="s">
        <v>182</v>
      </c>
      <c r="G127" s="60" t="s">
        <v>182</v>
      </c>
      <c r="H127" s="60" t="s">
        <v>123</v>
      </c>
      <c r="I127" s="60" t="s">
        <v>114</v>
      </c>
      <c r="J127" s="60" t="s">
        <v>49</v>
      </c>
      <c r="K127" s="60" t="s">
        <v>183</v>
      </c>
    </row>
    <row r="128" ht="14.5" spans="1:11">
      <c r="A128" s="59" t="s">
        <v>50</v>
      </c>
      <c r="B128" s="60" t="s">
        <v>77</v>
      </c>
      <c r="C128" s="60" t="s">
        <v>182</v>
      </c>
      <c r="D128" s="60" t="s">
        <v>182</v>
      </c>
      <c r="E128" s="60" t="s">
        <v>182</v>
      </c>
      <c r="F128" s="60" t="s">
        <v>182</v>
      </c>
      <c r="G128" s="60" t="s">
        <v>184</v>
      </c>
      <c r="H128" s="60" t="s">
        <v>125</v>
      </c>
      <c r="I128" s="60" t="s">
        <v>126</v>
      </c>
      <c r="J128" s="60" t="s">
        <v>51</v>
      </c>
      <c r="K128" s="60" t="s">
        <v>183</v>
      </c>
    </row>
    <row r="129" ht="14.5" spans="1:11">
      <c r="A129" s="59" t="s">
        <v>50</v>
      </c>
      <c r="B129" s="60" t="s">
        <v>79</v>
      </c>
      <c r="C129" s="60" t="s">
        <v>182</v>
      </c>
      <c r="D129" s="60" t="s">
        <v>182</v>
      </c>
      <c r="E129" s="60" t="s">
        <v>182</v>
      </c>
      <c r="F129" s="60" t="s">
        <v>184</v>
      </c>
      <c r="G129" s="60" t="s">
        <v>175</v>
      </c>
      <c r="H129" s="60" t="s">
        <v>128</v>
      </c>
      <c r="I129" s="60" t="s">
        <v>129</v>
      </c>
      <c r="J129" s="60" t="s">
        <v>47</v>
      </c>
      <c r="K129" s="60" t="s">
        <v>183</v>
      </c>
    </row>
    <row r="130" ht="14.5" spans="1:11">
      <c r="A130" s="59" t="s">
        <v>52</v>
      </c>
      <c r="B130" s="60" t="s">
        <v>47</v>
      </c>
      <c r="C130" s="60" t="s">
        <v>185</v>
      </c>
      <c r="D130" s="60" t="s">
        <v>185</v>
      </c>
      <c r="E130" s="60" t="s">
        <v>185</v>
      </c>
      <c r="F130" s="60" t="s">
        <v>185</v>
      </c>
      <c r="G130" s="60" t="s">
        <v>185</v>
      </c>
      <c r="H130" s="60" t="s">
        <v>131</v>
      </c>
      <c r="I130" s="60" t="s">
        <v>132</v>
      </c>
      <c r="J130" s="60" t="s">
        <v>54</v>
      </c>
      <c r="K130" s="60" t="s">
        <v>186</v>
      </c>
    </row>
    <row r="131" ht="14.5" spans="1:11">
      <c r="A131" s="59" t="s">
        <v>52</v>
      </c>
      <c r="B131" s="60" t="s">
        <v>77</v>
      </c>
      <c r="C131" s="60" t="s">
        <v>185</v>
      </c>
      <c r="D131" s="60" t="s">
        <v>185</v>
      </c>
      <c r="E131" s="60" t="s">
        <v>185</v>
      </c>
      <c r="F131" s="60" t="s">
        <v>185</v>
      </c>
      <c r="G131" s="60" t="s">
        <v>187</v>
      </c>
      <c r="H131" s="60" t="s">
        <v>135</v>
      </c>
      <c r="I131" s="60" t="s">
        <v>136</v>
      </c>
      <c r="J131" s="60" t="s">
        <v>53</v>
      </c>
      <c r="K131" s="60" t="s">
        <v>188</v>
      </c>
    </row>
    <row r="132" ht="14.5" spans="1:11">
      <c r="A132" s="59" t="s">
        <v>52</v>
      </c>
      <c r="B132" s="60" t="s">
        <v>79</v>
      </c>
      <c r="C132" s="60" t="s">
        <v>185</v>
      </c>
      <c r="D132" s="60" t="s">
        <v>185</v>
      </c>
      <c r="E132" s="60" t="s">
        <v>185</v>
      </c>
      <c r="F132" s="60" t="s">
        <v>187</v>
      </c>
      <c r="G132" s="60" t="s">
        <v>175</v>
      </c>
      <c r="H132" s="60" t="s">
        <v>139</v>
      </c>
      <c r="I132" s="60" t="s">
        <v>140</v>
      </c>
      <c r="J132" s="60" t="s">
        <v>47</v>
      </c>
      <c r="K132" s="60" t="s">
        <v>188</v>
      </c>
    </row>
    <row r="133" ht="14.5" spans="1:11">
      <c r="A133" s="59" t="s">
        <v>55</v>
      </c>
      <c r="B133" s="60" t="s">
        <v>47</v>
      </c>
      <c r="C133" s="60" t="s">
        <v>189</v>
      </c>
      <c r="D133" s="60" t="s">
        <v>189</v>
      </c>
      <c r="E133" s="60" t="s">
        <v>189</v>
      </c>
      <c r="F133" s="60" t="s">
        <v>189</v>
      </c>
      <c r="G133" s="60" t="s">
        <v>189</v>
      </c>
      <c r="H133" s="60" t="s">
        <v>142</v>
      </c>
      <c r="I133" s="60" t="s">
        <v>143</v>
      </c>
      <c r="J133" s="60" t="s">
        <v>54</v>
      </c>
      <c r="K133" s="60" t="s">
        <v>190</v>
      </c>
    </row>
    <row r="134" ht="14.5" spans="1:11">
      <c r="A134" s="59" t="s">
        <v>55</v>
      </c>
      <c r="B134" s="60" t="s">
        <v>77</v>
      </c>
      <c r="C134" s="60" t="s">
        <v>189</v>
      </c>
      <c r="D134" s="60" t="s">
        <v>189</v>
      </c>
      <c r="E134" s="60" t="s">
        <v>189</v>
      </c>
      <c r="F134" s="60" t="s">
        <v>189</v>
      </c>
      <c r="G134" s="60" t="s">
        <v>191</v>
      </c>
      <c r="H134" s="60" t="s">
        <v>145</v>
      </c>
      <c r="I134" s="60" t="s">
        <v>146</v>
      </c>
      <c r="J134" s="60" t="s">
        <v>53</v>
      </c>
      <c r="K134" s="60" t="s">
        <v>192</v>
      </c>
    </row>
    <row r="135" ht="14.5" spans="1:11">
      <c r="A135" s="59" t="s">
        <v>55</v>
      </c>
      <c r="B135" s="60" t="s">
        <v>79</v>
      </c>
      <c r="C135" s="60" t="s">
        <v>189</v>
      </c>
      <c r="D135" s="60" t="s">
        <v>189</v>
      </c>
      <c r="E135" s="60" t="s">
        <v>189</v>
      </c>
      <c r="F135" s="60" t="s">
        <v>191</v>
      </c>
      <c r="G135" s="60" t="s">
        <v>175</v>
      </c>
      <c r="H135" s="60" t="s">
        <v>149</v>
      </c>
      <c r="I135" s="60" t="s">
        <v>150</v>
      </c>
      <c r="J135" s="60" t="s">
        <v>47</v>
      </c>
      <c r="K135" s="60" t="s">
        <v>192</v>
      </c>
    </row>
    <row r="136" ht="14.5" spans="1:11">
      <c r="A136" s="59" t="s">
        <v>56</v>
      </c>
      <c r="B136" s="60" t="s">
        <v>47</v>
      </c>
      <c r="C136" s="60" t="s">
        <v>193</v>
      </c>
      <c r="D136" s="60" t="s">
        <v>193</v>
      </c>
      <c r="E136" s="60" t="s">
        <v>193</v>
      </c>
      <c r="F136" s="60" t="s">
        <v>193</v>
      </c>
      <c r="G136" s="60" t="s">
        <v>193</v>
      </c>
      <c r="H136" s="60" t="s">
        <v>152</v>
      </c>
      <c r="I136" s="60" t="s">
        <v>153</v>
      </c>
      <c r="J136" s="60" t="s">
        <v>57</v>
      </c>
      <c r="K136" s="60" t="s">
        <v>186</v>
      </c>
    </row>
    <row r="137" ht="14.5" spans="1:11">
      <c r="A137" s="59" t="s">
        <v>56</v>
      </c>
      <c r="B137" s="60" t="s">
        <v>77</v>
      </c>
      <c r="C137" s="60" t="s">
        <v>193</v>
      </c>
      <c r="D137" s="60" t="s">
        <v>193</v>
      </c>
      <c r="E137" s="60" t="s">
        <v>193</v>
      </c>
      <c r="F137" s="60" t="s">
        <v>193</v>
      </c>
      <c r="G137" s="60" t="s">
        <v>194</v>
      </c>
      <c r="H137" s="60" t="s">
        <v>155</v>
      </c>
      <c r="I137" s="60" t="s">
        <v>156</v>
      </c>
      <c r="J137" s="60" t="s">
        <v>55</v>
      </c>
      <c r="K137" s="60" t="s">
        <v>195</v>
      </c>
    </row>
    <row r="138" ht="14.5" spans="1:11">
      <c r="A138" s="59" t="s">
        <v>56</v>
      </c>
      <c r="B138" s="60" t="s">
        <v>79</v>
      </c>
      <c r="C138" s="60" t="s">
        <v>193</v>
      </c>
      <c r="D138" s="60" t="s">
        <v>193</v>
      </c>
      <c r="E138" s="60" t="s">
        <v>193</v>
      </c>
      <c r="F138" s="60" t="s">
        <v>194</v>
      </c>
      <c r="G138" s="60" t="s">
        <v>175</v>
      </c>
      <c r="H138" s="60" t="s">
        <v>159</v>
      </c>
      <c r="I138" s="60" t="s">
        <v>160</v>
      </c>
      <c r="J138" s="60" t="s">
        <v>47</v>
      </c>
      <c r="K138" s="60" t="s">
        <v>186</v>
      </c>
    </row>
    <row r="139" ht="14.5" spans="1:11">
      <c r="A139" s="59" t="s">
        <v>73</v>
      </c>
      <c r="B139" s="60" t="s">
        <v>1</v>
      </c>
      <c r="C139" s="60" t="s">
        <v>1</v>
      </c>
      <c r="D139" s="60" t="s">
        <v>1</v>
      </c>
      <c r="E139" s="60" t="s">
        <v>1</v>
      </c>
      <c r="F139" s="60" t="s">
        <v>1</v>
      </c>
      <c r="G139" s="60" t="s">
        <v>1</v>
      </c>
      <c r="H139" s="60" t="s">
        <v>196</v>
      </c>
      <c r="I139" s="60" t="s">
        <v>197</v>
      </c>
      <c r="J139" s="60" t="s">
        <v>1</v>
      </c>
      <c r="K139" s="60" t="s">
        <v>198</v>
      </c>
    </row>
    <row r="140" spans="1:11">
      <c r="A140" s="52" t="s">
        <v>1</v>
      </c>
      <c r="B140" s="51" t="s">
        <v>1</v>
      </c>
      <c r="C140" s="51" t="s">
        <v>1</v>
      </c>
      <c r="D140" s="51" t="s">
        <v>1</v>
      </c>
      <c r="E140" s="51" t="s">
        <v>1</v>
      </c>
      <c r="F140" s="51" t="s">
        <v>1</v>
      </c>
      <c r="G140" s="51" t="s">
        <v>1</v>
      </c>
      <c r="H140" s="51" t="s">
        <v>1</v>
      </c>
      <c r="I140" s="51" t="s">
        <v>1</v>
      </c>
      <c r="J140" s="51" t="s">
        <v>1</v>
      </c>
      <c r="K140" s="51" t="s">
        <v>1</v>
      </c>
    </row>
    <row r="141" ht="16.5" spans="1:11">
      <c r="A141" s="53" t="s">
        <v>199</v>
      </c>
      <c r="B141" s="51" t="s">
        <v>1</v>
      </c>
      <c r="C141" s="51" t="s">
        <v>1</v>
      </c>
      <c r="D141" s="51" t="s">
        <v>1</v>
      </c>
      <c r="E141" s="51" t="s">
        <v>1</v>
      </c>
      <c r="F141" s="51" t="s">
        <v>1</v>
      </c>
      <c r="G141" s="51" t="s">
        <v>1</v>
      </c>
      <c r="H141" s="51" t="s">
        <v>1</v>
      </c>
      <c r="I141" s="51" t="s">
        <v>1</v>
      </c>
      <c r="J141" s="51" t="s">
        <v>1</v>
      </c>
      <c r="K141" s="51" t="s">
        <v>1</v>
      </c>
    </row>
    <row r="142" ht="16.5" spans="1:11">
      <c r="A142" s="62" t="s">
        <v>200</v>
      </c>
      <c r="B142" s="51" t="s">
        <v>1</v>
      </c>
      <c r="C142" s="51" t="s">
        <v>1</v>
      </c>
      <c r="D142" s="51" t="s">
        <v>1</v>
      </c>
      <c r="E142" s="51" t="s">
        <v>1</v>
      </c>
      <c r="F142" s="51" t="s">
        <v>1</v>
      </c>
      <c r="G142" s="51" t="s">
        <v>1</v>
      </c>
      <c r="H142" s="51" t="s">
        <v>1</v>
      </c>
      <c r="I142" s="51" t="s">
        <v>1</v>
      </c>
      <c r="J142" s="51" t="s">
        <v>1</v>
      </c>
      <c r="K142" s="51" t="s">
        <v>1</v>
      </c>
    </row>
    <row r="143" ht="16.5" spans="1:11">
      <c r="A143" s="62" t="s">
        <v>201</v>
      </c>
      <c r="B143" s="51" t="s">
        <v>1</v>
      </c>
      <c r="C143" s="51" t="s">
        <v>1</v>
      </c>
      <c r="D143" s="51" t="s">
        <v>1</v>
      </c>
      <c r="E143" s="51" t="s">
        <v>1</v>
      </c>
      <c r="F143" s="51" t="s">
        <v>1</v>
      </c>
      <c r="G143" s="51" t="s">
        <v>1</v>
      </c>
      <c r="H143" s="51" t="s">
        <v>1</v>
      </c>
      <c r="I143" s="51" t="s">
        <v>1</v>
      </c>
      <c r="J143" s="51" t="s">
        <v>1</v>
      </c>
      <c r="K143" s="51" t="s">
        <v>1</v>
      </c>
    </row>
    <row r="144" ht="16.5" spans="1:11">
      <c r="A144" s="62" t="s">
        <v>202</v>
      </c>
      <c r="B144" s="51" t="s">
        <v>1</v>
      </c>
      <c r="C144" s="51" t="s">
        <v>1</v>
      </c>
      <c r="D144" s="51" t="s">
        <v>1</v>
      </c>
      <c r="E144" s="51" t="s">
        <v>1</v>
      </c>
      <c r="F144" s="51" t="s">
        <v>1</v>
      </c>
      <c r="G144" s="51" t="s">
        <v>1</v>
      </c>
      <c r="H144" s="51" t="s">
        <v>1</v>
      </c>
      <c r="I144" s="51" t="s">
        <v>1</v>
      </c>
      <c r="J144" s="51" t="s">
        <v>1</v>
      </c>
      <c r="K144" s="51" t="s">
        <v>1</v>
      </c>
    </row>
    <row r="145" ht="16.5" spans="1:11">
      <c r="A145" s="62" t="s">
        <v>203</v>
      </c>
      <c r="B145" s="51" t="s">
        <v>1</v>
      </c>
      <c r="C145" s="51" t="s">
        <v>1</v>
      </c>
      <c r="D145" s="51" t="s">
        <v>1</v>
      </c>
      <c r="E145" s="51" t="s">
        <v>1</v>
      </c>
      <c r="F145" s="51" t="s">
        <v>1</v>
      </c>
      <c r="G145" s="51" t="s">
        <v>1</v>
      </c>
      <c r="H145" s="51" t="s">
        <v>1</v>
      </c>
      <c r="I145" s="51" t="s">
        <v>1</v>
      </c>
      <c r="J145" s="51" t="s">
        <v>1</v>
      </c>
      <c r="K145" s="51" t="s">
        <v>1</v>
      </c>
    </row>
    <row r="146" ht="16.5" spans="1:11">
      <c r="A146" s="62" t="s">
        <v>204</v>
      </c>
      <c r="B146" s="51" t="s">
        <v>1</v>
      </c>
      <c r="C146" s="51" t="s">
        <v>1</v>
      </c>
      <c r="D146" s="51" t="s">
        <v>1</v>
      </c>
      <c r="E146" s="51" t="s">
        <v>1</v>
      </c>
      <c r="F146" s="51" t="s">
        <v>1</v>
      </c>
      <c r="G146" s="51" t="s">
        <v>1</v>
      </c>
      <c r="H146" s="51" t="s">
        <v>1</v>
      </c>
      <c r="I146" s="51" t="s">
        <v>1</v>
      </c>
      <c r="J146" s="51" t="s">
        <v>1</v>
      </c>
      <c r="K146" s="51" t="s">
        <v>1</v>
      </c>
    </row>
    <row r="147" ht="16.5" spans="1:11">
      <c r="A147" s="62" t="s">
        <v>205</v>
      </c>
      <c r="B147" s="51" t="s">
        <v>1</v>
      </c>
      <c r="C147" s="51" t="s">
        <v>1</v>
      </c>
      <c r="D147" s="51" t="s">
        <v>1</v>
      </c>
      <c r="E147" s="51" t="s">
        <v>1</v>
      </c>
      <c r="F147" s="51" t="s">
        <v>1</v>
      </c>
      <c r="G147" s="51" t="s">
        <v>1</v>
      </c>
      <c r="H147" s="51" t="s">
        <v>1</v>
      </c>
      <c r="I147" s="51" t="s">
        <v>1</v>
      </c>
      <c r="J147" s="51" t="s">
        <v>1</v>
      </c>
      <c r="K147" s="51" t="s">
        <v>1</v>
      </c>
    </row>
    <row r="148" ht="20" customHeight="1" spans="1:11">
      <c r="A148" s="55" t="s">
        <v>206</v>
      </c>
      <c r="B148" s="51" t="s">
        <v>1</v>
      </c>
      <c r="C148" s="51" t="s">
        <v>1</v>
      </c>
      <c r="D148" s="51" t="s">
        <v>1</v>
      </c>
      <c r="E148" s="51" t="s">
        <v>1</v>
      </c>
      <c r="F148" s="51" t="s">
        <v>1</v>
      </c>
      <c r="G148" s="51" t="s">
        <v>1</v>
      </c>
      <c r="H148" s="51" t="s">
        <v>1</v>
      </c>
      <c r="I148" s="51" t="s">
        <v>1</v>
      </c>
      <c r="J148" s="51" t="s">
        <v>1</v>
      </c>
      <c r="K148" s="51" t="s">
        <v>1</v>
      </c>
    </row>
    <row r="149" spans="1:11">
      <c r="A149" s="52" t="s">
        <v>1</v>
      </c>
      <c r="B149" s="51" t="s">
        <v>1</v>
      </c>
      <c r="C149" s="51" t="s">
        <v>1</v>
      </c>
      <c r="D149" s="51" t="s">
        <v>1</v>
      </c>
      <c r="E149" s="51" t="s">
        <v>1</v>
      </c>
      <c r="F149" s="51" t="s">
        <v>1</v>
      </c>
      <c r="G149" s="51" t="s">
        <v>1</v>
      </c>
      <c r="H149" s="51" t="s">
        <v>1</v>
      </c>
      <c r="I149" s="51" t="s">
        <v>1</v>
      </c>
      <c r="J149" s="51" t="s">
        <v>1</v>
      </c>
      <c r="K149" s="51" t="s">
        <v>1</v>
      </c>
    </row>
    <row r="150" ht="18" customHeight="1" spans="1:11">
      <c r="A150" s="57" t="s">
        <v>207</v>
      </c>
      <c r="B150" s="58" t="s">
        <v>208</v>
      </c>
      <c r="C150" s="51" t="s">
        <v>1</v>
      </c>
      <c r="D150" s="51" t="s">
        <v>1</v>
      </c>
      <c r="E150" s="51" t="s">
        <v>1</v>
      </c>
      <c r="F150" s="51" t="s">
        <v>1</v>
      </c>
      <c r="G150" s="51" t="s">
        <v>1</v>
      </c>
      <c r="H150" s="51" t="s">
        <v>1</v>
      </c>
      <c r="I150" s="51" t="s">
        <v>1</v>
      </c>
      <c r="J150" s="51" t="s">
        <v>1</v>
      </c>
      <c r="K150" s="51" t="s">
        <v>1</v>
      </c>
    </row>
    <row r="151" ht="14.5" spans="1:11">
      <c r="A151" s="59" t="s">
        <v>209</v>
      </c>
      <c r="B151" s="60" t="s">
        <v>210</v>
      </c>
      <c r="C151" s="51" t="s">
        <v>1</v>
      </c>
      <c r="D151" s="51" t="s">
        <v>1</v>
      </c>
      <c r="E151" s="51" t="s">
        <v>1</v>
      </c>
      <c r="F151" s="51" t="s">
        <v>1</v>
      </c>
      <c r="G151" s="51" t="s">
        <v>1</v>
      </c>
      <c r="H151" s="51" t="s">
        <v>1</v>
      </c>
      <c r="I151" s="51" t="s">
        <v>1</v>
      </c>
      <c r="J151" s="51" t="s">
        <v>1</v>
      </c>
      <c r="K151" s="51" t="s">
        <v>1</v>
      </c>
    </row>
    <row r="152" ht="14.5" spans="1:11">
      <c r="A152" s="59" t="s">
        <v>211</v>
      </c>
      <c r="B152" s="60" t="s">
        <v>212</v>
      </c>
      <c r="C152" s="51" t="s">
        <v>1</v>
      </c>
      <c r="D152" s="51" t="s">
        <v>1</v>
      </c>
      <c r="E152" s="51" t="s">
        <v>1</v>
      </c>
      <c r="F152" s="51" t="s">
        <v>1</v>
      </c>
      <c r="G152" s="51" t="s">
        <v>1</v>
      </c>
      <c r="H152" s="51" t="s">
        <v>1</v>
      </c>
      <c r="I152" s="51" t="s">
        <v>1</v>
      </c>
      <c r="J152" s="51" t="s">
        <v>1</v>
      </c>
      <c r="K152" s="51" t="s">
        <v>1</v>
      </c>
    </row>
    <row r="153" ht="14.5" spans="1:11">
      <c r="A153" s="59" t="s">
        <v>213</v>
      </c>
      <c r="B153" s="60" t="s">
        <v>214</v>
      </c>
      <c r="C153" s="51" t="s">
        <v>1</v>
      </c>
      <c r="D153" s="51" t="s">
        <v>1</v>
      </c>
      <c r="E153" s="51" t="s">
        <v>1</v>
      </c>
      <c r="F153" s="51" t="s">
        <v>1</v>
      </c>
      <c r="G153" s="51" t="s">
        <v>1</v>
      </c>
      <c r="H153" s="51" t="s">
        <v>1</v>
      </c>
      <c r="I153" s="51" t="s">
        <v>1</v>
      </c>
      <c r="J153" s="51" t="s">
        <v>1</v>
      </c>
      <c r="K153" s="51" t="s">
        <v>1</v>
      </c>
    </row>
    <row r="154" ht="14.5" spans="1:11">
      <c r="A154" s="59" t="s">
        <v>215</v>
      </c>
      <c r="B154" s="60" t="s">
        <v>216</v>
      </c>
      <c r="C154" s="51" t="s">
        <v>1</v>
      </c>
      <c r="D154" s="51" t="s">
        <v>1</v>
      </c>
      <c r="E154" s="51" t="s">
        <v>1</v>
      </c>
      <c r="F154" s="51" t="s">
        <v>1</v>
      </c>
      <c r="G154" s="51" t="s">
        <v>1</v>
      </c>
      <c r="H154" s="51" t="s">
        <v>1</v>
      </c>
      <c r="I154" s="51" t="s">
        <v>1</v>
      </c>
      <c r="J154" s="51" t="s">
        <v>1</v>
      </c>
      <c r="K154" s="51" t="s">
        <v>1</v>
      </c>
    </row>
    <row r="155" ht="14.5" spans="1:11">
      <c r="A155" s="59" t="s">
        <v>217</v>
      </c>
      <c r="B155" s="60" t="s">
        <v>218</v>
      </c>
      <c r="C155" s="51" t="s">
        <v>1</v>
      </c>
      <c r="D155" s="51" t="s">
        <v>1</v>
      </c>
      <c r="E155" s="51" t="s">
        <v>1</v>
      </c>
      <c r="F155" s="51" t="s">
        <v>1</v>
      </c>
      <c r="G155" s="51" t="s">
        <v>1</v>
      </c>
      <c r="H155" s="51" t="s">
        <v>1</v>
      </c>
      <c r="I155" s="51" t="s">
        <v>1</v>
      </c>
      <c r="J155" s="51" t="s">
        <v>1</v>
      </c>
      <c r="K155" s="51" t="s">
        <v>1</v>
      </c>
    </row>
    <row r="156" ht="14.5" spans="1:11">
      <c r="A156" s="59" t="s">
        <v>219</v>
      </c>
      <c r="B156" s="60" t="s">
        <v>220</v>
      </c>
      <c r="C156" s="51" t="s">
        <v>1</v>
      </c>
      <c r="D156" s="51" t="s">
        <v>1</v>
      </c>
      <c r="E156" s="51" t="s">
        <v>1</v>
      </c>
      <c r="F156" s="51" t="s">
        <v>1</v>
      </c>
      <c r="G156" s="51" t="s">
        <v>1</v>
      </c>
      <c r="H156" s="51" t="s">
        <v>1</v>
      </c>
      <c r="I156" s="51" t="s">
        <v>1</v>
      </c>
      <c r="J156" s="51" t="s">
        <v>1</v>
      </c>
      <c r="K156" s="51" t="s">
        <v>1</v>
      </c>
    </row>
    <row r="157" ht="14.5" spans="1:11">
      <c r="A157" s="59" t="s">
        <v>221</v>
      </c>
      <c r="B157" s="60" t="s">
        <v>222</v>
      </c>
      <c r="C157" s="51" t="s">
        <v>1</v>
      </c>
      <c r="D157" s="51" t="s">
        <v>1</v>
      </c>
      <c r="E157" s="51" t="s">
        <v>1</v>
      </c>
      <c r="F157" s="51" t="s">
        <v>1</v>
      </c>
      <c r="G157" s="51" t="s">
        <v>1</v>
      </c>
      <c r="H157" s="51" t="s">
        <v>1</v>
      </c>
      <c r="I157" s="51" t="s">
        <v>1</v>
      </c>
      <c r="J157" s="51" t="s">
        <v>1</v>
      </c>
      <c r="K157" s="51" t="s">
        <v>1</v>
      </c>
    </row>
    <row r="158" ht="14.5" spans="1:11">
      <c r="A158" s="59" t="s">
        <v>223</v>
      </c>
      <c r="B158" s="60" t="s">
        <v>224</v>
      </c>
      <c r="C158" s="51" t="s">
        <v>1</v>
      </c>
      <c r="D158" s="51" t="s">
        <v>1</v>
      </c>
      <c r="E158" s="51" t="s">
        <v>1</v>
      </c>
      <c r="F158" s="51" t="s">
        <v>1</v>
      </c>
      <c r="G158" s="51" t="s">
        <v>1</v>
      </c>
      <c r="H158" s="51" t="s">
        <v>1</v>
      </c>
      <c r="I158" s="51" t="s">
        <v>1</v>
      </c>
      <c r="J158" s="51" t="s">
        <v>1</v>
      </c>
      <c r="K158" s="51" t="s">
        <v>1</v>
      </c>
    </row>
    <row r="159" spans="1:11">
      <c r="A159" s="52" t="s">
        <v>1</v>
      </c>
      <c r="B159" s="51" t="s">
        <v>1</v>
      </c>
      <c r="C159" s="51" t="s">
        <v>1</v>
      </c>
      <c r="D159" s="51" t="s">
        <v>1</v>
      </c>
      <c r="E159" s="51" t="s">
        <v>1</v>
      </c>
      <c r="F159" s="51" t="s">
        <v>1</v>
      </c>
      <c r="G159" s="51" t="s">
        <v>1</v>
      </c>
      <c r="H159" s="51" t="s">
        <v>1</v>
      </c>
      <c r="I159" s="51" t="s">
        <v>1</v>
      </c>
      <c r="J159" s="51" t="s">
        <v>1</v>
      </c>
      <c r="K159" s="51" t="s">
        <v>1</v>
      </c>
    </row>
    <row r="160" ht="20" customHeight="1" spans="1:11">
      <c r="A160" s="55" t="s">
        <v>225</v>
      </c>
      <c r="B160" s="51" t="s">
        <v>1</v>
      </c>
      <c r="C160" s="51" t="s">
        <v>1</v>
      </c>
      <c r="D160" s="51" t="s">
        <v>1</v>
      </c>
      <c r="E160" s="51" t="s">
        <v>1</v>
      </c>
      <c r="F160" s="51" t="s">
        <v>1</v>
      </c>
      <c r="G160" s="51" t="s">
        <v>1</v>
      </c>
      <c r="H160" s="51" t="s">
        <v>1</v>
      </c>
      <c r="I160" s="51" t="s">
        <v>1</v>
      </c>
      <c r="J160" s="51" t="s">
        <v>1</v>
      </c>
      <c r="K160" s="51" t="s">
        <v>1</v>
      </c>
    </row>
    <row r="161" spans="1:11">
      <c r="A161" s="52" t="s">
        <v>1</v>
      </c>
      <c r="B161" s="51" t="s">
        <v>1</v>
      </c>
      <c r="C161" s="51" t="s">
        <v>1</v>
      </c>
      <c r="D161" s="51" t="s">
        <v>1</v>
      </c>
      <c r="E161" s="51" t="s">
        <v>1</v>
      </c>
      <c r="F161" s="51" t="s">
        <v>1</v>
      </c>
      <c r="G161" s="51" t="s">
        <v>1</v>
      </c>
      <c r="H161" s="51" t="s">
        <v>1</v>
      </c>
      <c r="I161" s="51" t="s">
        <v>1</v>
      </c>
      <c r="J161" s="51" t="s">
        <v>1</v>
      </c>
      <c r="K161" s="51" t="s">
        <v>1</v>
      </c>
    </row>
    <row r="162" ht="18" customHeight="1" spans="1:11">
      <c r="A162" s="57" t="s">
        <v>226</v>
      </c>
      <c r="B162" s="58" t="s">
        <v>227</v>
      </c>
      <c r="C162" s="58" t="s">
        <v>228</v>
      </c>
      <c r="D162" s="51" t="s">
        <v>1</v>
      </c>
      <c r="E162" s="51" t="s">
        <v>1</v>
      </c>
      <c r="F162" s="51" t="s">
        <v>1</v>
      </c>
      <c r="G162" s="51" t="s">
        <v>1</v>
      </c>
      <c r="H162" s="51" t="s">
        <v>1</v>
      </c>
      <c r="I162" s="51" t="s">
        <v>1</v>
      </c>
      <c r="J162" s="51" t="s">
        <v>1</v>
      </c>
      <c r="K162" s="51" t="s">
        <v>1</v>
      </c>
    </row>
    <row r="163" ht="30" customHeight="1" spans="1:11">
      <c r="A163" s="59" t="s">
        <v>229</v>
      </c>
      <c r="B163" s="59" t="s">
        <v>230</v>
      </c>
      <c r="C163" s="60" t="s">
        <v>231</v>
      </c>
      <c r="D163" s="51" t="s">
        <v>1</v>
      </c>
      <c r="E163" s="51" t="s">
        <v>1</v>
      </c>
      <c r="F163" s="51" t="s">
        <v>1</v>
      </c>
      <c r="G163" s="51" t="s">
        <v>1</v>
      </c>
      <c r="H163" s="51" t="s">
        <v>1</v>
      </c>
      <c r="I163" s="51" t="s">
        <v>1</v>
      </c>
      <c r="J163" s="51" t="s">
        <v>1</v>
      </c>
      <c r="K163" s="51" t="s">
        <v>1</v>
      </c>
    </row>
    <row r="164" ht="14.5" spans="1:11">
      <c r="A164" s="59" t="s">
        <v>232</v>
      </c>
      <c r="B164" s="60" t="s">
        <v>233</v>
      </c>
      <c r="C164" s="60" t="s">
        <v>234</v>
      </c>
      <c r="D164" s="51" t="s">
        <v>1</v>
      </c>
      <c r="E164" s="51" t="s">
        <v>1</v>
      </c>
      <c r="F164" s="51" t="s">
        <v>1</v>
      </c>
      <c r="G164" s="51" t="s">
        <v>1</v>
      </c>
      <c r="H164" s="51" t="s">
        <v>1</v>
      </c>
      <c r="I164" s="51" t="s">
        <v>1</v>
      </c>
      <c r="J164" s="51" t="s">
        <v>1</v>
      </c>
      <c r="K164" s="51" t="s">
        <v>1</v>
      </c>
    </row>
    <row r="165" ht="14.5" spans="1:11">
      <c r="A165" s="59" t="s">
        <v>235</v>
      </c>
      <c r="B165" s="60" t="s">
        <v>236</v>
      </c>
      <c r="C165" s="60" t="s">
        <v>237</v>
      </c>
      <c r="D165" s="51" t="s">
        <v>1</v>
      </c>
      <c r="E165" s="51" t="s">
        <v>1</v>
      </c>
      <c r="F165" s="51" t="s">
        <v>1</v>
      </c>
      <c r="G165" s="51" t="s">
        <v>1</v>
      </c>
      <c r="H165" s="51" t="s">
        <v>1</v>
      </c>
      <c r="I165" s="51" t="s">
        <v>1</v>
      </c>
      <c r="J165" s="51" t="s">
        <v>1</v>
      </c>
      <c r="K165" s="51" t="s">
        <v>1</v>
      </c>
    </row>
    <row r="166" ht="14.5" spans="1:11">
      <c r="A166" s="59" t="s">
        <v>238</v>
      </c>
      <c r="B166" s="60" t="s">
        <v>239</v>
      </c>
      <c r="C166" s="60" t="s">
        <v>240</v>
      </c>
      <c r="D166" s="51" t="s">
        <v>1</v>
      </c>
      <c r="E166" s="51" t="s">
        <v>1</v>
      </c>
      <c r="F166" s="51" t="s">
        <v>1</v>
      </c>
      <c r="G166" s="51" t="s">
        <v>1</v>
      </c>
      <c r="H166" s="51" t="s">
        <v>1</v>
      </c>
      <c r="I166" s="51" t="s">
        <v>1</v>
      </c>
      <c r="J166" s="51" t="s">
        <v>1</v>
      </c>
      <c r="K166" s="51" t="s">
        <v>1</v>
      </c>
    </row>
    <row r="167" ht="14.5" spans="1:11">
      <c r="A167" s="59" t="s">
        <v>241</v>
      </c>
      <c r="B167" s="60" t="s">
        <v>242</v>
      </c>
      <c r="C167" s="60" t="s">
        <v>243</v>
      </c>
    </row>
    <row r="168" ht="14.5" spans="1:11">
      <c r="A168" s="59" t="s">
        <v>244</v>
      </c>
      <c r="B168" s="60" t="s">
        <v>245</v>
      </c>
      <c r="C168" s="60" t="s">
        <v>246</v>
      </c>
      <c r="D168" s="51" t="s">
        <v>1</v>
      </c>
      <c r="E168" s="51" t="s">
        <v>1</v>
      </c>
      <c r="F168" s="51" t="s">
        <v>1</v>
      </c>
      <c r="G168" s="51" t="s">
        <v>1</v>
      </c>
      <c r="H168" s="51" t="s">
        <v>1</v>
      </c>
      <c r="I168" s="51" t="s">
        <v>1</v>
      </c>
      <c r="J168" s="51" t="s">
        <v>1</v>
      </c>
      <c r="K168" s="51" t="s">
        <v>1</v>
      </c>
    </row>
    <row r="169" ht="14.5" spans="1:11">
      <c r="A169" s="59" t="s">
        <v>247</v>
      </c>
      <c r="B169" s="60" t="s">
        <v>248</v>
      </c>
      <c r="C169" s="60" t="s">
        <v>249</v>
      </c>
      <c r="D169" s="51" t="s">
        <v>1</v>
      </c>
      <c r="E169" s="51" t="s">
        <v>1</v>
      </c>
      <c r="F169" s="51" t="s">
        <v>1</v>
      </c>
      <c r="G169" s="51" t="s">
        <v>1</v>
      </c>
      <c r="H169" s="51" t="s">
        <v>1</v>
      </c>
      <c r="I169" s="51" t="s">
        <v>1</v>
      </c>
      <c r="J169" s="51" t="s">
        <v>1</v>
      </c>
      <c r="K169" s="51" t="s">
        <v>1</v>
      </c>
    </row>
    <row r="170" ht="14.5" spans="1:11">
      <c r="A170" s="59" t="s">
        <v>250</v>
      </c>
      <c r="B170" s="60" t="s">
        <v>251</v>
      </c>
      <c r="C170" s="60" t="s">
        <v>252</v>
      </c>
      <c r="D170" s="51" t="s">
        <v>1</v>
      </c>
      <c r="E170" s="51" t="s">
        <v>1</v>
      </c>
      <c r="F170" s="51" t="s">
        <v>1</v>
      </c>
      <c r="G170" s="51" t="s">
        <v>1</v>
      </c>
      <c r="H170" s="51" t="s">
        <v>1</v>
      </c>
      <c r="I170" s="51" t="s">
        <v>1</v>
      </c>
      <c r="J170" s="51" t="s">
        <v>1</v>
      </c>
      <c r="K170" s="51" t="s">
        <v>1</v>
      </c>
    </row>
    <row r="171" ht="14.5" spans="1:11">
      <c r="A171" s="59" t="s">
        <v>253</v>
      </c>
      <c r="B171" s="60" t="s">
        <v>254</v>
      </c>
      <c r="C171" s="60" t="s">
        <v>255</v>
      </c>
      <c r="D171" s="51" t="s">
        <v>1</v>
      </c>
      <c r="E171" s="51" t="s">
        <v>1</v>
      </c>
      <c r="F171" s="51" t="s">
        <v>1</v>
      </c>
      <c r="G171" s="51" t="s">
        <v>1</v>
      </c>
      <c r="H171" s="51" t="s">
        <v>1</v>
      </c>
      <c r="I171" s="51" t="s">
        <v>1</v>
      </c>
      <c r="J171" s="51" t="s">
        <v>1</v>
      </c>
      <c r="K171" s="51" t="s">
        <v>1</v>
      </c>
    </row>
    <row r="172" spans="1:11">
      <c r="A172" s="52" t="s">
        <v>1</v>
      </c>
      <c r="B172" s="51" t="s">
        <v>1</v>
      </c>
      <c r="C172" s="51" t="s">
        <v>1</v>
      </c>
      <c r="D172" s="51" t="s">
        <v>1</v>
      </c>
      <c r="E172" s="51" t="s">
        <v>1</v>
      </c>
      <c r="F172" s="51" t="s">
        <v>1</v>
      </c>
      <c r="G172" s="51" t="s">
        <v>1</v>
      </c>
      <c r="H172" s="51" t="s">
        <v>1</v>
      </c>
      <c r="I172" s="51" t="s">
        <v>1</v>
      </c>
      <c r="J172" s="51" t="s">
        <v>1</v>
      </c>
      <c r="K172" s="51" t="s">
        <v>1</v>
      </c>
    </row>
    <row r="173" ht="20" customHeight="1" spans="1:11">
      <c r="A173" s="55" t="s">
        <v>256</v>
      </c>
      <c r="B173" s="51" t="s">
        <v>1</v>
      </c>
      <c r="C173" s="51" t="s">
        <v>1</v>
      </c>
      <c r="D173" s="51" t="s">
        <v>1</v>
      </c>
      <c r="E173" s="51" t="s">
        <v>1</v>
      </c>
      <c r="F173" s="51" t="s">
        <v>1</v>
      </c>
      <c r="G173" s="51" t="s">
        <v>1</v>
      </c>
      <c r="H173" s="51" t="s">
        <v>1</v>
      </c>
      <c r="I173" s="51" t="s">
        <v>1</v>
      </c>
      <c r="J173" s="51" t="s">
        <v>1</v>
      </c>
      <c r="K173" s="51" t="s">
        <v>1</v>
      </c>
    </row>
    <row r="174" spans="1:11">
      <c r="A174" s="52" t="s">
        <v>1</v>
      </c>
      <c r="B174" s="51" t="s">
        <v>1</v>
      </c>
      <c r="C174" s="51" t="s">
        <v>1</v>
      </c>
      <c r="D174" s="51" t="s">
        <v>1</v>
      </c>
      <c r="E174" s="51" t="s">
        <v>1</v>
      </c>
      <c r="F174" s="51" t="s">
        <v>1</v>
      </c>
      <c r="G174" s="51" t="s">
        <v>1</v>
      </c>
      <c r="H174" s="51" t="s">
        <v>1</v>
      </c>
      <c r="I174" s="51" t="s">
        <v>1</v>
      </c>
      <c r="J174" s="51" t="s">
        <v>1</v>
      </c>
      <c r="K174" s="51" t="s">
        <v>1</v>
      </c>
    </row>
    <row r="175" ht="16.5" spans="1:11">
      <c r="A175" s="62" t="s">
        <v>257</v>
      </c>
      <c r="B175" s="51" t="s">
        <v>1</v>
      </c>
      <c r="C175" s="51" t="s">
        <v>1</v>
      </c>
      <c r="D175" s="51" t="s">
        <v>1</v>
      </c>
      <c r="E175" s="51" t="s">
        <v>1</v>
      </c>
      <c r="F175" s="51" t="s">
        <v>1</v>
      </c>
      <c r="G175" s="51" t="s">
        <v>1</v>
      </c>
      <c r="H175" s="51" t="s">
        <v>1</v>
      </c>
      <c r="I175" s="51" t="s">
        <v>1</v>
      </c>
      <c r="J175" s="51" t="s">
        <v>1</v>
      </c>
      <c r="K175" s="51" t="s">
        <v>1</v>
      </c>
    </row>
    <row r="176" ht="16.5" spans="1:11">
      <c r="A176" s="62" t="s">
        <v>258</v>
      </c>
      <c r="B176" s="51" t="s">
        <v>1</v>
      </c>
      <c r="C176" s="51" t="s">
        <v>1</v>
      </c>
      <c r="D176" s="51" t="s">
        <v>1</v>
      </c>
      <c r="E176" s="51" t="s">
        <v>1</v>
      </c>
      <c r="F176" s="51" t="s">
        <v>1</v>
      </c>
      <c r="G176" s="51" t="s">
        <v>1</v>
      </c>
      <c r="H176" s="51" t="s">
        <v>1</v>
      </c>
      <c r="I176" s="51" t="s">
        <v>1</v>
      </c>
      <c r="J176" s="51" t="s">
        <v>1</v>
      </c>
      <c r="K176" s="51" t="s">
        <v>1</v>
      </c>
    </row>
    <row r="177" ht="16.5" spans="1:11">
      <c r="A177" s="62" t="s">
        <v>259</v>
      </c>
      <c r="B177" s="51" t="s">
        <v>1</v>
      </c>
      <c r="C177" s="51" t="s">
        <v>1</v>
      </c>
      <c r="D177" s="51" t="s">
        <v>1</v>
      </c>
      <c r="E177" s="51" t="s">
        <v>1</v>
      </c>
      <c r="F177" s="51" t="s">
        <v>1</v>
      </c>
      <c r="G177" s="51" t="s">
        <v>1</v>
      </c>
      <c r="H177" s="51" t="s">
        <v>1</v>
      </c>
      <c r="I177" s="51" t="s">
        <v>1</v>
      </c>
      <c r="J177" s="51" t="s">
        <v>1</v>
      </c>
      <c r="K177" s="51" t="s">
        <v>1</v>
      </c>
    </row>
    <row r="178" ht="16.5" spans="1:11">
      <c r="A178" s="62" t="s">
        <v>260</v>
      </c>
      <c r="B178" s="51" t="s">
        <v>1</v>
      </c>
      <c r="C178" s="51" t="s">
        <v>1</v>
      </c>
      <c r="D178" s="51" t="s">
        <v>1</v>
      </c>
      <c r="E178" s="51" t="s">
        <v>1</v>
      </c>
      <c r="F178" s="51" t="s">
        <v>1</v>
      </c>
      <c r="G178" s="51" t="s">
        <v>1</v>
      </c>
      <c r="H178" s="51" t="s">
        <v>1</v>
      </c>
      <c r="I178" s="51" t="s">
        <v>1</v>
      </c>
      <c r="J178" s="51" t="s">
        <v>1</v>
      </c>
      <c r="K178" s="51" t="s">
        <v>1</v>
      </c>
    </row>
    <row r="179" ht="16.5" spans="1:11">
      <c r="A179" s="62" t="s">
        <v>261</v>
      </c>
      <c r="B179" s="51" t="s">
        <v>1</v>
      </c>
      <c r="C179" s="51" t="s">
        <v>1</v>
      </c>
      <c r="D179" s="51" t="s">
        <v>1</v>
      </c>
      <c r="E179" s="51" t="s">
        <v>1</v>
      </c>
      <c r="F179" s="51" t="s">
        <v>1</v>
      </c>
      <c r="G179" s="51" t="s">
        <v>1</v>
      </c>
      <c r="H179" s="51" t="s">
        <v>1</v>
      </c>
      <c r="I179" s="51" t="s">
        <v>1</v>
      </c>
      <c r="J179" s="51" t="s">
        <v>1</v>
      </c>
      <c r="K179" s="51" t="s">
        <v>1</v>
      </c>
    </row>
    <row r="180" ht="16.5" spans="1:11">
      <c r="A180" s="62" t="s">
        <v>262</v>
      </c>
      <c r="B180" s="51" t="s">
        <v>1</v>
      </c>
      <c r="C180" s="51" t="s">
        <v>1</v>
      </c>
      <c r="D180" s="51" t="s">
        <v>1</v>
      </c>
      <c r="E180" s="51" t="s">
        <v>1</v>
      </c>
      <c r="F180" s="51" t="s">
        <v>1</v>
      </c>
      <c r="G180" s="51" t="s">
        <v>1</v>
      </c>
      <c r="H180" s="51" t="s">
        <v>1</v>
      </c>
      <c r="I180" s="51" t="s">
        <v>1</v>
      </c>
      <c r="J180" s="51" t="s">
        <v>1</v>
      </c>
      <c r="K180" s="51" t="s">
        <v>1</v>
      </c>
    </row>
    <row r="181" ht="16.5" spans="1:11">
      <c r="A181" s="62" t="s">
        <v>263</v>
      </c>
      <c r="B181" s="51" t="s">
        <v>1</v>
      </c>
      <c r="C181" s="51" t="s">
        <v>1</v>
      </c>
      <c r="D181" s="51" t="s">
        <v>1</v>
      </c>
      <c r="E181" s="51" t="s">
        <v>1</v>
      </c>
      <c r="F181" s="51" t="s">
        <v>1</v>
      </c>
      <c r="G181" s="51" t="s">
        <v>1</v>
      </c>
      <c r="H181" s="51" t="s">
        <v>1</v>
      </c>
      <c r="I181" s="51" t="s">
        <v>1</v>
      </c>
      <c r="J181" s="51" t="s">
        <v>1</v>
      </c>
      <c r="K181" s="51" t="s">
        <v>1</v>
      </c>
    </row>
    <row r="182" ht="16.5" spans="1:11">
      <c r="A182" s="62" t="s">
        <v>264</v>
      </c>
      <c r="B182" s="51" t="s">
        <v>1</v>
      </c>
      <c r="C182" s="51" t="s">
        <v>1</v>
      </c>
      <c r="D182" s="51" t="s">
        <v>1</v>
      </c>
      <c r="E182" s="51" t="s">
        <v>1</v>
      </c>
      <c r="F182" s="51" t="s">
        <v>1</v>
      </c>
      <c r="G182" s="51" t="s">
        <v>1</v>
      </c>
      <c r="H182" s="51" t="s">
        <v>1</v>
      </c>
      <c r="I182" s="51" t="s">
        <v>1</v>
      </c>
      <c r="J182" s="51" t="s">
        <v>1</v>
      </c>
      <c r="K182" s="51" t="s">
        <v>1</v>
      </c>
    </row>
  </sheetData>
  <mergeCells count="52">
    <mergeCell ref="A1:K1"/>
    <mergeCell ref="A4:F4"/>
    <mergeCell ref="A5:D5"/>
    <mergeCell ref="A6:D6"/>
    <mergeCell ref="A7:D7"/>
    <mergeCell ref="A8:F8"/>
    <mergeCell ref="A17:C17"/>
    <mergeCell ref="A22:D22"/>
    <mergeCell ref="A24:D24"/>
    <mergeCell ref="A25:M25"/>
    <mergeCell ref="A28:P28"/>
    <mergeCell ref="B32:C32"/>
    <mergeCell ref="B33:M33"/>
    <mergeCell ref="B34:I34"/>
    <mergeCell ref="B35:H35"/>
    <mergeCell ref="B36:L36"/>
    <mergeCell ref="A38:D38"/>
    <mergeCell ref="A40:C40"/>
    <mergeCell ref="A42:C42"/>
    <mergeCell ref="A51:C51"/>
    <mergeCell ref="A55:D55"/>
    <mergeCell ref="A56:D56"/>
    <mergeCell ref="A68:H68"/>
    <mergeCell ref="A69:C69"/>
    <mergeCell ref="A72:D72"/>
    <mergeCell ref="A80:D80"/>
    <mergeCell ref="G101:H101"/>
    <mergeCell ref="A104:I104"/>
    <mergeCell ref="A105:O105"/>
    <mergeCell ref="A106:G106"/>
    <mergeCell ref="I139:J139"/>
    <mergeCell ref="A141:C141"/>
    <mergeCell ref="A143:C143"/>
    <mergeCell ref="A144:C144"/>
    <mergeCell ref="B151:H151"/>
    <mergeCell ref="B152:F152"/>
    <mergeCell ref="B153:G153"/>
    <mergeCell ref="B154:H154"/>
    <mergeCell ref="B155:H155"/>
    <mergeCell ref="B156:E156"/>
    <mergeCell ref="B157:G157"/>
    <mergeCell ref="B158:I158"/>
    <mergeCell ref="C164:E164"/>
    <mergeCell ref="C166:H166"/>
    <mergeCell ref="C168:G168"/>
    <mergeCell ref="C169:E169"/>
    <mergeCell ref="C170:D170"/>
    <mergeCell ref="C171:F171"/>
    <mergeCell ref="A179:C179"/>
    <mergeCell ref="A180:C180"/>
    <mergeCell ref="A181:C181"/>
    <mergeCell ref="A182:C182"/>
  </mergeCells>
  <pageMargins left="0.75" right="0.75" top="1" bottom="1" header="0.5" footer="0.5"/>
  <pageSetup paperSize="9" orientation="portrait"/>
  <headerFooter/>
  <ignoredErrors>
    <ignoredError sqref="A1:U202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6"/>
  <sheetViews>
    <sheetView tabSelected="1" zoomScale="110" zoomScaleNormal="110" workbookViewId="0">
      <selection activeCell="A84" sqref="A84:K106"/>
    </sheetView>
  </sheetViews>
  <sheetFormatPr defaultColWidth="9" defaultRowHeight="14"/>
  <cols>
    <col min="1" max="1" width="14" customWidth="1"/>
    <col min="2" max="2" width="12.9090909090909" customWidth="1"/>
    <col min="3" max="4" width="10" customWidth="1"/>
    <col min="5" max="7" width="9" customWidth="1"/>
    <col min="8" max="8" width="12" customWidth="1"/>
    <col min="9" max="9" width="10" customWidth="1"/>
    <col min="10" max="10" width="11.6363636363636" customWidth="1"/>
    <col min="11" max="11" width="13.6363636363636" customWidth="1"/>
    <col min="12" max="17" width="9" customWidth="1"/>
    <col min="18" max="18" width="14.7272727272727" customWidth="1"/>
    <col min="19" max="19" width="13.9090909090909" customWidth="1"/>
    <col min="20" max="20" width="11.7272727272727" customWidth="1"/>
    <col min="21" max="28" width="9" customWidth="1"/>
  </cols>
  <sheetData>
    <row r="1" customHeight="1" spans="1:28">
      <c r="A1" s="1" t="s">
        <v>265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</row>
    <row r="2" customHeight="1" spans="1:28">
      <c r="A2" s="2" t="s">
        <v>1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</v>
      </c>
      <c r="H2" s="3" t="s">
        <v>1</v>
      </c>
      <c r="I2" s="3" t="s">
        <v>1</v>
      </c>
      <c r="J2" s="3" t="s">
        <v>266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</row>
    <row r="3" ht="16.5" spans="1:28">
      <c r="A3" s="4">
        <v>1</v>
      </c>
      <c r="B3" s="5" t="s">
        <v>46</v>
      </c>
      <c r="C3" s="6" t="s">
        <v>74</v>
      </c>
      <c r="D3" s="6" t="s">
        <v>74</v>
      </c>
      <c r="E3" s="6" t="s">
        <v>74</v>
      </c>
      <c r="F3" s="6" t="s">
        <v>74</v>
      </c>
      <c r="G3" s="7" t="s">
        <v>1</v>
      </c>
      <c r="H3" s="7" t="s">
        <v>1</v>
      </c>
      <c r="I3" s="7" t="s">
        <v>1</v>
      </c>
      <c r="J3" s="8" t="s">
        <v>42</v>
      </c>
      <c r="K3" s="8">
        <v>3</v>
      </c>
      <c r="L3" s="8">
        <v>4</v>
      </c>
      <c r="M3" s="8">
        <v>5</v>
      </c>
      <c r="N3" s="7" t="s">
        <v>1</v>
      </c>
      <c r="O3" s="7" t="s">
        <v>1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</row>
    <row r="4" ht="16.5" spans="1:28">
      <c r="A4" s="4">
        <v>2</v>
      </c>
      <c r="B4" s="9" t="s">
        <v>50</v>
      </c>
      <c r="C4" s="5" t="s">
        <v>46</v>
      </c>
      <c r="D4" s="5" t="s">
        <v>46</v>
      </c>
      <c r="E4" s="5" t="s">
        <v>46</v>
      </c>
      <c r="F4" s="5" t="s">
        <v>46</v>
      </c>
      <c r="G4" s="7" t="s">
        <v>1</v>
      </c>
      <c r="H4" s="7" t="s">
        <v>1</v>
      </c>
      <c r="I4" s="7" t="s">
        <v>1</v>
      </c>
      <c r="J4" s="10" t="s">
        <v>46</v>
      </c>
      <c r="K4" s="10">
        <v>5</v>
      </c>
      <c r="L4" s="10">
        <v>30</v>
      </c>
      <c r="M4" s="10">
        <v>100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</v>
      </c>
      <c r="Y4" s="7" t="s">
        <v>1</v>
      </c>
      <c r="Z4" s="7" t="s">
        <v>1</v>
      </c>
      <c r="AA4" s="7" t="s">
        <v>1</v>
      </c>
      <c r="AB4" s="7" t="s">
        <v>1</v>
      </c>
    </row>
    <row r="5" ht="16.5" spans="1:28">
      <c r="A5" s="4">
        <v>3</v>
      </c>
      <c r="B5" s="11" t="s">
        <v>52</v>
      </c>
      <c r="C5" s="9" t="s">
        <v>50</v>
      </c>
      <c r="D5" s="9" t="s">
        <v>50</v>
      </c>
      <c r="E5" s="9" t="s">
        <v>50</v>
      </c>
      <c r="F5" s="9" t="s">
        <v>50</v>
      </c>
      <c r="G5" s="7" t="s">
        <v>1</v>
      </c>
      <c r="H5" s="7" t="s">
        <v>1</v>
      </c>
      <c r="I5" s="7" t="s">
        <v>1</v>
      </c>
      <c r="J5" s="12" t="s">
        <v>50</v>
      </c>
      <c r="K5" s="12">
        <v>5</v>
      </c>
      <c r="L5" s="12">
        <v>25</v>
      </c>
      <c r="M5" s="12">
        <v>100</v>
      </c>
      <c r="N5" s="7" t="s">
        <v>1</v>
      </c>
      <c r="O5" s="7" t="s">
        <v>1</v>
      </c>
      <c r="P5" s="7" t="s">
        <v>1</v>
      </c>
      <c r="Q5" s="7" t="s">
        <v>1</v>
      </c>
      <c r="R5" s="7" t="s">
        <v>1</v>
      </c>
      <c r="S5" s="7" t="s">
        <v>1</v>
      </c>
      <c r="T5" s="7" t="s">
        <v>1</v>
      </c>
      <c r="U5" s="7" t="s">
        <v>1</v>
      </c>
      <c r="V5" s="7" t="s">
        <v>1</v>
      </c>
      <c r="W5" s="7" t="s">
        <v>1</v>
      </c>
      <c r="X5" s="7" t="s">
        <v>1</v>
      </c>
      <c r="Y5" s="7" t="s">
        <v>1</v>
      </c>
      <c r="Z5" s="7" t="s">
        <v>1</v>
      </c>
      <c r="AA5" s="7" t="s">
        <v>1</v>
      </c>
      <c r="AB5" s="7" t="s">
        <v>1</v>
      </c>
    </row>
    <row r="6" ht="16.5" spans="1:28">
      <c r="A6" s="4">
        <v>4</v>
      </c>
      <c r="B6" s="13">
        <v>10</v>
      </c>
      <c r="C6" s="11" t="s">
        <v>52</v>
      </c>
      <c r="D6" s="11" t="s">
        <v>52</v>
      </c>
      <c r="E6" s="11" t="s">
        <v>52</v>
      </c>
      <c r="F6" s="11" t="s">
        <v>52</v>
      </c>
      <c r="G6" s="7" t="s">
        <v>1</v>
      </c>
      <c r="H6" s="7" t="s">
        <v>1</v>
      </c>
      <c r="I6" s="7" t="s">
        <v>1</v>
      </c>
      <c r="J6" s="12" t="s">
        <v>52</v>
      </c>
      <c r="K6" s="12">
        <v>5</v>
      </c>
      <c r="L6" s="12">
        <v>20</v>
      </c>
      <c r="M6" s="12">
        <v>75</v>
      </c>
      <c r="N6" s="7" t="s">
        <v>1</v>
      </c>
      <c r="O6" s="7" t="s">
        <v>1</v>
      </c>
      <c r="P6" s="7" t="s">
        <v>1</v>
      </c>
      <c r="Q6" s="7" t="s">
        <v>1</v>
      </c>
      <c r="R6" s="7" t="s">
        <v>1</v>
      </c>
      <c r="S6" s="7" t="s">
        <v>1</v>
      </c>
      <c r="T6" s="7" t="s">
        <v>1</v>
      </c>
      <c r="U6" s="7" t="s">
        <v>1</v>
      </c>
      <c r="V6" s="7" t="s">
        <v>1</v>
      </c>
      <c r="W6" s="7" t="s">
        <v>1</v>
      </c>
      <c r="X6" s="7" t="s">
        <v>1</v>
      </c>
      <c r="Y6" s="7" t="s">
        <v>1</v>
      </c>
      <c r="Z6" s="7" t="s">
        <v>1</v>
      </c>
      <c r="AA6" s="7" t="s">
        <v>1</v>
      </c>
      <c r="AB6" s="7" t="s">
        <v>1</v>
      </c>
    </row>
    <row r="7" ht="16.5" spans="1:28">
      <c r="A7" s="4">
        <v>5</v>
      </c>
      <c r="B7" s="14">
        <v>9</v>
      </c>
      <c r="C7" s="13">
        <v>10</v>
      </c>
      <c r="D7" s="13">
        <v>10</v>
      </c>
      <c r="E7" s="13">
        <v>10</v>
      </c>
      <c r="F7" s="13">
        <v>10</v>
      </c>
      <c r="G7" s="7" t="s">
        <v>1</v>
      </c>
      <c r="H7" s="7" t="s">
        <v>1</v>
      </c>
      <c r="I7" s="7" t="s">
        <v>1</v>
      </c>
      <c r="J7" s="12" t="s">
        <v>55</v>
      </c>
      <c r="K7" s="12">
        <v>5</v>
      </c>
      <c r="L7" s="12">
        <v>20</v>
      </c>
      <c r="M7" s="12">
        <v>75</v>
      </c>
      <c r="N7" s="7" t="s">
        <v>1</v>
      </c>
      <c r="O7" s="7" t="s">
        <v>1</v>
      </c>
      <c r="P7" s="7" t="s">
        <v>1</v>
      </c>
      <c r="Q7" s="7" t="s">
        <v>1</v>
      </c>
      <c r="R7" s="7" t="s">
        <v>1</v>
      </c>
      <c r="S7" s="7" t="s">
        <v>1</v>
      </c>
      <c r="T7" s="7" t="s">
        <v>1</v>
      </c>
      <c r="U7" s="7" t="s">
        <v>1</v>
      </c>
      <c r="V7" s="7" t="s">
        <v>1</v>
      </c>
      <c r="W7" s="7" t="s">
        <v>1</v>
      </c>
      <c r="X7" s="7" t="s">
        <v>1</v>
      </c>
      <c r="Y7" s="7" t="s">
        <v>1</v>
      </c>
      <c r="Z7" s="7" t="s">
        <v>1</v>
      </c>
      <c r="AA7" s="7" t="s">
        <v>1</v>
      </c>
      <c r="AB7" s="7" t="s">
        <v>1</v>
      </c>
    </row>
    <row r="8" ht="16.5" spans="1:28">
      <c r="A8" s="4">
        <v>6</v>
      </c>
      <c r="B8" s="14">
        <v>9</v>
      </c>
      <c r="C8" s="14">
        <v>9</v>
      </c>
      <c r="D8" s="14">
        <v>9</v>
      </c>
      <c r="E8" s="14">
        <v>9</v>
      </c>
      <c r="F8" s="14">
        <v>9</v>
      </c>
      <c r="G8" s="7" t="s">
        <v>1</v>
      </c>
      <c r="H8" s="7" t="s">
        <v>1</v>
      </c>
      <c r="I8" s="7" t="s">
        <v>1</v>
      </c>
      <c r="J8" s="12" t="s">
        <v>56</v>
      </c>
      <c r="K8" s="12">
        <v>5</v>
      </c>
      <c r="L8" s="12">
        <v>10</v>
      </c>
      <c r="M8" s="12">
        <v>50</v>
      </c>
      <c r="N8" s="7" t="s">
        <v>1</v>
      </c>
      <c r="O8" s="7" t="s">
        <v>1</v>
      </c>
      <c r="P8" s="7" t="s">
        <v>1</v>
      </c>
      <c r="Q8" s="7" t="s">
        <v>1</v>
      </c>
      <c r="R8" s="7" t="s">
        <v>1</v>
      </c>
      <c r="S8" s="7" t="s">
        <v>1</v>
      </c>
      <c r="T8" s="7" t="s">
        <v>1</v>
      </c>
      <c r="U8" s="7" t="s">
        <v>1</v>
      </c>
      <c r="V8" s="7" t="s">
        <v>1</v>
      </c>
      <c r="W8" s="7" t="s">
        <v>1</v>
      </c>
      <c r="X8" s="7" t="s">
        <v>1</v>
      </c>
      <c r="Y8" s="7" t="s">
        <v>1</v>
      </c>
      <c r="Z8" s="7" t="s">
        <v>1</v>
      </c>
      <c r="AA8" s="7" t="s">
        <v>1</v>
      </c>
      <c r="AB8" s="7" t="s">
        <v>1</v>
      </c>
    </row>
    <row r="9" ht="16.5" spans="1:28">
      <c r="A9" s="4">
        <v>7</v>
      </c>
      <c r="B9" s="5" t="s">
        <v>46</v>
      </c>
      <c r="C9" s="15" t="s">
        <v>85</v>
      </c>
      <c r="D9" s="15" t="s">
        <v>85</v>
      </c>
      <c r="E9" s="15" t="s">
        <v>85</v>
      </c>
      <c r="F9" s="15">
        <v>9</v>
      </c>
      <c r="G9" s="7" t="s">
        <v>1</v>
      </c>
      <c r="H9" s="7" t="s">
        <v>1</v>
      </c>
      <c r="I9" s="7" t="s">
        <v>1</v>
      </c>
      <c r="J9" s="12" t="s">
        <v>85</v>
      </c>
      <c r="K9" s="12">
        <v>50</v>
      </c>
      <c r="L9" s="12">
        <v>0</v>
      </c>
      <c r="M9" s="12">
        <v>0</v>
      </c>
      <c r="N9" s="7" t="s">
        <v>1</v>
      </c>
      <c r="O9" s="7" t="s">
        <v>1</v>
      </c>
      <c r="P9" s="7" t="s">
        <v>1</v>
      </c>
      <c r="Q9" s="7" t="s">
        <v>1</v>
      </c>
      <c r="R9" s="7" t="s">
        <v>1</v>
      </c>
      <c r="S9" s="7" t="s">
        <v>1</v>
      </c>
      <c r="T9" s="7" t="s">
        <v>1</v>
      </c>
      <c r="U9" s="7" t="s">
        <v>1</v>
      </c>
      <c r="V9" s="7" t="s">
        <v>1</v>
      </c>
      <c r="W9" s="7" t="s">
        <v>1</v>
      </c>
      <c r="X9" s="7" t="s">
        <v>1</v>
      </c>
      <c r="Y9" s="7" t="s">
        <v>1</v>
      </c>
      <c r="Z9" s="7" t="s">
        <v>1</v>
      </c>
      <c r="AA9" s="7" t="s">
        <v>1</v>
      </c>
      <c r="AB9" s="7" t="s">
        <v>1</v>
      </c>
    </row>
    <row r="10" ht="16.5" spans="1:28">
      <c r="A10" s="4">
        <v>8</v>
      </c>
      <c r="B10" s="9" t="s">
        <v>50</v>
      </c>
      <c r="C10" s="5" t="s">
        <v>46</v>
      </c>
      <c r="D10" s="5" t="s">
        <v>46</v>
      </c>
      <c r="E10" s="5" t="s">
        <v>46</v>
      </c>
      <c r="F10" s="5" t="s">
        <v>46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1</v>
      </c>
      <c r="L10" s="7" t="s">
        <v>1</v>
      </c>
      <c r="M10" s="7" t="s">
        <v>1</v>
      </c>
      <c r="N10" s="7" t="s">
        <v>1</v>
      </c>
      <c r="O10" s="7" t="s">
        <v>1</v>
      </c>
      <c r="P10" s="7" t="s">
        <v>1</v>
      </c>
      <c r="Q10" s="7" t="s">
        <v>1</v>
      </c>
      <c r="R10" s="7" t="s">
        <v>1</v>
      </c>
      <c r="S10" s="7" t="s">
        <v>1</v>
      </c>
      <c r="T10" s="7" t="s">
        <v>1</v>
      </c>
      <c r="U10" s="7" t="s">
        <v>1</v>
      </c>
      <c r="V10" s="7" t="s">
        <v>1</v>
      </c>
      <c r="W10" s="7" t="s">
        <v>1</v>
      </c>
      <c r="X10" s="7" t="s">
        <v>1</v>
      </c>
      <c r="Y10" s="7" t="s">
        <v>1</v>
      </c>
      <c r="Z10" s="7" t="s">
        <v>1</v>
      </c>
      <c r="AA10" s="7" t="s">
        <v>1</v>
      </c>
      <c r="AB10" s="7" t="s">
        <v>1</v>
      </c>
    </row>
    <row r="11" ht="16.5" spans="1:28">
      <c r="A11" s="4">
        <v>9</v>
      </c>
      <c r="B11" s="11" t="s">
        <v>52</v>
      </c>
      <c r="C11" s="9" t="s">
        <v>50</v>
      </c>
      <c r="D11" s="9" t="s">
        <v>50</v>
      </c>
      <c r="E11" s="9" t="s">
        <v>50</v>
      </c>
      <c r="F11" s="9" t="s">
        <v>50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</row>
    <row r="12" ht="16.5" spans="1:28">
      <c r="A12" s="4">
        <v>10</v>
      </c>
      <c r="B12" s="13" t="s">
        <v>55</v>
      </c>
      <c r="C12" s="11" t="s">
        <v>52</v>
      </c>
      <c r="D12" s="11" t="s">
        <v>52</v>
      </c>
      <c r="E12" s="11" t="s">
        <v>52</v>
      </c>
      <c r="F12" s="11" t="s">
        <v>52</v>
      </c>
      <c r="G12" s="7" t="s">
        <v>1</v>
      </c>
      <c r="H12" s="7" t="s">
        <v>1</v>
      </c>
      <c r="I12" s="7" t="s">
        <v>1</v>
      </c>
      <c r="J12" s="7" t="s">
        <v>1</v>
      </c>
      <c r="K12" s="7" t="s">
        <v>1</v>
      </c>
      <c r="L12" s="7" t="s">
        <v>1</v>
      </c>
      <c r="M12" s="7" t="s">
        <v>1</v>
      </c>
      <c r="N12" s="7" t="s">
        <v>1</v>
      </c>
      <c r="O12" s="7" t="s">
        <v>1</v>
      </c>
      <c r="P12" s="7" t="s">
        <v>1</v>
      </c>
      <c r="Q12" s="7" t="s">
        <v>1</v>
      </c>
      <c r="R12" s="7" t="s">
        <v>1</v>
      </c>
      <c r="S12" s="7" t="s">
        <v>1</v>
      </c>
      <c r="T12" s="7" t="s">
        <v>1</v>
      </c>
      <c r="U12" s="7" t="s">
        <v>1</v>
      </c>
      <c r="V12" s="7" t="s">
        <v>1</v>
      </c>
      <c r="W12" s="7" t="s">
        <v>1</v>
      </c>
      <c r="X12" s="7" t="s">
        <v>1</v>
      </c>
      <c r="Y12" s="7" t="s">
        <v>1</v>
      </c>
      <c r="Z12" s="7" t="s">
        <v>1</v>
      </c>
      <c r="AA12" s="7" t="s">
        <v>1</v>
      </c>
      <c r="AB12" s="7" t="s">
        <v>1</v>
      </c>
    </row>
    <row r="13" ht="16.5" spans="1:28">
      <c r="A13" s="4">
        <v>11</v>
      </c>
      <c r="B13" s="14">
        <v>9</v>
      </c>
      <c r="C13" s="13">
        <v>10</v>
      </c>
      <c r="D13" s="13">
        <v>10</v>
      </c>
      <c r="E13" s="13">
        <v>10</v>
      </c>
      <c r="F13" s="13">
        <v>10</v>
      </c>
      <c r="G13" s="7" t="s">
        <v>1</v>
      </c>
      <c r="H13" s="7" t="s">
        <v>1</v>
      </c>
      <c r="I13" s="7" t="s">
        <v>1</v>
      </c>
      <c r="J13" s="7" t="s">
        <v>1</v>
      </c>
      <c r="K13" s="7" t="s">
        <v>1</v>
      </c>
      <c r="L13" s="7" t="s">
        <v>1</v>
      </c>
      <c r="M13" s="7" t="s">
        <v>1</v>
      </c>
      <c r="N13" s="7" t="s">
        <v>1</v>
      </c>
      <c r="O13" s="7" t="s">
        <v>1</v>
      </c>
      <c r="P13" s="7" t="s">
        <v>1</v>
      </c>
      <c r="Q13" s="7" t="s">
        <v>1</v>
      </c>
      <c r="R13" s="7" t="s">
        <v>1</v>
      </c>
      <c r="S13" s="7" t="s">
        <v>1</v>
      </c>
      <c r="T13" s="7" t="s">
        <v>1</v>
      </c>
      <c r="U13" s="7" t="s">
        <v>1</v>
      </c>
      <c r="V13" s="7" t="s">
        <v>1</v>
      </c>
      <c r="W13" s="7" t="s">
        <v>1</v>
      </c>
      <c r="X13" s="7" t="s">
        <v>1</v>
      </c>
      <c r="Y13" s="7" t="s">
        <v>1</v>
      </c>
      <c r="Z13" s="7" t="s">
        <v>1</v>
      </c>
      <c r="AA13" s="7" t="s">
        <v>1</v>
      </c>
      <c r="AB13" s="7" t="s">
        <v>1</v>
      </c>
    </row>
    <row r="14" ht="16.5" spans="1:28">
      <c r="A14" s="4">
        <v>12</v>
      </c>
      <c r="B14" s="13" t="s">
        <v>55</v>
      </c>
      <c r="C14" s="14">
        <v>9</v>
      </c>
      <c r="D14" s="14">
        <v>9</v>
      </c>
      <c r="E14" s="14">
        <v>9</v>
      </c>
      <c r="F14" s="14">
        <v>9</v>
      </c>
      <c r="G14" s="7" t="s">
        <v>1</v>
      </c>
      <c r="H14" s="7" t="s">
        <v>1</v>
      </c>
      <c r="I14" s="7" t="s">
        <v>1</v>
      </c>
      <c r="J14" s="7" t="s">
        <v>1</v>
      </c>
      <c r="K14" s="7" t="s">
        <v>1</v>
      </c>
      <c r="L14" s="7" t="s">
        <v>1</v>
      </c>
      <c r="M14" s="7" t="s">
        <v>1</v>
      </c>
      <c r="N14" s="7" t="s">
        <v>1</v>
      </c>
      <c r="O14" s="7" t="s">
        <v>1</v>
      </c>
      <c r="P14" s="7" t="s">
        <v>1</v>
      </c>
      <c r="Q14" s="7" t="s">
        <v>1</v>
      </c>
      <c r="R14" s="7" t="s">
        <v>1</v>
      </c>
      <c r="S14" s="7" t="s">
        <v>1</v>
      </c>
      <c r="T14" s="7" t="s">
        <v>1</v>
      </c>
      <c r="U14" s="7" t="s">
        <v>1</v>
      </c>
      <c r="V14" s="7" t="s">
        <v>1</v>
      </c>
      <c r="W14" s="7" t="s">
        <v>1</v>
      </c>
      <c r="X14" s="7" t="s">
        <v>1</v>
      </c>
      <c r="Y14" s="7" t="s">
        <v>1</v>
      </c>
      <c r="Z14" s="7" t="s">
        <v>1</v>
      </c>
      <c r="AA14" s="7" t="s">
        <v>1</v>
      </c>
      <c r="AB14" s="7" t="s">
        <v>1</v>
      </c>
    </row>
    <row r="15" ht="16.5" spans="1:28">
      <c r="A15" s="4">
        <v>13</v>
      </c>
      <c r="B15" s="9" t="s">
        <v>50</v>
      </c>
      <c r="C15" s="5" t="s">
        <v>46</v>
      </c>
      <c r="D15" s="5" t="s">
        <v>46</v>
      </c>
      <c r="E15" s="5" t="s">
        <v>46</v>
      </c>
      <c r="F15" s="5" t="s">
        <v>46</v>
      </c>
      <c r="G15" s="7" t="s">
        <v>1</v>
      </c>
      <c r="H15" s="7" t="s">
        <v>1</v>
      </c>
      <c r="I15" s="7" t="s">
        <v>1</v>
      </c>
      <c r="J15" s="7" t="s">
        <v>1</v>
      </c>
      <c r="K15" s="7" t="s">
        <v>1</v>
      </c>
      <c r="L15" s="7" t="s">
        <v>1</v>
      </c>
      <c r="M15" s="7" t="s">
        <v>1</v>
      </c>
      <c r="N15" s="7" t="s">
        <v>1</v>
      </c>
      <c r="O15" s="7" t="s">
        <v>1</v>
      </c>
      <c r="P15" s="7" t="s">
        <v>1</v>
      </c>
      <c r="Q15" s="7" t="s">
        <v>1</v>
      </c>
      <c r="R15" s="7" t="s">
        <v>1</v>
      </c>
      <c r="S15" s="7" t="s">
        <v>1</v>
      </c>
      <c r="T15" s="7" t="s">
        <v>1</v>
      </c>
      <c r="U15" s="7" t="s">
        <v>1</v>
      </c>
      <c r="V15" s="7" t="s">
        <v>1</v>
      </c>
      <c r="W15" s="7" t="s">
        <v>1</v>
      </c>
      <c r="X15" s="7" t="s">
        <v>1</v>
      </c>
      <c r="Y15" s="7" t="s">
        <v>1</v>
      </c>
      <c r="Z15" s="7" t="s">
        <v>1</v>
      </c>
      <c r="AA15" s="7" t="s">
        <v>1</v>
      </c>
      <c r="AB15" s="7" t="s">
        <v>1</v>
      </c>
    </row>
    <row r="16" ht="16.5" spans="1:28">
      <c r="A16" s="4">
        <v>14</v>
      </c>
      <c r="B16" s="11" t="s">
        <v>52</v>
      </c>
      <c r="C16" s="9" t="s">
        <v>50</v>
      </c>
      <c r="D16" s="9" t="s">
        <v>50</v>
      </c>
      <c r="E16" s="9" t="s">
        <v>50</v>
      </c>
      <c r="F16" s="9" t="s">
        <v>50</v>
      </c>
      <c r="G16" s="7" t="s">
        <v>1</v>
      </c>
      <c r="H16" s="7" t="s">
        <v>1</v>
      </c>
      <c r="I16" s="7" t="s">
        <v>1</v>
      </c>
      <c r="J16" s="7" t="s">
        <v>1</v>
      </c>
      <c r="K16" s="7" t="s">
        <v>1</v>
      </c>
      <c r="L16" s="7" t="s">
        <v>1</v>
      </c>
      <c r="M16" s="7" t="s">
        <v>1</v>
      </c>
      <c r="N16" s="7" t="s">
        <v>1</v>
      </c>
      <c r="O16" s="7" t="s">
        <v>1</v>
      </c>
      <c r="P16" s="7" t="s">
        <v>1</v>
      </c>
      <c r="Q16" s="7" t="s">
        <v>1</v>
      </c>
      <c r="R16" s="7" t="s">
        <v>1</v>
      </c>
      <c r="S16" s="7" t="s">
        <v>1</v>
      </c>
      <c r="T16" s="7" t="s">
        <v>1</v>
      </c>
      <c r="U16" s="7" t="s">
        <v>1</v>
      </c>
      <c r="V16" s="7" t="s">
        <v>1</v>
      </c>
      <c r="W16" s="7" t="s">
        <v>1</v>
      </c>
      <c r="X16" s="7" t="s">
        <v>1</v>
      </c>
      <c r="Y16" s="7" t="s">
        <v>1</v>
      </c>
      <c r="Z16" s="7" t="s">
        <v>1</v>
      </c>
      <c r="AA16" s="7" t="s">
        <v>1</v>
      </c>
      <c r="AB16" s="7" t="s">
        <v>1</v>
      </c>
    </row>
    <row r="17" ht="16.5" spans="1:28">
      <c r="A17" s="4">
        <v>15</v>
      </c>
      <c r="B17" s="13">
        <v>10</v>
      </c>
      <c r="C17" s="11" t="s">
        <v>52</v>
      </c>
      <c r="D17" s="11" t="s">
        <v>52</v>
      </c>
      <c r="E17" s="11" t="s">
        <v>52</v>
      </c>
      <c r="F17" s="11" t="s">
        <v>52</v>
      </c>
      <c r="G17" s="7" t="s">
        <v>1</v>
      </c>
      <c r="H17" s="7" t="s">
        <v>1</v>
      </c>
      <c r="I17" s="7" t="s">
        <v>1</v>
      </c>
      <c r="J17" s="7" t="s">
        <v>1</v>
      </c>
      <c r="K17" s="7" t="s">
        <v>1</v>
      </c>
      <c r="L17" s="7" t="s">
        <v>1</v>
      </c>
      <c r="M17" s="7" t="s">
        <v>1</v>
      </c>
      <c r="N17" s="7" t="s">
        <v>1</v>
      </c>
      <c r="O17" s="7" t="s">
        <v>1</v>
      </c>
      <c r="P17" s="7" t="s">
        <v>1</v>
      </c>
      <c r="Q17" s="7" t="s">
        <v>1</v>
      </c>
      <c r="R17" s="7" t="s">
        <v>1</v>
      </c>
      <c r="S17" s="7" t="s">
        <v>1</v>
      </c>
      <c r="T17" s="7" t="s">
        <v>1</v>
      </c>
      <c r="U17" s="7" t="s">
        <v>1</v>
      </c>
      <c r="V17" s="7" t="s">
        <v>1</v>
      </c>
      <c r="W17" s="7" t="s">
        <v>1</v>
      </c>
      <c r="X17" s="7" t="s">
        <v>1</v>
      </c>
      <c r="Y17" s="7" t="s">
        <v>1</v>
      </c>
      <c r="Z17" s="7" t="s">
        <v>1</v>
      </c>
      <c r="AA17" s="7" t="s">
        <v>1</v>
      </c>
      <c r="AB17" s="7" t="s">
        <v>1</v>
      </c>
    </row>
    <row r="18" ht="16.5" spans="1:28">
      <c r="A18" s="4">
        <v>16</v>
      </c>
      <c r="B18" s="14" t="s">
        <v>56</v>
      </c>
      <c r="C18" s="13">
        <v>10</v>
      </c>
      <c r="D18" s="13">
        <v>10</v>
      </c>
      <c r="E18" s="13">
        <v>10</v>
      </c>
      <c r="F18" s="13">
        <v>10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</v>
      </c>
      <c r="L18" s="7" t="s">
        <v>1</v>
      </c>
      <c r="M18" s="7" t="s">
        <v>1</v>
      </c>
      <c r="N18" s="7" t="s">
        <v>1</v>
      </c>
      <c r="O18" s="7" t="s">
        <v>1</v>
      </c>
      <c r="P18" s="7" t="s">
        <v>1</v>
      </c>
      <c r="Q18" s="7" t="s">
        <v>1</v>
      </c>
      <c r="R18" s="7" t="s">
        <v>1</v>
      </c>
      <c r="S18" s="7" t="s">
        <v>1</v>
      </c>
      <c r="T18" s="7" t="s">
        <v>1</v>
      </c>
      <c r="U18" s="7" t="s">
        <v>1</v>
      </c>
      <c r="V18" s="7" t="s">
        <v>1</v>
      </c>
      <c r="W18" s="7" t="s">
        <v>1</v>
      </c>
      <c r="X18" s="7" t="s">
        <v>1</v>
      </c>
      <c r="Y18" s="7" t="s">
        <v>1</v>
      </c>
      <c r="Z18" s="7" t="s">
        <v>1</v>
      </c>
      <c r="AA18" s="7" t="s">
        <v>1</v>
      </c>
      <c r="AB18" s="7" t="s">
        <v>1</v>
      </c>
    </row>
    <row r="19" ht="16.5" spans="1:28">
      <c r="A19" s="4">
        <v>17</v>
      </c>
      <c r="B19" s="14" t="s">
        <v>56</v>
      </c>
      <c r="C19" s="14">
        <v>9</v>
      </c>
      <c r="D19" s="14" t="s">
        <v>56</v>
      </c>
      <c r="E19" s="14" t="s">
        <v>56</v>
      </c>
      <c r="F19" s="14" t="s">
        <v>56</v>
      </c>
      <c r="G19" s="7" t="s">
        <v>1</v>
      </c>
      <c r="H19" s="7" t="s">
        <v>1</v>
      </c>
      <c r="I19" s="7" t="s">
        <v>1</v>
      </c>
      <c r="J19" s="7" t="s">
        <v>1</v>
      </c>
      <c r="K19" s="7" t="s">
        <v>1</v>
      </c>
      <c r="L19" s="7" t="s">
        <v>1</v>
      </c>
      <c r="M19" s="7" t="s">
        <v>1</v>
      </c>
      <c r="N19" s="7" t="s">
        <v>1</v>
      </c>
      <c r="O19" s="7" t="s">
        <v>1</v>
      </c>
      <c r="P19" s="7" t="s">
        <v>1</v>
      </c>
      <c r="Q19" s="7" t="s">
        <v>1</v>
      </c>
      <c r="R19" s="7" t="s">
        <v>1</v>
      </c>
      <c r="S19" s="7" t="s">
        <v>1</v>
      </c>
      <c r="T19" s="7" t="s">
        <v>1</v>
      </c>
      <c r="U19" s="7" t="s">
        <v>1</v>
      </c>
      <c r="V19" s="7" t="s">
        <v>1</v>
      </c>
      <c r="W19" s="7" t="s">
        <v>1</v>
      </c>
      <c r="X19" s="7" t="s">
        <v>1</v>
      </c>
      <c r="Y19" s="7" t="s">
        <v>1</v>
      </c>
      <c r="Z19" s="7" t="s">
        <v>1</v>
      </c>
      <c r="AA19" s="7" t="s">
        <v>1</v>
      </c>
      <c r="AB19" s="7" t="s">
        <v>1</v>
      </c>
    </row>
    <row r="20" ht="16.5" spans="1:28">
      <c r="A20" s="4">
        <v>18</v>
      </c>
      <c r="B20" s="11" t="s">
        <v>52</v>
      </c>
      <c r="C20" s="11" t="s">
        <v>52</v>
      </c>
      <c r="D20" s="11" t="s">
        <v>52</v>
      </c>
      <c r="E20" s="11" t="s">
        <v>52</v>
      </c>
      <c r="F20" s="11" t="s">
        <v>52</v>
      </c>
      <c r="G20" s="7" t="s">
        <v>1</v>
      </c>
      <c r="H20" s="7" t="s">
        <v>1</v>
      </c>
      <c r="I20" s="7" t="s">
        <v>1</v>
      </c>
      <c r="J20" s="7" t="s">
        <v>1</v>
      </c>
      <c r="K20" s="7" t="s">
        <v>1</v>
      </c>
      <c r="L20" s="7" t="s">
        <v>1</v>
      </c>
      <c r="M20" s="7" t="s">
        <v>1</v>
      </c>
      <c r="N20" s="7" t="s">
        <v>1</v>
      </c>
      <c r="O20" s="7" t="s">
        <v>1</v>
      </c>
      <c r="P20" s="7" t="s">
        <v>1</v>
      </c>
      <c r="Q20" s="7" t="s">
        <v>1</v>
      </c>
      <c r="R20" s="7" t="s">
        <v>1</v>
      </c>
      <c r="S20" s="7" t="s">
        <v>1</v>
      </c>
      <c r="T20" s="7" t="s">
        <v>1</v>
      </c>
      <c r="U20" s="7" t="s">
        <v>1</v>
      </c>
      <c r="V20" s="7" t="s">
        <v>1</v>
      </c>
      <c r="W20" s="7" t="s">
        <v>1</v>
      </c>
      <c r="X20" s="7" t="s">
        <v>1</v>
      </c>
      <c r="Y20" s="7" t="s">
        <v>1</v>
      </c>
      <c r="Z20" s="7" t="s">
        <v>1</v>
      </c>
      <c r="AA20" s="7" t="s">
        <v>1</v>
      </c>
      <c r="AB20" s="7" t="s">
        <v>1</v>
      </c>
    </row>
    <row r="21" ht="16.5" spans="1:28">
      <c r="A21" s="4">
        <v>19</v>
      </c>
      <c r="B21" s="13">
        <v>10</v>
      </c>
      <c r="C21" s="11" t="s">
        <v>52</v>
      </c>
      <c r="D21" s="13">
        <v>10</v>
      </c>
      <c r="E21" s="13">
        <v>10</v>
      </c>
      <c r="F21" s="13">
        <v>10</v>
      </c>
      <c r="G21" s="7" t="s">
        <v>1</v>
      </c>
      <c r="H21" s="7" t="s">
        <v>1</v>
      </c>
      <c r="I21" s="7" t="s">
        <v>1</v>
      </c>
      <c r="J21" s="7" t="s">
        <v>1</v>
      </c>
      <c r="K21" s="7" t="s">
        <v>1</v>
      </c>
      <c r="L21" s="7" t="s">
        <v>1</v>
      </c>
      <c r="M21" s="7" t="s">
        <v>1</v>
      </c>
      <c r="N21" s="7" t="s">
        <v>1</v>
      </c>
      <c r="O21" s="7" t="s">
        <v>1</v>
      </c>
      <c r="P21" s="7" t="s">
        <v>1</v>
      </c>
      <c r="Q21" s="7" t="s">
        <v>1</v>
      </c>
      <c r="R21" s="7" t="s">
        <v>1</v>
      </c>
      <c r="S21" s="7" t="s">
        <v>1</v>
      </c>
      <c r="T21" s="7" t="s">
        <v>1</v>
      </c>
      <c r="U21" s="7" t="s">
        <v>1</v>
      </c>
      <c r="V21" s="7" t="s">
        <v>1</v>
      </c>
      <c r="W21" s="7" t="s">
        <v>1</v>
      </c>
      <c r="X21" s="7" t="s">
        <v>1</v>
      </c>
      <c r="Y21" s="7" t="s">
        <v>1</v>
      </c>
      <c r="Z21" s="7" t="s">
        <v>1</v>
      </c>
      <c r="AA21" s="7" t="s">
        <v>1</v>
      </c>
      <c r="AB21" s="7" t="s">
        <v>1</v>
      </c>
    </row>
    <row r="22" ht="16.5" spans="1:28">
      <c r="A22" s="4">
        <v>20</v>
      </c>
      <c r="B22" s="14" t="s">
        <v>56</v>
      </c>
      <c r="C22" s="14">
        <v>9</v>
      </c>
      <c r="D22" s="14">
        <v>9</v>
      </c>
      <c r="E22" s="14">
        <v>9</v>
      </c>
      <c r="F22" s="14">
        <v>9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1</v>
      </c>
      <c r="L22" s="7" t="s">
        <v>1</v>
      </c>
      <c r="M22" s="7" t="s">
        <v>1</v>
      </c>
      <c r="N22" s="7" t="s">
        <v>1</v>
      </c>
      <c r="O22" s="7" t="s">
        <v>1</v>
      </c>
      <c r="P22" s="7" t="s">
        <v>1</v>
      </c>
      <c r="Q22" s="7" t="s">
        <v>1</v>
      </c>
      <c r="R22" s="7" t="s">
        <v>1</v>
      </c>
      <c r="S22" s="7" t="s">
        <v>1</v>
      </c>
      <c r="T22" s="7" t="s">
        <v>1</v>
      </c>
      <c r="U22" s="7" t="s">
        <v>1</v>
      </c>
      <c r="V22" s="7" t="s">
        <v>1</v>
      </c>
      <c r="W22" s="7" t="s">
        <v>1</v>
      </c>
      <c r="X22" s="7" t="s">
        <v>1</v>
      </c>
      <c r="Y22" s="7" t="s">
        <v>1</v>
      </c>
      <c r="Z22" s="7" t="s">
        <v>1</v>
      </c>
      <c r="AA22" s="7" t="s">
        <v>1</v>
      </c>
      <c r="AB22" s="7" t="s">
        <v>1</v>
      </c>
    </row>
    <row r="23" ht="16.5" spans="1:28">
      <c r="A23" s="7" t="s">
        <v>1</v>
      </c>
      <c r="B23" s="7" t="s">
        <v>1</v>
      </c>
      <c r="C23" s="7" t="s">
        <v>1</v>
      </c>
      <c r="D23" s="7" t="s">
        <v>1</v>
      </c>
      <c r="E23" s="7" t="s">
        <v>1</v>
      </c>
      <c r="F23" s="7" t="s">
        <v>1</v>
      </c>
      <c r="G23" s="7" t="s">
        <v>1</v>
      </c>
      <c r="H23" s="7" t="s">
        <v>1</v>
      </c>
      <c r="I23" s="7" t="s">
        <v>1</v>
      </c>
      <c r="J23" s="7" t="s">
        <v>1</v>
      </c>
      <c r="K23" s="7" t="s">
        <v>1</v>
      </c>
      <c r="L23" s="7" t="s">
        <v>1</v>
      </c>
      <c r="M23" s="7" t="s">
        <v>1</v>
      </c>
      <c r="N23" s="7" t="s">
        <v>1</v>
      </c>
      <c r="O23" s="7" t="s">
        <v>1</v>
      </c>
      <c r="P23" s="7" t="s">
        <v>1</v>
      </c>
      <c r="Q23" s="7" t="s">
        <v>1</v>
      </c>
      <c r="R23" s="7" t="s">
        <v>1</v>
      </c>
      <c r="S23" s="7" t="s">
        <v>1</v>
      </c>
      <c r="T23" s="7" t="s">
        <v>1</v>
      </c>
      <c r="U23" s="7" t="s">
        <v>1</v>
      </c>
      <c r="V23" s="7" t="s">
        <v>1</v>
      </c>
      <c r="W23" s="7" t="s">
        <v>1</v>
      </c>
      <c r="X23" s="7" t="s">
        <v>1</v>
      </c>
      <c r="Y23" s="7" t="s">
        <v>1</v>
      </c>
      <c r="Z23" s="7" t="s">
        <v>1</v>
      </c>
      <c r="AA23" s="7" t="s">
        <v>1</v>
      </c>
      <c r="AB23" s="7" t="s">
        <v>1</v>
      </c>
    </row>
    <row r="24" ht="16.5" spans="1:28">
      <c r="A24" s="16" t="s">
        <v>267</v>
      </c>
      <c r="B24" s="17">
        <f>COUNTA(B3:B22)</f>
        <v>20</v>
      </c>
      <c r="C24" s="17">
        <f>COUNTA(C3:C22)</f>
        <v>20</v>
      </c>
      <c r="D24" s="17">
        <f>COUNTA(D3:D22)</f>
        <v>20</v>
      </c>
      <c r="E24" s="17">
        <f>COUNTA(E3:E22)</f>
        <v>20</v>
      </c>
      <c r="F24" s="17">
        <f>COUNTA(F3:F22)</f>
        <v>20</v>
      </c>
      <c r="G24" s="7" t="s">
        <v>1</v>
      </c>
      <c r="H24" s="7" t="s">
        <v>1</v>
      </c>
      <c r="I24" s="7" t="s">
        <v>1</v>
      </c>
      <c r="J24" s="7" t="s">
        <v>1</v>
      </c>
      <c r="K24" s="7" t="s">
        <v>1</v>
      </c>
      <c r="L24" s="7" t="s">
        <v>1</v>
      </c>
      <c r="M24" s="7" t="s">
        <v>1</v>
      </c>
      <c r="N24" s="7" t="s">
        <v>1</v>
      </c>
      <c r="O24" s="7" t="s">
        <v>1</v>
      </c>
      <c r="P24" s="7" t="s">
        <v>1</v>
      </c>
      <c r="Q24" s="7" t="s">
        <v>1</v>
      </c>
      <c r="R24" s="7" t="s">
        <v>1</v>
      </c>
      <c r="S24" s="7" t="s">
        <v>1</v>
      </c>
      <c r="T24" s="7" t="s">
        <v>1</v>
      </c>
      <c r="U24" s="7" t="s">
        <v>1</v>
      </c>
      <c r="V24" s="7" t="s">
        <v>1</v>
      </c>
      <c r="W24" s="16" t="s">
        <v>268</v>
      </c>
      <c r="X24" s="7" t="s">
        <v>1</v>
      </c>
      <c r="Y24" s="7" t="s">
        <v>1</v>
      </c>
      <c r="Z24" s="7" t="s">
        <v>1</v>
      </c>
      <c r="AA24" s="7" t="s">
        <v>1</v>
      </c>
      <c r="AB24" s="7" t="s">
        <v>1</v>
      </c>
    </row>
    <row r="25" ht="16.5" spans="1:28">
      <c r="A25" s="7" t="s">
        <v>1</v>
      </c>
      <c r="B25" s="7" t="s">
        <v>1</v>
      </c>
      <c r="C25" s="7" t="s">
        <v>1</v>
      </c>
      <c r="D25" s="7" t="s">
        <v>1</v>
      </c>
      <c r="E25" s="7" t="s">
        <v>1</v>
      </c>
      <c r="F25" s="7" t="s">
        <v>1</v>
      </c>
      <c r="G25" s="7" t="s">
        <v>1</v>
      </c>
      <c r="H25" s="7" t="s">
        <v>1</v>
      </c>
      <c r="I25" s="7" t="s">
        <v>1</v>
      </c>
      <c r="J25" s="7" t="s">
        <v>1</v>
      </c>
      <c r="K25" s="7" t="s">
        <v>1</v>
      </c>
      <c r="L25" s="7" t="s">
        <v>1</v>
      </c>
      <c r="M25" s="7" t="s">
        <v>1</v>
      </c>
      <c r="N25" s="7" t="s">
        <v>1</v>
      </c>
      <c r="O25" s="7" t="s">
        <v>1</v>
      </c>
      <c r="P25" s="7" t="s">
        <v>1</v>
      </c>
      <c r="Q25" s="7" t="s">
        <v>1</v>
      </c>
      <c r="R25" s="7" t="s">
        <v>1</v>
      </c>
      <c r="S25" s="7" t="s">
        <v>1</v>
      </c>
      <c r="T25" s="7" t="s">
        <v>1</v>
      </c>
      <c r="U25" s="7" t="s">
        <v>1</v>
      </c>
      <c r="V25" s="7" t="s">
        <v>1</v>
      </c>
      <c r="W25" s="8" t="s">
        <v>269</v>
      </c>
      <c r="X25" s="8" t="s">
        <v>170</v>
      </c>
      <c r="Y25" s="8" t="s">
        <v>171</v>
      </c>
      <c r="Z25" s="8" t="s">
        <v>172</v>
      </c>
      <c r="AA25" s="8" t="s">
        <v>173</v>
      </c>
      <c r="AB25" s="8" t="s">
        <v>174</v>
      </c>
    </row>
    <row r="26" ht="16.5" spans="1:28">
      <c r="A26" s="16" t="s">
        <v>270</v>
      </c>
      <c r="B26" s="7" t="s">
        <v>1</v>
      </c>
      <c r="C26" s="7" t="s">
        <v>1</v>
      </c>
      <c r="D26" s="7" t="s">
        <v>1</v>
      </c>
      <c r="E26" s="7" t="s">
        <v>1</v>
      </c>
      <c r="F26" s="7" t="s">
        <v>1</v>
      </c>
      <c r="G26" s="7" t="s">
        <v>1</v>
      </c>
      <c r="H26" s="7" t="s">
        <v>1</v>
      </c>
      <c r="I26" s="7" t="s">
        <v>1</v>
      </c>
      <c r="J26" s="16" t="s">
        <v>271</v>
      </c>
      <c r="K26" s="18">
        <f>PRODUCT(B$24:F$24)</f>
        <v>3200000</v>
      </c>
      <c r="L26" s="7" t="s">
        <v>272</v>
      </c>
      <c r="M26" s="7" t="s">
        <v>1</v>
      </c>
      <c r="N26" s="7" t="s">
        <v>1</v>
      </c>
      <c r="O26" s="7" t="s">
        <v>1</v>
      </c>
      <c r="P26" s="7" t="s">
        <v>1</v>
      </c>
      <c r="Q26" s="7" t="s">
        <v>1</v>
      </c>
      <c r="R26" s="7" t="s">
        <v>1</v>
      </c>
      <c r="S26" s="7" t="s">
        <v>1</v>
      </c>
      <c r="T26" s="7" t="s">
        <v>1</v>
      </c>
      <c r="U26" s="7" t="s">
        <v>1</v>
      </c>
      <c r="V26" s="7" t="s">
        <v>1</v>
      </c>
      <c r="W26" s="19" t="s">
        <v>178</v>
      </c>
      <c r="X26" s="20">
        <f>B$28+B$29</f>
        <v>2</v>
      </c>
      <c r="Y26" s="20">
        <f>C$28+C$29</f>
        <v>4</v>
      </c>
      <c r="Z26" s="20">
        <f>D$28+D$29</f>
        <v>4</v>
      </c>
      <c r="AA26" s="20">
        <f>E$28+E$29</f>
        <v>4</v>
      </c>
      <c r="AB26" s="20">
        <f>F$28+F$29</f>
        <v>4</v>
      </c>
    </row>
    <row r="27" ht="16.5" spans="1:28">
      <c r="A27" s="8" t="s">
        <v>67</v>
      </c>
      <c r="B27" s="8" t="s">
        <v>170</v>
      </c>
      <c r="C27" s="8" t="s">
        <v>171</v>
      </c>
      <c r="D27" s="8" t="s">
        <v>172</v>
      </c>
      <c r="E27" s="8" t="s">
        <v>173</v>
      </c>
      <c r="F27" s="8" t="s">
        <v>174</v>
      </c>
      <c r="G27" s="7" t="s">
        <v>1</v>
      </c>
      <c r="H27" s="7" t="s">
        <v>1</v>
      </c>
      <c r="I27" s="7" t="s">
        <v>1</v>
      </c>
      <c r="J27" s="7" t="s">
        <v>1</v>
      </c>
      <c r="K27" s="7" t="s">
        <v>1</v>
      </c>
      <c r="L27" s="7" t="s">
        <v>1</v>
      </c>
      <c r="M27" s="7" t="s">
        <v>1</v>
      </c>
      <c r="N27" s="7" t="s">
        <v>1</v>
      </c>
      <c r="O27" s="7" t="s">
        <v>1</v>
      </c>
      <c r="P27" s="7" t="s">
        <v>1</v>
      </c>
      <c r="Q27" s="7" t="s">
        <v>1</v>
      </c>
      <c r="R27" s="7" t="s">
        <v>1</v>
      </c>
      <c r="S27" s="7" t="s">
        <v>1</v>
      </c>
      <c r="T27" s="7" t="s">
        <v>1</v>
      </c>
      <c r="U27" s="7" t="s">
        <v>1</v>
      </c>
      <c r="V27" s="7" t="s">
        <v>1</v>
      </c>
      <c r="W27" s="19" t="s">
        <v>182</v>
      </c>
      <c r="X27" s="20">
        <f>B$28+B$30</f>
        <v>3</v>
      </c>
      <c r="Y27" s="20">
        <f>C$28+C$30</f>
        <v>4</v>
      </c>
      <c r="Z27" s="20">
        <f>D$28+D$30</f>
        <v>4</v>
      </c>
      <c r="AA27" s="20">
        <f>E$28+E$30</f>
        <v>4</v>
      </c>
      <c r="AB27" s="20">
        <f>F$28+F$30</f>
        <v>4</v>
      </c>
    </row>
    <row r="28" ht="16.5" spans="1:28">
      <c r="A28" s="21" t="s">
        <v>74</v>
      </c>
      <c r="B28" s="22">
        <f t="shared" ref="B28:F34" si="0">COUNTIF(B$3:B$22,$A28)</f>
        <v>0</v>
      </c>
      <c r="C28" s="22">
        <f t="shared" si="0"/>
        <v>1</v>
      </c>
      <c r="D28" s="22">
        <f t="shared" si="0"/>
        <v>1</v>
      </c>
      <c r="E28" s="22">
        <f t="shared" si="0"/>
        <v>1</v>
      </c>
      <c r="F28" s="22">
        <f t="shared" si="0"/>
        <v>1</v>
      </c>
      <c r="G28" s="7" t="s">
        <v>1</v>
      </c>
      <c r="H28" s="7" t="s">
        <v>1</v>
      </c>
      <c r="I28" s="7" t="s">
        <v>1</v>
      </c>
      <c r="J28" s="8" t="s">
        <v>42</v>
      </c>
      <c r="K28" s="8" t="s">
        <v>101</v>
      </c>
      <c r="L28" s="8" t="s">
        <v>170</v>
      </c>
      <c r="M28" s="8" t="s">
        <v>171</v>
      </c>
      <c r="N28" s="8" t="s">
        <v>172</v>
      </c>
      <c r="O28" s="8" t="s">
        <v>173</v>
      </c>
      <c r="P28" s="8" t="s">
        <v>174</v>
      </c>
      <c r="Q28" s="8" t="s">
        <v>103</v>
      </c>
      <c r="R28" s="8" t="s">
        <v>104</v>
      </c>
      <c r="S28" s="8" t="s">
        <v>105</v>
      </c>
      <c r="T28" s="8" t="s">
        <v>106</v>
      </c>
      <c r="U28" s="7" t="s">
        <v>1</v>
      </c>
      <c r="V28" s="7" t="s">
        <v>1</v>
      </c>
      <c r="W28" s="19" t="s">
        <v>185</v>
      </c>
      <c r="X28" s="20">
        <f>B$28+B$31</f>
        <v>4</v>
      </c>
      <c r="Y28" s="20">
        <f>C$28+C$31</f>
        <v>6</v>
      </c>
      <c r="Z28" s="20">
        <f>D$28+D$31</f>
        <v>5</v>
      </c>
      <c r="AA28" s="20">
        <f>E$28+E$31</f>
        <v>5</v>
      </c>
      <c r="AB28" s="20">
        <f>F$28+F$31</f>
        <v>5</v>
      </c>
    </row>
    <row r="29" ht="16.5" spans="1:28">
      <c r="A29" s="23" t="s">
        <v>46</v>
      </c>
      <c r="B29" s="24">
        <f t="shared" si="0"/>
        <v>2</v>
      </c>
      <c r="C29" s="24">
        <f t="shared" si="0"/>
        <v>3</v>
      </c>
      <c r="D29" s="24">
        <f t="shared" si="0"/>
        <v>3</v>
      </c>
      <c r="E29" s="24">
        <f t="shared" si="0"/>
        <v>3</v>
      </c>
      <c r="F29" s="24">
        <f t="shared" si="0"/>
        <v>3</v>
      </c>
      <c r="G29" s="7" t="s">
        <v>1</v>
      </c>
      <c r="H29" s="7" t="s">
        <v>1</v>
      </c>
      <c r="I29" s="7" t="s">
        <v>1</v>
      </c>
      <c r="J29" s="12" t="s">
        <v>85</v>
      </c>
      <c r="K29" s="12">
        <v>3</v>
      </c>
      <c r="L29" s="15" t="s">
        <v>175</v>
      </c>
      <c r="M29" s="15" t="s">
        <v>176</v>
      </c>
      <c r="N29" s="15" t="s">
        <v>176</v>
      </c>
      <c r="O29" s="15" t="s">
        <v>176</v>
      </c>
      <c r="P29" s="15" t="s">
        <v>175</v>
      </c>
      <c r="Q29" s="25">
        <f>PRODUCT(VLOOKUP(L29,模式次数,2,0),VLOOKUP(M29,模式次数,3,0),VLOOKUP(N29,模式次数,4,0),VLOOKUP(O29,模式次数,5,0),VLOOKUP(P29,模式次数,6,0))</f>
        <v>10800</v>
      </c>
      <c r="R29" s="26">
        <f t="shared" ref="R29:R44" si="1">Q29/PRODUCT($B$24:$F$24)</f>
        <v>0.003375</v>
      </c>
      <c r="S29" s="20">
        <f t="shared" ref="S29:S44" si="2">INDEX($B$59:$D$64,MATCH($J29,$A$59:$A$64,0),MATCH($K29,$B$58:$D$58,0))</f>
        <v>50</v>
      </c>
      <c r="T29" s="27">
        <f t="shared" ref="T29:T44" si="3">R29*S29</f>
        <v>0.16875</v>
      </c>
      <c r="U29" s="7" t="s">
        <v>1</v>
      </c>
      <c r="V29" s="7" t="s">
        <v>1</v>
      </c>
      <c r="W29" s="19" t="s">
        <v>189</v>
      </c>
      <c r="X29" s="20">
        <f>B$28+B$32</f>
        <v>5</v>
      </c>
      <c r="Y29" s="20">
        <f>C$28+C$32</f>
        <v>4</v>
      </c>
      <c r="Z29" s="20">
        <f>D$28+D$32</f>
        <v>5</v>
      </c>
      <c r="AA29" s="20">
        <f>E$28+E$32</f>
        <v>5</v>
      </c>
      <c r="AB29" s="20">
        <f>F$28+F$32</f>
        <v>5</v>
      </c>
    </row>
    <row r="30" ht="16.5" spans="1:28">
      <c r="A30" s="28" t="s">
        <v>50</v>
      </c>
      <c r="B30" s="29">
        <f t="shared" si="0"/>
        <v>3</v>
      </c>
      <c r="C30" s="29">
        <f t="shared" si="0"/>
        <v>3</v>
      </c>
      <c r="D30" s="29">
        <f t="shared" si="0"/>
        <v>3</v>
      </c>
      <c r="E30" s="29">
        <f t="shared" si="0"/>
        <v>3</v>
      </c>
      <c r="F30" s="29">
        <f t="shared" si="0"/>
        <v>3</v>
      </c>
      <c r="G30" s="7" t="s">
        <v>1</v>
      </c>
      <c r="H30" s="7" t="s">
        <v>1</v>
      </c>
      <c r="I30" s="7" t="s">
        <v>1</v>
      </c>
      <c r="J30" s="12" t="s">
        <v>46</v>
      </c>
      <c r="K30" s="12">
        <v>5</v>
      </c>
      <c r="L30" s="6" t="s">
        <v>178</v>
      </c>
      <c r="M30" s="6" t="s">
        <v>178</v>
      </c>
      <c r="N30" s="6" t="s">
        <v>178</v>
      </c>
      <c r="O30" s="6" t="s">
        <v>178</v>
      </c>
      <c r="P30" s="6" t="s">
        <v>178</v>
      </c>
      <c r="Q30" s="25">
        <f>PRODUCT(VLOOKUP(L30,模式次数,2,0),VLOOKUP(M30,模式次数,3,0),VLOOKUP(N30,模式次数,4,0),VLOOKUP(O30,模式次数,5,0),VLOOKUP(P30,模式次数,6,0))</f>
        <v>512</v>
      </c>
      <c r="R30" s="26">
        <f t="shared" si="1"/>
        <v>0.00016</v>
      </c>
      <c r="S30" s="20">
        <f t="shared" si="2"/>
        <v>100</v>
      </c>
      <c r="T30" s="27">
        <f t="shared" si="3"/>
        <v>0.016</v>
      </c>
      <c r="U30" s="7" t="s">
        <v>1</v>
      </c>
      <c r="V30" s="7" t="s">
        <v>1</v>
      </c>
      <c r="W30" s="19" t="s">
        <v>193</v>
      </c>
      <c r="X30" s="20">
        <f>B$28+B$33</f>
        <v>6</v>
      </c>
      <c r="Y30" s="20">
        <f>C$28+C$33</f>
        <v>5</v>
      </c>
      <c r="Z30" s="20">
        <f>D$28+D$33</f>
        <v>5</v>
      </c>
      <c r="AA30" s="20">
        <f>E$28+E$33</f>
        <v>5</v>
      </c>
      <c r="AB30" s="20">
        <f>F$28+F$33</f>
        <v>6</v>
      </c>
    </row>
    <row r="31" ht="16.5" spans="1:28">
      <c r="A31" s="30" t="s">
        <v>52</v>
      </c>
      <c r="B31" s="31">
        <f t="shared" si="0"/>
        <v>4</v>
      </c>
      <c r="C31" s="31">
        <f t="shared" si="0"/>
        <v>5</v>
      </c>
      <c r="D31" s="31">
        <f t="shared" si="0"/>
        <v>4</v>
      </c>
      <c r="E31" s="31">
        <f t="shared" si="0"/>
        <v>4</v>
      </c>
      <c r="F31" s="31">
        <f t="shared" si="0"/>
        <v>4</v>
      </c>
      <c r="G31" s="7" t="s">
        <v>1</v>
      </c>
      <c r="H31" s="7" t="s">
        <v>1</v>
      </c>
      <c r="I31" s="7" t="s">
        <v>1</v>
      </c>
      <c r="J31" s="12" t="s">
        <v>46</v>
      </c>
      <c r="K31" s="12">
        <v>4</v>
      </c>
      <c r="L31" s="6" t="s">
        <v>178</v>
      </c>
      <c r="M31" s="6" t="s">
        <v>178</v>
      </c>
      <c r="N31" s="6" t="s">
        <v>178</v>
      </c>
      <c r="O31" s="6" t="s">
        <v>178</v>
      </c>
      <c r="P31" s="6" t="s">
        <v>180</v>
      </c>
      <c r="Q31" s="25">
        <f>PRODUCT(VLOOKUP(L31,模式次数,2,0),VLOOKUP(M31,模式次数,3,0),VLOOKUP(N31,模式次数,4,0),VLOOKUP(O31,模式次数,5,0),VLOOKUP(P31,模式次数,6,0))</f>
        <v>2048</v>
      </c>
      <c r="R31" s="26">
        <f t="shared" si="1"/>
        <v>0.00064</v>
      </c>
      <c r="S31" s="20">
        <f t="shared" si="2"/>
        <v>30</v>
      </c>
      <c r="T31" s="27">
        <f t="shared" si="3"/>
        <v>0.0192</v>
      </c>
      <c r="U31" s="7" t="s">
        <v>1</v>
      </c>
      <c r="V31" s="7" t="s">
        <v>1</v>
      </c>
      <c r="W31" s="19" t="s">
        <v>180</v>
      </c>
      <c r="X31" s="20">
        <f>B$24-(B$28+B$29)</f>
        <v>18</v>
      </c>
      <c r="Y31" s="20">
        <f>C$24-(C$28+C$29)</f>
        <v>16</v>
      </c>
      <c r="Z31" s="20">
        <f>D$24-(D$28+D$29)</f>
        <v>16</v>
      </c>
      <c r="AA31" s="20">
        <f>E$24-(E$28+E$29)</f>
        <v>16</v>
      </c>
      <c r="AB31" s="20">
        <f>F$24-(F$28+F$29)</f>
        <v>16</v>
      </c>
    </row>
    <row r="32" ht="16.5" spans="1:28">
      <c r="A32" s="32" t="s">
        <v>55</v>
      </c>
      <c r="B32" s="33">
        <f t="shared" si="0"/>
        <v>5</v>
      </c>
      <c r="C32" s="33">
        <f t="shared" si="0"/>
        <v>3</v>
      </c>
      <c r="D32" s="33">
        <f t="shared" si="0"/>
        <v>4</v>
      </c>
      <c r="E32" s="33">
        <f t="shared" si="0"/>
        <v>4</v>
      </c>
      <c r="F32" s="33">
        <f t="shared" si="0"/>
        <v>4</v>
      </c>
      <c r="G32" s="7" t="s">
        <v>1</v>
      </c>
      <c r="H32" s="7" t="s">
        <v>1</v>
      </c>
      <c r="I32" s="7" t="s">
        <v>1</v>
      </c>
      <c r="J32" s="12" t="s">
        <v>46</v>
      </c>
      <c r="K32" s="12">
        <v>3</v>
      </c>
      <c r="L32" s="6" t="s">
        <v>178</v>
      </c>
      <c r="M32" s="6" t="s">
        <v>178</v>
      </c>
      <c r="N32" s="6" t="s">
        <v>178</v>
      </c>
      <c r="O32" s="6" t="s">
        <v>180</v>
      </c>
      <c r="P32" s="15" t="s">
        <v>175</v>
      </c>
      <c r="Q32" s="25">
        <f>PRODUCT(VLOOKUP(L32,模式次数,2,0),VLOOKUP(M32,模式次数,3,0),VLOOKUP(N32,模式次数,4,0),VLOOKUP(O32,模式次数,5,0),VLOOKUP(P32,模式次数,6,0))</f>
        <v>10240</v>
      </c>
      <c r="R32" s="26">
        <f t="shared" si="1"/>
        <v>0.0032</v>
      </c>
      <c r="S32" s="20">
        <f t="shared" si="2"/>
        <v>5</v>
      </c>
      <c r="T32" s="27">
        <f t="shared" si="3"/>
        <v>0.016</v>
      </c>
      <c r="U32" s="7" t="s">
        <v>1</v>
      </c>
      <c r="V32" s="7" t="s">
        <v>1</v>
      </c>
      <c r="W32" s="19" t="s">
        <v>184</v>
      </c>
      <c r="X32" s="20">
        <f>B$24-(B$28+B$30)</f>
        <v>17</v>
      </c>
      <c r="Y32" s="20">
        <f>C$24-(C$28+C$30)</f>
        <v>16</v>
      </c>
      <c r="Z32" s="20">
        <f>D$24-(D$28+D$30)</f>
        <v>16</v>
      </c>
      <c r="AA32" s="20">
        <f>E$24-(E$28+E$30)</f>
        <v>16</v>
      </c>
      <c r="AB32" s="20">
        <f>F$24-(F$28+F$30)</f>
        <v>16</v>
      </c>
    </row>
    <row r="33" ht="16.5" spans="1:28">
      <c r="A33" s="34" t="s">
        <v>56</v>
      </c>
      <c r="B33" s="35">
        <f t="shared" si="0"/>
        <v>6</v>
      </c>
      <c r="C33" s="35">
        <f t="shared" si="0"/>
        <v>4</v>
      </c>
      <c r="D33" s="35">
        <f t="shared" si="0"/>
        <v>4</v>
      </c>
      <c r="E33" s="35">
        <f t="shared" si="0"/>
        <v>4</v>
      </c>
      <c r="F33" s="35">
        <f t="shared" si="0"/>
        <v>5</v>
      </c>
      <c r="G33" s="7" t="s">
        <v>1</v>
      </c>
      <c r="H33" s="7" t="s">
        <v>1</v>
      </c>
      <c r="I33" s="7" t="s">
        <v>1</v>
      </c>
      <c r="J33" s="12" t="s">
        <v>50</v>
      </c>
      <c r="K33" s="12">
        <v>5</v>
      </c>
      <c r="L33" s="6" t="s">
        <v>182</v>
      </c>
      <c r="M33" s="6" t="s">
        <v>182</v>
      </c>
      <c r="N33" s="6" t="s">
        <v>182</v>
      </c>
      <c r="O33" s="6" t="s">
        <v>182</v>
      </c>
      <c r="P33" s="6" t="s">
        <v>182</v>
      </c>
      <c r="Q33" s="25">
        <f>PRODUCT(VLOOKUP(L33,模式次数,2,0),VLOOKUP(M33,模式次数,3,0),VLOOKUP(N33,模式次数,4,0),VLOOKUP(O33,模式次数,5,0),VLOOKUP(P33,模式次数,6,0))</f>
        <v>768</v>
      </c>
      <c r="R33" s="26">
        <f t="shared" si="1"/>
        <v>0.00024</v>
      </c>
      <c r="S33" s="20">
        <f t="shared" si="2"/>
        <v>100</v>
      </c>
      <c r="T33" s="27">
        <f t="shared" si="3"/>
        <v>0.024</v>
      </c>
      <c r="U33" s="7" t="s">
        <v>1</v>
      </c>
      <c r="V33" s="7" t="s">
        <v>1</v>
      </c>
      <c r="W33" s="19" t="s">
        <v>187</v>
      </c>
      <c r="X33" s="20">
        <f>B$24-(B$28+B$31)</f>
        <v>16</v>
      </c>
      <c r="Y33" s="20">
        <f>C$24-(C$28+C$31)</f>
        <v>14</v>
      </c>
      <c r="Z33" s="20">
        <f>D$24-(D$28+D$31)</f>
        <v>15</v>
      </c>
      <c r="AA33" s="20">
        <f>E$24-(E$28+E$31)</f>
        <v>15</v>
      </c>
      <c r="AB33" s="20">
        <f>F$24-(F$28+F$31)</f>
        <v>15</v>
      </c>
    </row>
    <row r="34" ht="16.5" spans="1:28">
      <c r="A34" s="36" t="s">
        <v>85</v>
      </c>
      <c r="B34" s="17">
        <f t="shared" si="0"/>
        <v>0</v>
      </c>
      <c r="C34" s="17">
        <f t="shared" si="0"/>
        <v>1</v>
      </c>
      <c r="D34" s="17">
        <f t="shared" si="0"/>
        <v>1</v>
      </c>
      <c r="E34" s="17">
        <f t="shared" si="0"/>
        <v>1</v>
      </c>
      <c r="F34" s="17">
        <f t="shared" si="0"/>
        <v>0</v>
      </c>
      <c r="G34" s="7" t="s">
        <v>1</v>
      </c>
      <c r="H34" s="7" t="s">
        <v>1</v>
      </c>
      <c r="I34" s="7" t="s">
        <v>1</v>
      </c>
      <c r="J34" s="12" t="s">
        <v>50</v>
      </c>
      <c r="K34" s="12">
        <v>4</v>
      </c>
      <c r="L34" s="6" t="s">
        <v>182</v>
      </c>
      <c r="M34" s="6" t="s">
        <v>182</v>
      </c>
      <c r="N34" s="6" t="s">
        <v>182</v>
      </c>
      <c r="O34" s="6" t="s">
        <v>182</v>
      </c>
      <c r="P34" s="6" t="s">
        <v>184</v>
      </c>
      <c r="Q34" s="25">
        <f>PRODUCT(VLOOKUP(L34,模式次数,2,0),VLOOKUP(M34,模式次数,3,0),VLOOKUP(N34,模式次数,4,0),VLOOKUP(O34,模式次数,5,0),VLOOKUP(P34,模式次数,6,0))</f>
        <v>3072</v>
      </c>
      <c r="R34" s="26">
        <f t="shared" si="1"/>
        <v>0.00096</v>
      </c>
      <c r="S34" s="20">
        <f t="shared" si="2"/>
        <v>25</v>
      </c>
      <c r="T34" s="27">
        <f t="shared" si="3"/>
        <v>0.024</v>
      </c>
      <c r="U34" s="7" t="s">
        <v>1</v>
      </c>
      <c r="V34" s="7" t="s">
        <v>1</v>
      </c>
      <c r="W34" s="19" t="s">
        <v>191</v>
      </c>
      <c r="X34" s="20">
        <f>B$24-(B$28+B$32)</f>
        <v>15</v>
      </c>
      <c r="Y34" s="20">
        <f>C$24-(C$28+C$32)</f>
        <v>16</v>
      </c>
      <c r="Z34" s="20">
        <f>D$24-(D$28+D$32)</f>
        <v>15</v>
      </c>
      <c r="AA34" s="20">
        <f>E$24-(E$28+E$32)</f>
        <v>15</v>
      </c>
      <c r="AB34" s="20">
        <f>F$24-(F$28+F$32)</f>
        <v>15</v>
      </c>
    </row>
    <row r="35" ht="16.5" spans="1:28">
      <c r="A35" s="36" t="s">
        <v>176</v>
      </c>
      <c r="B35" s="17">
        <f>COUNTIF(B$3:B$22,$A34)</f>
        <v>0</v>
      </c>
      <c r="C35" s="17">
        <f>COUNTIF(C$3:C$22,$A34)*3</f>
        <v>3</v>
      </c>
      <c r="D35" s="17">
        <f>COUNTIF(D$3:D$22,$A34)*3</f>
        <v>3</v>
      </c>
      <c r="E35" s="17">
        <f>COUNTIF(E$3:E$22,$A34)*3</f>
        <v>3</v>
      </c>
      <c r="F35" s="17">
        <f>COUNTIF(F$3:F$22,$A34)</f>
        <v>0</v>
      </c>
      <c r="G35" s="7" t="s">
        <v>1</v>
      </c>
      <c r="H35" s="7" t="s">
        <v>1</v>
      </c>
      <c r="I35" s="7" t="s">
        <v>1</v>
      </c>
      <c r="J35" s="12" t="s">
        <v>50</v>
      </c>
      <c r="K35" s="12">
        <v>3</v>
      </c>
      <c r="L35" s="6" t="s">
        <v>182</v>
      </c>
      <c r="M35" s="6" t="s">
        <v>182</v>
      </c>
      <c r="N35" s="6" t="s">
        <v>182</v>
      </c>
      <c r="O35" s="6" t="s">
        <v>184</v>
      </c>
      <c r="P35" s="15" t="s">
        <v>175</v>
      </c>
      <c r="Q35" s="25">
        <f>PRODUCT(VLOOKUP(L35,模式次数,2,0),VLOOKUP(M35,模式次数,3,0),VLOOKUP(N35,模式次数,4,0),VLOOKUP(O35,模式次数,5,0),VLOOKUP(P35,模式次数,6,0))</f>
        <v>15360</v>
      </c>
      <c r="R35" s="26">
        <f t="shared" si="1"/>
        <v>0.0048</v>
      </c>
      <c r="S35" s="20">
        <f t="shared" si="2"/>
        <v>5</v>
      </c>
      <c r="T35" s="27">
        <f t="shared" si="3"/>
        <v>0.024</v>
      </c>
      <c r="U35" s="7" t="s">
        <v>1</v>
      </c>
      <c r="V35" s="7" t="s">
        <v>1</v>
      </c>
      <c r="W35" s="19" t="s">
        <v>194</v>
      </c>
      <c r="X35" s="20">
        <f>B$24-(B$28+B$33)</f>
        <v>14</v>
      </c>
      <c r="Y35" s="20">
        <f>C$24-(C$28+C$33)</f>
        <v>15</v>
      </c>
      <c r="Z35" s="20">
        <f>D$24-(D$28+D$33)</f>
        <v>15</v>
      </c>
      <c r="AA35" s="20">
        <f>E$24-(E$28+E$33)</f>
        <v>15</v>
      </c>
      <c r="AB35" s="20">
        <f>F$24-(F$28+F$33)</f>
        <v>14</v>
      </c>
    </row>
    <row r="36" ht="16.5" spans="1:28">
      <c r="A36" s="37" t="s">
        <v>73</v>
      </c>
      <c r="B36" s="17">
        <f>SUM(B28:B34)</f>
        <v>20</v>
      </c>
      <c r="C36" s="17">
        <f>SUM(C28:C34)</f>
        <v>20</v>
      </c>
      <c r="D36" s="17">
        <f>SUM(D28:D34)</f>
        <v>20</v>
      </c>
      <c r="E36" s="17">
        <f>SUM(E28:E34)</f>
        <v>20</v>
      </c>
      <c r="F36" s="17">
        <f>SUM(F28:F34)</f>
        <v>20</v>
      </c>
      <c r="G36" s="7" t="s">
        <v>1</v>
      </c>
      <c r="H36" s="7" t="s">
        <v>1</v>
      </c>
      <c r="I36" s="7" t="s">
        <v>1</v>
      </c>
      <c r="J36" s="12" t="s">
        <v>52</v>
      </c>
      <c r="K36" s="12">
        <v>5</v>
      </c>
      <c r="L36" s="6" t="s">
        <v>185</v>
      </c>
      <c r="M36" s="6" t="s">
        <v>185</v>
      </c>
      <c r="N36" s="6" t="s">
        <v>185</v>
      </c>
      <c r="O36" s="6" t="s">
        <v>185</v>
      </c>
      <c r="P36" s="6" t="s">
        <v>185</v>
      </c>
      <c r="Q36" s="25">
        <f>PRODUCT(VLOOKUP(L36,模式次数,2,0),VLOOKUP(M36,模式次数,3,0),VLOOKUP(N36,模式次数,4,0),VLOOKUP(O36,模式次数,5,0),VLOOKUP(P36,模式次数,6,0))</f>
        <v>3000</v>
      </c>
      <c r="R36" s="26">
        <f t="shared" si="1"/>
        <v>0.0009375</v>
      </c>
      <c r="S36" s="20">
        <f t="shared" si="2"/>
        <v>75</v>
      </c>
      <c r="T36" s="27">
        <f t="shared" si="3"/>
        <v>0.0703125</v>
      </c>
      <c r="U36" s="7" t="s">
        <v>1</v>
      </c>
      <c r="V36" s="7" t="s">
        <v>1</v>
      </c>
      <c r="W36" s="12" t="s">
        <v>176</v>
      </c>
      <c r="X36" s="20">
        <f>3*B$34</f>
        <v>0</v>
      </c>
      <c r="Y36" s="20">
        <f>3*C$34</f>
        <v>3</v>
      </c>
      <c r="Z36" s="20">
        <f>3*D$34</f>
        <v>3</v>
      </c>
      <c r="AA36" s="20">
        <f>3*E$34</f>
        <v>3</v>
      </c>
      <c r="AB36" s="20">
        <f>3*F$34</f>
        <v>0</v>
      </c>
    </row>
    <row r="37" ht="16.5" spans="1:28">
      <c r="A37" s="7" t="s">
        <v>1</v>
      </c>
      <c r="B37" s="7" t="s">
        <v>1</v>
      </c>
      <c r="C37" s="7" t="s">
        <v>1</v>
      </c>
      <c r="D37" s="7" t="s">
        <v>1</v>
      </c>
      <c r="E37" s="7" t="s">
        <v>1</v>
      </c>
      <c r="F37" s="7" t="s">
        <v>1</v>
      </c>
      <c r="G37" s="7" t="s">
        <v>1</v>
      </c>
      <c r="H37" s="7" t="s">
        <v>1</v>
      </c>
      <c r="I37" s="7" t="s">
        <v>1</v>
      </c>
      <c r="J37" s="12" t="s">
        <v>52</v>
      </c>
      <c r="K37" s="12">
        <v>4</v>
      </c>
      <c r="L37" s="6" t="s">
        <v>185</v>
      </c>
      <c r="M37" s="6" t="s">
        <v>185</v>
      </c>
      <c r="N37" s="6" t="s">
        <v>185</v>
      </c>
      <c r="O37" s="6" t="s">
        <v>185</v>
      </c>
      <c r="P37" s="6" t="s">
        <v>187</v>
      </c>
      <c r="Q37" s="25">
        <f>PRODUCT(VLOOKUP(L37,模式次数,2,0),VLOOKUP(M37,模式次数,3,0),VLOOKUP(N37,模式次数,4,0),VLOOKUP(O37,模式次数,5,0),VLOOKUP(P37,模式次数,6,0))</f>
        <v>9000</v>
      </c>
      <c r="R37" s="26">
        <f t="shared" si="1"/>
        <v>0.0028125</v>
      </c>
      <c r="S37" s="20">
        <f t="shared" si="2"/>
        <v>20</v>
      </c>
      <c r="T37" s="27">
        <f t="shared" si="3"/>
        <v>0.05625</v>
      </c>
      <c r="U37" s="7" t="s">
        <v>1</v>
      </c>
      <c r="V37" s="7" t="s">
        <v>1</v>
      </c>
      <c r="W37" s="12" t="s">
        <v>175</v>
      </c>
      <c r="X37" s="20">
        <f>B$24</f>
        <v>20</v>
      </c>
      <c r="Y37" s="20">
        <f>C$24</f>
        <v>20</v>
      </c>
      <c r="Z37" s="20">
        <f>D$24</f>
        <v>20</v>
      </c>
      <c r="AA37" s="20">
        <f>E$24</f>
        <v>20</v>
      </c>
      <c r="AB37" s="20">
        <f>F$24</f>
        <v>20</v>
      </c>
    </row>
    <row r="38" ht="16.5" spans="1:28">
      <c r="A38" s="16" t="s">
        <v>273</v>
      </c>
      <c r="B38" s="16" t="s">
        <v>1</v>
      </c>
      <c r="C38" s="16" t="s">
        <v>1</v>
      </c>
      <c r="D38" s="16" t="s">
        <v>1</v>
      </c>
      <c r="E38" s="16" t="s">
        <v>1</v>
      </c>
      <c r="F38" s="16" t="s">
        <v>1</v>
      </c>
      <c r="G38" s="7" t="s">
        <v>1</v>
      </c>
      <c r="H38" s="7" t="s">
        <v>1</v>
      </c>
      <c r="I38" s="7" t="s">
        <v>1</v>
      </c>
      <c r="J38" s="12" t="s">
        <v>52</v>
      </c>
      <c r="K38" s="12">
        <v>3</v>
      </c>
      <c r="L38" s="6" t="s">
        <v>185</v>
      </c>
      <c r="M38" s="6" t="s">
        <v>185</v>
      </c>
      <c r="N38" s="6" t="s">
        <v>185</v>
      </c>
      <c r="O38" s="6" t="s">
        <v>187</v>
      </c>
      <c r="P38" s="15" t="s">
        <v>175</v>
      </c>
      <c r="Q38" s="25">
        <f>PRODUCT(VLOOKUP(L38,模式次数,2,0),VLOOKUP(M38,模式次数,3,0),VLOOKUP(N38,模式次数,4,0),VLOOKUP(O38,模式次数,5,0),VLOOKUP(P38,模式次数,6,0))</f>
        <v>36000</v>
      </c>
      <c r="R38" s="26">
        <f t="shared" si="1"/>
        <v>0.01125</v>
      </c>
      <c r="S38" s="20">
        <f t="shared" si="2"/>
        <v>5</v>
      </c>
      <c r="T38" s="27">
        <f t="shared" si="3"/>
        <v>0.05625</v>
      </c>
      <c r="U38" s="7" t="s">
        <v>1</v>
      </c>
      <c r="V38" s="7" t="s">
        <v>1</v>
      </c>
      <c r="W38" s="7" t="s">
        <v>274</v>
      </c>
      <c r="X38" s="7" t="s">
        <v>1</v>
      </c>
      <c r="Y38" s="7" t="s">
        <v>1</v>
      </c>
      <c r="Z38" s="7" t="s">
        <v>1</v>
      </c>
      <c r="AA38" s="7" t="s">
        <v>1</v>
      </c>
      <c r="AB38" s="7" t="s">
        <v>1</v>
      </c>
    </row>
    <row r="39" ht="16.5" spans="1:28">
      <c r="A39" s="8" t="s">
        <v>67</v>
      </c>
      <c r="B39" s="8" t="s">
        <v>170</v>
      </c>
      <c r="C39" s="8" t="s">
        <v>171</v>
      </c>
      <c r="D39" s="8" t="s">
        <v>172</v>
      </c>
      <c r="E39" s="8" t="s">
        <v>173</v>
      </c>
      <c r="F39" s="8" t="s">
        <v>174</v>
      </c>
      <c r="G39" s="7" t="s">
        <v>1</v>
      </c>
      <c r="H39" s="7" t="s">
        <v>1</v>
      </c>
      <c r="I39" s="7" t="s">
        <v>1</v>
      </c>
      <c r="J39" s="12" t="s">
        <v>55</v>
      </c>
      <c r="K39" s="12">
        <v>5</v>
      </c>
      <c r="L39" s="6" t="s">
        <v>189</v>
      </c>
      <c r="M39" s="6" t="s">
        <v>189</v>
      </c>
      <c r="N39" s="6" t="s">
        <v>189</v>
      </c>
      <c r="O39" s="6" t="s">
        <v>189</v>
      </c>
      <c r="P39" s="6" t="s">
        <v>189</v>
      </c>
      <c r="Q39" s="25">
        <f>PRODUCT(VLOOKUP(L39,模式次数,2,0),VLOOKUP(M39,模式次数,3,0),VLOOKUP(N39,模式次数,4,0),VLOOKUP(O39,模式次数,5,0),VLOOKUP(P39,模式次数,6,0))</f>
        <v>2500</v>
      </c>
      <c r="R39" s="26">
        <f t="shared" si="1"/>
        <v>0.00078125</v>
      </c>
      <c r="S39" s="20">
        <f t="shared" si="2"/>
        <v>75</v>
      </c>
      <c r="T39" s="27">
        <f t="shared" si="3"/>
        <v>0.05859375</v>
      </c>
      <c r="U39" s="7" t="s">
        <v>1</v>
      </c>
      <c r="V39" s="7" t="s">
        <v>1</v>
      </c>
      <c r="W39" s="7" t="s">
        <v>1</v>
      </c>
      <c r="X39" s="7" t="s">
        <v>1</v>
      </c>
      <c r="Y39" s="7" t="s">
        <v>1</v>
      </c>
      <c r="Z39" s="7" t="s">
        <v>1</v>
      </c>
      <c r="AA39" s="7" t="s">
        <v>1</v>
      </c>
      <c r="AB39" s="7" t="s">
        <v>1</v>
      </c>
    </row>
    <row r="40" ht="16.5" spans="1:28">
      <c r="A40" s="21" t="s">
        <v>178</v>
      </c>
      <c r="B40" s="24">
        <f t="shared" ref="B40:F44" si="4">B$28+B29</f>
        <v>2</v>
      </c>
      <c r="C40" s="24">
        <f t="shared" si="4"/>
        <v>4</v>
      </c>
      <c r="D40" s="24">
        <f t="shared" si="4"/>
        <v>4</v>
      </c>
      <c r="E40" s="24">
        <f t="shared" si="4"/>
        <v>4</v>
      </c>
      <c r="F40" s="24">
        <f t="shared" si="4"/>
        <v>4</v>
      </c>
      <c r="G40" s="7" t="s">
        <v>1</v>
      </c>
      <c r="H40" s="7" t="s">
        <v>1</v>
      </c>
      <c r="I40" s="7" t="s">
        <v>1</v>
      </c>
      <c r="J40" s="12" t="s">
        <v>55</v>
      </c>
      <c r="K40" s="12">
        <v>4</v>
      </c>
      <c r="L40" s="6" t="s">
        <v>189</v>
      </c>
      <c r="M40" s="6" t="s">
        <v>189</v>
      </c>
      <c r="N40" s="6" t="s">
        <v>189</v>
      </c>
      <c r="O40" s="6" t="s">
        <v>189</v>
      </c>
      <c r="P40" s="6" t="s">
        <v>191</v>
      </c>
      <c r="Q40" s="25">
        <f>PRODUCT(VLOOKUP(L40,模式次数,2,0),VLOOKUP(M40,模式次数,3,0),VLOOKUP(N40,模式次数,4,0),VLOOKUP(O40,模式次数,5,0),VLOOKUP(P40,模式次数,6,0))</f>
        <v>7500</v>
      </c>
      <c r="R40" s="26">
        <f t="shared" si="1"/>
        <v>0.00234375</v>
      </c>
      <c r="S40" s="20">
        <f t="shared" si="2"/>
        <v>20</v>
      </c>
      <c r="T40" s="27">
        <f t="shared" si="3"/>
        <v>0.046875</v>
      </c>
      <c r="U40" s="7" t="s">
        <v>1</v>
      </c>
      <c r="V40" s="7" t="s">
        <v>1</v>
      </c>
      <c r="W40" s="7" t="s">
        <v>1</v>
      </c>
      <c r="X40" s="7" t="s">
        <v>1</v>
      </c>
      <c r="Y40" s="7" t="s">
        <v>1</v>
      </c>
      <c r="Z40" s="7" t="s">
        <v>1</v>
      </c>
      <c r="AA40" s="7" t="s">
        <v>1</v>
      </c>
      <c r="AB40" s="7" t="s">
        <v>1</v>
      </c>
    </row>
    <row r="41" ht="16.5" spans="1:28">
      <c r="A41" s="21" t="s">
        <v>182</v>
      </c>
      <c r="B41" s="29">
        <f t="shared" si="4"/>
        <v>3</v>
      </c>
      <c r="C41" s="29">
        <f t="shared" si="4"/>
        <v>4</v>
      </c>
      <c r="D41" s="29">
        <f t="shared" si="4"/>
        <v>4</v>
      </c>
      <c r="E41" s="29">
        <f t="shared" si="4"/>
        <v>4</v>
      </c>
      <c r="F41" s="29">
        <f t="shared" si="4"/>
        <v>4</v>
      </c>
      <c r="G41" s="7" t="s">
        <v>1</v>
      </c>
      <c r="H41" s="7" t="s">
        <v>1</v>
      </c>
      <c r="I41" s="7" t="s">
        <v>1</v>
      </c>
      <c r="J41" s="12" t="s">
        <v>55</v>
      </c>
      <c r="K41" s="12">
        <v>3</v>
      </c>
      <c r="L41" s="6" t="s">
        <v>189</v>
      </c>
      <c r="M41" s="6" t="s">
        <v>189</v>
      </c>
      <c r="N41" s="6" t="s">
        <v>189</v>
      </c>
      <c r="O41" s="6" t="s">
        <v>191</v>
      </c>
      <c r="P41" s="15" t="s">
        <v>175</v>
      </c>
      <c r="Q41" s="25">
        <f>PRODUCT(VLOOKUP(L41,模式次数,2,0),VLOOKUP(M41,模式次数,3,0),VLOOKUP(N41,模式次数,4,0),VLOOKUP(O41,模式次数,5,0),VLOOKUP(P41,模式次数,6,0))</f>
        <v>30000</v>
      </c>
      <c r="R41" s="26">
        <f t="shared" si="1"/>
        <v>0.009375</v>
      </c>
      <c r="S41" s="20">
        <f t="shared" si="2"/>
        <v>5</v>
      </c>
      <c r="T41" s="27">
        <f t="shared" si="3"/>
        <v>0.046875</v>
      </c>
      <c r="U41" s="7" t="s">
        <v>1</v>
      </c>
      <c r="V41" s="7" t="s">
        <v>1</v>
      </c>
      <c r="W41" s="7" t="s">
        <v>1</v>
      </c>
      <c r="X41" s="7" t="s">
        <v>1</v>
      </c>
      <c r="Y41" s="7" t="s">
        <v>1</v>
      </c>
      <c r="Z41" s="7" t="s">
        <v>1</v>
      </c>
      <c r="AA41" s="7" t="s">
        <v>1</v>
      </c>
      <c r="AB41" s="7" t="s">
        <v>1</v>
      </c>
    </row>
    <row r="42" ht="16.5" spans="1:28">
      <c r="A42" s="21" t="s">
        <v>185</v>
      </c>
      <c r="B42" s="31">
        <f t="shared" si="4"/>
        <v>4</v>
      </c>
      <c r="C42" s="31">
        <f t="shared" si="4"/>
        <v>6</v>
      </c>
      <c r="D42" s="31">
        <f t="shared" si="4"/>
        <v>5</v>
      </c>
      <c r="E42" s="31">
        <f t="shared" si="4"/>
        <v>5</v>
      </c>
      <c r="F42" s="31">
        <f t="shared" si="4"/>
        <v>5</v>
      </c>
      <c r="G42" s="7" t="s">
        <v>1</v>
      </c>
      <c r="H42" s="7" t="s">
        <v>1</v>
      </c>
      <c r="I42" s="7" t="s">
        <v>1</v>
      </c>
      <c r="J42" s="12" t="s">
        <v>56</v>
      </c>
      <c r="K42" s="12">
        <v>5</v>
      </c>
      <c r="L42" s="6" t="s">
        <v>193</v>
      </c>
      <c r="M42" s="6" t="s">
        <v>193</v>
      </c>
      <c r="N42" s="6" t="s">
        <v>193</v>
      </c>
      <c r="O42" s="6" t="s">
        <v>193</v>
      </c>
      <c r="P42" s="6" t="s">
        <v>193</v>
      </c>
      <c r="Q42" s="25">
        <f>PRODUCT(VLOOKUP(L42,模式次数,2,0),VLOOKUP(M42,模式次数,3,0),VLOOKUP(N42,模式次数,4,0),VLOOKUP(O42,模式次数,5,0),VLOOKUP(P42,模式次数,6,0))</f>
        <v>4500</v>
      </c>
      <c r="R42" s="26">
        <f t="shared" si="1"/>
        <v>0.00140625</v>
      </c>
      <c r="S42" s="20">
        <f t="shared" si="2"/>
        <v>50</v>
      </c>
      <c r="T42" s="27">
        <f t="shared" si="3"/>
        <v>0.0703125</v>
      </c>
      <c r="U42" s="7" t="s">
        <v>1</v>
      </c>
      <c r="V42" s="7" t="s">
        <v>1</v>
      </c>
      <c r="W42" s="7" t="s">
        <v>1</v>
      </c>
      <c r="X42" s="7" t="s">
        <v>1</v>
      </c>
      <c r="Y42" s="7" t="s">
        <v>1</v>
      </c>
      <c r="Z42" s="7" t="s">
        <v>1</v>
      </c>
      <c r="AA42" s="7" t="s">
        <v>1</v>
      </c>
      <c r="AB42" s="7" t="s">
        <v>1</v>
      </c>
    </row>
    <row r="43" ht="16.5" spans="1:28">
      <c r="A43" s="21" t="s">
        <v>189</v>
      </c>
      <c r="B43" s="33">
        <f t="shared" si="4"/>
        <v>5</v>
      </c>
      <c r="C43" s="33">
        <f t="shared" si="4"/>
        <v>4</v>
      </c>
      <c r="D43" s="33">
        <f t="shared" si="4"/>
        <v>5</v>
      </c>
      <c r="E43" s="33">
        <f t="shared" si="4"/>
        <v>5</v>
      </c>
      <c r="F43" s="33">
        <f t="shared" si="4"/>
        <v>5</v>
      </c>
      <c r="G43" s="7" t="s">
        <v>1</v>
      </c>
      <c r="H43" s="7" t="s">
        <v>1</v>
      </c>
      <c r="I43" s="7" t="s">
        <v>1</v>
      </c>
      <c r="J43" s="12" t="s">
        <v>56</v>
      </c>
      <c r="K43" s="12">
        <v>4</v>
      </c>
      <c r="L43" s="6" t="s">
        <v>193</v>
      </c>
      <c r="M43" s="6" t="s">
        <v>193</v>
      </c>
      <c r="N43" s="6" t="s">
        <v>193</v>
      </c>
      <c r="O43" s="6" t="s">
        <v>193</v>
      </c>
      <c r="P43" s="6" t="s">
        <v>194</v>
      </c>
      <c r="Q43" s="25">
        <f>PRODUCT(VLOOKUP(L43,模式次数,2,0),VLOOKUP(M43,模式次数,3,0),VLOOKUP(N43,模式次数,4,0),VLOOKUP(O43,模式次数,5,0),VLOOKUP(P43,模式次数,6,0))</f>
        <v>10500</v>
      </c>
      <c r="R43" s="26">
        <f t="shared" si="1"/>
        <v>0.00328125</v>
      </c>
      <c r="S43" s="20">
        <f t="shared" si="2"/>
        <v>10</v>
      </c>
      <c r="T43" s="27">
        <f t="shared" si="3"/>
        <v>0.0328125</v>
      </c>
      <c r="U43" s="7" t="s">
        <v>1</v>
      </c>
      <c r="V43" s="7" t="s">
        <v>1</v>
      </c>
      <c r="W43" s="7" t="s">
        <v>1</v>
      </c>
      <c r="X43" s="7" t="s">
        <v>1</v>
      </c>
      <c r="Y43" s="7" t="s">
        <v>1</v>
      </c>
      <c r="Z43" s="7" t="s">
        <v>1</v>
      </c>
      <c r="AA43" s="7" t="s">
        <v>1</v>
      </c>
      <c r="AB43" s="7" t="s">
        <v>1</v>
      </c>
    </row>
    <row r="44" ht="16.5" spans="1:28">
      <c r="A44" s="21" t="s">
        <v>193</v>
      </c>
      <c r="B44" s="35">
        <f t="shared" si="4"/>
        <v>6</v>
      </c>
      <c r="C44" s="35">
        <f t="shared" si="4"/>
        <v>5</v>
      </c>
      <c r="D44" s="35">
        <f t="shared" si="4"/>
        <v>5</v>
      </c>
      <c r="E44" s="35">
        <f t="shared" si="4"/>
        <v>5</v>
      </c>
      <c r="F44" s="35">
        <f t="shared" si="4"/>
        <v>6</v>
      </c>
      <c r="G44" s="7" t="s">
        <v>1</v>
      </c>
      <c r="H44" s="7" t="s">
        <v>1</v>
      </c>
      <c r="I44" s="7" t="s">
        <v>1</v>
      </c>
      <c r="J44" s="12" t="s">
        <v>56</v>
      </c>
      <c r="K44" s="12">
        <v>3</v>
      </c>
      <c r="L44" s="6" t="s">
        <v>193</v>
      </c>
      <c r="M44" s="6" t="s">
        <v>193</v>
      </c>
      <c r="N44" s="6" t="s">
        <v>193</v>
      </c>
      <c r="O44" s="6" t="s">
        <v>194</v>
      </c>
      <c r="P44" s="15" t="s">
        <v>175</v>
      </c>
      <c r="Q44" s="25">
        <f>PRODUCT(VLOOKUP(L44,模式次数,2,0),VLOOKUP(M44,模式次数,3,0),VLOOKUP(N44,模式次数,4,0),VLOOKUP(O44,模式次数,5,0),VLOOKUP(P44,模式次数,6,0))</f>
        <v>45000</v>
      </c>
      <c r="R44" s="26">
        <f t="shared" si="1"/>
        <v>0.0140625</v>
      </c>
      <c r="S44" s="20">
        <f t="shared" si="2"/>
        <v>5</v>
      </c>
      <c r="T44" s="27">
        <f t="shared" si="3"/>
        <v>0.0703125</v>
      </c>
      <c r="U44" s="7" t="s">
        <v>1</v>
      </c>
      <c r="V44" s="7" t="s">
        <v>1</v>
      </c>
      <c r="W44" s="7" t="s">
        <v>1</v>
      </c>
      <c r="X44" s="7" t="s">
        <v>1</v>
      </c>
      <c r="Y44" s="7" t="s">
        <v>1</v>
      </c>
      <c r="Z44" s="7" t="s">
        <v>1</v>
      </c>
      <c r="AA44" s="7" t="s">
        <v>1</v>
      </c>
      <c r="AB44" s="7" t="s">
        <v>1</v>
      </c>
    </row>
    <row r="45" ht="16.5" spans="1:28">
      <c r="A45" s="7" t="s">
        <v>1</v>
      </c>
      <c r="B45" s="7" t="s">
        <v>1</v>
      </c>
      <c r="C45" s="7" t="s">
        <v>1</v>
      </c>
      <c r="D45" s="7" t="s">
        <v>1</v>
      </c>
      <c r="E45" s="7" t="s">
        <v>1</v>
      </c>
      <c r="F45" s="7" t="s">
        <v>1</v>
      </c>
      <c r="G45" s="7" t="s">
        <v>1</v>
      </c>
      <c r="H45" s="7" t="s">
        <v>1</v>
      </c>
      <c r="I45" s="7" t="s">
        <v>1</v>
      </c>
      <c r="J45" s="38" t="s">
        <v>73</v>
      </c>
      <c r="K45" s="7" t="s">
        <v>1</v>
      </c>
      <c r="L45" s="7" t="s">
        <v>1</v>
      </c>
      <c r="M45" s="7" t="s">
        <v>1</v>
      </c>
      <c r="N45" s="7" t="s">
        <v>1</v>
      </c>
      <c r="O45" s="7" t="s">
        <v>1</v>
      </c>
      <c r="P45" s="7" t="s">
        <v>1</v>
      </c>
      <c r="Q45" s="18">
        <f>SUM(Q29:Q44)</f>
        <v>190800</v>
      </c>
      <c r="R45" s="39">
        <f>SUM(R29:R44)</f>
        <v>0.059625</v>
      </c>
      <c r="S45" s="7" t="s">
        <v>1</v>
      </c>
      <c r="T45" s="40">
        <f>SUM(T29:T44)</f>
        <v>0.80054375</v>
      </c>
      <c r="U45" s="7" t="s">
        <v>1</v>
      </c>
      <c r="V45" s="7" t="s">
        <v>1</v>
      </c>
      <c r="W45" s="7" t="s">
        <v>1</v>
      </c>
      <c r="X45" s="7" t="s">
        <v>1</v>
      </c>
      <c r="Y45" s="7" t="s">
        <v>1</v>
      </c>
      <c r="Z45" s="7" t="s">
        <v>1</v>
      </c>
      <c r="AA45" s="7" t="s">
        <v>1</v>
      </c>
      <c r="AB45" s="7" t="s">
        <v>1</v>
      </c>
    </row>
    <row r="46" ht="16.5" spans="1:28">
      <c r="A46" s="7" t="s">
        <v>1</v>
      </c>
      <c r="B46" s="7" t="s">
        <v>1</v>
      </c>
      <c r="C46" s="7" t="s">
        <v>1</v>
      </c>
      <c r="D46" s="7" t="s">
        <v>1</v>
      </c>
      <c r="E46" s="7" t="s">
        <v>1</v>
      </c>
      <c r="F46" s="7" t="s">
        <v>1</v>
      </c>
      <c r="G46" s="7" t="s">
        <v>1</v>
      </c>
      <c r="H46" s="7" t="s">
        <v>1</v>
      </c>
      <c r="I46" s="7" t="s">
        <v>1</v>
      </c>
      <c r="J46" s="7" t="s">
        <v>1</v>
      </c>
      <c r="K46" s="7" t="s">
        <v>1</v>
      </c>
      <c r="L46" s="7" t="s">
        <v>1</v>
      </c>
      <c r="M46" s="7" t="s">
        <v>1</v>
      </c>
      <c r="N46" s="7" t="s">
        <v>1</v>
      </c>
      <c r="O46" s="7" t="s">
        <v>1</v>
      </c>
      <c r="P46" s="7" t="s">
        <v>1</v>
      </c>
      <c r="Q46" s="7" t="s">
        <v>1</v>
      </c>
      <c r="R46" s="7" t="s">
        <v>1</v>
      </c>
      <c r="S46" s="7" t="s">
        <v>1</v>
      </c>
      <c r="T46" s="7" t="s">
        <v>1</v>
      </c>
      <c r="U46" s="7" t="s">
        <v>1</v>
      </c>
      <c r="V46" s="7" t="s">
        <v>1</v>
      </c>
      <c r="W46" s="7" t="s">
        <v>1</v>
      </c>
      <c r="X46" s="7" t="s">
        <v>1</v>
      </c>
      <c r="Y46" s="7" t="s">
        <v>1</v>
      </c>
      <c r="Z46" s="7" t="s">
        <v>1</v>
      </c>
      <c r="AA46" s="7" t="s">
        <v>1</v>
      </c>
      <c r="AB46" s="7" t="s">
        <v>1</v>
      </c>
    </row>
    <row r="47" ht="16.5" spans="1:28">
      <c r="A47" s="7" t="s">
        <v>1</v>
      </c>
      <c r="B47" s="7" t="s">
        <v>1</v>
      </c>
      <c r="C47" s="7" t="s">
        <v>1</v>
      </c>
      <c r="D47" s="7" t="s">
        <v>1</v>
      </c>
      <c r="E47" s="7" t="s">
        <v>1</v>
      </c>
      <c r="F47" s="7" t="s">
        <v>1</v>
      </c>
      <c r="G47" s="7" t="s">
        <v>1</v>
      </c>
      <c r="H47" s="7" t="s">
        <v>1</v>
      </c>
      <c r="I47" s="7" t="s">
        <v>1</v>
      </c>
      <c r="J47" s="16" t="s">
        <v>275</v>
      </c>
      <c r="K47" s="7" t="s">
        <v>1</v>
      </c>
      <c r="L47" s="7" t="s">
        <v>1</v>
      </c>
      <c r="M47" s="7" t="s">
        <v>1</v>
      </c>
      <c r="N47" s="7" t="s">
        <v>1</v>
      </c>
      <c r="O47" s="7" t="s">
        <v>1</v>
      </c>
      <c r="P47" s="7" t="s">
        <v>1</v>
      </c>
      <c r="Q47" s="7" t="s">
        <v>1</v>
      </c>
      <c r="R47" s="7" t="s">
        <v>1</v>
      </c>
      <c r="S47" s="7" t="s">
        <v>1</v>
      </c>
      <c r="T47" s="7" t="s">
        <v>1</v>
      </c>
      <c r="U47" s="7" t="s">
        <v>1</v>
      </c>
      <c r="V47" s="7" t="s">
        <v>1</v>
      </c>
      <c r="W47" s="7" t="s">
        <v>1</v>
      </c>
      <c r="X47" s="7" t="s">
        <v>1</v>
      </c>
      <c r="Y47" s="7" t="s">
        <v>1</v>
      </c>
      <c r="Z47" s="7" t="s">
        <v>1</v>
      </c>
      <c r="AA47" s="7" t="s">
        <v>1</v>
      </c>
      <c r="AB47" s="7" t="s">
        <v>1</v>
      </c>
    </row>
    <row r="48" ht="16.5" spans="1:28">
      <c r="A48" s="16" t="s">
        <v>276</v>
      </c>
      <c r="B48" s="16" t="s">
        <v>1</v>
      </c>
      <c r="C48" s="16" t="s">
        <v>1</v>
      </c>
      <c r="D48" s="16" t="s">
        <v>1</v>
      </c>
      <c r="E48" s="16" t="s">
        <v>1</v>
      </c>
      <c r="F48" s="16" t="s">
        <v>1</v>
      </c>
      <c r="G48" s="7" t="s">
        <v>1</v>
      </c>
      <c r="H48" s="7" t="s">
        <v>1</v>
      </c>
      <c r="I48" s="7" t="s">
        <v>1</v>
      </c>
      <c r="J48" s="16" t="s">
        <v>277</v>
      </c>
      <c r="K48" s="7" t="s">
        <v>1</v>
      </c>
      <c r="L48" s="7" t="s">
        <v>1</v>
      </c>
      <c r="M48" s="7" t="s">
        <v>1</v>
      </c>
      <c r="N48" s="7" t="s">
        <v>1</v>
      </c>
      <c r="O48" s="7" t="s">
        <v>1</v>
      </c>
      <c r="P48" s="7" t="s">
        <v>1</v>
      </c>
      <c r="Q48" s="7" t="s">
        <v>1</v>
      </c>
      <c r="R48" s="7" t="s">
        <v>1</v>
      </c>
      <c r="S48" s="7" t="s">
        <v>1</v>
      </c>
      <c r="T48" s="7" t="s">
        <v>1</v>
      </c>
      <c r="U48" s="7" t="s">
        <v>1</v>
      </c>
      <c r="V48" s="7" t="s">
        <v>1</v>
      </c>
      <c r="W48" s="7" t="s">
        <v>1</v>
      </c>
      <c r="X48" s="7" t="s">
        <v>1</v>
      </c>
      <c r="Y48" s="7" t="s">
        <v>1</v>
      </c>
      <c r="Z48" s="7" t="s">
        <v>1</v>
      </c>
      <c r="AA48" s="7" t="s">
        <v>1</v>
      </c>
      <c r="AB48" s="7" t="s">
        <v>1</v>
      </c>
    </row>
    <row r="49" ht="16.5" spans="1:28">
      <c r="A49" s="8" t="s">
        <v>67</v>
      </c>
      <c r="B49" s="8" t="s">
        <v>170</v>
      </c>
      <c r="C49" s="8" t="s">
        <v>171</v>
      </c>
      <c r="D49" s="8" t="s">
        <v>172</v>
      </c>
      <c r="E49" s="8" t="s">
        <v>173</v>
      </c>
      <c r="F49" s="8" t="s">
        <v>174</v>
      </c>
      <c r="G49" s="7" t="s">
        <v>1</v>
      </c>
      <c r="H49" s="7" t="s">
        <v>1</v>
      </c>
      <c r="I49" s="7" t="s">
        <v>1</v>
      </c>
      <c r="J49" s="7" t="s">
        <v>1</v>
      </c>
      <c r="K49" s="7" t="s">
        <v>1</v>
      </c>
      <c r="L49" s="7" t="s">
        <v>1</v>
      </c>
      <c r="M49" s="7" t="s">
        <v>1</v>
      </c>
      <c r="N49" s="7" t="s">
        <v>1</v>
      </c>
      <c r="O49" s="7" t="s">
        <v>1</v>
      </c>
      <c r="P49" s="7" t="s">
        <v>1</v>
      </c>
      <c r="Q49" s="7" t="s">
        <v>1</v>
      </c>
      <c r="R49" s="7" t="s">
        <v>1</v>
      </c>
      <c r="S49" s="7" t="s">
        <v>1</v>
      </c>
      <c r="T49" s="7" t="s">
        <v>1</v>
      </c>
      <c r="U49" s="7" t="s">
        <v>1</v>
      </c>
      <c r="V49" s="7" t="s">
        <v>1</v>
      </c>
      <c r="W49" s="7" t="s">
        <v>1</v>
      </c>
      <c r="X49" s="7" t="s">
        <v>1</v>
      </c>
      <c r="Y49" s="7" t="s">
        <v>1</v>
      </c>
      <c r="Z49" s="7" t="s">
        <v>1</v>
      </c>
      <c r="AA49" s="7" t="s">
        <v>1</v>
      </c>
      <c r="AB49" s="7" t="s">
        <v>1</v>
      </c>
    </row>
    <row r="50" ht="16.5" spans="1:28">
      <c r="A50" s="21" t="s">
        <v>180</v>
      </c>
      <c r="B50" s="24">
        <f t="shared" ref="B50:F54" si="5">B$24-B40</f>
        <v>18</v>
      </c>
      <c r="C50" s="24">
        <f t="shared" si="5"/>
        <v>16</v>
      </c>
      <c r="D50" s="24">
        <f t="shared" si="5"/>
        <v>16</v>
      </c>
      <c r="E50" s="24">
        <f t="shared" si="5"/>
        <v>16</v>
      </c>
      <c r="F50" s="24">
        <f t="shared" si="5"/>
        <v>16</v>
      </c>
      <c r="G50" s="7" t="s">
        <v>1</v>
      </c>
      <c r="H50" s="7" t="s">
        <v>1</v>
      </c>
      <c r="I50" s="7" t="s">
        <v>1</v>
      </c>
      <c r="J50" s="7" t="s">
        <v>1</v>
      </c>
      <c r="K50" s="7" t="s">
        <v>1</v>
      </c>
      <c r="L50" s="7" t="s">
        <v>1</v>
      </c>
      <c r="M50" s="7" t="s">
        <v>1</v>
      </c>
      <c r="N50" s="7" t="s">
        <v>1</v>
      </c>
      <c r="O50" s="7" t="s">
        <v>1</v>
      </c>
      <c r="P50" s="7" t="s">
        <v>1</v>
      </c>
      <c r="Q50" s="7" t="s">
        <v>1</v>
      </c>
      <c r="R50" s="7" t="s">
        <v>1</v>
      </c>
      <c r="S50" s="7" t="s">
        <v>1</v>
      </c>
      <c r="T50" s="7" t="s">
        <v>1</v>
      </c>
      <c r="U50" s="7" t="s">
        <v>1</v>
      </c>
      <c r="V50" s="7" t="s">
        <v>1</v>
      </c>
      <c r="W50" s="7" t="s">
        <v>1</v>
      </c>
      <c r="X50" s="7" t="s">
        <v>1</v>
      </c>
      <c r="Y50" s="7" t="s">
        <v>1</v>
      </c>
      <c r="Z50" s="7" t="s">
        <v>1</v>
      </c>
      <c r="AA50" s="7" t="s">
        <v>1</v>
      </c>
      <c r="AB50" s="7" t="s">
        <v>1</v>
      </c>
    </row>
    <row r="51" ht="16.5" spans="1:28">
      <c r="A51" s="21" t="s">
        <v>184</v>
      </c>
      <c r="B51" s="29">
        <f t="shared" si="5"/>
        <v>17</v>
      </c>
      <c r="C51" s="29">
        <f t="shared" si="5"/>
        <v>16</v>
      </c>
      <c r="D51" s="29">
        <f t="shared" si="5"/>
        <v>16</v>
      </c>
      <c r="E51" s="29">
        <f t="shared" si="5"/>
        <v>16</v>
      </c>
      <c r="F51" s="29">
        <f t="shared" si="5"/>
        <v>16</v>
      </c>
      <c r="G51" s="7" t="s">
        <v>1</v>
      </c>
      <c r="H51" s="7" t="s">
        <v>1</v>
      </c>
      <c r="I51" s="7" t="s">
        <v>1</v>
      </c>
      <c r="J51" s="7" t="s">
        <v>1</v>
      </c>
      <c r="K51" s="7" t="s">
        <v>1</v>
      </c>
      <c r="L51" s="7" t="s">
        <v>1</v>
      </c>
      <c r="M51" s="7" t="s">
        <v>1</v>
      </c>
      <c r="N51" s="7" t="s">
        <v>1</v>
      </c>
      <c r="O51" s="7" t="s">
        <v>1</v>
      </c>
      <c r="P51" s="7" t="s">
        <v>1</v>
      </c>
      <c r="Q51" s="7" t="s">
        <v>1</v>
      </c>
      <c r="R51" s="7" t="s">
        <v>1</v>
      </c>
      <c r="S51" s="7" t="s">
        <v>1</v>
      </c>
      <c r="T51" s="7" t="s">
        <v>1</v>
      </c>
      <c r="U51" s="7" t="s">
        <v>1</v>
      </c>
      <c r="V51" s="7" t="s">
        <v>1</v>
      </c>
      <c r="W51" s="7" t="s">
        <v>1</v>
      </c>
      <c r="X51" s="7" t="s">
        <v>1</v>
      </c>
      <c r="Y51" s="7" t="s">
        <v>1</v>
      </c>
      <c r="Z51" s="7" t="s">
        <v>1</v>
      </c>
      <c r="AA51" s="7" t="s">
        <v>1</v>
      </c>
      <c r="AB51" s="7" t="s">
        <v>1</v>
      </c>
    </row>
    <row r="52" ht="16.5" spans="1:28">
      <c r="A52" s="21" t="s">
        <v>187</v>
      </c>
      <c r="B52" s="31">
        <f t="shared" si="5"/>
        <v>16</v>
      </c>
      <c r="C52" s="31">
        <f t="shared" si="5"/>
        <v>14</v>
      </c>
      <c r="D52" s="31">
        <f t="shared" si="5"/>
        <v>15</v>
      </c>
      <c r="E52" s="31">
        <f t="shared" si="5"/>
        <v>15</v>
      </c>
      <c r="F52" s="31">
        <f t="shared" si="5"/>
        <v>15</v>
      </c>
      <c r="G52" s="7" t="s">
        <v>1</v>
      </c>
      <c r="H52" s="7" t="s">
        <v>1</v>
      </c>
      <c r="I52" s="7" t="s">
        <v>1</v>
      </c>
      <c r="J52" s="7" t="s">
        <v>1</v>
      </c>
      <c r="K52" s="7" t="s">
        <v>1</v>
      </c>
      <c r="L52" s="7" t="s">
        <v>1</v>
      </c>
      <c r="M52" s="7" t="s">
        <v>1</v>
      </c>
      <c r="N52" s="7" t="s">
        <v>1</v>
      </c>
      <c r="O52" s="7" t="s">
        <v>1</v>
      </c>
      <c r="P52" s="7" t="s">
        <v>1</v>
      </c>
      <c r="Q52" s="7" t="s">
        <v>1</v>
      </c>
      <c r="R52" s="7" t="s">
        <v>1</v>
      </c>
      <c r="S52" s="7" t="s">
        <v>1</v>
      </c>
      <c r="T52" s="7" t="s">
        <v>1</v>
      </c>
      <c r="U52" s="7" t="s">
        <v>1</v>
      </c>
      <c r="V52" s="7" t="s">
        <v>1</v>
      </c>
      <c r="W52" s="7" t="s">
        <v>1</v>
      </c>
      <c r="X52" s="7" t="s">
        <v>1</v>
      </c>
      <c r="Y52" s="7" t="s">
        <v>1</v>
      </c>
      <c r="Z52" s="7" t="s">
        <v>1</v>
      </c>
      <c r="AA52" s="7" t="s">
        <v>1</v>
      </c>
      <c r="AB52" s="7" t="s">
        <v>1</v>
      </c>
    </row>
    <row r="53" ht="16.5" spans="1:28">
      <c r="A53" s="21" t="s">
        <v>191</v>
      </c>
      <c r="B53" s="33">
        <f t="shared" si="5"/>
        <v>15</v>
      </c>
      <c r="C53" s="33">
        <f t="shared" si="5"/>
        <v>16</v>
      </c>
      <c r="D53" s="33">
        <f t="shared" si="5"/>
        <v>15</v>
      </c>
      <c r="E53" s="33">
        <f t="shared" si="5"/>
        <v>15</v>
      </c>
      <c r="F53" s="33">
        <f t="shared" si="5"/>
        <v>15</v>
      </c>
      <c r="G53" s="7" t="s">
        <v>1</v>
      </c>
      <c r="H53" s="7" t="s">
        <v>1</v>
      </c>
      <c r="I53" s="7" t="s">
        <v>1</v>
      </c>
      <c r="J53" s="7" t="s">
        <v>1</v>
      </c>
      <c r="K53" s="7" t="s">
        <v>1</v>
      </c>
      <c r="L53" s="7" t="s">
        <v>1</v>
      </c>
      <c r="M53" s="7" t="s">
        <v>1</v>
      </c>
      <c r="N53" s="7" t="s">
        <v>1</v>
      </c>
      <c r="O53" s="7" t="s">
        <v>1</v>
      </c>
      <c r="P53" s="7" t="s">
        <v>1</v>
      </c>
      <c r="Q53" s="7" t="s">
        <v>1</v>
      </c>
      <c r="R53" s="7" t="s">
        <v>1</v>
      </c>
      <c r="S53" s="7" t="s">
        <v>1</v>
      </c>
      <c r="T53" s="7" t="s">
        <v>1</v>
      </c>
      <c r="U53" s="7" t="s">
        <v>1</v>
      </c>
      <c r="V53" s="7" t="s">
        <v>1</v>
      </c>
      <c r="W53" s="7" t="s">
        <v>1</v>
      </c>
      <c r="X53" s="7" t="s">
        <v>1</v>
      </c>
      <c r="Y53" s="7" t="s">
        <v>1</v>
      </c>
      <c r="Z53" s="7" t="s">
        <v>1</v>
      </c>
      <c r="AA53" s="7" t="s">
        <v>1</v>
      </c>
      <c r="AB53" s="7" t="s">
        <v>1</v>
      </c>
    </row>
    <row r="54" ht="16.5" spans="1:28">
      <c r="A54" s="21" t="s">
        <v>194</v>
      </c>
      <c r="B54" s="35">
        <f t="shared" si="5"/>
        <v>14</v>
      </c>
      <c r="C54" s="35">
        <f t="shared" si="5"/>
        <v>15</v>
      </c>
      <c r="D54" s="35">
        <f t="shared" si="5"/>
        <v>15</v>
      </c>
      <c r="E54" s="35">
        <f t="shared" si="5"/>
        <v>15</v>
      </c>
      <c r="F54" s="35">
        <f t="shared" si="5"/>
        <v>14</v>
      </c>
      <c r="G54" s="7" t="s">
        <v>1</v>
      </c>
      <c r="H54" s="7" t="s">
        <v>1</v>
      </c>
      <c r="I54" s="7" t="s">
        <v>1</v>
      </c>
      <c r="J54" s="7" t="s">
        <v>1</v>
      </c>
      <c r="K54" s="7" t="s">
        <v>1</v>
      </c>
      <c r="L54" s="7" t="s">
        <v>1</v>
      </c>
      <c r="M54" s="7" t="s">
        <v>1</v>
      </c>
      <c r="N54" s="7" t="s">
        <v>1</v>
      </c>
      <c r="O54" s="7" t="s">
        <v>1</v>
      </c>
      <c r="P54" s="7" t="s">
        <v>1</v>
      </c>
      <c r="Q54" s="7" t="s">
        <v>1</v>
      </c>
      <c r="R54" s="7" t="s">
        <v>1</v>
      </c>
      <c r="S54" s="7" t="s">
        <v>1</v>
      </c>
      <c r="T54" s="7" t="s">
        <v>1</v>
      </c>
      <c r="U54" s="7" t="s">
        <v>1</v>
      </c>
      <c r="V54" s="7" t="s">
        <v>1</v>
      </c>
      <c r="W54" s="7" t="s">
        <v>1</v>
      </c>
      <c r="X54" s="7" t="s">
        <v>1</v>
      </c>
      <c r="Y54" s="7" t="s">
        <v>1</v>
      </c>
      <c r="Z54" s="7" t="s">
        <v>1</v>
      </c>
      <c r="AA54" s="7" t="s">
        <v>1</v>
      </c>
      <c r="AB54" s="7" t="s">
        <v>1</v>
      </c>
    </row>
    <row r="55" ht="16.5" spans="1:28">
      <c r="A55" s="41" t="s">
        <v>1</v>
      </c>
      <c r="B55" s="41" t="s">
        <v>1</v>
      </c>
      <c r="C55" s="41" t="s">
        <v>1</v>
      </c>
      <c r="D55" s="41" t="s">
        <v>1</v>
      </c>
      <c r="E55" s="41" t="s">
        <v>1</v>
      </c>
      <c r="F55" s="41" t="s">
        <v>1</v>
      </c>
      <c r="G55" s="41" t="s">
        <v>1</v>
      </c>
      <c r="H55" s="41" t="s">
        <v>1</v>
      </c>
      <c r="I55" s="41" t="s">
        <v>1</v>
      </c>
      <c r="J55" s="41" t="s">
        <v>1</v>
      </c>
      <c r="K55" s="41" t="s">
        <v>1</v>
      </c>
      <c r="L55" s="41" t="s">
        <v>1</v>
      </c>
      <c r="M55" s="41" t="s">
        <v>1</v>
      </c>
      <c r="N55" s="41" t="s">
        <v>1</v>
      </c>
      <c r="O55" s="41" t="s">
        <v>1</v>
      </c>
      <c r="P55" s="41" t="s">
        <v>1</v>
      </c>
      <c r="Q55" s="41" t="s">
        <v>1</v>
      </c>
      <c r="R55" s="41" t="s">
        <v>1</v>
      </c>
      <c r="S55" s="41" t="s">
        <v>1</v>
      </c>
      <c r="T55" s="41" t="s">
        <v>1</v>
      </c>
      <c r="U55" s="41" t="s">
        <v>1</v>
      </c>
      <c r="V55" s="41" t="s">
        <v>1</v>
      </c>
      <c r="W55" s="41" t="s">
        <v>1</v>
      </c>
      <c r="X55" s="41" t="s">
        <v>1</v>
      </c>
      <c r="Y55" s="41" t="s">
        <v>1</v>
      </c>
      <c r="Z55" s="41" t="s">
        <v>1</v>
      </c>
      <c r="AA55" s="41" t="s">
        <v>1</v>
      </c>
      <c r="AB55" s="41" t="s">
        <v>1</v>
      </c>
    </row>
    <row r="56" ht="16.5" spans="1:28">
      <c r="A56" s="41" t="s">
        <v>1</v>
      </c>
      <c r="B56" s="41" t="s">
        <v>1</v>
      </c>
      <c r="C56" s="41" t="s">
        <v>1</v>
      </c>
      <c r="D56" s="41" t="s">
        <v>1</v>
      </c>
      <c r="E56" s="41" t="s">
        <v>1</v>
      </c>
      <c r="F56" s="41" t="s">
        <v>1</v>
      </c>
      <c r="G56" s="41" t="s">
        <v>1</v>
      </c>
      <c r="H56" s="41" t="s">
        <v>1</v>
      </c>
      <c r="I56" s="41" t="s">
        <v>1</v>
      </c>
      <c r="J56" s="41" t="s">
        <v>1</v>
      </c>
      <c r="K56" s="41" t="s">
        <v>1</v>
      </c>
      <c r="L56" s="41" t="s">
        <v>1</v>
      </c>
      <c r="M56" s="41" t="s">
        <v>1</v>
      </c>
      <c r="N56" s="41" t="s">
        <v>1</v>
      </c>
      <c r="O56" s="41" t="s">
        <v>1</v>
      </c>
      <c r="P56" s="41" t="s">
        <v>1</v>
      </c>
      <c r="Q56" s="41" t="s">
        <v>1</v>
      </c>
      <c r="R56" s="41" t="s">
        <v>1</v>
      </c>
      <c r="S56" s="41" t="s">
        <v>1</v>
      </c>
      <c r="T56" s="41" t="s">
        <v>1</v>
      </c>
      <c r="U56" s="41" t="s">
        <v>1</v>
      </c>
      <c r="V56" s="41" t="s">
        <v>1</v>
      </c>
      <c r="W56" s="41" t="s">
        <v>1</v>
      </c>
      <c r="X56" s="41" t="s">
        <v>1</v>
      </c>
      <c r="Y56" s="41" t="s">
        <v>1</v>
      </c>
      <c r="Z56" s="41" t="s">
        <v>1</v>
      </c>
      <c r="AA56" s="41" t="s">
        <v>1</v>
      </c>
      <c r="AB56" s="41" t="s">
        <v>1</v>
      </c>
    </row>
    <row r="57" customHeight="1" spans="1:28">
      <c r="A57" s="1" t="s">
        <v>266</v>
      </c>
      <c r="B57" s="1" t="s">
        <v>1</v>
      </c>
      <c r="C57" s="1" t="s">
        <v>1</v>
      </c>
      <c r="D57" s="1" t="s">
        <v>1</v>
      </c>
      <c r="E57" s="41" t="s">
        <v>1</v>
      </c>
      <c r="F57" s="41" t="s">
        <v>1</v>
      </c>
      <c r="G57" s="41" t="s">
        <v>1</v>
      </c>
      <c r="H57" s="41" t="s">
        <v>1</v>
      </c>
      <c r="I57" s="41" t="s">
        <v>1</v>
      </c>
      <c r="J57" s="41" t="s">
        <v>1</v>
      </c>
      <c r="K57" s="41" t="s">
        <v>1</v>
      </c>
      <c r="L57" s="41" t="s">
        <v>1</v>
      </c>
      <c r="M57" s="41" t="s">
        <v>1</v>
      </c>
      <c r="N57" s="41" t="s">
        <v>1</v>
      </c>
      <c r="O57" s="41" t="s">
        <v>1</v>
      </c>
      <c r="P57" s="41" t="s">
        <v>1</v>
      </c>
      <c r="Q57" s="41" t="s">
        <v>1</v>
      </c>
      <c r="R57" s="41" t="s">
        <v>1</v>
      </c>
      <c r="S57" s="41" t="s">
        <v>1</v>
      </c>
      <c r="T57" s="41" t="s">
        <v>1</v>
      </c>
      <c r="U57" s="41" t="s">
        <v>1</v>
      </c>
      <c r="V57" s="41" t="s">
        <v>1</v>
      </c>
      <c r="W57" s="41" t="s">
        <v>1</v>
      </c>
      <c r="X57" s="41" t="s">
        <v>1</v>
      </c>
      <c r="Y57" s="41" t="s">
        <v>1</v>
      </c>
      <c r="Z57" s="41" t="s">
        <v>1</v>
      </c>
      <c r="AA57" s="41" t="s">
        <v>1</v>
      </c>
      <c r="AB57" s="41" t="s">
        <v>1</v>
      </c>
    </row>
    <row r="58" customHeight="1" spans="1:28">
      <c r="A58" s="2" t="s">
        <v>42</v>
      </c>
      <c r="B58" s="2">
        <v>3</v>
      </c>
      <c r="C58" s="2">
        <v>4</v>
      </c>
      <c r="D58" s="2">
        <v>5</v>
      </c>
      <c r="E58" s="42" t="s">
        <v>1</v>
      </c>
      <c r="F58" s="41" t="s">
        <v>1</v>
      </c>
      <c r="G58" s="41" t="s">
        <v>1</v>
      </c>
      <c r="H58" s="41" t="s">
        <v>1</v>
      </c>
      <c r="I58" s="41" t="s">
        <v>1</v>
      </c>
      <c r="J58" s="41" t="s">
        <v>1</v>
      </c>
      <c r="K58" s="41" t="s">
        <v>1</v>
      </c>
      <c r="L58" s="41" t="s">
        <v>1</v>
      </c>
      <c r="M58" s="41" t="s">
        <v>1</v>
      </c>
      <c r="N58" s="41" t="s">
        <v>1</v>
      </c>
      <c r="O58" s="41" t="s">
        <v>1</v>
      </c>
      <c r="P58" s="41" t="s">
        <v>1</v>
      </c>
      <c r="Q58" s="41" t="s">
        <v>1</v>
      </c>
      <c r="R58" s="41" t="s">
        <v>1</v>
      </c>
      <c r="S58" s="41" t="s">
        <v>1</v>
      </c>
      <c r="T58" s="41" t="s">
        <v>1</v>
      </c>
      <c r="U58" s="41" t="s">
        <v>1</v>
      </c>
      <c r="V58" s="41" t="s">
        <v>1</v>
      </c>
      <c r="W58" s="41" t="s">
        <v>1</v>
      </c>
      <c r="X58" s="41" t="s">
        <v>1</v>
      </c>
      <c r="Y58" s="41" t="s">
        <v>1</v>
      </c>
      <c r="Z58" s="41" t="s">
        <v>1</v>
      </c>
      <c r="AA58" s="41" t="s">
        <v>1</v>
      </c>
      <c r="AB58" s="41" t="s">
        <v>1</v>
      </c>
    </row>
    <row r="59" ht="16.5" spans="1:28">
      <c r="A59" s="12" t="s">
        <v>46</v>
      </c>
      <c r="B59" s="12">
        <v>5</v>
      </c>
      <c r="C59" s="12">
        <v>30</v>
      </c>
      <c r="D59" s="12">
        <v>100</v>
      </c>
      <c r="E59" s="41" t="s">
        <v>1</v>
      </c>
      <c r="F59" s="41" t="s">
        <v>1</v>
      </c>
      <c r="G59" s="41" t="s">
        <v>1</v>
      </c>
      <c r="H59" s="41" t="s">
        <v>1</v>
      </c>
      <c r="I59" s="41" t="s">
        <v>1</v>
      </c>
      <c r="J59" s="41" t="s">
        <v>1</v>
      </c>
      <c r="K59" s="41" t="s">
        <v>1</v>
      </c>
      <c r="L59" s="41" t="s">
        <v>1</v>
      </c>
      <c r="M59" s="41" t="s">
        <v>1</v>
      </c>
      <c r="N59" s="41" t="s">
        <v>1</v>
      </c>
      <c r="O59" s="41" t="s">
        <v>1</v>
      </c>
      <c r="P59" s="41" t="s">
        <v>1</v>
      </c>
      <c r="Q59" s="41" t="s">
        <v>1</v>
      </c>
      <c r="R59" s="41" t="s">
        <v>1</v>
      </c>
      <c r="S59" s="41" t="s">
        <v>1</v>
      </c>
      <c r="T59" s="41" t="s">
        <v>1</v>
      </c>
      <c r="U59" s="41" t="s">
        <v>1</v>
      </c>
      <c r="V59" s="41" t="s">
        <v>1</v>
      </c>
      <c r="W59" s="41" t="s">
        <v>1</v>
      </c>
      <c r="X59" s="41" t="s">
        <v>1</v>
      </c>
      <c r="Y59" s="41" t="s">
        <v>1</v>
      </c>
      <c r="Z59" s="41" t="s">
        <v>1</v>
      </c>
      <c r="AA59" s="41" t="s">
        <v>1</v>
      </c>
      <c r="AB59" s="41" t="s">
        <v>1</v>
      </c>
    </row>
    <row r="60" ht="16.5" spans="1:28">
      <c r="A60" s="12" t="s">
        <v>50</v>
      </c>
      <c r="B60" s="12">
        <v>5</v>
      </c>
      <c r="C60" s="12">
        <v>25</v>
      </c>
      <c r="D60" s="12">
        <v>100</v>
      </c>
      <c r="E60" s="41" t="s">
        <v>1</v>
      </c>
      <c r="F60" s="41" t="s">
        <v>1</v>
      </c>
      <c r="G60" s="41" t="s">
        <v>1</v>
      </c>
      <c r="H60" s="41" t="s">
        <v>1</v>
      </c>
      <c r="I60" s="41" t="s">
        <v>1</v>
      </c>
      <c r="J60" s="41" t="s">
        <v>1</v>
      </c>
      <c r="K60" s="41" t="s">
        <v>1</v>
      </c>
      <c r="L60" s="41" t="s">
        <v>1</v>
      </c>
      <c r="M60" s="41" t="s">
        <v>1</v>
      </c>
      <c r="N60" s="41" t="s">
        <v>1</v>
      </c>
      <c r="O60" s="41" t="s">
        <v>1</v>
      </c>
      <c r="P60" s="41" t="s">
        <v>1</v>
      </c>
      <c r="Q60" s="41" t="s">
        <v>1</v>
      </c>
      <c r="R60" s="41" t="s">
        <v>1</v>
      </c>
      <c r="S60" s="41" t="s">
        <v>1</v>
      </c>
      <c r="T60" s="41" t="s">
        <v>1</v>
      </c>
      <c r="U60" s="41" t="s">
        <v>1</v>
      </c>
      <c r="V60" s="41" t="s">
        <v>1</v>
      </c>
      <c r="W60" s="41" t="s">
        <v>1</v>
      </c>
      <c r="X60" s="41" t="s">
        <v>1</v>
      </c>
      <c r="Y60" s="41" t="s">
        <v>1</v>
      </c>
      <c r="Z60" s="41" t="s">
        <v>1</v>
      </c>
      <c r="AA60" s="41" t="s">
        <v>1</v>
      </c>
      <c r="AB60" s="41" t="s">
        <v>1</v>
      </c>
    </row>
    <row r="61" ht="16.5" spans="1:28">
      <c r="A61" s="12" t="s">
        <v>52</v>
      </c>
      <c r="B61" s="12">
        <v>5</v>
      </c>
      <c r="C61" s="12">
        <v>20</v>
      </c>
      <c r="D61" s="12">
        <v>75</v>
      </c>
      <c r="E61" s="41" t="s">
        <v>1</v>
      </c>
      <c r="F61" s="41" t="s">
        <v>1</v>
      </c>
      <c r="G61" s="41" t="s">
        <v>1</v>
      </c>
      <c r="H61" s="41" t="s">
        <v>1</v>
      </c>
      <c r="I61" s="41" t="s">
        <v>1</v>
      </c>
      <c r="J61" s="41" t="s">
        <v>1</v>
      </c>
      <c r="K61" s="41" t="s">
        <v>1</v>
      </c>
      <c r="L61" s="41" t="s">
        <v>1</v>
      </c>
      <c r="M61" s="41" t="s">
        <v>1</v>
      </c>
      <c r="N61" s="41" t="s">
        <v>1</v>
      </c>
      <c r="O61" s="41" t="s">
        <v>1</v>
      </c>
      <c r="P61" s="41" t="s">
        <v>1</v>
      </c>
      <c r="Q61" s="41" t="s">
        <v>1</v>
      </c>
      <c r="R61" s="41" t="s">
        <v>1</v>
      </c>
      <c r="S61" s="41" t="s">
        <v>1</v>
      </c>
      <c r="T61" s="41" t="s">
        <v>1</v>
      </c>
      <c r="U61" s="41" t="s">
        <v>1</v>
      </c>
      <c r="V61" s="41" t="s">
        <v>1</v>
      </c>
      <c r="W61" s="41" t="s">
        <v>1</v>
      </c>
      <c r="X61" s="41" t="s">
        <v>1</v>
      </c>
      <c r="Y61" s="41" t="s">
        <v>1</v>
      </c>
      <c r="Z61" s="41" t="s">
        <v>1</v>
      </c>
      <c r="AA61" s="41" t="s">
        <v>1</v>
      </c>
      <c r="AB61" s="41" t="s">
        <v>1</v>
      </c>
    </row>
    <row r="62" ht="16.5" spans="1:28">
      <c r="A62" s="12" t="s">
        <v>55</v>
      </c>
      <c r="B62" s="12">
        <v>5</v>
      </c>
      <c r="C62" s="12">
        <v>20</v>
      </c>
      <c r="D62" s="12">
        <v>75</v>
      </c>
      <c r="E62" s="41" t="s">
        <v>1</v>
      </c>
      <c r="F62" s="41" t="s">
        <v>1</v>
      </c>
      <c r="G62" s="41" t="s">
        <v>1</v>
      </c>
      <c r="H62" s="41" t="s">
        <v>1</v>
      </c>
      <c r="I62" s="41" t="s">
        <v>1</v>
      </c>
      <c r="J62" s="41" t="s">
        <v>1</v>
      </c>
      <c r="K62" s="41" t="s">
        <v>1</v>
      </c>
      <c r="L62" s="41" t="s">
        <v>1</v>
      </c>
      <c r="M62" s="41" t="s">
        <v>1</v>
      </c>
      <c r="N62" s="41" t="s">
        <v>1</v>
      </c>
      <c r="O62" s="41" t="s">
        <v>1</v>
      </c>
      <c r="P62" s="41" t="s">
        <v>1</v>
      </c>
      <c r="Q62" s="41" t="s">
        <v>1</v>
      </c>
      <c r="R62" s="41" t="s">
        <v>1</v>
      </c>
      <c r="S62" s="41" t="s">
        <v>1</v>
      </c>
      <c r="T62" s="41" t="s">
        <v>1</v>
      </c>
      <c r="U62" s="41" t="s">
        <v>1</v>
      </c>
      <c r="V62" s="41" t="s">
        <v>1</v>
      </c>
      <c r="W62" s="41" t="s">
        <v>1</v>
      </c>
      <c r="X62" s="41" t="s">
        <v>1</v>
      </c>
      <c r="Y62" s="41" t="s">
        <v>1</v>
      </c>
      <c r="Z62" s="41" t="s">
        <v>1</v>
      </c>
      <c r="AA62" s="41" t="s">
        <v>1</v>
      </c>
      <c r="AB62" s="41" t="s">
        <v>1</v>
      </c>
    </row>
    <row r="63" ht="16.5" spans="1:28">
      <c r="A63" s="12" t="s">
        <v>56</v>
      </c>
      <c r="B63" s="12">
        <v>5</v>
      </c>
      <c r="C63" s="12">
        <v>10</v>
      </c>
      <c r="D63" s="12">
        <v>50</v>
      </c>
      <c r="E63" s="41" t="s">
        <v>1</v>
      </c>
      <c r="F63" s="41" t="s">
        <v>1</v>
      </c>
      <c r="G63" s="41" t="s">
        <v>1</v>
      </c>
      <c r="H63" s="41" t="s">
        <v>1</v>
      </c>
      <c r="I63" s="41" t="s">
        <v>1</v>
      </c>
      <c r="J63" s="41" t="s">
        <v>1</v>
      </c>
      <c r="K63" s="41" t="s">
        <v>1</v>
      </c>
      <c r="L63" s="41" t="s">
        <v>1</v>
      </c>
      <c r="M63" s="41" t="s">
        <v>1</v>
      </c>
      <c r="N63" s="41" t="s">
        <v>1</v>
      </c>
      <c r="O63" s="41" t="s">
        <v>1</v>
      </c>
      <c r="P63" s="41" t="s">
        <v>1</v>
      </c>
      <c r="Q63" s="41" t="s">
        <v>1</v>
      </c>
      <c r="R63" s="41" t="s">
        <v>1</v>
      </c>
      <c r="S63" s="41" t="s">
        <v>1</v>
      </c>
      <c r="T63" s="41" t="s">
        <v>1</v>
      </c>
      <c r="U63" s="41" t="s">
        <v>1</v>
      </c>
      <c r="V63" s="41" t="s">
        <v>1</v>
      </c>
      <c r="W63" s="41" t="s">
        <v>1</v>
      </c>
      <c r="X63" s="41" t="s">
        <v>1</v>
      </c>
      <c r="Y63" s="41" t="s">
        <v>1</v>
      </c>
      <c r="Z63" s="41" t="s">
        <v>1</v>
      </c>
      <c r="AA63" s="41" t="s">
        <v>1</v>
      </c>
      <c r="AB63" s="41" t="s">
        <v>1</v>
      </c>
    </row>
    <row r="64" ht="16.5" spans="1:28">
      <c r="A64" s="12" t="s">
        <v>85</v>
      </c>
      <c r="B64" s="12">
        <v>50</v>
      </c>
      <c r="C64" s="12">
        <v>0</v>
      </c>
      <c r="D64" s="12">
        <v>0</v>
      </c>
      <c r="E64" s="41" t="s">
        <v>1</v>
      </c>
      <c r="F64" s="41" t="s">
        <v>1</v>
      </c>
      <c r="G64" s="41" t="s">
        <v>1</v>
      </c>
      <c r="H64" s="41" t="s">
        <v>1</v>
      </c>
      <c r="I64" s="41" t="s">
        <v>1</v>
      </c>
      <c r="J64" s="41" t="s">
        <v>1</v>
      </c>
      <c r="K64" s="41" t="s">
        <v>1</v>
      </c>
      <c r="L64" s="41" t="s">
        <v>1</v>
      </c>
      <c r="M64" s="41" t="s">
        <v>1</v>
      </c>
      <c r="N64" s="41" t="s">
        <v>1</v>
      </c>
      <c r="O64" s="41" t="s">
        <v>1</v>
      </c>
      <c r="P64" s="41" t="s">
        <v>1</v>
      </c>
      <c r="Q64" s="41" t="s">
        <v>1</v>
      </c>
      <c r="R64" s="41" t="s">
        <v>1</v>
      </c>
      <c r="S64" s="41" t="s">
        <v>1</v>
      </c>
      <c r="T64" s="41" t="s">
        <v>1</v>
      </c>
      <c r="U64" s="41" t="s">
        <v>1</v>
      </c>
      <c r="V64" s="41" t="s">
        <v>1</v>
      </c>
      <c r="W64" s="41" t="s">
        <v>1</v>
      </c>
      <c r="X64" s="41" t="s">
        <v>1</v>
      </c>
      <c r="Y64" s="41" t="s">
        <v>1</v>
      </c>
      <c r="Z64" s="41" t="s">
        <v>1</v>
      </c>
      <c r="AA64" s="41" t="s">
        <v>1</v>
      </c>
      <c r="AB64" s="41" t="s">
        <v>1</v>
      </c>
    </row>
    <row r="65" ht="16.5" spans="1:28">
      <c r="A65" s="41" t="s">
        <v>1</v>
      </c>
      <c r="B65" s="41" t="s">
        <v>1</v>
      </c>
      <c r="C65" s="41" t="s">
        <v>1</v>
      </c>
      <c r="D65" s="41" t="s">
        <v>1</v>
      </c>
      <c r="E65" s="41" t="s">
        <v>1</v>
      </c>
      <c r="F65" s="41" t="s">
        <v>1</v>
      </c>
      <c r="G65" s="41" t="s">
        <v>1</v>
      </c>
      <c r="H65" s="41" t="s">
        <v>1</v>
      </c>
      <c r="I65" s="41" t="s">
        <v>1</v>
      </c>
      <c r="J65" s="41" t="s">
        <v>1</v>
      </c>
      <c r="K65" s="41" t="s">
        <v>1</v>
      </c>
      <c r="L65" s="41" t="s">
        <v>1</v>
      </c>
      <c r="M65" s="41" t="s">
        <v>1</v>
      </c>
      <c r="N65" s="41" t="s">
        <v>1</v>
      </c>
      <c r="O65" s="41" t="s">
        <v>1</v>
      </c>
      <c r="P65" s="41" t="s">
        <v>1</v>
      </c>
      <c r="Q65" s="41" t="s">
        <v>1</v>
      </c>
      <c r="R65" s="41" t="s">
        <v>1</v>
      </c>
      <c r="S65" s="41" t="s">
        <v>1</v>
      </c>
      <c r="T65" s="41" t="s">
        <v>1</v>
      </c>
      <c r="U65" s="41" t="s">
        <v>1</v>
      </c>
      <c r="V65" s="41" t="s">
        <v>1</v>
      </c>
      <c r="W65" s="41" t="s">
        <v>1</v>
      </c>
      <c r="X65" s="41" t="s">
        <v>1</v>
      </c>
      <c r="Y65" s="41" t="s">
        <v>1</v>
      </c>
      <c r="Z65" s="41" t="s">
        <v>1</v>
      </c>
      <c r="AA65" s="41" t="s">
        <v>1</v>
      </c>
      <c r="AB65" s="41" t="s">
        <v>1</v>
      </c>
    </row>
    <row r="66" ht="16.5" spans="1:28">
      <c r="A66" s="41" t="s">
        <v>1</v>
      </c>
      <c r="B66" s="41" t="s">
        <v>1</v>
      </c>
      <c r="C66" s="41" t="s">
        <v>1</v>
      </c>
      <c r="D66" s="41" t="s">
        <v>1</v>
      </c>
      <c r="E66" s="41" t="s">
        <v>1</v>
      </c>
      <c r="F66" s="41" t="s">
        <v>1</v>
      </c>
      <c r="G66" s="41" t="s">
        <v>1</v>
      </c>
      <c r="H66" s="41" t="s">
        <v>1</v>
      </c>
      <c r="I66" s="41" t="s">
        <v>1</v>
      </c>
      <c r="J66" s="41" t="s">
        <v>1</v>
      </c>
      <c r="K66" s="41" t="s">
        <v>1</v>
      </c>
      <c r="L66" s="41" t="s">
        <v>1</v>
      </c>
      <c r="M66" s="41" t="s">
        <v>1</v>
      </c>
      <c r="N66" s="41" t="s">
        <v>1</v>
      </c>
      <c r="O66" s="41" t="s">
        <v>1</v>
      </c>
      <c r="P66" s="41" t="s">
        <v>1</v>
      </c>
      <c r="Q66" s="41" t="s">
        <v>1</v>
      </c>
      <c r="R66" s="41" t="s">
        <v>1</v>
      </c>
      <c r="S66" s="41" t="s">
        <v>1</v>
      </c>
      <c r="T66" s="41" t="s">
        <v>1</v>
      </c>
      <c r="U66" s="41" t="s">
        <v>1</v>
      </c>
      <c r="V66" s="41" t="s">
        <v>1</v>
      </c>
      <c r="W66" s="41" t="s">
        <v>1</v>
      </c>
      <c r="X66" s="41" t="s">
        <v>1</v>
      </c>
      <c r="Y66" s="41" t="s">
        <v>1</v>
      </c>
      <c r="Z66" s="41" t="s">
        <v>1</v>
      </c>
      <c r="AA66" s="41" t="s">
        <v>1</v>
      </c>
      <c r="AB66" s="41" t="s">
        <v>1</v>
      </c>
    </row>
    <row r="67" customHeight="1" spans="1:28">
      <c r="A67" s="1" t="s">
        <v>268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 s="1" t="s">
        <v>1</v>
      </c>
      <c r="L67" s="41" t="s">
        <v>1</v>
      </c>
      <c r="M67" s="41" t="s">
        <v>1</v>
      </c>
      <c r="N67" s="41" t="s">
        <v>1</v>
      </c>
      <c r="O67" s="41" t="s">
        <v>1</v>
      </c>
      <c r="P67" s="41" t="s">
        <v>1</v>
      </c>
      <c r="Q67" s="41" t="s">
        <v>1</v>
      </c>
      <c r="R67" s="41" t="s">
        <v>1</v>
      </c>
      <c r="S67" s="41" t="s">
        <v>1</v>
      </c>
      <c r="T67" s="41" t="s">
        <v>1</v>
      </c>
      <c r="U67" s="41" t="s">
        <v>1</v>
      </c>
      <c r="V67" s="41" t="s">
        <v>1</v>
      </c>
      <c r="W67" s="41" t="s">
        <v>1</v>
      </c>
      <c r="X67" s="41" t="s">
        <v>1</v>
      </c>
      <c r="Y67" s="41" t="s">
        <v>1</v>
      </c>
      <c r="Z67" s="41" t="s">
        <v>1</v>
      </c>
      <c r="AA67" s="41" t="s">
        <v>1</v>
      </c>
      <c r="AB67" s="41" t="s">
        <v>1</v>
      </c>
    </row>
    <row r="68" customHeight="1" spans="1:28">
      <c r="A68" s="2" t="s">
        <v>269</v>
      </c>
      <c r="B68" s="2" t="s">
        <v>170</v>
      </c>
      <c r="C68" s="2" t="s">
        <v>171</v>
      </c>
      <c r="D68" s="2" t="s">
        <v>172</v>
      </c>
      <c r="E68" s="2" t="s">
        <v>173</v>
      </c>
      <c r="F68" s="2" t="s">
        <v>174</v>
      </c>
      <c r="G68" s="2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41" t="s">
        <v>1</v>
      </c>
      <c r="M68" s="41" t="s">
        <v>1</v>
      </c>
      <c r="N68" s="41" t="s">
        <v>1</v>
      </c>
      <c r="O68" s="41" t="s">
        <v>1</v>
      </c>
      <c r="P68" s="41" t="s">
        <v>1</v>
      </c>
      <c r="Q68" s="41" t="s">
        <v>1</v>
      </c>
      <c r="R68" s="41" t="s">
        <v>1</v>
      </c>
      <c r="S68" s="41" t="s">
        <v>1</v>
      </c>
      <c r="T68" s="41" t="s">
        <v>1</v>
      </c>
      <c r="U68" s="41" t="s">
        <v>1</v>
      </c>
      <c r="V68" s="41" t="s">
        <v>1</v>
      </c>
      <c r="W68" s="41" t="s">
        <v>1</v>
      </c>
      <c r="X68" s="41" t="s">
        <v>1</v>
      </c>
      <c r="Y68" s="41" t="s">
        <v>1</v>
      </c>
      <c r="Z68" s="41" t="s">
        <v>1</v>
      </c>
      <c r="AA68" s="41" t="s">
        <v>1</v>
      </c>
      <c r="AB68" s="41" t="s">
        <v>1</v>
      </c>
    </row>
    <row r="69" ht="16.5" spans="1:28">
      <c r="A69" s="19" t="s">
        <v>178</v>
      </c>
      <c r="B69" s="20">
        <f>B$28+B$29</f>
        <v>2</v>
      </c>
      <c r="C69" s="20">
        <f>C$28+C$29</f>
        <v>4</v>
      </c>
      <c r="D69" s="20">
        <f>D$28+D$29</f>
        <v>4</v>
      </c>
      <c r="E69" s="20">
        <f>E$28+E$29</f>
        <v>4</v>
      </c>
      <c r="F69" s="20">
        <f>F$28+F$29</f>
        <v>4</v>
      </c>
      <c r="G69" s="7" t="s">
        <v>1</v>
      </c>
      <c r="H69" s="7" t="s">
        <v>1</v>
      </c>
      <c r="I69" s="7" t="s">
        <v>1</v>
      </c>
      <c r="J69" s="7" t="s">
        <v>1</v>
      </c>
      <c r="K69" s="7" t="s">
        <v>1</v>
      </c>
      <c r="L69" s="41" t="s">
        <v>1</v>
      </c>
      <c r="M69" s="41" t="s">
        <v>1</v>
      </c>
      <c r="N69" s="41" t="s">
        <v>1</v>
      </c>
      <c r="O69" s="41" t="s">
        <v>1</v>
      </c>
      <c r="P69" s="41" t="s">
        <v>1</v>
      </c>
      <c r="Q69" s="41" t="s">
        <v>1</v>
      </c>
      <c r="R69" s="41" t="s">
        <v>1</v>
      </c>
      <c r="S69" s="41" t="s">
        <v>1</v>
      </c>
      <c r="T69" s="41" t="s">
        <v>1</v>
      </c>
      <c r="U69" s="41" t="s">
        <v>1</v>
      </c>
      <c r="V69" s="41" t="s">
        <v>1</v>
      </c>
      <c r="W69" s="41" t="s">
        <v>1</v>
      </c>
      <c r="X69" s="41" t="s">
        <v>1</v>
      </c>
      <c r="Y69" s="41" t="s">
        <v>1</v>
      </c>
      <c r="Z69" s="41" t="s">
        <v>1</v>
      </c>
      <c r="AA69" s="41" t="s">
        <v>1</v>
      </c>
      <c r="AB69" s="41" t="s">
        <v>1</v>
      </c>
    </row>
    <row r="70" ht="16.5" spans="1:28">
      <c r="A70" s="19" t="s">
        <v>182</v>
      </c>
      <c r="B70" s="20">
        <f>B$28+B$30</f>
        <v>3</v>
      </c>
      <c r="C70" s="20">
        <f>C$28+C$30</f>
        <v>4</v>
      </c>
      <c r="D70" s="20">
        <f>D$28+D$30</f>
        <v>4</v>
      </c>
      <c r="E70" s="20">
        <f>E$28+E$30</f>
        <v>4</v>
      </c>
      <c r="F70" s="20">
        <f>F$28+F$30</f>
        <v>4</v>
      </c>
      <c r="G70" s="7" t="s">
        <v>1</v>
      </c>
      <c r="H70" s="7" t="s">
        <v>1</v>
      </c>
      <c r="I70" s="7" t="s">
        <v>1</v>
      </c>
      <c r="J70" s="7" t="s">
        <v>1</v>
      </c>
      <c r="K70" s="7" t="s">
        <v>1</v>
      </c>
      <c r="L70" s="41" t="s">
        <v>1</v>
      </c>
      <c r="M70" s="41" t="s">
        <v>1</v>
      </c>
      <c r="N70" s="41" t="s">
        <v>1</v>
      </c>
      <c r="O70" s="41" t="s">
        <v>1</v>
      </c>
      <c r="P70" s="41" t="s">
        <v>1</v>
      </c>
      <c r="Q70" s="41" t="s">
        <v>1</v>
      </c>
      <c r="R70" s="41" t="s">
        <v>1</v>
      </c>
      <c r="S70" s="41" t="s">
        <v>1</v>
      </c>
      <c r="T70" s="41" t="s">
        <v>1</v>
      </c>
      <c r="U70" s="41" t="s">
        <v>1</v>
      </c>
      <c r="V70" s="41" t="s">
        <v>1</v>
      </c>
      <c r="W70" s="41" t="s">
        <v>1</v>
      </c>
      <c r="X70" s="41" t="s">
        <v>1</v>
      </c>
      <c r="Y70" s="41" t="s">
        <v>1</v>
      </c>
      <c r="Z70" s="41" t="s">
        <v>1</v>
      </c>
      <c r="AA70" s="41" t="s">
        <v>1</v>
      </c>
      <c r="AB70" s="41" t="s">
        <v>1</v>
      </c>
    </row>
    <row r="71" ht="16.5" spans="1:28">
      <c r="A71" s="19" t="s">
        <v>185</v>
      </c>
      <c r="B71" s="20">
        <f>B$28+B$31</f>
        <v>4</v>
      </c>
      <c r="C71" s="20">
        <f>C$28+C$31</f>
        <v>6</v>
      </c>
      <c r="D71" s="20">
        <f>D$28+D$31</f>
        <v>5</v>
      </c>
      <c r="E71" s="20">
        <f>E$28+E$31</f>
        <v>5</v>
      </c>
      <c r="F71" s="20">
        <f>F$28+F$31</f>
        <v>5</v>
      </c>
      <c r="G71" s="7" t="s">
        <v>1</v>
      </c>
      <c r="H71" s="7" t="s">
        <v>1</v>
      </c>
      <c r="I71" s="7" t="s">
        <v>1</v>
      </c>
      <c r="J71" s="7" t="s">
        <v>1</v>
      </c>
      <c r="K71" s="7" t="s">
        <v>1</v>
      </c>
      <c r="L71" s="41" t="s">
        <v>1</v>
      </c>
      <c r="M71" s="41" t="s">
        <v>1</v>
      </c>
      <c r="N71" s="41" t="s">
        <v>1</v>
      </c>
      <c r="O71" s="41" t="s">
        <v>1</v>
      </c>
      <c r="P71" s="41" t="s">
        <v>1</v>
      </c>
      <c r="Q71" s="41" t="s">
        <v>1</v>
      </c>
      <c r="R71" s="41" t="s">
        <v>1</v>
      </c>
      <c r="S71" s="41" t="s">
        <v>1</v>
      </c>
      <c r="T71" s="41" t="s">
        <v>1</v>
      </c>
      <c r="U71" s="41" t="s">
        <v>1</v>
      </c>
      <c r="V71" s="41" t="s">
        <v>1</v>
      </c>
      <c r="W71" s="41" t="s">
        <v>1</v>
      </c>
      <c r="X71" s="41" t="s">
        <v>1</v>
      </c>
      <c r="Y71" s="41" t="s">
        <v>1</v>
      </c>
      <c r="Z71" s="41" t="s">
        <v>1</v>
      </c>
      <c r="AA71" s="41" t="s">
        <v>1</v>
      </c>
      <c r="AB71" s="41" t="s">
        <v>1</v>
      </c>
    </row>
    <row r="72" ht="16.5" spans="1:28">
      <c r="A72" s="19" t="s">
        <v>189</v>
      </c>
      <c r="B72" s="20">
        <f>B$28+B$32</f>
        <v>5</v>
      </c>
      <c r="C72" s="20">
        <f>C$28+C$32</f>
        <v>4</v>
      </c>
      <c r="D72" s="20">
        <f>D$28+D$32</f>
        <v>5</v>
      </c>
      <c r="E72" s="20">
        <f>E$28+E$32</f>
        <v>5</v>
      </c>
      <c r="F72" s="20">
        <f>F$28+F$32</f>
        <v>5</v>
      </c>
      <c r="G72" s="7" t="s">
        <v>1</v>
      </c>
      <c r="H72" s="7" t="s">
        <v>1</v>
      </c>
      <c r="I72" s="7" t="s">
        <v>1</v>
      </c>
      <c r="J72" s="7" t="s">
        <v>1</v>
      </c>
      <c r="K72" s="7" t="s">
        <v>1</v>
      </c>
      <c r="L72" s="41" t="s">
        <v>1</v>
      </c>
      <c r="M72" s="41" t="s">
        <v>1</v>
      </c>
      <c r="N72" s="41" t="s">
        <v>1</v>
      </c>
      <c r="O72" s="41" t="s">
        <v>1</v>
      </c>
      <c r="P72" s="41" t="s">
        <v>1</v>
      </c>
      <c r="Q72" s="41" t="s">
        <v>1</v>
      </c>
      <c r="R72" s="41" t="s">
        <v>1</v>
      </c>
      <c r="S72" s="41" t="s">
        <v>1</v>
      </c>
      <c r="T72" s="41" t="s">
        <v>1</v>
      </c>
      <c r="U72" s="41" t="s">
        <v>1</v>
      </c>
      <c r="V72" s="41" t="s">
        <v>1</v>
      </c>
      <c r="W72" s="41" t="s">
        <v>1</v>
      </c>
      <c r="X72" s="41" t="s">
        <v>1</v>
      </c>
      <c r="Y72" s="41" t="s">
        <v>1</v>
      </c>
      <c r="Z72" s="41" t="s">
        <v>1</v>
      </c>
      <c r="AA72" s="41" t="s">
        <v>1</v>
      </c>
      <c r="AB72" s="41" t="s">
        <v>1</v>
      </c>
    </row>
    <row r="73" ht="16.5" spans="1:28">
      <c r="A73" s="19" t="s">
        <v>193</v>
      </c>
      <c r="B73" s="20">
        <f>B$28+B$33</f>
        <v>6</v>
      </c>
      <c r="C73" s="20">
        <f>C$28+C$33</f>
        <v>5</v>
      </c>
      <c r="D73" s="20">
        <f>D$28+D$33</f>
        <v>5</v>
      </c>
      <c r="E73" s="20">
        <f>E$28+E$33</f>
        <v>5</v>
      </c>
      <c r="F73" s="20">
        <f>F$28+F$33</f>
        <v>6</v>
      </c>
      <c r="G73" s="7" t="s">
        <v>1</v>
      </c>
      <c r="H73" s="7" t="s">
        <v>1</v>
      </c>
      <c r="I73" s="7" t="s">
        <v>1</v>
      </c>
      <c r="J73" s="7" t="s">
        <v>1</v>
      </c>
      <c r="K73" s="7" t="s">
        <v>1</v>
      </c>
      <c r="L73" s="41" t="s">
        <v>1</v>
      </c>
      <c r="M73" s="41" t="s">
        <v>1</v>
      </c>
      <c r="N73" s="41" t="s">
        <v>1</v>
      </c>
      <c r="O73" s="41" t="s">
        <v>1</v>
      </c>
      <c r="P73" s="41" t="s">
        <v>1</v>
      </c>
      <c r="Q73" s="41" t="s">
        <v>1</v>
      </c>
      <c r="R73" s="41" t="s">
        <v>1</v>
      </c>
      <c r="S73" s="41" t="s">
        <v>1</v>
      </c>
      <c r="T73" s="41" t="s">
        <v>1</v>
      </c>
      <c r="U73" s="41" t="s">
        <v>1</v>
      </c>
      <c r="V73" s="41" t="s">
        <v>1</v>
      </c>
      <c r="W73" s="41" t="s">
        <v>1</v>
      </c>
      <c r="X73" s="41" t="s">
        <v>1</v>
      </c>
      <c r="Y73" s="41" t="s">
        <v>1</v>
      </c>
      <c r="Z73" s="41" t="s">
        <v>1</v>
      </c>
      <c r="AA73" s="41" t="s">
        <v>1</v>
      </c>
      <c r="AB73" s="41" t="s">
        <v>1</v>
      </c>
    </row>
    <row r="74" ht="16.5" spans="1:28">
      <c r="A74" s="19" t="s">
        <v>180</v>
      </c>
      <c r="B74" s="20">
        <f>B$24-(B$28+B$29)</f>
        <v>18</v>
      </c>
      <c r="C74" s="20">
        <f>C$24-(C$28+C$29)</f>
        <v>16</v>
      </c>
      <c r="D74" s="20">
        <f>D$24-(D$28+D$29)</f>
        <v>16</v>
      </c>
      <c r="E74" s="20">
        <f>E$24-(E$28+E$29)</f>
        <v>16</v>
      </c>
      <c r="F74" s="20">
        <f>F$24-(F$28+F$29)</f>
        <v>16</v>
      </c>
      <c r="G74" s="7" t="s">
        <v>1</v>
      </c>
      <c r="H74" s="7" t="s">
        <v>1</v>
      </c>
      <c r="I74" s="7" t="s">
        <v>1</v>
      </c>
      <c r="J74" s="7" t="s">
        <v>1</v>
      </c>
      <c r="K74" s="7" t="s">
        <v>1</v>
      </c>
      <c r="L74" s="41" t="s">
        <v>1</v>
      </c>
      <c r="M74" s="41" t="s">
        <v>1</v>
      </c>
      <c r="N74" s="41" t="s">
        <v>1</v>
      </c>
      <c r="O74" s="41" t="s">
        <v>1</v>
      </c>
      <c r="P74" s="41" t="s">
        <v>1</v>
      </c>
      <c r="Q74" s="41" t="s">
        <v>1</v>
      </c>
      <c r="R74" s="41" t="s">
        <v>1</v>
      </c>
      <c r="S74" s="41" t="s">
        <v>1</v>
      </c>
      <c r="T74" s="41" t="s">
        <v>1</v>
      </c>
      <c r="U74" s="41" t="s">
        <v>1</v>
      </c>
      <c r="V74" s="41" t="s">
        <v>1</v>
      </c>
      <c r="W74" s="41" t="s">
        <v>1</v>
      </c>
      <c r="X74" s="41" t="s">
        <v>1</v>
      </c>
      <c r="Y74" s="41" t="s">
        <v>1</v>
      </c>
      <c r="Z74" s="41" t="s">
        <v>1</v>
      </c>
      <c r="AA74" s="41" t="s">
        <v>1</v>
      </c>
      <c r="AB74" s="41" t="s">
        <v>1</v>
      </c>
    </row>
    <row r="75" ht="16.5" spans="1:28">
      <c r="A75" s="19" t="s">
        <v>184</v>
      </c>
      <c r="B75" s="20">
        <f>B$24-(B$28+B$30)</f>
        <v>17</v>
      </c>
      <c r="C75" s="20">
        <f>C$24-(C$28+C$30)</f>
        <v>16</v>
      </c>
      <c r="D75" s="20">
        <f>D$24-(D$28+D$30)</f>
        <v>16</v>
      </c>
      <c r="E75" s="20">
        <f>E$24-(E$28+E$30)</f>
        <v>16</v>
      </c>
      <c r="F75" s="20">
        <f>F$24-(F$28+F$30)</f>
        <v>16</v>
      </c>
      <c r="G75" s="7" t="s">
        <v>1</v>
      </c>
      <c r="H75" s="7" t="s">
        <v>1</v>
      </c>
      <c r="I75" s="7" t="s">
        <v>1</v>
      </c>
      <c r="J75" s="7" t="s">
        <v>1</v>
      </c>
      <c r="K75" s="7" t="s">
        <v>1</v>
      </c>
      <c r="L75" s="41" t="s">
        <v>1</v>
      </c>
      <c r="M75" s="41" t="s">
        <v>1</v>
      </c>
      <c r="N75" s="41" t="s">
        <v>1</v>
      </c>
      <c r="O75" s="41" t="s">
        <v>1</v>
      </c>
      <c r="P75" s="41" t="s">
        <v>1</v>
      </c>
      <c r="Q75" s="41" t="s">
        <v>1</v>
      </c>
      <c r="R75" s="41" t="s">
        <v>1</v>
      </c>
      <c r="S75" s="41" t="s">
        <v>1</v>
      </c>
      <c r="T75" s="41" t="s">
        <v>1</v>
      </c>
      <c r="U75" s="41" t="s">
        <v>1</v>
      </c>
      <c r="V75" s="41" t="s">
        <v>1</v>
      </c>
      <c r="W75" s="41" t="s">
        <v>1</v>
      </c>
      <c r="X75" s="41" t="s">
        <v>1</v>
      </c>
      <c r="Y75" s="41" t="s">
        <v>1</v>
      </c>
      <c r="Z75" s="41" t="s">
        <v>1</v>
      </c>
      <c r="AA75" s="41" t="s">
        <v>1</v>
      </c>
      <c r="AB75" s="41" t="s">
        <v>1</v>
      </c>
    </row>
    <row r="76" ht="16.5" spans="1:28">
      <c r="A76" s="19" t="s">
        <v>187</v>
      </c>
      <c r="B76" s="20">
        <f>B$24-(B$28+B$31)</f>
        <v>16</v>
      </c>
      <c r="C76" s="20">
        <f>C$24-(C$28+C$31)</f>
        <v>14</v>
      </c>
      <c r="D76" s="20">
        <f>D$24-(D$28+D$31)</f>
        <v>15</v>
      </c>
      <c r="E76" s="20">
        <f>E$24-(E$28+E$31)</f>
        <v>15</v>
      </c>
      <c r="F76" s="20">
        <f>F$24-(F$28+F$31)</f>
        <v>15</v>
      </c>
      <c r="G76" s="7" t="s">
        <v>1</v>
      </c>
      <c r="H76" s="7" t="s">
        <v>1</v>
      </c>
      <c r="I76" s="7" t="s">
        <v>1</v>
      </c>
      <c r="J76" s="7" t="s">
        <v>1</v>
      </c>
      <c r="K76" s="7" t="s">
        <v>1</v>
      </c>
      <c r="L76" s="41" t="s">
        <v>1</v>
      </c>
      <c r="M76" s="41" t="s">
        <v>1</v>
      </c>
      <c r="N76" s="41" t="s">
        <v>1</v>
      </c>
      <c r="O76" s="41" t="s">
        <v>1</v>
      </c>
      <c r="P76" s="41" t="s">
        <v>1</v>
      </c>
      <c r="Q76" s="41" t="s">
        <v>1</v>
      </c>
      <c r="R76" s="41" t="s">
        <v>1</v>
      </c>
      <c r="S76" s="41" t="s">
        <v>1</v>
      </c>
      <c r="T76" s="41" t="s">
        <v>1</v>
      </c>
      <c r="U76" s="41" t="s">
        <v>1</v>
      </c>
      <c r="V76" s="41" t="s">
        <v>1</v>
      </c>
      <c r="W76" s="41" t="s">
        <v>1</v>
      </c>
      <c r="X76" s="41" t="s">
        <v>1</v>
      </c>
      <c r="Y76" s="41" t="s">
        <v>1</v>
      </c>
      <c r="Z76" s="41" t="s">
        <v>1</v>
      </c>
      <c r="AA76" s="41" t="s">
        <v>1</v>
      </c>
      <c r="AB76" s="41" t="s">
        <v>1</v>
      </c>
    </row>
    <row r="77" ht="16.5" spans="1:28">
      <c r="A77" s="19" t="s">
        <v>191</v>
      </c>
      <c r="B77" s="20">
        <f>B$24-(B$28+B$32)</f>
        <v>15</v>
      </c>
      <c r="C77" s="20">
        <f>C$24-(C$28+C$32)</f>
        <v>16</v>
      </c>
      <c r="D77" s="20">
        <f>D$24-(D$28+D$32)</f>
        <v>15</v>
      </c>
      <c r="E77" s="20">
        <f>E$24-(E$28+E$32)</f>
        <v>15</v>
      </c>
      <c r="F77" s="20">
        <f>F$24-(F$28+F$32)</f>
        <v>15</v>
      </c>
      <c r="G77" s="7" t="s">
        <v>1</v>
      </c>
      <c r="H77" s="7" t="s">
        <v>1</v>
      </c>
      <c r="I77" s="7" t="s">
        <v>1</v>
      </c>
      <c r="J77" s="7" t="s">
        <v>1</v>
      </c>
      <c r="K77" s="7" t="s">
        <v>1</v>
      </c>
      <c r="L77" s="41" t="s">
        <v>1</v>
      </c>
      <c r="M77" s="41" t="s">
        <v>1</v>
      </c>
      <c r="N77" s="41" t="s">
        <v>1</v>
      </c>
      <c r="O77" s="41" t="s">
        <v>1</v>
      </c>
      <c r="P77" s="41" t="s">
        <v>1</v>
      </c>
      <c r="Q77" s="41" t="s">
        <v>1</v>
      </c>
      <c r="R77" s="41" t="s">
        <v>1</v>
      </c>
      <c r="S77" s="41" t="s">
        <v>1</v>
      </c>
      <c r="T77" s="41" t="s">
        <v>1</v>
      </c>
      <c r="U77" s="41" t="s">
        <v>1</v>
      </c>
      <c r="V77" s="41" t="s">
        <v>1</v>
      </c>
      <c r="W77" s="41" t="s">
        <v>1</v>
      </c>
      <c r="X77" s="41" t="s">
        <v>1</v>
      </c>
      <c r="Y77" s="41" t="s">
        <v>1</v>
      </c>
      <c r="Z77" s="41" t="s">
        <v>1</v>
      </c>
      <c r="AA77" s="41" t="s">
        <v>1</v>
      </c>
      <c r="AB77" s="41" t="s">
        <v>1</v>
      </c>
    </row>
    <row r="78" ht="16.5" spans="1:28">
      <c r="A78" s="19" t="s">
        <v>194</v>
      </c>
      <c r="B78" s="20">
        <f>B$24-(B$28+B$33)</f>
        <v>14</v>
      </c>
      <c r="C78" s="20">
        <f>C$24-(C$28+C$33)</f>
        <v>15</v>
      </c>
      <c r="D78" s="20">
        <f>D$24-(D$28+D$33)</f>
        <v>15</v>
      </c>
      <c r="E78" s="20">
        <f>E$24-(E$28+E$33)</f>
        <v>15</v>
      </c>
      <c r="F78" s="20">
        <f>F$24-(F$28+F$33)</f>
        <v>14</v>
      </c>
      <c r="G78" s="7" t="s">
        <v>1</v>
      </c>
      <c r="H78" s="7" t="s">
        <v>1</v>
      </c>
      <c r="I78" s="7" t="s">
        <v>1</v>
      </c>
      <c r="J78" s="7" t="s">
        <v>1</v>
      </c>
      <c r="K78" s="7" t="s">
        <v>1</v>
      </c>
      <c r="L78" s="41" t="s">
        <v>1</v>
      </c>
      <c r="M78" s="41" t="s">
        <v>1</v>
      </c>
      <c r="N78" s="41" t="s">
        <v>1</v>
      </c>
      <c r="O78" s="41" t="s">
        <v>1</v>
      </c>
      <c r="P78" s="41" t="s">
        <v>1</v>
      </c>
      <c r="Q78" s="41" t="s">
        <v>1</v>
      </c>
      <c r="R78" s="41" t="s">
        <v>1</v>
      </c>
      <c r="S78" s="41" t="s">
        <v>1</v>
      </c>
      <c r="T78" s="41" t="s">
        <v>1</v>
      </c>
      <c r="U78" s="41" t="s">
        <v>1</v>
      </c>
      <c r="V78" s="41" t="s">
        <v>1</v>
      </c>
      <c r="W78" s="41" t="s">
        <v>1</v>
      </c>
      <c r="X78" s="41" t="s">
        <v>1</v>
      </c>
      <c r="Y78" s="41" t="s">
        <v>1</v>
      </c>
      <c r="Z78" s="41" t="s">
        <v>1</v>
      </c>
      <c r="AA78" s="41" t="s">
        <v>1</v>
      </c>
      <c r="AB78" s="41" t="s">
        <v>1</v>
      </c>
    </row>
    <row r="79" ht="16.5" spans="1:28">
      <c r="A79" s="12" t="s">
        <v>176</v>
      </c>
      <c r="B79" s="20">
        <f>3*B$34</f>
        <v>0</v>
      </c>
      <c r="C79" s="20">
        <f>3*C$34</f>
        <v>3</v>
      </c>
      <c r="D79" s="20">
        <f>3*D$34</f>
        <v>3</v>
      </c>
      <c r="E79" s="20">
        <f>3*E$34</f>
        <v>3</v>
      </c>
      <c r="F79" s="20">
        <f>3*F$34</f>
        <v>0</v>
      </c>
      <c r="G79" s="7" t="s">
        <v>1</v>
      </c>
      <c r="H79" s="7" t="s">
        <v>1</v>
      </c>
      <c r="I79" s="7" t="s">
        <v>1</v>
      </c>
      <c r="J79" s="7" t="s">
        <v>1</v>
      </c>
      <c r="K79" s="7" t="s">
        <v>1</v>
      </c>
      <c r="L79" s="41" t="s">
        <v>1</v>
      </c>
      <c r="M79" s="41" t="s">
        <v>1</v>
      </c>
      <c r="N79" s="41" t="s">
        <v>1</v>
      </c>
      <c r="O79" s="41" t="s">
        <v>1</v>
      </c>
      <c r="P79" s="41" t="s">
        <v>1</v>
      </c>
      <c r="Q79" s="41" t="s">
        <v>1</v>
      </c>
      <c r="R79" s="41" t="s">
        <v>1</v>
      </c>
      <c r="S79" s="41" t="s">
        <v>1</v>
      </c>
      <c r="T79" s="41" t="s">
        <v>1</v>
      </c>
      <c r="U79" s="41" t="s">
        <v>1</v>
      </c>
      <c r="V79" s="41" t="s">
        <v>1</v>
      </c>
      <c r="W79" s="41" t="s">
        <v>1</v>
      </c>
      <c r="X79" s="41" t="s">
        <v>1</v>
      </c>
      <c r="Y79" s="41" t="s">
        <v>1</v>
      </c>
      <c r="Z79" s="41" t="s">
        <v>1</v>
      </c>
      <c r="AA79" s="41" t="s">
        <v>1</v>
      </c>
      <c r="AB79" s="41" t="s">
        <v>1</v>
      </c>
    </row>
    <row r="80" ht="16.5" spans="1:28">
      <c r="A80" s="12" t="s">
        <v>175</v>
      </c>
      <c r="B80" s="20">
        <f>B$24</f>
        <v>20</v>
      </c>
      <c r="C80" s="20">
        <f>C$24</f>
        <v>20</v>
      </c>
      <c r="D80" s="20">
        <f>D$24</f>
        <v>20</v>
      </c>
      <c r="E80" s="20">
        <f>E$24</f>
        <v>20</v>
      </c>
      <c r="F80" s="20">
        <f>F$24</f>
        <v>20</v>
      </c>
      <c r="G80" s="7" t="s">
        <v>1</v>
      </c>
      <c r="H80" s="7" t="s">
        <v>1</v>
      </c>
      <c r="I80" s="7" t="s">
        <v>1</v>
      </c>
      <c r="J80" s="7" t="s">
        <v>1</v>
      </c>
      <c r="K80" s="7" t="s">
        <v>1</v>
      </c>
      <c r="L80" s="41" t="s">
        <v>1</v>
      </c>
      <c r="M80" s="41" t="s">
        <v>1</v>
      </c>
      <c r="N80" s="41" t="s">
        <v>1</v>
      </c>
      <c r="O80" s="41" t="s">
        <v>1</v>
      </c>
      <c r="P80" s="41" t="s">
        <v>1</v>
      </c>
      <c r="Q80" s="41" t="s">
        <v>1</v>
      </c>
      <c r="R80" s="41" t="s">
        <v>1</v>
      </c>
      <c r="S80" s="41" t="s">
        <v>1</v>
      </c>
      <c r="T80" s="41" t="s">
        <v>1</v>
      </c>
      <c r="U80" s="41" t="s">
        <v>1</v>
      </c>
      <c r="V80" s="41" t="s">
        <v>1</v>
      </c>
      <c r="W80" s="41" t="s">
        <v>1</v>
      </c>
      <c r="X80" s="41" t="s">
        <v>1</v>
      </c>
      <c r="Y80" s="41" t="s">
        <v>1</v>
      </c>
      <c r="Z80" s="41" t="s">
        <v>1</v>
      </c>
      <c r="AA80" s="41" t="s">
        <v>1</v>
      </c>
      <c r="AB80" s="41" t="s">
        <v>1</v>
      </c>
    </row>
    <row r="81" ht="16.5" spans="1:28">
      <c r="A81" s="7" t="s">
        <v>274</v>
      </c>
      <c r="B81" s="7" t="s">
        <v>1</v>
      </c>
      <c r="C81" s="7" t="s">
        <v>1</v>
      </c>
      <c r="D81" s="7" t="s">
        <v>1</v>
      </c>
      <c r="E81" s="7" t="s">
        <v>1</v>
      </c>
      <c r="F81" s="7" t="s">
        <v>1</v>
      </c>
      <c r="G81" s="7" t="s">
        <v>1</v>
      </c>
      <c r="H81" s="7" t="s">
        <v>1</v>
      </c>
      <c r="I81" s="7" t="s">
        <v>1</v>
      </c>
      <c r="J81" s="7" t="s">
        <v>1</v>
      </c>
      <c r="K81" s="7" t="s">
        <v>1</v>
      </c>
      <c r="L81" s="41" t="s">
        <v>1</v>
      </c>
      <c r="M81" s="41" t="s">
        <v>1</v>
      </c>
      <c r="N81" s="41" t="s">
        <v>1</v>
      </c>
      <c r="O81" s="41" t="s">
        <v>1</v>
      </c>
      <c r="P81" s="41" t="s">
        <v>1</v>
      </c>
      <c r="Q81" s="41" t="s">
        <v>1</v>
      </c>
      <c r="R81" s="41" t="s">
        <v>1</v>
      </c>
      <c r="S81" s="41" t="s">
        <v>1</v>
      </c>
      <c r="T81" s="41" t="s">
        <v>1</v>
      </c>
      <c r="U81" s="41" t="s">
        <v>1</v>
      </c>
      <c r="V81" s="41" t="s">
        <v>1</v>
      </c>
      <c r="W81" s="41" t="s">
        <v>1</v>
      </c>
      <c r="X81" s="41" t="s">
        <v>1</v>
      </c>
      <c r="Y81" s="41" t="s">
        <v>1</v>
      </c>
      <c r="Z81" s="41" t="s">
        <v>1</v>
      </c>
      <c r="AA81" s="41" t="s">
        <v>1</v>
      </c>
      <c r="AB81" s="41" t="s">
        <v>1</v>
      </c>
    </row>
    <row r="82" ht="16.5" spans="1:28">
      <c r="A82" s="7" t="s">
        <v>1</v>
      </c>
      <c r="B82" s="7" t="s">
        <v>1</v>
      </c>
      <c r="C82" s="7" t="s">
        <v>1</v>
      </c>
      <c r="D82" s="7" t="s">
        <v>1</v>
      </c>
      <c r="E82" s="7" t="s">
        <v>1</v>
      </c>
      <c r="F82" s="7" t="s">
        <v>1</v>
      </c>
      <c r="G82" s="7" t="s">
        <v>1</v>
      </c>
      <c r="H82" s="7" t="s">
        <v>1</v>
      </c>
      <c r="I82" s="7" t="s">
        <v>1</v>
      </c>
      <c r="J82" s="7" t="s">
        <v>1</v>
      </c>
      <c r="K82" s="7" t="s">
        <v>1</v>
      </c>
      <c r="L82" s="41" t="s">
        <v>1</v>
      </c>
      <c r="M82" s="41" t="s">
        <v>1</v>
      </c>
      <c r="N82" s="41" t="s">
        <v>1</v>
      </c>
      <c r="O82" s="41" t="s">
        <v>1</v>
      </c>
      <c r="P82" s="41" t="s">
        <v>1</v>
      </c>
      <c r="Q82" s="41" t="s">
        <v>1</v>
      </c>
      <c r="R82" s="41" t="s">
        <v>1</v>
      </c>
      <c r="S82" s="41" t="s">
        <v>1</v>
      </c>
      <c r="T82" s="41" t="s">
        <v>1</v>
      </c>
      <c r="U82" s="41" t="s">
        <v>1</v>
      </c>
      <c r="V82" s="41" t="s">
        <v>1</v>
      </c>
      <c r="W82" s="41" t="s">
        <v>1</v>
      </c>
      <c r="X82" s="41" t="s">
        <v>1</v>
      </c>
      <c r="Y82" s="41" t="s">
        <v>1</v>
      </c>
      <c r="Z82" s="41" t="s">
        <v>1</v>
      </c>
      <c r="AA82" s="41" t="s">
        <v>1</v>
      </c>
      <c r="AB82" s="41" t="s">
        <v>1</v>
      </c>
    </row>
    <row r="83" ht="16.5" spans="1:28">
      <c r="A83" s="7" t="s">
        <v>1</v>
      </c>
      <c r="B83" s="7" t="s">
        <v>1</v>
      </c>
      <c r="C83" s="7" t="s">
        <v>1</v>
      </c>
      <c r="D83" s="7" t="s">
        <v>1</v>
      </c>
      <c r="E83" s="7" t="s">
        <v>1</v>
      </c>
      <c r="F83" s="7" t="s">
        <v>1</v>
      </c>
      <c r="G83" s="7" t="s">
        <v>1</v>
      </c>
      <c r="H83" s="7" t="s">
        <v>1</v>
      </c>
      <c r="I83" s="7" t="s">
        <v>1</v>
      </c>
      <c r="J83" s="7" t="s">
        <v>1</v>
      </c>
      <c r="K83" s="7" t="s">
        <v>1</v>
      </c>
      <c r="L83" s="41" t="s">
        <v>1</v>
      </c>
      <c r="M83" s="41" t="s">
        <v>1</v>
      </c>
      <c r="N83" s="41" t="s">
        <v>1</v>
      </c>
      <c r="O83" s="41" t="s">
        <v>1</v>
      </c>
      <c r="P83" s="41" t="s">
        <v>1</v>
      </c>
      <c r="Q83" s="41" t="s">
        <v>1</v>
      </c>
      <c r="R83" s="41" t="s">
        <v>1</v>
      </c>
      <c r="S83" s="41" t="s">
        <v>1</v>
      </c>
      <c r="T83" s="41" t="s">
        <v>1</v>
      </c>
      <c r="U83" s="41" t="s">
        <v>1</v>
      </c>
      <c r="V83" s="41" t="s">
        <v>1</v>
      </c>
      <c r="W83" s="41" t="s">
        <v>1</v>
      </c>
      <c r="X83" s="41" t="s">
        <v>1</v>
      </c>
      <c r="Y83" s="41" t="s">
        <v>1</v>
      </c>
      <c r="Z83" s="41" t="s">
        <v>1</v>
      </c>
      <c r="AA83" s="41" t="s">
        <v>1</v>
      </c>
      <c r="AB83" s="41" t="s">
        <v>1</v>
      </c>
    </row>
    <row r="84" ht="16.5" spans="1:28">
      <c r="A84" s="16" t="s">
        <v>271</v>
      </c>
      <c r="B84" s="18">
        <f>PRODUCT(B24:F24)</f>
        <v>3200000</v>
      </c>
      <c r="C84" s="7" t="s">
        <v>272</v>
      </c>
      <c r="D84" s="7" t="s">
        <v>1</v>
      </c>
      <c r="E84" s="7" t="s">
        <v>1</v>
      </c>
      <c r="F84" s="7" t="s">
        <v>1</v>
      </c>
      <c r="G84" s="7" t="s">
        <v>1</v>
      </c>
      <c r="H84" s="7" t="s">
        <v>1</v>
      </c>
      <c r="I84" s="7" t="s">
        <v>1</v>
      </c>
      <c r="J84" s="7" t="s">
        <v>1</v>
      </c>
      <c r="K84" s="7" t="s">
        <v>1</v>
      </c>
      <c r="L84" s="41" t="s">
        <v>1</v>
      </c>
      <c r="M84" s="41" t="s">
        <v>1</v>
      </c>
      <c r="N84" s="41" t="s">
        <v>1</v>
      </c>
      <c r="O84" s="41" t="s">
        <v>1</v>
      </c>
      <c r="P84" s="41" t="s">
        <v>1</v>
      </c>
      <c r="Q84" s="41" t="s">
        <v>1</v>
      </c>
      <c r="R84" s="41" t="s">
        <v>1</v>
      </c>
      <c r="S84" s="41" t="s">
        <v>1</v>
      </c>
      <c r="T84" s="41" t="s">
        <v>1</v>
      </c>
      <c r="U84" s="41" t="s">
        <v>1</v>
      </c>
      <c r="V84" s="41" t="s">
        <v>1</v>
      </c>
      <c r="W84" s="41" t="s">
        <v>1</v>
      </c>
      <c r="X84" s="41" t="s">
        <v>1</v>
      </c>
      <c r="Y84" s="41" t="s">
        <v>1</v>
      </c>
      <c r="Z84" s="41" t="s">
        <v>1</v>
      </c>
      <c r="AA84" s="41" t="s">
        <v>1</v>
      </c>
      <c r="AB84" s="41" t="s">
        <v>1</v>
      </c>
    </row>
    <row r="85" ht="16.5" spans="1:28">
      <c r="A85" s="7" t="s">
        <v>1</v>
      </c>
      <c r="B85" s="7" t="s">
        <v>1</v>
      </c>
      <c r="C85" s="7" t="s">
        <v>1</v>
      </c>
      <c r="D85" s="7" t="s">
        <v>1</v>
      </c>
      <c r="E85" s="7" t="s">
        <v>1</v>
      </c>
      <c r="F85" s="7" t="s">
        <v>1</v>
      </c>
      <c r="G85" s="7" t="s">
        <v>1</v>
      </c>
      <c r="H85" s="7" t="s">
        <v>1</v>
      </c>
      <c r="I85" s="7" t="s">
        <v>1</v>
      </c>
      <c r="J85" s="7" t="s">
        <v>1</v>
      </c>
      <c r="K85" s="7" t="s">
        <v>1</v>
      </c>
      <c r="L85" s="41" t="s">
        <v>1</v>
      </c>
      <c r="M85" s="41" t="s">
        <v>1</v>
      </c>
      <c r="N85" s="41" t="s">
        <v>1</v>
      </c>
      <c r="O85" s="41" t="s">
        <v>1</v>
      </c>
      <c r="P85" s="41" t="s">
        <v>1</v>
      </c>
      <c r="Q85" s="41" t="s">
        <v>1</v>
      </c>
      <c r="R85" s="41" t="s">
        <v>1</v>
      </c>
      <c r="S85" s="41" t="s">
        <v>1</v>
      </c>
      <c r="T85" s="41" t="s">
        <v>1</v>
      </c>
      <c r="U85" s="41" t="s">
        <v>1</v>
      </c>
      <c r="V85" s="41" t="s">
        <v>1</v>
      </c>
      <c r="W85" s="41" t="s">
        <v>1</v>
      </c>
      <c r="X85" s="41" t="s">
        <v>1</v>
      </c>
      <c r="Y85" s="41" t="s">
        <v>1</v>
      </c>
      <c r="Z85" s="41" t="s">
        <v>1</v>
      </c>
      <c r="AA85" s="41" t="s">
        <v>1</v>
      </c>
      <c r="AB85" s="41" t="s">
        <v>1</v>
      </c>
    </row>
    <row r="86" ht="16.5" spans="1:28">
      <c r="A86" s="8" t="s">
        <v>42</v>
      </c>
      <c r="B86" s="8" t="s">
        <v>101</v>
      </c>
      <c r="C86" s="8" t="s">
        <v>170</v>
      </c>
      <c r="D86" s="8" t="s">
        <v>171</v>
      </c>
      <c r="E86" s="8" t="s">
        <v>172</v>
      </c>
      <c r="F86" s="8" t="s">
        <v>173</v>
      </c>
      <c r="G86" s="8" t="s">
        <v>174</v>
      </c>
      <c r="H86" s="8" t="s">
        <v>103</v>
      </c>
      <c r="I86" s="8" t="s">
        <v>104</v>
      </c>
      <c r="J86" s="8" t="s">
        <v>105</v>
      </c>
      <c r="K86" s="8" t="s">
        <v>106</v>
      </c>
      <c r="L86" s="41" t="s">
        <v>1</v>
      </c>
      <c r="M86" s="41" t="s">
        <v>1</v>
      </c>
      <c r="N86" s="41" t="s">
        <v>1</v>
      </c>
      <c r="O86" s="41" t="s">
        <v>1</v>
      </c>
      <c r="P86" s="41" t="s">
        <v>1</v>
      </c>
      <c r="Q86" s="41" t="s">
        <v>1</v>
      </c>
      <c r="R86" s="41" t="s">
        <v>1</v>
      </c>
      <c r="S86" s="41" t="s">
        <v>1</v>
      </c>
      <c r="T86" s="41" t="s">
        <v>1</v>
      </c>
      <c r="U86" s="41" t="s">
        <v>1</v>
      </c>
      <c r="V86" s="41" t="s">
        <v>1</v>
      </c>
      <c r="W86" s="41" t="s">
        <v>1</v>
      </c>
      <c r="X86" s="41" t="s">
        <v>1</v>
      </c>
      <c r="Y86" s="41" t="s">
        <v>1</v>
      </c>
      <c r="Z86" s="41" t="s">
        <v>1</v>
      </c>
      <c r="AA86" s="41" t="s">
        <v>1</v>
      </c>
      <c r="AB86" s="41" t="s">
        <v>1</v>
      </c>
    </row>
    <row r="87" ht="16.5" spans="1:28">
      <c r="A87" s="12" t="s">
        <v>85</v>
      </c>
      <c r="B87" s="12">
        <v>3</v>
      </c>
      <c r="C87" s="15" t="s">
        <v>175</v>
      </c>
      <c r="D87" s="15" t="s">
        <v>176</v>
      </c>
      <c r="E87" s="15" t="s">
        <v>176</v>
      </c>
      <c r="F87" s="15" t="s">
        <v>176</v>
      </c>
      <c r="G87" s="15" t="s">
        <v>175</v>
      </c>
      <c r="H87" s="25">
        <f>PRODUCT(VLOOKUP(C87,模式次数,2,0),VLOOKUP(D87,模式次数,3,0),VLOOKUP(E87,模式次数,4,0),VLOOKUP(F87,模式次数,5,0),VLOOKUP(G87,模式次数,6,0))</f>
        <v>10800</v>
      </c>
      <c r="I87" s="26">
        <f t="shared" ref="I87:I102" si="6">H87/$B$84</f>
        <v>0.003375</v>
      </c>
      <c r="J87" s="20">
        <f t="shared" ref="J87:J102" si="7">INDEX($B$59:$D$64,MATCH($A87,$A$59:$A$64,0),MATCH($B87,$B$58:$D$58,0))</f>
        <v>50</v>
      </c>
      <c r="K87" s="27">
        <f t="shared" ref="K87:K102" si="8">I87*J87</f>
        <v>0.16875</v>
      </c>
      <c r="L87" s="41" t="s">
        <v>1</v>
      </c>
      <c r="M87" s="41" t="s">
        <v>1</v>
      </c>
      <c r="N87" s="41" t="s">
        <v>1</v>
      </c>
      <c r="O87" s="41" t="s">
        <v>1</v>
      </c>
      <c r="P87" s="41" t="s">
        <v>1</v>
      </c>
      <c r="Q87" s="41" t="s">
        <v>1</v>
      </c>
      <c r="R87" s="41" t="s">
        <v>1</v>
      </c>
      <c r="S87" s="41" t="s">
        <v>1</v>
      </c>
      <c r="T87" s="41" t="s">
        <v>1</v>
      </c>
      <c r="U87" s="41" t="s">
        <v>1</v>
      </c>
      <c r="V87" s="41" t="s">
        <v>1</v>
      </c>
      <c r="W87" s="41" t="s">
        <v>1</v>
      </c>
      <c r="X87" s="41" t="s">
        <v>1</v>
      </c>
      <c r="Y87" s="41" t="s">
        <v>1</v>
      </c>
      <c r="Z87" s="41" t="s">
        <v>1</v>
      </c>
      <c r="AA87" s="41" t="s">
        <v>1</v>
      </c>
      <c r="AB87" s="41" t="s">
        <v>1</v>
      </c>
    </row>
    <row r="88" ht="16.5" spans="1:28">
      <c r="A88" s="12" t="s">
        <v>46</v>
      </c>
      <c r="B88" s="12">
        <v>5</v>
      </c>
      <c r="C88" s="6" t="s">
        <v>178</v>
      </c>
      <c r="D88" s="6" t="s">
        <v>178</v>
      </c>
      <c r="E88" s="6" t="s">
        <v>178</v>
      </c>
      <c r="F88" s="6" t="s">
        <v>178</v>
      </c>
      <c r="G88" s="6" t="s">
        <v>178</v>
      </c>
      <c r="H88" s="25">
        <f>PRODUCT(VLOOKUP(C88,模式次数,2,0),VLOOKUP(D88,模式次数,3,0),VLOOKUP(E88,模式次数,4,0),VLOOKUP(F88,模式次数,5,0),VLOOKUP(G88,模式次数,6,0))</f>
        <v>512</v>
      </c>
      <c r="I88" s="26">
        <f t="shared" si="6"/>
        <v>0.00016</v>
      </c>
      <c r="J88" s="20">
        <f t="shared" si="7"/>
        <v>100</v>
      </c>
      <c r="K88" s="27">
        <f t="shared" si="8"/>
        <v>0.016</v>
      </c>
      <c r="L88" s="41" t="s">
        <v>1</v>
      </c>
      <c r="M88" s="41" t="s">
        <v>1</v>
      </c>
      <c r="N88" s="41" t="s">
        <v>1</v>
      </c>
      <c r="O88" s="41" t="s">
        <v>1</v>
      </c>
      <c r="P88" s="41" t="s">
        <v>1</v>
      </c>
      <c r="Q88" s="41" t="s">
        <v>1</v>
      </c>
      <c r="R88" s="41" t="s">
        <v>1</v>
      </c>
      <c r="S88" s="41" t="s">
        <v>1</v>
      </c>
      <c r="T88" s="41" t="s">
        <v>1</v>
      </c>
      <c r="U88" s="41" t="s">
        <v>1</v>
      </c>
      <c r="V88" s="41" t="s">
        <v>1</v>
      </c>
      <c r="W88" s="41" t="s">
        <v>1</v>
      </c>
      <c r="X88" s="41" t="s">
        <v>1</v>
      </c>
      <c r="Y88" s="41" t="s">
        <v>1</v>
      </c>
      <c r="Z88" s="41" t="s">
        <v>1</v>
      </c>
      <c r="AA88" s="41" t="s">
        <v>1</v>
      </c>
      <c r="AB88" s="41" t="s">
        <v>1</v>
      </c>
    </row>
    <row r="89" ht="16.5" spans="1:28">
      <c r="A89" s="12" t="s">
        <v>46</v>
      </c>
      <c r="B89" s="12">
        <v>4</v>
      </c>
      <c r="C89" s="6" t="s">
        <v>178</v>
      </c>
      <c r="D89" s="6" t="s">
        <v>178</v>
      </c>
      <c r="E89" s="6" t="s">
        <v>178</v>
      </c>
      <c r="F89" s="6" t="s">
        <v>178</v>
      </c>
      <c r="G89" s="6" t="s">
        <v>180</v>
      </c>
      <c r="H89" s="25">
        <f>PRODUCT(VLOOKUP(C89,模式次数,2,0),VLOOKUP(D89,模式次数,3,0),VLOOKUP(E89,模式次数,4,0),VLOOKUP(F89,模式次数,5,0),VLOOKUP(G89,模式次数,6,0))</f>
        <v>2048</v>
      </c>
      <c r="I89" s="26">
        <f t="shared" si="6"/>
        <v>0.00064</v>
      </c>
      <c r="J89" s="20">
        <f t="shared" si="7"/>
        <v>30</v>
      </c>
      <c r="K89" s="27">
        <f t="shared" si="8"/>
        <v>0.0192</v>
      </c>
      <c r="L89" s="41" t="s">
        <v>1</v>
      </c>
      <c r="M89" s="41" t="s">
        <v>1</v>
      </c>
      <c r="N89" s="41" t="s">
        <v>1</v>
      </c>
      <c r="O89" s="41" t="s">
        <v>1</v>
      </c>
      <c r="P89" s="41" t="s">
        <v>1</v>
      </c>
      <c r="Q89" s="41" t="s">
        <v>1</v>
      </c>
      <c r="R89" s="41" t="s">
        <v>1</v>
      </c>
      <c r="S89" s="41" t="s">
        <v>1</v>
      </c>
      <c r="T89" s="41" t="s">
        <v>1</v>
      </c>
      <c r="U89" s="41" t="s">
        <v>1</v>
      </c>
      <c r="V89" s="41" t="s">
        <v>1</v>
      </c>
      <c r="W89" s="41" t="s">
        <v>1</v>
      </c>
      <c r="X89" s="41" t="s">
        <v>1</v>
      </c>
      <c r="Y89" s="41" t="s">
        <v>1</v>
      </c>
      <c r="Z89" s="41" t="s">
        <v>1</v>
      </c>
      <c r="AA89" s="41" t="s">
        <v>1</v>
      </c>
      <c r="AB89" s="41" t="s">
        <v>1</v>
      </c>
    </row>
    <row r="90" ht="16.5" spans="1:28">
      <c r="A90" s="12" t="s">
        <v>46</v>
      </c>
      <c r="B90" s="12">
        <v>3</v>
      </c>
      <c r="C90" s="6" t="s">
        <v>178</v>
      </c>
      <c r="D90" s="6" t="s">
        <v>178</v>
      </c>
      <c r="E90" s="6" t="s">
        <v>178</v>
      </c>
      <c r="F90" s="6" t="s">
        <v>180</v>
      </c>
      <c r="G90" s="15" t="s">
        <v>175</v>
      </c>
      <c r="H90" s="25">
        <f>PRODUCT(VLOOKUP(C90,模式次数,2,0),VLOOKUP(D90,模式次数,3,0),VLOOKUP(E90,模式次数,4,0),VLOOKUP(F90,模式次数,5,0),VLOOKUP(G90,模式次数,6,0))</f>
        <v>10240</v>
      </c>
      <c r="I90" s="26">
        <f t="shared" si="6"/>
        <v>0.0032</v>
      </c>
      <c r="J90" s="20">
        <f t="shared" si="7"/>
        <v>5</v>
      </c>
      <c r="K90" s="27">
        <f t="shared" si="8"/>
        <v>0.016</v>
      </c>
      <c r="L90" s="41" t="s">
        <v>1</v>
      </c>
      <c r="M90" s="41" t="s">
        <v>1</v>
      </c>
      <c r="N90" s="41" t="s">
        <v>1</v>
      </c>
      <c r="O90" s="41" t="s">
        <v>1</v>
      </c>
      <c r="P90" s="41" t="s">
        <v>1</v>
      </c>
      <c r="Q90" s="41" t="s">
        <v>1</v>
      </c>
      <c r="R90" s="41" t="s">
        <v>1</v>
      </c>
      <c r="S90" s="41" t="s">
        <v>1</v>
      </c>
      <c r="T90" s="41" t="s">
        <v>1</v>
      </c>
      <c r="U90" s="41" t="s">
        <v>1</v>
      </c>
      <c r="V90" s="41" t="s">
        <v>1</v>
      </c>
      <c r="W90" s="41" t="s">
        <v>1</v>
      </c>
      <c r="X90" s="41" t="s">
        <v>1</v>
      </c>
      <c r="Y90" s="41" t="s">
        <v>1</v>
      </c>
      <c r="Z90" s="41" t="s">
        <v>1</v>
      </c>
      <c r="AA90" s="41" t="s">
        <v>1</v>
      </c>
      <c r="AB90" s="41" t="s">
        <v>1</v>
      </c>
    </row>
    <row r="91" ht="16.5" spans="1:28">
      <c r="A91" s="12" t="s">
        <v>50</v>
      </c>
      <c r="B91" s="12">
        <v>5</v>
      </c>
      <c r="C91" s="6" t="s">
        <v>182</v>
      </c>
      <c r="D91" s="6" t="s">
        <v>182</v>
      </c>
      <c r="E91" s="6" t="s">
        <v>182</v>
      </c>
      <c r="F91" s="6" t="s">
        <v>182</v>
      </c>
      <c r="G91" s="6" t="s">
        <v>182</v>
      </c>
      <c r="H91" s="25">
        <f>PRODUCT(VLOOKUP(C91,模式次数,2,0),VLOOKUP(D91,模式次数,3,0),VLOOKUP(E91,模式次数,4,0),VLOOKUP(F91,模式次数,5,0),VLOOKUP(G91,模式次数,6,0))</f>
        <v>768</v>
      </c>
      <c r="I91" s="26">
        <f t="shared" si="6"/>
        <v>0.00024</v>
      </c>
      <c r="J91" s="20">
        <f t="shared" si="7"/>
        <v>100</v>
      </c>
      <c r="K91" s="27">
        <f t="shared" si="8"/>
        <v>0.024</v>
      </c>
      <c r="L91" s="41" t="s">
        <v>1</v>
      </c>
      <c r="M91" s="41" t="s">
        <v>1</v>
      </c>
      <c r="N91" s="41" t="s">
        <v>1</v>
      </c>
      <c r="O91" s="41" t="s">
        <v>1</v>
      </c>
      <c r="P91" s="41" t="s">
        <v>1</v>
      </c>
      <c r="Q91" s="41" t="s">
        <v>1</v>
      </c>
      <c r="R91" s="41" t="s">
        <v>1</v>
      </c>
      <c r="S91" s="41" t="s">
        <v>1</v>
      </c>
      <c r="T91" s="41" t="s">
        <v>1</v>
      </c>
      <c r="U91" s="41" t="s">
        <v>1</v>
      </c>
      <c r="V91" s="41" t="s">
        <v>1</v>
      </c>
      <c r="W91" s="41" t="s">
        <v>1</v>
      </c>
      <c r="X91" s="41" t="s">
        <v>1</v>
      </c>
      <c r="Y91" s="41" t="s">
        <v>1</v>
      </c>
      <c r="Z91" s="41" t="s">
        <v>1</v>
      </c>
      <c r="AA91" s="41" t="s">
        <v>1</v>
      </c>
      <c r="AB91" s="41" t="s">
        <v>1</v>
      </c>
    </row>
    <row r="92" ht="16.5" spans="1:28">
      <c r="A92" s="12" t="s">
        <v>50</v>
      </c>
      <c r="B92" s="12">
        <v>4</v>
      </c>
      <c r="C92" s="6" t="s">
        <v>182</v>
      </c>
      <c r="D92" s="6" t="s">
        <v>182</v>
      </c>
      <c r="E92" s="6" t="s">
        <v>182</v>
      </c>
      <c r="F92" s="6" t="s">
        <v>182</v>
      </c>
      <c r="G92" s="6" t="s">
        <v>184</v>
      </c>
      <c r="H92" s="25">
        <f>PRODUCT(VLOOKUP(C92,模式次数,2,0),VLOOKUP(D92,模式次数,3,0),VLOOKUP(E92,模式次数,4,0),VLOOKUP(F92,模式次数,5,0),VLOOKUP(G92,模式次数,6,0))</f>
        <v>3072</v>
      </c>
      <c r="I92" s="26">
        <f t="shared" si="6"/>
        <v>0.00096</v>
      </c>
      <c r="J92" s="20">
        <f t="shared" si="7"/>
        <v>25</v>
      </c>
      <c r="K92" s="27">
        <f t="shared" si="8"/>
        <v>0.024</v>
      </c>
      <c r="L92" s="41" t="s">
        <v>1</v>
      </c>
      <c r="M92" s="41" t="s">
        <v>1</v>
      </c>
      <c r="N92" s="41" t="s">
        <v>1</v>
      </c>
      <c r="O92" s="41" t="s">
        <v>1</v>
      </c>
      <c r="P92" s="41" t="s">
        <v>1</v>
      </c>
      <c r="Q92" s="41" t="s">
        <v>1</v>
      </c>
      <c r="R92" s="41" t="s">
        <v>1</v>
      </c>
      <c r="S92" s="41" t="s">
        <v>1</v>
      </c>
      <c r="T92" s="41" t="s">
        <v>1</v>
      </c>
      <c r="U92" s="41" t="s">
        <v>1</v>
      </c>
      <c r="V92" s="41" t="s">
        <v>1</v>
      </c>
      <c r="W92" s="41" t="s">
        <v>1</v>
      </c>
      <c r="X92" s="41" t="s">
        <v>1</v>
      </c>
      <c r="Y92" s="41" t="s">
        <v>1</v>
      </c>
      <c r="Z92" s="41" t="s">
        <v>1</v>
      </c>
      <c r="AA92" s="41" t="s">
        <v>1</v>
      </c>
      <c r="AB92" s="41" t="s">
        <v>1</v>
      </c>
    </row>
    <row r="93" ht="16.5" spans="1:28">
      <c r="A93" s="12" t="s">
        <v>50</v>
      </c>
      <c r="B93" s="12">
        <v>3</v>
      </c>
      <c r="C93" s="6" t="s">
        <v>182</v>
      </c>
      <c r="D93" s="6" t="s">
        <v>182</v>
      </c>
      <c r="E93" s="6" t="s">
        <v>182</v>
      </c>
      <c r="F93" s="6" t="s">
        <v>184</v>
      </c>
      <c r="G93" s="15" t="s">
        <v>175</v>
      </c>
      <c r="H93" s="25">
        <f>PRODUCT(VLOOKUP(C93,模式次数,2,0),VLOOKUP(D93,模式次数,3,0),VLOOKUP(E93,模式次数,4,0),VLOOKUP(F93,模式次数,5,0),VLOOKUP(G93,模式次数,6,0))</f>
        <v>15360</v>
      </c>
      <c r="I93" s="26">
        <f t="shared" si="6"/>
        <v>0.0048</v>
      </c>
      <c r="J93" s="20">
        <f t="shared" si="7"/>
        <v>5</v>
      </c>
      <c r="K93" s="27">
        <f t="shared" si="8"/>
        <v>0.024</v>
      </c>
      <c r="L93" s="41" t="s">
        <v>1</v>
      </c>
      <c r="M93" s="41" t="s">
        <v>1</v>
      </c>
      <c r="N93" s="41" t="s">
        <v>1</v>
      </c>
      <c r="O93" s="41" t="s">
        <v>1</v>
      </c>
      <c r="P93" s="41" t="s">
        <v>1</v>
      </c>
      <c r="Q93" s="41" t="s">
        <v>1</v>
      </c>
      <c r="R93" s="41" t="s">
        <v>1</v>
      </c>
      <c r="S93" s="41" t="s">
        <v>1</v>
      </c>
      <c r="T93" s="41" t="s">
        <v>1</v>
      </c>
      <c r="U93" s="41" t="s">
        <v>1</v>
      </c>
      <c r="V93" s="41" t="s">
        <v>1</v>
      </c>
      <c r="W93" s="41" t="s">
        <v>1</v>
      </c>
      <c r="X93" s="41" t="s">
        <v>1</v>
      </c>
      <c r="Y93" s="41" t="s">
        <v>1</v>
      </c>
      <c r="Z93" s="41" t="s">
        <v>1</v>
      </c>
      <c r="AA93" s="41" t="s">
        <v>1</v>
      </c>
      <c r="AB93" s="41" t="s">
        <v>1</v>
      </c>
    </row>
    <row r="94" ht="16.5" spans="1:28">
      <c r="A94" s="12" t="s">
        <v>52</v>
      </c>
      <c r="B94" s="12">
        <v>5</v>
      </c>
      <c r="C94" s="6" t="s">
        <v>185</v>
      </c>
      <c r="D94" s="6" t="s">
        <v>185</v>
      </c>
      <c r="E94" s="6" t="s">
        <v>185</v>
      </c>
      <c r="F94" s="6" t="s">
        <v>185</v>
      </c>
      <c r="G94" s="6" t="s">
        <v>185</v>
      </c>
      <c r="H94" s="25">
        <f>PRODUCT(VLOOKUP(C94,模式次数,2,0),VLOOKUP(D94,模式次数,3,0),VLOOKUP(E94,模式次数,4,0),VLOOKUP(F94,模式次数,5,0),VLOOKUP(G94,模式次数,6,0))</f>
        <v>3000</v>
      </c>
      <c r="I94" s="26">
        <f t="shared" si="6"/>
        <v>0.0009375</v>
      </c>
      <c r="J94" s="20">
        <f t="shared" si="7"/>
        <v>75</v>
      </c>
      <c r="K94" s="27">
        <f t="shared" si="8"/>
        <v>0.0703125</v>
      </c>
      <c r="L94" s="41" t="s">
        <v>1</v>
      </c>
      <c r="M94" s="41" t="s">
        <v>1</v>
      </c>
      <c r="N94" s="41" t="s">
        <v>1</v>
      </c>
      <c r="O94" s="41" t="s">
        <v>1</v>
      </c>
      <c r="P94" s="41" t="s">
        <v>1</v>
      </c>
      <c r="Q94" s="41" t="s">
        <v>1</v>
      </c>
      <c r="R94" s="41" t="s">
        <v>1</v>
      </c>
      <c r="S94" s="41" t="s">
        <v>1</v>
      </c>
      <c r="T94" s="41" t="s">
        <v>1</v>
      </c>
      <c r="U94" s="41" t="s">
        <v>1</v>
      </c>
      <c r="V94" s="41" t="s">
        <v>1</v>
      </c>
      <c r="W94" s="41" t="s">
        <v>1</v>
      </c>
      <c r="X94" s="41" t="s">
        <v>1</v>
      </c>
      <c r="Y94" s="41" t="s">
        <v>1</v>
      </c>
      <c r="Z94" s="41" t="s">
        <v>1</v>
      </c>
      <c r="AA94" s="41" t="s">
        <v>1</v>
      </c>
      <c r="AB94" s="41" t="s">
        <v>1</v>
      </c>
    </row>
    <row r="95" ht="16.5" spans="1:28">
      <c r="A95" s="12" t="s">
        <v>52</v>
      </c>
      <c r="B95" s="12">
        <v>4</v>
      </c>
      <c r="C95" s="6" t="s">
        <v>185</v>
      </c>
      <c r="D95" s="6" t="s">
        <v>185</v>
      </c>
      <c r="E95" s="6" t="s">
        <v>185</v>
      </c>
      <c r="F95" s="6" t="s">
        <v>185</v>
      </c>
      <c r="G95" s="6" t="s">
        <v>187</v>
      </c>
      <c r="H95" s="25">
        <f>PRODUCT(VLOOKUP(C95,模式次数,2,0),VLOOKUP(D95,模式次数,3,0),VLOOKUP(E95,模式次数,4,0),VLOOKUP(F95,模式次数,5,0),VLOOKUP(G95,模式次数,6,0))</f>
        <v>9000</v>
      </c>
      <c r="I95" s="26">
        <f t="shared" si="6"/>
        <v>0.0028125</v>
      </c>
      <c r="J95" s="20">
        <f t="shared" si="7"/>
        <v>20</v>
      </c>
      <c r="K95" s="27">
        <f t="shared" si="8"/>
        <v>0.05625</v>
      </c>
      <c r="L95" s="41" t="s">
        <v>1</v>
      </c>
      <c r="M95" s="41" t="s">
        <v>1</v>
      </c>
      <c r="N95" s="41" t="s">
        <v>1</v>
      </c>
      <c r="O95" s="41" t="s">
        <v>1</v>
      </c>
      <c r="P95" s="41" t="s">
        <v>1</v>
      </c>
      <c r="Q95" s="41" t="s">
        <v>1</v>
      </c>
      <c r="R95" s="41" t="s">
        <v>1</v>
      </c>
      <c r="S95" s="41" t="s">
        <v>1</v>
      </c>
      <c r="T95" s="41" t="s">
        <v>1</v>
      </c>
      <c r="U95" s="41" t="s">
        <v>1</v>
      </c>
      <c r="V95" s="41" t="s">
        <v>1</v>
      </c>
      <c r="W95" s="41" t="s">
        <v>1</v>
      </c>
      <c r="X95" s="41" t="s">
        <v>1</v>
      </c>
      <c r="Y95" s="41" t="s">
        <v>1</v>
      </c>
      <c r="Z95" s="41" t="s">
        <v>1</v>
      </c>
      <c r="AA95" s="41" t="s">
        <v>1</v>
      </c>
      <c r="AB95" s="41" t="s">
        <v>1</v>
      </c>
    </row>
    <row r="96" ht="16.5" spans="1:28">
      <c r="A96" s="12" t="s">
        <v>52</v>
      </c>
      <c r="B96" s="12">
        <v>3</v>
      </c>
      <c r="C96" s="6" t="s">
        <v>185</v>
      </c>
      <c r="D96" s="6" t="s">
        <v>185</v>
      </c>
      <c r="E96" s="6" t="s">
        <v>185</v>
      </c>
      <c r="F96" s="6" t="s">
        <v>187</v>
      </c>
      <c r="G96" s="15" t="s">
        <v>175</v>
      </c>
      <c r="H96" s="25">
        <f>PRODUCT(VLOOKUP(C96,模式次数,2,0),VLOOKUP(D96,模式次数,3,0),VLOOKUP(E96,模式次数,4,0),VLOOKUP(F96,模式次数,5,0),VLOOKUP(G96,模式次数,6,0))</f>
        <v>36000</v>
      </c>
      <c r="I96" s="26">
        <f t="shared" si="6"/>
        <v>0.01125</v>
      </c>
      <c r="J96" s="20">
        <f t="shared" si="7"/>
        <v>5</v>
      </c>
      <c r="K96" s="27">
        <f t="shared" si="8"/>
        <v>0.05625</v>
      </c>
      <c r="L96" s="41" t="s">
        <v>1</v>
      </c>
      <c r="M96" s="41" t="s">
        <v>1</v>
      </c>
      <c r="N96" s="41" t="s">
        <v>1</v>
      </c>
      <c r="O96" s="41" t="s">
        <v>1</v>
      </c>
      <c r="P96" s="41" t="s">
        <v>1</v>
      </c>
      <c r="Q96" s="41" t="s">
        <v>1</v>
      </c>
      <c r="R96" s="41" t="s">
        <v>1</v>
      </c>
      <c r="S96" s="41" t="s">
        <v>1</v>
      </c>
      <c r="T96" s="41" t="s">
        <v>1</v>
      </c>
      <c r="U96" s="41" t="s">
        <v>1</v>
      </c>
      <c r="V96" s="41" t="s">
        <v>1</v>
      </c>
      <c r="W96" s="41" t="s">
        <v>1</v>
      </c>
      <c r="X96" s="41" t="s">
        <v>1</v>
      </c>
      <c r="Y96" s="41" t="s">
        <v>1</v>
      </c>
      <c r="Z96" s="41" t="s">
        <v>1</v>
      </c>
      <c r="AA96" s="41" t="s">
        <v>1</v>
      </c>
      <c r="AB96" s="41" t="s">
        <v>1</v>
      </c>
    </row>
    <row r="97" ht="16.5" spans="1:28">
      <c r="A97" s="12" t="s">
        <v>55</v>
      </c>
      <c r="B97" s="12">
        <v>5</v>
      </c>
      <c r="C97" s="6" t="s">
        <v>189</v>
      </c>
      <c r="D97" s="6" t="s">
        <v>189</v>
      </c>
      <c r="E97" s="6" t="s">
        <v>189</v>
      </c>
      <c r="F97" s="6" t="s">
        <v>189</v>
      </c>
      <c r="G97" s="6" t="s">
        <v>189</v>
      </c>
      <c r="H97" s="25">
        <f>PRODUCT(VLOOKUP(C97,模式次数,2,0),VLOOKUP(D97,模式次数,3,0),VLOOKUP(E97,模式次数,4,0),VLOOKUP(F97,模式次数,5,0),VLOOKUP(G97,模式次数,6,0))</f>
        <v>2500</v>
      </c>
      <c r="I97" s="26">
        <f t="shared" si="6"/>
        <v>0.00078125</v>
      </c>
      <c r="J97" s="20">
        <f t="shared" si="7"/>
        <v>75</v>
      </c>
      <c r="K97" s="27">
        <f t="shared" si="8"/>
        <v>0.05859375</v>
      </c>
      <c r="L97" s="41" t="s">
        <v>1</v>
      </c>
      <c r="M97" s="41" t="s">
        <v>1</v>
      </c>
      <c r="N97" s="41" t="s">
        <v>1</v>
      </c>
      <c r="O97" s="41" t="s">
        <v>1</v>
      </c>
      <c r="P97" s="41" t="s">
        <v>1</v>
      </c>
      <c r="Q97" s="41" t="s">
        <v>1</v>
      </c>
      <c r="R97" s="41" t="s">
        <v>1</v>
      </c>
      <c r="S97" s="41" t="s">
        <v>1</v>
      </c>
      <c r="T97" s="41" t="s">
        <v>1</v>
      </c>
      <c r="U97" s="41" t="s">
        <v>1</v>
      </c>
      <c r="V97" s="41" t="s">
        <v>1</v>
      </c>
      <c r="W97" s="41" t="s">
        <v>1</v>
      </c>
      <c r="X97" s="41" t="s">
        <v>1</v>
      </c>
      <c r="Y97" s="41" t="s">
        <v>1</v>
      </c>
      <c r="Z97" s="41" t="s">
        <v>1</v>
      </c>
      <c r="AA97" s="41" t="s">
        <v>1</v>
      </c>
      <c r="AB97" s="41" t="s">
        <v>1</v>
      </c>
    </row>
    <row r="98" ht="16.5" spans="1:28">
      <c r="A98" s="12" t="s">
        <v>55</v>
      </c>
      <c r="B98" s="12">
        <v>4</v>
      </c>
      <c r="C98" s="6" t="s">
        <v>189</v>
      </c>
      <c r="D98" s="6" t="s">
        <v>189</v>
      </c>
      <c r="E98" s="6" t="s">
        <v>189</v>
      </c>
      <c r="F98" s="6" t="s">
        <v>189</v>
      </c>
      <c r="G98" s="6" t="s">
        <v>191</v>
      </c>
      <c r="H98" s="25">
        <f>PRODUCT(VLOOKUP(C98,模式次数,2,0),VLOOKUP(D98,模式次数,3,0),VLOOKUP(E98,模式次数,4,0),VLOOKUP(F98,模式次数,5,0),VLOOKUP(G98,模式次数,6,0))</f>
        <v>7500</v>
      </c>
      <c r="I98" s="26">
        <f t="shared" si="6"/>
        <v>0.00234375</v>
      </c>
      <c r="J98" s="20">
        <f t="shared" si="7"/>
        <v>20</v>
      </c>
      <c r="K98" s="27">
        <f t="shared" si="8"/>
        <v>0.046875</v>
      </c>
      <c r="L98" s="41" t="s">
        <v>1</v>
      </c>
      <c r="M98" s="41" t="s">
        <v>1</v>
      </c>
      <c r="N98" s="41" t="s">
        <v>1</v>
      </c>
      <c r="O98" s="41" t="s">
        <v>1</v>
      </c>
      <c r="P98" s="41" t="s">
        <v>1</v>
      </c>
      <c r="Q98" s="41" t="s">
        <v>1</v>
      </c>
      <c r="R98" s="41" t="s">
        <v>1</v>
      </c>
      <c r="S98" s="41" t="s">
        <v>1</v>
      </c>
      <c r="T98" s="41" t="s">
        <v>1</v>
      </c>
      <c r="U98" s="41" t="s">
        <v>1</v>
      </c>
      <c r="V98" s="41" t="s">
        <v>1</v>
      </c>
      <c r="W98" s="41" t="s">
        <v>1</v>
      </c>
      <c r="X98" s="41" t="s">
        <v>1</v>
      </c>
      <c r="Y98" s="41" t="s">
        <v>1</v>
      </c>
      <c r="Z98" s="41" t="s">
        <v>1</v>
      </c>
      <c r="AA98" s="41" t="s">
        <v>1</v>
      </c>
      <c r="AB98" s="41" t="s">
        <v>1</v>
      </c>
    </row>
    <row r="99" ht="16.5" spans="1:28">
      <c r="A99" s="12" t="s">
        <v>55</v>
      </c>
      <c r="B99" s="12">
        <v>3</v>
      </c>
      <c r="C99" s="6" t="s">
        <v>189</v>
      </c>
      <c r="D99" s="6" t="s">
        <v>189</v>
      </c>
      <c r="E99" s="6" t="s">
        <v>189</v>
      </c>
      <c r="F99" s="6" t="s">
        <v>191</v>
      </c>
      <c r="G99" s="15" t="s">
        <v>175</v>
      </c>
      <c r="H99" s="25">
        <f>PRODUCT(VLOOKUP(C99,模式次数,2,0),VLOOKUP(D99,模式次数,3,0),VLOOKUP(E99,模式次数,4,0),VLOOKUP(F99,模式次数,5,0),VLOOKUP(G99,模式次数,6,0))</f>
        <v>30000</v>
      </c>
      <c r="I99" s="26">
        <f t="shared" si="6"/>
        <v>0.009375</v>
      </c>
      <c r="J99" s="20">
        <f t="shared" si="7"/>
        <v>5</v>
      </c>
      <c r="K99" s="27">
        <f t="shared" si="8"/>
        <v>0.046875</v>
      </c>
      <c r="L99" s="41" t="s">
        <v>1</v>
      </c>
      <c r="M99" s="41" t="s">
        <v>1</v>
      </c>
      <c r="N99" s="41" t="s">
        <v>1</v>
      </c>
      <c r="O99" s="41" t="s">
        <v>1</v>
      </c>
      <c r="P99" s="41" t="s">
        <v>1</v>
      </c>
      <c r="Q99" s="41" t="s">
        <v>1</v>
      </c>
      <c r="R99" s="41" t="s">
        <v>1</v>
      </c>
      <c r="S99" s="41" t="s">
        <v>1</v>
      </c>
      <c r="T99" s="41" t="s">
        <v>1</v>
      </c>
      <c r="U99" s="41" t="s">
        <v>1</v>
      </c>
      <c r="V99" s="41" t="s">
        <v>1</v>
      </c>
      <c r="W99" s="41" t="s">
        <v>1</v>
      </c>
      <c r="X99" s="41" t="s">
        <v>1</v>
      </c>
      <c r="Y99" s="41" t="s">
        <v>1</v>
      </c>
      <c r="Z99" s="41" t="s">
        <v>1</v>
      </c>
      <c r="AA99" s="41" t="s">
        <v>1</v>
      </c>
      <c r="AB99" s="41" t="s">
        <v>1</v>
      </c>
    </row>
    <row r="100" ht="16.5" spans="1:28">
      <c r="A100" s="12" t="s">
        <v>56</v>
      </c>
      <c r="B100" s="12">
        <v>5</v>
      </c>
      <c r="C100" s="6" t="s">
        <v>193</v>
      </c>
      <c r="D100" s="6" t="s">
        <v>193</v>
      </c>
      <c r="E100" s="6" t="s">
        <v>193</v>
      </c>
      <c r="F100" s="6" t="s">
        <v>193</v>
      </c>
      <c r="G100" s="6" t="s">
        <v>193</v>
      </c>
      <c r="H100" s="25">
        <f>PRODUCT(VLOOKUP(C100,模式次数,2,0),VLOOKUP(D100,模式次数,3,0),VLOOKUP(E100,模式次数,4,0),VLOOKUP(F100,模式次数,5,0),VLOOKUP(G100,模式次数,6,0))</f>
        <v>4500</v>
      </c>
      <c r="I100" s="26">
        <f t="shared" si="6"/>
        <v>0.00140625</v>
      </c>
      <c r="J100" s="20">
        <f t="shared" si="7"/>
        <v>50</v>
      </c>
      <c r="K100" s="27">
        <f t="shared" si="8"/>
        <v>0.0703125</v>
      </c>
      <c r="L100" s="41" t="s">
        <v>1</v>
      </c>
      <c r="M100" s="41" t="s">
        <v>1</v>
      </c>
      <c r="N100" s="41" t="s">
        <v>1</v>
      </c>
      <c r="O100" s="41" t="s">
        <v>1</v>
      </c>
      <c r="P100" s="41" t="s">
        <v>1</v>
      </c>
      <c r="Q100" s="41" t="s">
        <v>1</v>
      </c>
      <c r="R100" s="41" t="s">
        <v>1</v>
      </c>
      <c r="S100" s="41" t="s">
        <v>1</v>
      </c>
      <c r="T100" s="41" t="s">
        <v>1</v>
      </c>
      <c r="U100" s="41" t="s">
        <v>1</v>
      </c>
      <c r="V100" s="41" t="s">
        <v>1</v>
      </c>
      <c r="W100" s="41" t="s">
        <v>1</v>
      </c>
      <c r="X100" s="41" t="s">
        <v>1</v>
      </c>
      <c r="Y100" s="41" t="s">
        <v>1</v>
      </c>
      <c r="Z100" s="41" t="s">
        <v>1</v>
      </c>
      <c r="AA100" s="41" t="s">
        <v>1</v>
      </c>
      <c r="AB100" s="41" t="s">
        <v>1</v>
      </c>
    </row>
    <row r="101" ht="16.5" spans="1:28">
      <c r="A101" s="12" t="s">
        <v>56</v>
      </c>
      <c r="B101" s="12">
        <v>4</v>
      </c>
      <c r="C101" s="6" t="s">
        <v>193</v>
      </c>
      <c r="D101" s="6" t="s">
        <v>193</v>
      </c>
      <c r="E101" s="6" t="s">
        <v>193</v>
      </c>
      <c r="F101" s="6" t="s">
        <v>193</v>
      </c>
      <c r="G101" s="6" t="s">
        <v>194</v>
      </c>
      <c r="H101" s="25">
        <f>PRODUCT(VLOOKUP(C101,模式次数,2,0),VLOOKUP(D101,模式次数,3,0),VLOOKUP(E101,模式次数,4,0),VLOOKUP(F101,模式次数,5,0),VLOOKUP(G101,模式次数,6,0))</f>
        <v>10500</v>
      </c>
      <c r="I101" s="26">
        <f t="shared" si="6"/>
        <v>0.00328125</v>
      </c>
      <c r="J101" s="20">
        <f t="shared" si="7"/>
        <v>10</v>
      </c>
      <c r="K101" s="27">
        <f t="shared" si="8"/>
        <v>0.0328125</v>
      </c>
      <c r="L101" s="41" t="s">
        <v>1</v>
      </c>
      <c r="M101" s="41" t="s">
        <v>1</v>
      </c>
      <c r="N101" s="41" t="s">
        <v>1</v>
      </c>
      <c r="O101" s="41" t="s">
        <v>1</v>
      </c>
      <c r="P101" s="41" t="s">
        <v>1</v>
      </c>
      <c r="Q101" s="41" t="s">
        <v>1</v>
      </c>
      <c r="R101" s="41" t="s">
        <v>1</v>
      </c>
      <c r="S101" s="41" t="s">
        <v>1</v>
      </c>
      <c r="T101" s="41" t="s">
        <v>1</v>
      </c>
      <c r="U101" s="41" t="s">
        <v>1</v>
      </c>
      <c r="V101" s="41" t="s">
        <v>1</v>
      </c>
      <c r="W101" s="41" t="s">
        <v>1</v>
      </c>
      <c r="X101" s="41" t="s">
        <v>1</v>
      </c>
      <c r="Y101" s="41" t="s">
        <v>1</v>
      </c>
      <c r="Z101" s="41" t="s">
        <v>1</v>
      </c>
      <c r="AA101" s="41" t="s">
        <v>1</v>
      </c>
      <c r="AB101" s="41" t="s">
        <v>1</v>
      </c>
    </row>
    <row r="102" ht="16.5" spans="1:28">
      <c r="A102" s="12" t="s">
        <v>56</v>
      </c>
      <c r="B102" s="12">
        <v>3</v>
      </c>
      <c r="C102" s="6" t="s">
        <v>193</v>
      </c>
      <c r="D102" s="6" t="s">
        <v>193</v>
      </c>
      <c r="E102" s="6" t="s">
        <v>193</v>
      </c>
      <c r="F102" s="6" t="s">
        <v>194</v>
      </c>
      <c r="G102" s="15" t="s">
        <v>175</v>
      </c>
      <c r="H102" s="25">
        <f>PRODUCT(VLOOKUP(C102,模式次数,2,0),VLOOKUP(D102,模式次数,3,0),VLOOKUP(E102,模式次数,4,0),VLOOKUP(F102,模式次数,5,0),VLOOKUP(G102,模式次数,6,0))</f>
        <v>45000</v>
      </c>
      <c r="I102" s="26">
        <f t="shared" si="6"/>
        <v>0.0140625</v>
      </c>
      <c r="J102" s="20">
        <f t="shared" si="7"/>
        <v>5</v>
      </c>
      <c r="K102" s="27">
        <f t="shared" si="8"/>
        <v>0.0703125</v>
      </c>
      <c r="L102" s="41" t="s">
        <v>1</v>
      </c>
      <c r="M102" s="41" t="s">
        <v>1</v>
      </c>
      <c r="N102" s="41" t="s">
        <v>1</v>
      </c>
      <c r="O102" s="41" t="s">
        <v>1</v>
      </c>
      <c r="P102" s="41" t="s">
        <v>1</v>
      </c>
      <c r="Q102" s="41" t="s">
        <v>1</v>
      </c>
      <c r="R102" s="41" t="s">
        <v>1</v>
      </c>
      <c r="S102" s="41" t="s">
        <v>1</v>
      </c>
      <c r="T102" s="41" t="s">
        <v>1</v>
      </c>
      <c r="U102" s="41" t="s">
        <v>1</v>
      </c>
      <c r="V102" s="41" t="s">
        <v>1</v>
      </c>
      <c r="W102" s="41" t="s">
        <v>1</v>
      </c>
      <c r="X102" s="41" t="s">
        <v>1</v>
      </c>
      <c r="Y102" s="41" t="s">
        <v>1</v>
      </c>
      <c r="Z102" s="41" t="s">
        <v>1</v>
      </c>
      <c r="AA102" s="41" t="s">
        <v>1</v>
      </c>
      <c r="AB102" s="41" t="s">
        <v>1</v>
      </c>
    </row>
    <row r="103" ht="16.5" spans="1:28">
      <c r="A103" s="38" t="s">
        <v>73</v>
      </c>
      <c r="B103" s="7" t="s">
        <v>1</v>
      </c>
      <c r="C103" s="7" t="s">
        <v>1</v>
      </c>
      <c r="D103" s="7" t="s">
        <v>1</v>
      </c>
      <c r="E103" s="7" t="s">
        <v>1</v>
      </c>
      <c r="F103" s="7" t="s">
        <v>1</v>
      </c>
      <c r="G103" s="7" t="s">
        <v>1</v>
      </c>
      <c r="H103" s="18">
        <f>SUM(H87:H102)</f>
        <v>190800</v>
      </c>
      <c r="I103" s="39">
        <f>SUM(I87:I102)</f>
        <v>0.059625</v>
      </c>
      <c r="J103" s="7" t="s">
        <v>1</v>
      </c>
      <c r="K103" s="40">
        <f>SUM(K87:K102)</f>
        <v>0.80054375</v>
      </c>
      <c r="L103" s="41" t="s">
        <v>1</v>
      </c>
      <c r="M103" s="41" t="s">
        <v>1</v>
      </c>
      <c r="N103" s="41" t="s">
        <v>1</v>
      </c>
      <c r="O103" s="41" t="s">
        <v>1</v>
      </c>
      <c r="P103" s="41" t="s">
        <v>1</v>
      </c>
      <c r="Q103" s="41" t="s">
        <v>1</v>
      </c>
      <c r="R103" s="41" t="s">
        <v>1</v>
      </c>
      <c r="S103" s="41" t="s">
        <v>1</v>
      </c>
      <c r="T103" s="41" t="s">
        <v>1</v>
      </c>
      <c r="U103" s="41" t="s">
        <v>1</v>
      </c>
      <c r="V103" s="41" t="s">
        <v>1</v>
      </c>
      <c r="W103" s="41" t="s">
        <v>1</v>
      </c>
      <c r="X103" s="41" t="s">
        <v>1</v>
      </c>
      <c r="Y103" s="41" t="s">
        <v>1</v>
      </c>
      <c r="Z103" s="41" t="s">
        <v>1</v>
      </c>
      <c r="AA103" s="41" t="s">
        <v>1</v>
      </c>
      <c r="AB103" s="41" t="s">
        <v>1</v>
      </c>
    </row>
    <row r="104" ht="16.5" spans="1:28">
      <c r="A104" s="7" t="s">
        <v>1</v>
      </c>
      <c r="B104" s="7" t="s">
        <v>1</v>
      </c>
      <c r="C104" s="7" t="s">
        <v>1</v>
      </c>
      <c r="D104" s="7" t="s">
        <v>1</v>
      </c>
      <c r="E104" s="7" t="s">
        <v>1</v>
      </c>
      <c r="F104" s="7" t="s">
        <v>1</v>
      </c>
      <c r="G104" s="7" t="s">
        <v>1</v>
      </c>
      <c r="H104" s="7" t="s">
        <v>1</v>
      </c>
      <c r="I104" s="7" t="s">
        <v>1</v>
      </c>
      <c r="J104" s="7" t="s">
        <v>1</v>
      </c>
      <c r="K104" s="7" t="s">
        <v>1</v>
      </c>
      <c r="L104" s="41" t="s">
        <v>1</v>
      </c>
      <c r="M104" s="41" t="s">
        <v>1</v>
      </c>
      <c r="N104" s="41" t="s">
        <v>1</v>
      </c>
      <c r="O104" s="41" t="s">
        <v>1</v>
      </c>
      <c r="P104" s="41" t="s">
        <v>1</v>
      </c>
      <c r="Q104" s="41" t="s">
        <v>1</v>
      </c>
      <c r="R104" s="41" t="s">
        <v>1</v>
      </c>
      <c r="S104" s="41" t="s">
        <v>1</v>
      </c>
      <c r="T104" s="41" t="s">
        <v>1</v>
      </c>
      <c r="U104" s="41" t="s">
        <v>1</v>
      </c>
      <c r="V104" s="41" t="s">
        <v>1</v>
      </c>
      <c r="W104" s="41" t="s">
        <v>1</v>
      </c>
      <c r="X104" s="41" t="s">
        <v>1</v>
      </c>
      <c r="Y104" s="41" t="s">
        <v>1</v>
      </c>
      <c r="Z104" s="41" t="s">
        <v>1</v>
      </c>
      <c r="AA104" s="41" t="s">
        <v>1</v>
      </c>
      <c r="AB104" s="41" t="s">
        <v>1</v>
      </c>
    </row>
    <row r="105" ht="16.5" spans="1:28">
      <c r="A105" s="16" t="s">
        <v>275</v>
      </c>
      <c r="B105" s="7" t="s">
        <v>1</v>
      </c>
      <c r="C105" s="7" t="s">
        <v>1</v>
      </c>
      <c r="D105" s="7" t="s">
        <v>1</v>
      </c>
      <c r="E105" s="7" t="s">
        <v>1</v>
      </c>
      <c r="F105" s="7" t="s">
        <v>1</v>
      </c>
      <c r="G105" s="7" t="s">
        <v>1</v>
      </c>
      <c r="H105" s="7" t="s">
        <v>1</v>
      </c>
      <c r="I105" s="7" t="s">
        <v>1</v>
      </c>
      <c r="J105" s="7" t="s">
        <v>1</v>
      </c>
      <c r="K105" s="7" t="s">
        <v>1</v>
      </c>
      <c r="L105" s="41" t="s">
        <v>1</v>
      </c>
      <c r="M105" s="41" t="s">
        <v>1</v>
      </c>
      <c r="N105" s="41" t="s">
        <v>1</v>
      </c>
      <c r="O105" s="41" t="s">
        <v>1</v>
      </c>
      <c r="P105" s="41" t="s">
        <v>1</v>
      </c>
      <c r="Q105" s="41" t="s">
        <v>1</v>
      </c>
      <c r="R105" s="41" t="s">
        <v>1</v>
      </c>
      <c r="S105" s="41" t="s">
        <v>1</v>
      </c>
      <c r="T105" s="41" t="s">
        <v>1</v>
      </c>
      <c r="U105" s="41" t="s">
        <v>1</v>
      </c>
      <c r="V105" s="41" t="s">
        <v>1</v>
      </c>
      <c r="W105" s="41" t="s">
        <v>1</v>
      </c>
      <c r="X105" s="41" t="s">
        <v>1</v>
      </c>
      <c r="Y105" s="41" t="s">
        <v>1</v>
      </c>
      <c r="Z105" s="41" t="s">
        <v>1</v>
      </c>
      <c r="AA105" s="41" t="s">
        <v>1</v>
      </c>
      <c r="AB105" s="41" t="s">
        <v>1</v>
      </c>
    </row>
    <row r="106" ht="16.5" spans="1:28">
      <c r="A106" s="16" t="s">
        <v>277</v>
      </c>
      <c r="B106" s="7" t="s">
        <v>1</v>
      </c>
      <c r="C106" s="7" t="s">
        <v>1</v>
      </c>
      <c r="D106" s="7" t="s">
        <v>1</v>
      </c>
      <c r="E106" s="7" t="s">
        <v>1</v>
      </c>
      <c r="F106" s="7" t="s">
        <v>1</v>
      </c>
      <c r="G106" s="7" t="s">
        <v>1</v>
      </c>
      <c r="H106" s="7" t="s">
        <v>1</v>
      </c>
      <c r="I106" s="7" t="s">
        <v>1</v>
      </c>
      <c r="J106" s="7" t="s">
        <v>1</v>
      </c>
      <c r="K106" s="7" t="s">
        <v>1</v>
      </c>
      <c r="L106" s="41" t="s">
        <v>1</v>
      </c>
      <c r="M106" s="41" t="s">
        <v>1</v>
      </c>
      <c r="N106" s="41" t="s">
        <v>1</v>
      </c>
      <c r="O106" s="41" t="s">
        <v>1</v>
      </c>
      <c r="P106" s="41" t="s">
        <v>1</v>
      </c>
      <c r="Q106" s="41" t="s">
        <v>1</v>
      </c>
      <c r="R106" s="41" t="s">
        <v>1</v>
      </c>
      <c r="S106" s="41" t="s">
        <v>1</v>
      </c>
      <c r="T106" s="41" t="s">
        <v>1</v>
      </c>
      <c r="U106" s="41" t="s">
        <v>1</v>
      </c>
      <c r="V106" s="41" t="s">
        <v>1</v>
      </c>
      <c r="W106" s="41" t="s">
        <v>1</v>
      </c>
      <c r="X106" s="41" t="s">
        <v>1</v>
      </c>
      <c r="Y106" s="41" t="s">
        <v>1</v>
      </c>
      <c r="Z106" s="41" t="s">
        <v>1</v>
      </c>
      <c r="AA106" s="41" t="s">
        <v>1</v>
      </c>
      <c r="AB106" s="41" t="s">
        <v>1</v>
      </c>
    </row>
  </sheetData>
  <mergeCells count="16">
    <mergeCell ref="A1:AB1"/>
    <mergeCell ref="J2:Q2"/>
    <mergeCell ref="W24:AB24"/>
    <mergeCell ref="A26:E26"/>
    <mergeCell ref="L26:P26"/>
    <mergeCell ref="A38:B38"/>
    <mergeCell ref="W38:AF38"/>
    <mergeCell ref="J47:N47"/>
    <mergeCell ref="A48:C48"/>
    <mergeCell ref="J48:N48"/>
    <mergeCell ref="A57:H57"/>
    <mergeCell ref="A67:F67"/>
    <mergeCell ref="A81:K81"/>
    <mergeCell ref="C84:G84"/>
    <mergeCell ref="A105:E105"/>
    <mergeCell ref="A106:E106"/>
  </mergeCells>
  <pageMargins left="0.75" right="0.75" top="1" bottom="1" header="0.5" footer="0.5"/>
  <pageSetup paperSize="9" orientation="portrait"/>
  <headerFooter/>
  <ignoredErrors>
    <ignoredError sqref="A1:AK126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 转轮表+模式计数→RTP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2026-09-27T15:38:00Z</dcterms:created>
  <dcterms:modified xsi:type="dcterms:W3CDTF">2026-09-29T15:57:07Z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37BF7FB319F94CE4BB9BCF2ABAE1FABD_12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