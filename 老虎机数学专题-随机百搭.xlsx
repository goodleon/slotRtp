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/>
  </bookViews>
  <sheets>
    <sheet name="说明" sheetId="1" r:id="rId1"/>
    <sheet name="随机百搭 条件机率+状态RTP→RTP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<sst xmlns="http://schemas.openxmlformats.org/spreadsheetml/2006/main" count="1616" uniqueCount="95">
  <si>
    <t>随机百搭 Random Wilds</t>
  </si>
  <si>
    <t xml:space="preserve"> </t>
  </si>
  <si>
    <t>来源：https://ezslotdesign.com/random-wilds/（作者：无厘兔，2020.10.26）</t>
  </si>
  <si>
    <t/>
  </si>
  <si>
    <t>规则：Spin后随机在盘面添加1~15个W（3x5=15格）。</t>
  </si>
  <si>
    <t>爆开算=2^15=32768组RTP不可行 → 借黏性百搭概念：一条线2^5=32种状态。</t>
  </si>
  <si>
    <t>条件机率（原文示例 k=10、状态17={W,W,W,-,-}）：</t>
  </si>
  <si>
    <t xml:space="preserve">  P = C(15-5, k-线上W数) / C(15,k) = C(10,7)/C(15,10)</t>
  </si>
  <si>
    <t>总RTP = Σ_k P(k) x Σ_i P(状态i|k) x RTP(i)</t>
  </si>
  <si>
    <t>示范数据：轮带无W（各图案4个，轮长20）；k=1~15各1/15权重（蓝字可改）。</t>
  </si>
  <si>
    <t>（本簿已合并为 2 个页签：说明、随机百搭 条件机率+状态RTP→RTP；各区块：转轮表 第2~11行，赔率表 第14~21行，32状态RTP 第24~58行，16x32条件机率 第61~97行，RTP汇总 第100~107行）</t>
  </si>
  <si>
    <t>── 完整文档（原 老虎机数学专题-随机百搭.md 存档）──</t>
  </si>
  <si>
    <t>老虎机数学专题 —— 随机百搭（Random Wilds）</t>
  </si>
  <si>
    <t>来源：https://ezslotdesign.com/random-wilds/ （作者：无厘兔，2020.10.26；表格数据为方法描述）</t>
  </si>
  <si>
    <t>配图：原文 5 张配图已下载到本目录 images/random-wilds/ 并嵌入本文。</t>
  </si>
  <si>
    <t>配套模型：老虎机数学专题-随机百搭.xlsx</t>
  </si>
  <si>
    <t>一、特色定义</t>
  </si>
  <si>
    <t>[图片] 参考游戏（金字塔图案即随机百搭）  images/random-wilds/01-Footy-Frenzy-2022-6943349-opt.webp</t>
  </si>
  <si>
    <t>Random Wilds（随机百搭）：Spin 结果出现后，系统随机在盘面额外添加 1~15 个 Wild（数量由权重表决定），增加连线机会。玩家期待「今天会分到几个 Wild」。</t>
  </si>
  <si>
    <t>二、为什么不能爆开算</t>
  </si>
  <si>
    <t>3 x 5 盘面、每格独立看是否被分配到百搭 → 2^15 = 32768 组 RTP，不可行。</t>
  </si>
  <si>
    <t>解法：借用黏性百搭的概念——一条得分线只有 5 个位置、每位置「有/没有」W → 2^5 = 32 种状态。</t>
  </si>
  <si>
    <t>三、计算步骤（原文）</t>
  </si>
  <si>
    <t>[图片] 原文配图 image-179  images/random-wilds/02-image-179-opt.webp</t>
  </si>
  <si>
    <t>• 1. 32 种状态的 RTP：把 W 位置的符号用百搭取代，算 32 次</t>
  </si>
  <si>
    <t>• 2. 16 x 32 概率表：触发 k（0~15）个百搭时，32 种线状态的条件机率</t>
  </si>
  <si>
    <t>• 3. 条件机率公式（原文示例：k=10、状态 17 = {W,W,W,-,-}）：</t>
  </si>
  <si>
    <t>• 15 格分配 10 个 WILD 的总方式 = C(15, 10)</t>
  </si>
  <si>
    <t>• 线上位置 {1,2,3} 是 WILD（3 个）、线外 10 格还需分配 10−3=7 个 → C(10, 7)</t>
  </si>
  <si>
    <t>• 条件机率 = C(10, 7) / C(15, 10)</t>
  </si>
  <si>
    <t>• 4. 总 RTP = Σ（分配到 k 个 WILD 的机率）× Σ（状态 i 条件机率 × 状态 i RTP）</t>
  </si>
  <si>
    <t>四、Excel 模型（示范数据）</t>
  </si>
  <si>
    <t>[图片] 原文工作簿：16×32 条件机率表（COMBIN 公式，k&lt;m 显示 #NUM!）  images/random-wilds/04-image-180.png</t>
  </si>
  <si>
    <t>• 5 个转轮：K/Q/J/10/9 各 4（轮长 20，轮带上无 W——W 全部来自随机分配）</t>
  </si>
  <si>
    <t>• 32 状态 RTP：cnt(s, r) = 4 + 状态位元 × 1</t>
  </si>
  <si>
    <t>• 16×32 条件机率表：P = IF(0≤k−m≤10, COMBIN(10,k−m)/COMBIN(15,k), 0)，m=线上 W 数</t>
  </si>
  <si>
    <t>• k 分布权重：k=1~15 各 1/15（蓝字可改为任意权重表；k=0 权重 0）</t>
  </si>
  <si>
    <t>• 验证：每个 k 的 32 状态条件机率合计 = 1</t>
  </si>
  <si>
    <t>工作表</t>
  </si>
  <si>
    <t>内容</t>
  </si>
  <si>
    <t>说明</t>
  </si>
  <si>
    <t>设定</t>
  </si>
  <si>
    <t>随机百搭 条件机率+状态RTP→RTP</t>
  </si>
  <si>
    <t>转轮表 / 赔率表 + 32状态RTP（各状态 RTP）+ 16x32条件机率（k=0~15 × 32 状态的条件机率与行合计校验）+ RTP汇总（k 权重、各 k 期望 RTP、特色总 RTP）</t>
  </si>
  <si>
    <t>原文数据核对（读图回填）</t>
  </si>
  <si>
    <r>
      <rPr>
        <sz val="11"/>
        <color rgb="FF000000"/>
        <rFont val="微软雅黑"/>
        <charset val="134"/>
      </rPr>
      <t xml:space="preserve">• 原文 16×32 表公式：=COMBIN(10,10−SUM(线上W位元))/COMBIN(15,10)（k=10 列）——与本模型 C(10,k−m)/C(15,k) 一致 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</si>
  <si>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>• 原表中 k &lt; 线上W数 的格显示 #NUM!（COMBIN 负参），本模型用 IF 返回 0（等价且更干净）</t>
    </r>
    <r>
      <rPr>
        <sz val="11"/>
        <color rgb="FF000000"/>
        <rFont val="宋体"/>
        <charset val="134"/>
      </rPr>
      <t>✓</t>
    </r>
  </si>
  <si>
    <t>• 原文的转轮表/赔率表/32 状态 RTP 未在截图中 → 本模型沿用示范数据（蓝字可改）</t>
  </si>
  <si>
    <t>配图清单（images/random-wilds/）</t>
  </si>
  <si>
    <t>文件</t>
  </si>
  <si>
    <t>images/random-wilds/01-Footy-Frenzy-2022-6943349-opt.webp</t>
  </si>
  <si>
    <t>参考游戏画面</t>
  </si>
  <si>
    <t>images/random-wilds/02-image-179-opt.webp</t>
  </si>
  <si>
    <t>原文配图 image-179（大图）</t>
  </si>
  <si>
    <t>images/random-wilds/03-image-179-opt.webp</t>
  </si>
  <si>
    <t>同图（小图重复）</t>
  </si>
  <si>
    <t>images/random-wilds/04-image-180.png</t>
  </si>
  <si>
    <t>16×32 条件机率表</t>
  </si>
  <si>
    <t>images/random-wilds/05-image-180.png</t>
  </si>
  <si>
    <t>同图（大图重复）</t>
  </si>
  <si>
    <t>【转轮表】</t>
  </si>
  <si>
    <t>转轮表（图案次数，蓝字可改）—— 轮带无W（W全部来自随机分配）</t>
  </si>
  <si>
    <t>轮长</t>
  </si>
  <si>
    <t>图案</t>
  </si>
  <si>
    <t>轮1</t>
  </si>
  <si>
    <t>轮2</t>
  </si>
  <si>
    <t>轮3</t>
  </si>
  <si>
    <t>轮4</t>
  </si>
  <si>
    <t>轮5</t>
  </si>
  <si>
    <t>K</t>
  </si>
  <si>
    <t>Q</t>
  </si>
  <si>
    <t>J</t>
  </si>
  <si>
    <t>10</t>
  </si>
  <si>
    <t>9</t>
  </si>
  <si>
    <t>W个数</t>
  </si>
  <si>
    <t>【赔率表】</t>
  </si>
  <si>
    <t>赔率表（蓝字可改）</t>
  </si>
  <si>
    <t>3连线</t>
  </si>
  <si>
    <t>4连线</t>
  </si>
  <si>
    <t>5连线</t>
  </si>
  <si>
    <t>【32状态RTP】</t>
  </si>
  <si>
    <t>32种线状态的RTP（位元=该轮线位置被分配到W）</t>
  </si>
  <si>
    <t>状态</t>
  </si>
  <si>
    <t>状态RTP</t>
  </si>
  <si>
    <t>【16x32条件机率】</t>
  </si>
  <si>
    <t>条件机率 P(状态|共k个W) = C(10,k-m)/C(15,k)；行=状态(32)，列=k(0~15)</t>
  </si>
  <si>
    <t>m(线上W数)</t>
  </si>
  <si>
    <t>每k合计(=1)</t>
  </si>
  <si>
    <t>【RTP汇总】</t>
  </si>
  <si>
    <t>RTP汇总</t>
  </si>
  <si>
    <t>k(0~15)</t>
  </si>
  <si>
    <t>权重P(k)</t>
  </si>
  <si>
    <t>各k期望RTP</t>
  </si>
  <si>
    <t>权重合计(应=1)</t>
  </si>
  <si>
    <t>特色总RTP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</si>
</sst>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0000"/>
  </numFmts>
  <fonts count="32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name val="微软雅黑"/>
      <charset val="134"/>
    </font>
    <font>
      <sz val="11"/>
      <color rgb="FF0000FF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4" fillId="0" borderId="0" xfId="0" applyFont="1" applyBorder="1"/>
    <xf numFmtId="0" fontId="5" fillId="0" borderId="0" xfId="0" applyFont="1" applyBorder="1"/>
    <xf numFmtId="176" fontId="2" fillId="0" borderId="0" xfId="0" applyNumberFormat="1" applyFont="1" applyBorder="1"/>
    <xf numFmtId="177" fontId="2" fillId="0" borderId="0" xfId="0" applyNumberFormat="1" applyFont="1" applyBorder="1"/>
    <xf numFmtId="177" fontId="2" fillId="4" borderId="0" xfId="0" applyNumberFormat="1" applyFont="1" applyFill="1" applyBorder="1"/>
    <xf numFmtId="176" fontId="5" fillId="0" borderId="0" xfId="0" applyNumberFormat="1" applyFont="1" applyBorder="1"/>
    <xf numFmtId="176" fontId="2" fillId="4" borderId="0" xfId="0" applyNumberFormat="1" applyFont="1" applyFill="1" applyBorder="1"/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22</xdr:row>
      <xdr:rowOff>0</xdr:rowOff>
    </xdr:from>
    <xdr:to>
      <xdr:col>9</xdr:col>
      <xdr:colOff>463550</xdr:colOff>
      <xdr:row>30</xdr:row>
      <xdr:rowOff>158750</xdr:rowOff>
    </xdr:to>
    <xdr:pic>
      <xdr:nvPicPr>
        <xdr:cNvPr id="2" name="图片 1" descr="01-Footy-Frenzy-2022-6943349-opt"/>
        <xdr:cNvPicPr/>
      </xdr:nvPicPr>
      <xdr:blipFill>
        <a:blip r:embed="rId1"/>
        <a:stretch>
          <a:fillRect/>
        </a:stretch>
      </xdr:blipFill>
      <xdr:spPr>
        <a:xfrm>
          <a:off x="5943600" y="4419600"/>
          <a:ext cx="5461000" cy="18605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31</xdr:row>
      <xdr:rowOff>50800</xdr:rowOff>
    </xdr:from>
    <xdr:to>
      <xdr:col>9</xdr:col>
      <xdr:colOff>463550</xdr:colOff>
      <xdr:row>41</xdr:row>
      <xdr:rowOff>158750</xdr:rowOff>
    </xdr:to>
    <xdr:pic>
      <xdr:nvPicPr>
        <xdr:cNvPr id="3" name="图片 2" descr="02-image-179-opt"/>
        <xdr:cNvPicPr/>
      </xdr:nvPicPr>
      <xdr:blipFill>
        <a:blip r:embed="rId2"/>
        <a:stretch>
          <a:fillRect/>
        </a:stretch>
      </xdr:blipFill>
      <xdr:spPr>
        <a:xfrm>
          <a:off x="5943600" y="6381750"/>
          <a:ext cx="5461000" cy="22161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42</xdr:row>
      <xdr:rowOff>50800</xdr:rowOff>
    </xdr:from>
    <xdr:to>
      <xdr:col>9</xdr:col>
      <xdr:colOff>463550</xdr:colOff>
      <xdr:row>52</xdr:row>
      <xdr:rowOff>107950</xdr:rowOff>
    </xdr:to>
    <xdr:pic>
      <xdr:nvPicPr>
        <xdr:cNvPr id="4" name="图片 3" descr="04-image-180"/>
        <xdr:cNvPicPr/>
      </xdr:nvPicPr>
      <xdr:blipFill>
        <a:blip r:embed="rId3"/>
        <a:stretch>
          <a:fillRect/>
        </a:stretch>
      </xdr:blipFill>
      <xdr:spPr>
        <a:xfrm>
          <a:off x="5943600" y="8699500"/>
          <a:ext cx="5461000" cy="2311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3"/>
  <sheetViews>
    <sheetView tabSelected="1" workbookViewId="0">
      <selection activeCell="A1" sqref="A1:B1"/>
    </sheetView>
  </sheetViews>
  <sheetFormatPr defaultColWidth="9" defaultRowHeight="14"/>
  <cols>
    <col min="1" max="1" width="84.6363636363636" style="14" customWidth="1"/>
  </cols>
  <sheetData>
    <row r="1" ht="22" customHeight="1" spans="1:10">
      <c r="A1" s="15" t="s">
        <v>0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</row>
    <row r="2" customHeight="1" spans="1:10">
      <c r="A2" s="17" t="s">
        <v>2</v>
      </c>
      <c r="B2" s="18" t="s">
        <v>1</v>
      </c>
      <c r="C2" s="18" t="s">
        <v>1</v>
      </c>
      <c r="D2" s="18" t="s">
        <v>1</v>
      </c>
      <c r="E2" s="18" t="s">
        <v>1</v>
      </c>
      <c r="F2" s="18" t="s">
        <v>1</v>
      </c>
      <c r="G2" s="18" t="s">
        <v>1</v>
      </c>
      <c r="H2" s="18" t="s">
        <v>1</v>
      </c>
      <c r="I2" s="18" t="s">
        <v>1</v>
      </c>
      <c r="J2" s="18" t="s">
        <v>1</v>
      </c>
    </row>
    <row r="3" customHeight="1" spans="1:10">
      <c r="A3" s="17" t="s">
        <v>3</v>
      </c>
      <c r="B3" s="18" t="s">
        <v>1</v>
      </c>
      <c r="C3" s="18" t="s">
        <v>1</v>
      </c>
      <c r="D3" s="18" t="s">
        <v>1</v>
      </c>
      <c r="E3" s="18" t="s">
        <v>1</v>
      </c>
      <c r="F3" s="18" t="s">
        <v>1</v>
      </c>
      <c r="G3" s="18" t="s">
        <v>1</v>
      </c>
      <c r="H3" s="18" t="s">
        <v>1</v>
      </c>
      <c r="I3" s="18" t="s">
        <v>1</v>
      </c>
      <c r="J3" s="18" t="s">
        <v>1</v>
      </c>
    </row>
    <row r="4" customHeight="1" spans="1:10">
      <c r="A4" s="17" t="s">
        <v>4</v>
      </c>
      <c r="B4" s="18" t="s">
        <v>1</v>
      </c>
      <c r="C4" s="18" t="s">
        <v>1</v>
      </c>
      <c r="D4" s="18" t="s">
        <v>1</v>
      </c>
      <c r="E4" s="18" t="s">
        <v>1</v>
      </c>
      <c r="F4" s="18" t="s">
        <v>1</v>
      </c>
      <c r="G4" s="18" t="s">
        <v>1</v>
      </c>
      <c r="H4" s="18" t="s">
        <v>1</v>
      </c>
      <c r="I4" s="18" t="s">
        <v>1</v>
      </c>
      <c r="J4" s="18" t="s">
        <v>1</v>
      </c>
    </row>
    <row r="5" customHeight="1" spans="1:10">
      <c r="A5" s="17" t="s">
        <v>5</v>
      </c>
      <c r="B5" s="18" t="s">
        <v>1</v>
      </c>
      <c r="C5" s="18" t="s">
        <v>1</v>
      </c>
      <c r="D5" s="18" t="s">
        <v>1</v>
      </c>
      <c r="E5" s="18" t="s">
        <v>1</v>
      </c>
      <c r="F5" s="18" t="s">
        <v>1</v>
      </c>
      <c r="G5" s="18" t="s">
        <v>1</v>
      </c>
      <c r="H5" s="18" t="s">
        <v>1</v>
      </c>
      <c r="I5" s="18" t="s">
        <v>1</v>
      </c>
      <c r="J5" s="18" t="s">
        <v>1</v>
      </c>
    </row>
    <row r="6" customHeight="1" spans="1:10">
      <c r="A6" s="17" t="s">
        <v>3</v>
      </c>
      <c r="B6" s="18" t="s">
        <v>1</v>
      </c>
      <c r="C6" s="18" t="s">
        <v>1</v>
      </c>
      <c r="D6" s="18" t="s">
        <v>1</v>
      </c>
      <c r="E6" s="18" t="s">
        <v>1</v>
      </c>
      <c r="F6" s="18" t="s">
        <v>1</v>
      </c>
      <c r="G6" s="18" t="s">
        <v>1</v>
      </c>
      <c r="H6" s="18" t="s">
        <v>1</v>
      </c>
      <c r="I6" s="18" t="s">
        <v>1</v>
      </c>
      <c r="J6" s="18" t="s">
        <v>1</v>
      </c>
    </row>
    <row r="7" customHeight="1" spans="1:10">
      <c r="A7" s="17" t="s">
        <v>6</v>
      </c>
      <c r="B7" s="18" t="s">
        <v>1</v>
      </c>
      <c r="C7" s="18" t="s">
        <v>1</v>
      </c>
      <c r="D7" s="18" t="s">
        <v>1</v>
      </c>
      <c r="E7" s="18" t="s">
        <v>1</v>
      </c>
      <c r="F7" s="18" t="s">
        <v>1</v>
      </c>
      <c r="G7" s="18" t="s">
        <v>1</v>
      </c>
      <c r="H7" s="18" t="s">
        <v>1</v>
      </c>
      <c r="I7" s="18" t="s">
        <v>1</v>
      </c>
      <c r="J7" s="18" t="s">
        <v>1</v>
      </c>
    </row>
    <row r="8" customHeight="1" spans="1:10">
      <c r="A8" s="17" t="s">
        <v>7</v>
      </c>
      <c r="B8" s="18" t="s">
        <v>1</v>
      </c>
      <c r="C8" s="18" t="s">
        <v>1</v>
      </c>
      <c r="D8" s="18" t="s">
        <v>1</v>
      </c>
      <c r="E8" s="18" t="s">
        <v>1</v>
      </c>
      <c r="F8" s="18" t="s">
        <v>1</v>
      </c>
      <c r="G8" s="18" t="s">
        <v>1</v>
      </c>
      <c r="H8" s="18" t="s">
        <v>1</v>
      </c>
      <c r="I8" s="18" t="s">
        <v>1</v>
      </c>
      <c r="J8" s="18" t="s">
        <v>1</v>
      </c>
    </row>
    <row r="9" customHeight="1" spans="1:10">
      <c r="A9" s="17" t="s">
        <v>8</v>
      </c>
      <c r="B9" s="18" t="s">
        <v>1</v>
      </c>
      <c r="C9" s="18" t="s">
        <v>1</v>
      </c>
      <c r="D9" s="18" t="s">
        <v>1</v>
      </c>
      <c r="E9" s="18" t="s">
        <v>1</v>
      </c>
      <c r="F9" s="18" t="s">
        <v>1</v>
      </c>
      <c r="G9" s="18" t="s">
        <v>1</v>
      </c>
      <c r="H9" s="18" t="s">
        <v>1</v>
      </c>
      <c r="I9" s="18" t="s">
        <v>1</v>
      </c>
      <c r="J9" s="18" t="s">
        <v>1</v>
      </c>
    </row>
    <row r="10" customHeight="1" spans="1:10">
      <c r="A10" s="17" t="s">
        <v>3</v>
      </c>
      <c r="B10" s="18" t="s">
        <v>1</v>
      </c>
      <c r="C10" s="18" t="s">
        <v>1</v>
      </c>
      <c r="D10" s="18" t="s">
        <v>1</v>
      </c>
      <c r="E10" s="18" t="s">
        <v>1</v>
      </c>
      <c r="F10" s="18" t="s">
        <v>1</v>
      </c>
      <c r="G10" s="18" t="s">
        <v>1</v>
      </c>
      <c r="H10" s="18" t="s">
        <v>1</v>
      </c>
      <c r="I10" s="18" t="s">
        <v>1</v>
      </c>
      <c r="J10" s="18" t="s">
        <v>1</v>
      </c>
    </row>
    <row r="11" customHeight="1" spans="1:10">
      <c r="A11" s="17" t="s">
        <v>9</v>
      </c>
      <c r="B11" s="18" t="s">
        <v>1</v>
      </c>
      <c r="C11" s="18" t="s">
        <v>1</v>
      </c>
      <c r="D11" s="18" t="s">
        <v>1</v>
      </c>
      <c r="E11" s="18" t="s">
        <v>1</v>
      </c>
      <c r="F11" s="18" t="s">
        <v>1</v>
      </c>
      <c r="G11" s="18" t="s">
        <v>1</v>
      </c>
      <c r="H11" s="18" t="s">
        <v>1</v>
      </c>
      <c r="I11" s="18" t="s">
        <v>1</v>
      </c>
      <c r="J11" s="18" t="s">
        <v>1</v>
      </c>
    </row>
    <row r="12" customHeight="1" spans="1:10">
      <c r="A12" s="17" t="s">
        <v>1</v>
      </c>
      <c r="B12" s="18" t="s">
        <v>1</v>
      </c>
      <c r="C12" s="18" t="s">
        <v>1</v>
      </c>
      <c r="D12" s="18" t="s">
        <v>1</v>
      </c>
      <c r="E12" s="18" t="s">
        <v>1</v>
      </c>
      <c r="F12" s="18" t="s">
        <v>1</v>
      </c>
      <c r="G12" s="18" t="s">
        <v>1</v>
      </c>
      <c r="H12" s="18" t="s">
        <v>1</v>
      </c>
      <c r="I12" s="18" t="s">
        <v>1</v>
      </c>
      <c r="J12" s="18" t="s">
        <v>1</v>
      </c>
    </row>
    <row r="13" customHeight="1" spans="1:10">
      <c r="A13" s="19" t="s">
        <v>10</v>
      </c>
      <c r="B13" s="18" t="s">
        <v>1</v>
      </c>
      <c r="C13" s="18" t="s">
        <v>1</v>
      </c>
      <c r="D13" s="18" t="s">
        <v>1</v>
      </c>
      <c r="E13" s="18" t="s">
        <v>1</v>
      </c>
      <c r="F13" s="18" t="s">
        <v>1</v>
      </c>
      <c r="G13" s="18" t="s">
        <v>1</v>
      </c>
      <c r="H13" s="18" t="s">
        <v>1</v>
      </c>
      <c r="I13" s="18" t="s">
        <v>1</v>
      </c>
      <c r="J13" s="18" t="s">
        <v>1</v>
      </c>
    </row>
    <row r="14" ht="16.5" spans="1:10">
      <c r="A14" s="17" t="s">
        <v>1</v>
      </c>
      <c r="B14" s="18" t="s">
        <v>1</v>
      </c>
      <c r="C14" s="18" t="s">
        <v>1</v>
      </c>
      <c r="D14" s="18" t="s">
        <v>1</v>
      </c>
      <c r="E14" s="18" t="s">
        <v>1</v>
      </c>
      <c r="F14" s="18" t="s">
        <v>1</v>
      </c>
      <c r="G14" s="18" t="s">
        <v>1</v>
      </c>
      <c r="H14" s="18" t="s">
        <v>1</v>
      </c>
      <c r="I14" s="18" t="s">
        <v>1</v>
      </c>
      <c r="J14" s="18" t="s">
        <v>1</v>
      </c>
    </row>
    <row r="15" ht="20" customHeight="1" spans="1:10">
      <c r="A15" s="20" t="s">
        <v>11</v>
      </c>
      <c r="B15" s="18" t="s">
        <v>1</v>
      </c>
      <c r="C15" s="18" t="s">
        <v>1</v>
      </c>
      <c r="D15" s="18" t="s">
        <v>1</v>
      </c>
      <c r="E15" s="18" t="s">
        <v>1</v>
      </c>
      <c r="F15" s="18" t="s">
        <v>1</v>
      </c>
      <c r="G15" s="18" t="s">
        <v>1</v>
      </c>
      <c r="H15" s="18" t="s">
        <v>1</v>
      </c>
      <c r="I15" s="18" t="s">
        <v>1</v>
      </c>
      <c r="J15" s="18" t="s">
        <v>1</v>
      </c>
    </row>
    <row r="16" ht="24" customHeight="1" spans="1:10">
      <c r="A16" s="21" t="s">
        <v>12</v>
      </c>
      <c r="B16" s="22" t="s">
        <v>1</v>
      </c>
      <c r="C16" s="22" t="s">
        <v>1</v>
      </c>
      <c r="D16" s="22" t="s">
        <v>1</v>
      </c>
      <c r="E16" s="22" t="s">
        <v>1</v>
      </c>
      <c r="F16" s="22" t="s">
        <v>1</v>
      </c>
      <c r="G16" s="22" t="s">
        <v>1</v>
      </c>
      <c r="H16" s="22" t="s">
        <v>1</v>
      </c>
      <c r="I16" s="22" t="s">
        <v>1</v>
      </c>
      <c r="J16" s="22" t="s">
        <v>1</v>
      </c>
    </row>
    <row r="17" spans="1:10">
      <c r="A17" s="23" t="s">
        <v>1</v>
      </c>
      <c r="B17" s="22" t="s">
        <v>1</v>
      </c>
      <c r="C17" s="22" t="s">
        <v>1</v>
      </c>
      <c r="D17" s="22" t="s">
        <v>1</v>
      </c>
      <c r="E17" s="22" t="s">
        <v>1</v>
      </c>
      <c r="F17" s="22" t="s">
        <v>1</v>
      </c>
      <c r="G17" s="22" t="s">
        <v>1</v>
      </c>
      <c r="H17" s="22" t="s">
        <v>1</v>
      </c>
      <c r="I17" s="22" t="s">
        <v>1</v>
      </c>
      <c r="J17" s="22" t="s">
        <v>1</v>
      </c>
    </row>
    <row r="18" ht="16.5" spans="1:10">
      <c r="A18" s="24" t="s">
        <v>13</v>
      </c>
      <c r="B18" s="22" t="s">
        <v>1</v>
      </c>
      <c r="C18" s="22" t="s">
        <v>1</v>
      </c>
      <c r="D18" s="22" t="s">
        <v>1</v>
      </c>
      <c r="E18" s="22" t="s">
        <v>1</v>
      </c>
      <c r="F18" s="22" t="s">
        <v>1</v>
      </c>
      <c r="G18" s="22" t="s">
        <v>1</v>
      </c>
      <c r="H18" s="22" t="s">
        <v>1</v>
      </c>
      <c r="I18" s="22" t="s">
        <v>1</v>
      </c>
      <c r="J18" s="22" t="s">
        <v>1</v>
      </c>
    </row>
    <row r="19" ht="16.5" spans="1:10">
      <c r="A19" s="24" t="s">
        <v>14</v>
      </c>
      <c r="B19" s="22" t="s">
        <v>1</v>
      </c>
      <c r="C19" s="22" t="s">
        <v>1</v>
      </c>
      <c r="D19" s="22" t="s">
        <v>1</v>
      </c>
      <c r="E19" s="22" t="s">
        <v>1</v>
      </c>
      <c r="F19" s="22" t="s">
        <v>1</v>
      </c>
      <c r="G19" s="22" t="s">
        <v>1</v>
      </c>
      <c r="H19" s="22" t="s">
        <v>1</v>
      </c>
      <c r="I19" s="22" t="s">
        <v>1</v>
      </c>
      <c r="J19" s="22" t="s">
        <v>1</v>
      </c>
    </row>
    <row r="20" ht="16.5" spans="1:10">
      <c r="A20" s="24" t="s">
        <v>15</v>
      </c>
      <c r="B20" s="22" t="s">
        <v>1</v>
      </c>
      <c r="C20" s="22" t="s">
        <v>1</v>
      </c>
      <c r="D20" s="22" t="s">
        <v>1</v>
      </c>
      <c r="E20" s="22" t="s">
        <v>1</v>
      </c>
      <c r="F20" s="22" t="s">
        <v>1</v>
      </c>
      <c r="G20" s="22" t="s">
        <v>1</v>
      </c>
      <c r="H20" s="22" t="s">
        <v>1</v>
      </c>
      <c r="I20" s="22" t="s">
        <v>1</v>
      </c>
      <c r="J20" s="22" t="s">
        <v>1</v>
      </c>
    </row>
    <row r="21" ht="20" customHeight="1" spans="1:10">
      <c r="A21" s="25" t="s">
        <v>16</v>
      </c>
      <c r="B21" s="22" t="s">
        <v>1</v>
      </c>
      <c r="C21" s="22" t="s">
        <v>1</v>
      </c>
      <c r="D21" s="22" t="s">
        <v>1</v>
      </c>
      <c r="E21" s="22" t="s">
        <v>1</v>
      </c>
      <c r="F21" s="22" t="s">
        <v>1</v>
      </c>
      <c r="G21" s="22" t="s">
        <v>1</v>
      </c>
      <c r="H21" s="22" t="s">
        <v>1</v>
      </c>
      <c r="I21" s="22" t="s">
        <v>1</v>
      </c>
      <c r="J21" s="22" t="s">
        <v>1</v>
      </c>
    </row>
    <row r="22" spans="1:10">
      <c r="A22" s="23" t="s">
        <v>1</v>
      </c>
      <c r="B22" s="22" t="s">
        <v>1</v>
      </c>
      <c r="C22" s="22" t="s">
        <v>1</v>
      </c>
      <c r="D22" s="22" t="s">
        <v>1</v>
      </c>
      <c r="E22" s="22" t="s">
        <v>1</v>
      </c>
      <c r="F22" s="22" t="s">
        <v>1</v>
      </c>
      <c r="G22" s="22" t="s">
        <v>1</v>
      </c>
      <c r="H22" s="22" t="s">
        <v>1</v>
      </c>
      <c r="I22" s="22" t="s">
        <v>1</v>
      </c>
      <c r="J22" s="22" t="s">
        <v>1</v>
      </c>
    </row>
    <row r="23" ht="16.5" spans="1:10">
      <c r="A23" s="26" t="s">
        <v>17</v>
      </c>
      <c r="B23" s="22" t="s">
        <v>1</v>
      </c>
      <c r="C23" s="22" t="s">
        <v>1</v>
      </c>
      <c r="D23" s="22" t="s">
        <v>1</v>
      </c>
      <c r="E23" s="22" t="s">
        <v>1</v>
      </c>
      <c r="F23" s="22" t="s">
        <v>1</v>
      </c>
      <c r="G23" s="22" t="s">
        <v>1</v>
      </c>
      <c r="H23" s="22" t="s">
        <v>1</v>
      </c>
      <c r="I23" s="22" t="s">
        <v>1</v>
      </c>
      <c r="J23" s="22" t="s">
        <v>1</v>
      </c>
    </row>
    <row r="24" ht="16.5" spans="1:10">
      <c r="A24" s="27" t="s">
        <v>18</v>
      </c>
      <c r="B24" s="22" t="s">
        <v>1</v>
      </c>
      <c r="C24" s="22" t="s">
        <v>1</v>
      </c>
      <c r="D24" s="22" t="s">
        <v>1</v>
      </c>
      <c r="E24" s="22" t="s">
        <v>1</v>
      </c>
      <c r="F24" s="22" t="s">
        <v>1</v>
      </c>
      <c r="G24" s="22" t="s">
        <v>1</v>
      </c>
      <c r="H24" s="22" t="s">
        <v>1</v>
      </c>
      <c r="I24" s="22" t="s">
        <v>1</v>
      </c>
      <c r="J24" s="22" t="s">
        <v>1</v>
      </c>
    </row>
    <row r="25" ht="20" customHeight="1" spans="1:10">
      <c r="A25" s="25" t="s">
        <v>19</v>
      </c>
      <c r="B25" s="22" t="s">
        <v>1</v>
      </c>
      <c r="C25" s="22" t="s">
        <v>1</v>
      </c>
      <c r="D25" s="22" t="s">
        <v>1</v>
      </c>
      <c r="E25" s="22" t="s">
        <v>1</v>
      </c>
      <c r="F25" s="22" t="s">
        <v>1</v>
      </c>
      <c r="G25" s="22" t="s">
        <v>1</v>
      </c>
      <c r="H25" s="22" t="s">
        <v>1</v>
      </c>
      <c r="I25" s="22" t="s">
        <v>1</v>
      </c>
      <c r="J25" s="22" t="s">
        <v>1</v>
      </c>
    </row>
    <row r="26" spans="1:10">
      <c r="A26" s="23" t="s">
        <v>1</v>
      </c>
      <c r="B26" s="22" t="s">
        <v>1</v>
      </c>
      <c r="C26" s="22" t="s">
        <v>1</v>
      </c>
      <c r="D26" s="22" t="s">
        <v>1</v>
      </c>
      <c r="E26" s="22" t="s">
        <v>1</v>
      </c>
      <c r="F26" s="22" t="s">
        <v>1</v>
      </c>
      <c r="G26" s="22" t="s">
        <v>1</v>
      </c>
      <c r="H26" s="22" t="s">
        <v>1</v>
      </c>
      <c r="I26" s="22" t="s">
        <v>1</v>
      </c>
      <c r="J26" s="22" t="s">
        <v>1</v>
      </c>
    </row>
    <row r="27" ht="16.5" spans="1:10">
      <c r="A27" s="26" t="s">
        <v>20</v>
      </c>
      <c r="B27" s="22" t="s">
        <v>1</v>
      </c>
      <c r="C27" s="22" t="s">
        <v>1</v>
      </c>
      <c r="D27" s="22" t="s">
        <v>1</v>
      </c>
      <c r="E27" s="22" t="s">
        <v>1</v>
      </c>
      <c r="F27" s="22" t="s">
        <v>1</v>
      </c>
      <c r="G27" s="22" t="s">
        <v>1</v>
      </c>
      <c r="H27" s="22" t="s">
        <v>1</v>
      </c>
      <c r="I27" s="22" t="s">
        <v>1</v>
      </c>
      <c r="J27" s="22" t="s">
        <v>1</v>
      </c>
    </row>
    <row r="28" ht="16.5" spans="1:10">
      <c r="A28" s="26" t="s">
        <v>21</v>
      </c>
      <c r="B28" s="22" t="s">
        <v>1</v>
      </c>
      <c r="C28" s="22" t="s">
        <v>1</v>
      </c>
      <c r="D28" s="22" t="s">
        <v>1</v>
      </c>
      <c r="E28" s="22" t="s">
        <v>1</v>
      </c>
      <c r="F28" s="22" t="s">
        <v>1</v>
      </c>
      <c r="G28" s="22" t="s">
        <v>1</v>
      </c>
      <c r="H28" s="22" t="s">
        <v>1</v>
      </c>
      <c r="I28" s="22" t="s">
        <v>1</v>
      </c>
      <c r="J28" s="22" t="s">
        <v>1</v>
      </c>
    </row>
    <row r="29" ht="20" customHeight="1" spans="1:10">
      <c r="A29" s="25" t="s">
        <v>22</v>
      </c>
      <c r="B29" s="22" t="s">
        <v>1</v>
      </c>
      <c r="C29" s="22" t="s">
        <v>1</v>
      </c>
      <c r="D29" s="22" t="s">
        <v>1</v>
      </c>
      <c r="E29" s="22" t="s">
        <v>1</v>
      </c>
      <c r="F29" s="22" t="s">
        <v>1</v>
      </c>
      <c r="G29" s="22" t="s">
        <v>1</v>
      </c>
      <c r="H29" s="22" t="s">
        <v>1</v>
      </c>
      <c r="I29" s="22" t="s">
        <v>1</v>
      </c>
      <c r="J29" s="22" t="s">
        <v>1</v>
      </c>
    </row>
    <row r="30" spans="1:10">
      <c r="A30" s="23" t="s">
        <v>1</v>
      </c>
      <c r="B30" s="22" t="s">
        <v>1</v>
      </c>
      <c r="C30" s="22" t="s">
        <v>1</v>
      </c>
      <c r="D30" s="22" t="s">
        <v>1</v>
      </c>
      <c r="E30" s="22" t="s">
        <v>1</v>
      </c>
      <c r="F30" s="22" t="s">
        <v>1</v>
      </c>
      <c r="G30" s="22" t="s">
        <v>1</v>
      </c>
      <c r="H30" s="22" t="s">
        <v>1</v>
      </c>
      <c r="I30" s="22" t="s">
        <v>1</v>
      </c>
      <c r="J30" s="22" t="s">
        <v>1</v>
      </c>
    </row>
    <row r="31" ht="16.5" spans="1:10">
      <c r="A31" s="26" t="s">
        <v>23</v>
      </c>
      <c r="B31" s="22" t="s">
        <v>1</v>
      </c>
      <c r="C31" s="22" t="s">
        <v>1</v>
      </c>
      <c r="D31" s="22" t="s">
        <v>1</v>
      </c>
      <c r="E31" s="22" t="s">
        <v>1</v>
      </c>
      <c r="F31" s="22" t="s">
        <v>1</v>
      </c>
      <c r="G31" s="22" t="s">
        <v>1</v>
      </c>
      <c r="H31" s="22" t="s">
        <v>1</v>
      </c>
      <c r="I31" s="22" t="s">
        <v>1</v>
      </c>
      <c r="J31" s="22" t="s">
        <v>1</v>
      </c>
    </row>
    <row r="32" ht="16.5" spans="1:10">
      <c r="A32" s="26" t="s">
        <v>24</v>
      </c>
      <c r="B32" s="22" t="s">
        <v>1</v>
      </c>
      <c r="C32" s="22" t="s">
        <v>1</v>
      </c>
      <c r="D32" s="22" t="s">
        <v>1</v>
      </c>
      <c r="E32" s="22" t="s">
        <v>1</v>
      </c>
      <c r="F32" s="22" t="s">
        <v>1</v>
      </c>
      <c r="G32" s="22" t="s">
        <v>1</v>
      </c>
      <c r="H32" s="22" t="s">
        <v>1</v>
      </c>
      <c r="I32" s="22" t="s">
        <v>1</v>
      </c>
      <c r="J32" s="22" t="s">
        <v>1</v>
      </c>
    </row>
    <row r="33" ht="16.5" spans="1:10">
      <c r="A33" s="26" t="s">
        <v>25</v>
      </c>
      <c r="B33" s="22" t="s">
        <v>1</v>
      </c>
      <c r="C33" s="22" t="s">
        <v>1</v>
      </c>
      <c r="D33" s="22" t="s">
        <v>1</v>
      </c>
      <c r="E33" s="22" t="s">
        <v>1</v>
      </c>
      <c r="F33" s="22" t="s">
        <v>1</v>
      </c>
      <c r="G33" s="22" t="s">
        <v>1</v>
      </c>
      <c r="H33" s="22" t="s">
        <v>1</v>
      </c>
      <c r="I33" s="22" t="s">
        <v>1</v>
      </c>
      <c r="J33" s="22" t="s">
        <v>1</v>
      </c>
    </row>
    <row r="34" ht="16.5" spans="1:10">
      <c r="A34" s="26" t="s">
        <v>26</v>
      </c>
      <c r="B34" s="22" t="s">
        <v>1</v>
      </c>
      <c r="C34" s="22" t="s">
        <v>1</v>
      </c>
      <c r="D34" s="22" t="s">
        <v>1</v>
      </c>
      <c r="E34" s="22" t="s">
        <v>1</v>
      </c>
      <c r="F34" s="22" t="s">
        <v>1</v>
      </c>
      <c r="G34" s="22" t="s">
        <v>1</v>
      </c>
      <c r="H34" s="22" t="s">
        <v>1</v>
      </c>
      <c r="I34" s="22" t="s">
        <v>1</v>
      </c>
      <c r="J34" s="22" t="s">
        <v>1</v>
      </c>
    </row>
    <row r="35" ht="16.5" spans="1:10">
      <c r="A35" s="26" t="s">
        <v>27</v>
      </c>
      <c r="B35" s="22" t="s">
        <v>1</v>
      </c>
      <c r="C35" s="22" t="s">
        <v>1</v>
      </c>
      <c r="D35" s="22" t="s">
        <v>1</v>
      </c>
      <c r="E35" s="22" t="s">
        <v>1</v>
      </c>
      <c r="F35" s="22" t="s">
        <v>1</v>
      </c>
      <c r="G35" s="22" t="s">
        <v>1</v>
      </c>
      <c r="H35" s="22" t="s">
        <v>1</v>
      </c>
      <c r="I35" s="22" t="s">
        <v>1</v>
      </c>
      <c r="J35" s="22" t="s">
        <v>1</v>
      </c>
    </row>
    <row r="36" ht="16.5" spans="1:10">
      <c r="A36" s="26" t="s">
        <v>28</v>
      </c>
      <c r="B36" s="22" t="s">
        <v>1</v>
      </c>
      <c r="C36" s="22" t="s">
        <v>1</v>
      </c>
      <c r="D36" s="22" t="s">
        <v>1</v>
      </c>
      <c r="E36" s="22" t="s">
        <v>1</v>
      </c>
      <c r="F36" s="22" t="s">
        <v>1</v>
      </c>
      <c r="G36" s="22" t="s">
        <v>1</v>
      </c>
      <c r="H36" s="22" t="s">
        <v>1</v>
      </c>
      <c r="I36" s="22" t="s">
        <v>1</v>
      </c>
      <c r="J36" s="22" t="s">
        <v>1</v>
      </c>
    </row>
    <row r="37" ht="16.5" spans="1:10">
      <c r="A37" s="26" t="s">
        <v>29</v>
      </c>
      <c r="B37" s="22" t="s">
        <v>1</v>
      </c>
      <c r="C37" s="22" t="s">
        <v>1</v>
      </c>
      <c r="D37" s="22" t="s">
        <v>1</v>
      </c>
      <c r="E37" s="22" t="s">
        <v>1</v>
      </c>
      <c r="F37" s="22" t="s">
        <v>1</v>
      </c>
      <c r="G37" s="22" t="s">
        <v>1</v>
      </c>
      <c r="H37" s="22" t="s">
        <v>1</v>
      </c>
      <c r="I37" s="22" t="s">
        <v>1</v>
      </c>
      <c r="J37" s="22" t="s">
        <v>1</v>
      </c>
    </row>
    <row r="38" ht="16.5" spans="1:10">
      <c r="A38" s="26" t="s">
        <v>30</v>
      </c>
      <c r="B38" s="22" t="s">
        <v>1</v>
      </c>
      <c r="C38" s="22" t="s">
        <v>1</v>
      </c>
      <c r="D38" s="22" t="s">
        <v>1</v>
      </c>
      <c r="E38" s="22" t="s">
        <v>1</v>
      </c>
      <c r="F38" s="22" t="s">
        <v>1</v>
      </c>
      <c r="G38" s="22" t="s">
        <v>1</v>
      </c>
      <c r="H38" s="22" t="s">
        <v>1</v>
      </c>
      <c r="I38" s="22" t="s">
        <v>1</v>
      </c>
      <c r="J38" s="22" t="s">
        <v>1</v>
      </c>
    </row>
    <row r="39" ht="20" customHeight="1" spans="1:10">
      <c r="A39" s="25" t="s">
        <v>31</v>
      </c>
      <c r="B39" s="22" t="s">
        <v>1</v>
      </c>
      <c r="C39" s="22" t="s">
        <v>1</v>
      </c>
      <c r="D39" s="22" t="s">
        <v>1</v>
      </c>
      <c r="E39" s="22" t="s">
        <v>1</v>
      </c>
      <c r="F39" s="22" t="s">
        <v>1</v>
      </c>
      <c r="G39" s="22" t="s">
        <v>1</v>
      </c>
      <c r="H39" s="22" t="s">
        <v>1</v>
      </c>
      <c r="I39" s="22" t="s">
        <v>1</v>
      </c>
      <c r="J39" s="22" t="s">
        <v>1</v>
      </c>
    </row>
    <row r="40" spans="1:10">
      <c r="A40" s="23" t="s">
        <v>1</v>
      </c>
      <c r="B40" s="22" t="s">
        <v>1</v>
      </c>
      <c r="C40" s="22" t="s">
        <v>1</v>
      </c>
      <c r="D40" s="22" t="s">
        <v>1</v>
      </c>
      <c r="E40" s="22" t="s">
        <v>1</v>
      </c>
      <c r="F40" s="22" t="s">
        <v>1</v>
      </c>
      <c r="G40" s="22" t="s">
        <v>1</v>
      </c>
      <c r="H40" s="22" t="s">
        <v>1</v>
      </c>
      <c r="I40" s="22" t="s">
        <v>1</v>
      </c>
      <c r="J40" s="22" t="s">
        <v>1</v>
      </c>
    </row>
    <row r="41" ht="16.5" spans="1:10">
      <c r="A41" s="26" t="s">
        <v>32</v>
      </c>
      <c r="B41" s="22" t="s">
        <v>1</v>
      </c>
      <c r="C41" s="22" t="s">
        <v>1</v>
      </c>
      <c r="D41" s="22" t="s">
        <v>1</v>
      </c>
      <c r="E41" s="22" t="s">
        <v>1</v>
      </c>
      <c r="F41" s="22" t="s">
        <v>1</v>
      </c>
      <c r="G41" s="22" t="s">
        <v>1</v>
      </c>
      <c r="H41" s="22" t="s">
        <v>1</v>
      </c>
      <c r="I41" s="22" t="s">
        <v>1</v>
      </c>
      <c r="J41" s="22" t="s">
        <v>1</v>
      </c>
    </row>
    <row r="42" ht="16.5" spans="1:10">
      <c r="A42" s="26" t="s">
        <v>33</v>
      </c>
      <c r="B42" s="22" t="s">
        <v>1</v>
      </c>
      <c r="C42" s="22" t="s">
        <v>1</v>
      </c>
      <c r="D42" s="22" t="s">
        <v>1</v>
      </c>
      <c r="E42" s="22" t="s">
        <v>1</v>
      </c>
      <c r="F42" s="22" t="s">
        <v>1</v>
      </c>
      <c r="G42" s="22" t="s">
        <v>1</v>
      </c>
      <c r="H42" s="22" t="s">
        <v>1</v>
      </c>
      <c r="I42" s="22" t="s">
        <v>1</v>
      </c>
      <c r="J42" s="22" t="s">
        <v>1</v>
      </c>
    </row>
    <row r="43" ht="16.5" spans="1:10">
      <c r="A43" s="26" t="s">
        <v>34</v>
      </c>
      <c r="B43" s="22" t="s">
        <v>1</v>
      </c>
      <c r="C43" s="22" t="s">
        <v>1</v>
      </c>
      <c r="D43" s="22" t="s">
        <v>1</v>
      </c>
      <c r="E43" s="22" t="s">
        <v>1</v>
      </c>
      <c r="F43" s="22" t="s">
        <v>1</v>
      </c>
      <c r="G43" s="22" t="s">
        <v>1</v>
      </c>
      <c r="H43" s="22" t="s">
        <v>1</v>
      </c>
      <c r="I43" s="22" t="s">
        <v>1</v>
      </c>
      <c r="J43" s="22" t="s">
        <v>1</v>
      </c>
    </row>
    <row r="44" ht="33" spans="1:10">
      <c r="A44" s="26" t="s">
        <v>35</v>
      </c>
      <c r="B44" s="22" t="s">
        <v>1</v>
      </c>
      <c r="C44" s="22" t="s">
        <v>1</v>
      </c>
      <c r="D44" s="22" t="s">
        <v>1</v>
      </c>
      <c r="E44" s="22" t="s">
        <v>1</v>
      </c>
      <c r="F44" s="22" t="s">
        <v>1</v>
      </c>
      <c r="G44" s="22" t="s">
        <v>1</v>
      </c>
      <c r="H44" s="22" t="s">
        <v>1</v>
      </c>
      <c r="I44" s="22" t="s">
        <v>1</v>
      </c>
      <c r="J44" s="22" t="s">
        <v>1</v>
      </c>
    </row>
    <row r="45" ht="16.5" spans="1:10">
      <c r="A45" s="26" t="s">
        <v>36</v>
      </c>
      <c r="B45" s="22" t="s">
        <v>1</v>
      </c>
      <c r="C45" s="22" t="s">
        <v>1</v>
      </c>
      <c r="D45" s="22" t="s">
        <v>1</v>
      </c>
      <c r="E45" s="22" t="s">
        <v>1</v>
      </c>
      <c r="F45" s="22" t="s">
        <v>1</v>
      </c>
      <c r="G45" s="22" t="s">
        <v>1</v>
      </c>
      <c r="H45" s="22" t="s">
        <v>1</v>
      </c>
      <c r="I45" s="22" t="s">
        <v>1</v>
      </c>
      <c r="J45" s="22" t="s">
        <v>1</v>
      </c>
    </row>
    <row r="46" ht="16.5" spans="1:10">
      <c r="A46" s="26" t="s">
        <v>37</v>
      </c>
      <c r="B46" s="22" t="s">
        <v>1</v>
      </c>
      <c r="C46" s="22" t="s">
        <v>1</v>
      </c>
      <c r="D46" s="22" t="s">
        <v>1</v>
      </c>
      <c r="E46" s="22" t="s">
        <v>1</v>
      </c>
      <c r="F46" s="22" t="s">
        <v>1</v>
      </c>
      <c r="G46" s="22" t="s">
        <v>1</v>
      </c>
      <c r="H46" s="22" t="s">
        <v>1</v>
      </c>
      <c r="I46" s="22" t="s">
        <v>1</v>
      </c>
      <c r="J46" s="22" t="s">
        <v>1</v>
      </c>
    </row>
    <row r="47" ht="18" customHeight="1" spans="1:10">
      <c r="A47" s="28" t="s">
        <v>38</v>
      </c>
      <c r="B47" s="29" t="s">
        <v>39</v>
      </c>
      <c r="C47" s="22" t="s">
        <v>1</v>
      </c>
      <c r="D47" s="22" t="s">
        <v>1</v>
      </c>
      <c r="E47" s="22" t="s">
        <v>1</v>
      </c>
      <c r="F47" s="22" t="s">
        <v>1</v>
      </c>
      <c r="G47" s="22" t="s">
        <v>1</v>
      </c>
      <c r="H47" s="22" t="s">
        <v>1</v>
      </c>
      <c r="I47" s="22" t="s">
        <v>1</v>
      </c>
      <c r="J47" s="22" t="s">
        <v>1</v>
      </c>
    </row>
    <row r="48" ht="14.5" spans="1:10">
      <c r="A48" s="30" t="s">
        <v>40</v>
      </c>
      <c r="B48" s="31" t="s">
        <v>41</v>
      </c>
      <c r="C48" s="22" t="s">
        <v>1</v>
      </c>
      <c r="D48" s="22" t="s">
        <v>1</v>
      </c>
      <c r="E48" s="22" t="s">
        <v>1</v>
      </c>
      <c r="F48" s="22" t="s">
        <v>1</v>
      </c>
      <c r="G48" s="22" t="s">
        <v>1</v>
      </c>
      <c r="H48" s="22" t="s">
        <v>1</v>
      </c>
      <c r="I48" s="22" t="s">
        <v>1</v>
      </c>
      <c r="J48" s="22" t="s">
        <v>1</v>
      </c>
    </row>
    <row r="49" ht="14.5" spans="1:10">
      <c r="A49" s="30" t="s">
        <v>42</v>
      </c>
      <c r="B49" s="31" t="s">
        <v>43</v>
      </c>
      <c r="C49" s="22" t="s">
        <v>1</v>
      </c>
      <c r="D49" s="22" t="s">
        <v>1</v>
      </c>
      <c r="E49" s="22" t="s">
        <v>1</v>
      </c>
      <c r="F49" s="22" t="s">
        <v>1</v>
      </c>
      <c r="G49" s="22" t="s">
        <v>1</v>
      </c>
      <c r="H49" s="22" t="s">
        <v>1</v>
      </c>
      <c r="I49" s="22" t="s">
        <v>1</v>
      </c>
      <c r="J49" s="22" t="s">
        <v>1</v>
      </c>
    </row>
    <row r="50" spans="1:10">
      <c r="A50" s="23" t="s">
        <v>1</v>
      </c>
      <c r="B50" s="22" t="s">
        <v>1</v>
      </c>
      <c r="C50" s="22" t="s">
        <v>1</v>
      </c>
      <c r="D50" s="22" t="s">
        <v>1</v>
      </c>
      <c r="E50" s="22" t="s">
        <v>1</v>
      </c>
      <c r="F50" s="22" t="s">
        <v>1</v>
      </c>
      <c r="G50" s="22" t="s">
        <v>1</v>
      </c>
      <c r="H50" s="22" t="s">
        <v>1</v>
      </c>
      <c r="I50" s="22" t="s">
        <v>1</v>
      </c>
      <c r="J50" s="22" t="s">
        <v>1</v>
      </c>
    </row>
    <row r="51" ht="20" customHeight="1" spans="1:10">
      <c r="A51" s="25" t="s">
        <v>44</v>
      </c>
      <c r="B51" s="22" t="s">
        <v>1</v>
      </c>
      <c r="C51" s="22" t="s">
        <v>1</v>
      </c>
      <c r="D51" s="22" t="s">
        <v>1</v>
      </c>
      <c r="E51" s="22" t="s">
        <v>1</v>
      </c>
      <c r="F51" s="22" t="s">
        <v>1</v>
      </c>
      <c r="G51" s="22" t="s">
        <v>1</v>
      </c>
      <c r="H51" s="22" t="s">
        <v>1</v>
      </c>
      <c r="I51" s="22" t="s">
        <v>1</v>
      </c>
      <c r="J51" s="22" t="s">
        <v>1</v>
      </c>
    </row>
    <row r="52" spans="1:10">
      <c r="A52" s="23" t="s">
        <v>1</v>
      </c>
      <c r="B52" s="22" t="s">
        <v>1</v>
      </c>
      <c r="C52" s="22" t="s">
        <v>1</v>
      </c>
      <c r="D52" s="22" t="s">
        <v>1</v>
      </c>
      <c r="E52" s="22" t="s">
        <v>1</v>
      </c>
      <c r="F52" s="22" t="s">
        <v>1</v>
      </c>
      <c r="G52" s="22" t="s">
        <v>1</v>
      </c>
      <c r="H52" s="22" t="s">
        <v>1</v>
      </c>
      <c r="I52" s="22" t="s">
        <v>1</v>
      </c>
      <c r="J52" s="22" t="s">
        <v>1</v>
      </c>
    </row>
    <row r="53" ht="16.5" spans="1:10">
      <c r="A53" s="27" t="s">
        <v>45</v>
      </c>
      <c r="B53" s="22" t="s">
        <v>1</v>
      </c>
      <c r="C53" s="22" t="s">
        <v>1</v>
      </c>
      <c r="D53" s="22" t="s">
        <v>1</v>
      </c>
      <c r="E53" s="22" t="s">
        <v>1</v>
      </c>
      <c r="F53" s="22" t="s">
        <v>1</v>
      </c>
      <c r="G53" s="22" t="s">
        <v>1</v>
      </c>
      <c r="H53" s="22" t="s">
        <v>1</v>
      </c>
      <c r="I53" s="22" t="s">
        <v>1</v>
      </c>
      <c r="J53" s="22" t="s">
        <v>1</v>
      </c>
    </row>
    <row r="54" ht="16.5" spans="1:10">
      <c r="A54" s="26" t="s">
        <v>46</v>
      </c>
      <c r="B54" s="22" t="s">
        <v>1</v>
      </c>
      <c r="C54" s="22" t="s">
        <v>1</v>
      </c>
      <c r="D54" s="22" t="s">
        <v>1</v>
      </c>
      <c r="E54" s="22" t="s">
        <v>1</v>
      </c>
      <c r="F54" s="22" t="s">
        <v>1</v>
      </c>
      <c r="G54" s="22" t="s">
        <v>1</v>
      </c>
      <c r="H54" s="22" t="s">
        <v>1</v>
      </c>
      <c r="I54" s="22" t="s">
        <v>1</v>
      </c>
      <c r="J54" s="22" t="s">
        <v>1</v>
      </c>
    </row>
    <row r="55" ht="16.5" spans="1:10">
      <c r="A55" s="26" t="s">
        <v>47</v>
      </c>
      <c r="B55" s="22" t="s">
        <v>1</v>
      </c>
      <c r="C55" s="22" t="s">
        <v>1</v>
      </c>
      <c r="D55" s="22" t="s">
        <v>1</v>
      </c>
      <c r="E55" s="22" t="s">
        <v>1</v>
      </c>
      <c r="F55" s="22" t="s">
        <v>1</v>
      </c>
      <c r="G55" s="22" t="s">
        <v>1</v>
      </c>
      <c r="H55" s="22" t="s">
        <v>1</v>
      </c>
      <c r="I55" s="22" t="s">
        <v>1</v>
      </c>
      <c r="J55" s="22" t="s">
        <v>1</v>
      </c>
    </row>
    <row r="56" ht="20" customHeight="1" spans="1:10">
      <c r="A56" s="25" t="s">
        <v>48</v>
      </c>
      <c r="B56" s="22" t="s">
        <v>1</v>
      </c>
      <c r="C56" s="22" t="s">
        <v>1</v>
      </c>
      <c r="D56" s="22" t="s">
        <v>1</v>
      </c>
      <c r="E56" s="22" t="s">
        <v>1</v>
      </c>
      <c r="F56" s="22" t="s">
        <v>1</v>
      </c>
      <c r="G56" s="22" t="s">
        <v>1</v>
      </c>
      <c r="H56" s="22" t="s">
        <v>1</v>
      </c>
      <c r="I56" s="22" t="s">
        <v>1</v>
      </c>
      <c r="J56" s="22" t="s">
        <v>1</v>
      </c>
    </row>
    <row r="57" spans="1:10">
      <c r="A57" s="23" t="s">
        <v>1</v>
      </c>
      <c r="B57" s="22" t="s">
        <v>1</v>
      </c>
      <c r="C57" s="22" t="s">
        <v>1</v>
      </c>
      <c r="D57" s="22" t="s">
        <v>1</v>
      </c>
      <c r="E57" s="22" t="s">
        <v>1</v>
      </c>
      <c r="F57" s="22" t="s">
        <v>1</v>
      </c>
      <c r="G57" s="22" t="s">
        <v>1</v>
      </c>
      <c r="H57" s="22" t="s">
        <v>1</v>
      </c>
      <c r="I57" s="22" t="s">
        <v>1</v>
      </c>
      <c r="J57" s="22" t="s">
        <v>1</v>
      </c>
    </row>
    <row r="58" ht="18" customHeight="1" spans="1:10">
      <c r="A58" s="28" t="s">
        <v>49</v>
      </c>
      <c r="B58" s="29" t="s">
        <v>40</v>
      </c>
      <c r="C58" s="22" t="s">
        <v>1</v>
      </c>
      <c r="D58" s="22" t="s">
        <v>1</v>
      </c>
      <c r="E58" s="22" t="s">
        <v>1</v>
      </c>
      <c r="F58" s="22" t="s">
        <v>1</v>
      </c>
      <c r="G58" s="22" t="s">
        <v>1</v>
      </c>
      <c r="H58" s="22" t="s">
        <v>1</v>
      </c>
      <c r="I58" s="22" t="s">
        <v>1</v>
      </c>
      <c r="J58" s="22" t="s">
        <v>1</v>
      </c>
    </row>
    <row r="59" ht="14.5" spans="1:10">
      <c r="A59" s="30" t="s">
        <v>50</v>
      </c>
      <c r="B59" s="31" t="s">
        <v>51</v>
      </c>
    </row>
    <row r="60" ht="14.5" spans="1:10">
      <c r="A60" s="30" t="s">
        <v>52</v>
      </c>
      <c r="B60" s="31" t="s">
        <v>53</v>
      </c>
      <c r="C60" s="22" t="s">
        <v>1</v>
      </c>
      <c r="D60" s="22" t="s">
        <v>1</v>
      </c>
      <c r="E60" s="22" t="s">
        <v>1</v>
      </c>
      <c r="F60" s="22" t="s">
        <v>1</v>
      </c>
      <c r="G60" s="22" t="s">
        <v>1</v>
      </c>
      <c r="H60" s="22" t="s">
        <v>1</v>
      </c>
      <c r="I60" s="22" t="s">
        <v>1</v>
      </c>
      <c r="J60" s="22" t="s">
        <v>1</v>
      </c>
    </row>
    <row r="61" ht="14.5" spans="1:10">
      <c r="A61" s="30" t="s">
        <v>54</v>
      </c>
      <c r="B61" s="31" t="s">
        <v>55</v>
      </c>
      <c r="C61" s="22" t="s">
        <v>1</v>
      </c>
      <c r="D61" s="22" t="s">
        <v>1</v>
      </c>
      <c r="E61" s="22" t="s">
        <v>1</v>
      </c>
      <c r="F61" s="22" t="s">
        <v>1</v>
      </c>
      <c r="G61" s="22" t="s">
        <v>1</v>
      </c>
      <c r="H61" s="22" t="s">
        <v>1</v>
      </c>
      <c r="I61" s="22" t="s">
        <v>1</v>
      </c>
      <c r="J61" s="22" t="s">
        <v>1</v>
      </c>
    </row>
    <row r="62" ht="14.5" spans="1:10">
      <c r="A62" s="30" t="s">
        <v>56</v>
      </c>
      <c r="B62" s="31" t="s">
        <v>57</v>
      </c>
      <c r="C62" s="22" t="s">
        <v>1</v>
      </c>
      <c r="D62" s="22" t="s">
        <v>1</v>
      </c>
      <c r="E62" s="22" t="s">
        <v>1</v>
      </c>
      <c r="F62" s="22" t="s">
        <v>1</v>
      </c>
      <c r="G62" s="22" t="s">
        <v>1</v>
      </c>
      <c r="H62" s="22" t="s">
        <v>1</v>
      </c>
      <c r="I62" s="22" t="s">
        <v>1</v>
      </c>
      <c r="J62" s="22" t="s">
        <v>1</v>
      </c>
    </row>
    <row r="63" ht="14.5" spans="1:10">
      <c r="A63" s="30" t="s">
        <v>58</v>
      </c>
      <c r="B63" s="31" t="s">
        <v>59</v>
      </c>
      <c r="C63" s="22" t="s">
        <v>1</v>
      </c>
      <c r="D63" s="22" t="s">
        <v>1</v>
      </c>
      <c r="E63" s="22" t="s">
        <v>1</v>
      </c>
      <c r="F63" s="22" t="s">
        <v>1</v>
      </c>
      <c r="G63" s="22" t="s">
        <v>1</v>
      </c>
      <c r="H63" s="22" t="s">
        <v>1</v>
      </c>
      <c r="I63" s="22" t="s">
        <v>1</v>
      </c>
      <c r="J63" s="22" t="s">
        <v>1</v>
      </c>
    </row>
  </sheetData>
  <mergeCells count="14">
    <mergeCell ref="A1:B1"/>
    <mergeCell ref="A13:K13"/>
    <mergeCell ref="A18:C18"/>
    <mergeCell ref="A23:D23"/>
    <mergeCell ref="A24:H24"/>
    <mergeCell ref="A28:C28"/>
    <mergeCell ref="A41:D41"/>
    <mergeCell ref="B49:Q49"/>
    <mergeCell ref="A53:D53"/>
    <mergeCell ref="A54:C54"/>
    <mergeCell ref="B60:D60"/>
    <mergeCell ref="B61:C61"/>
    <mergeCell ref="B62:C62"/>
    <mergeCell ref="B63:C63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7"/>
  <sheetViews>
    <sheetView topLeftCell="A59" workbookViewId="0">
      <selection activeCell="F43" sqref="F42:G43"/>
    </sheetView>
  </sheetViews>
  <sheetFormatPr defaultColWidth="8.72727272727273" defaultRowHeight="14"/>
  <cols>
    <col min="1" max="1" width="20.6363636363636" customWidth="1"/>
    <col min="2" max="18" width="13.6363636363636" customWidth="1"/>
  </cols>
  <sheetData>
    <row r="1" customHeight="1" spans="1:18">
      <c r="A1" s="1" t="s">
        <v>60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</row>
    <row r="2" ht="16.5" spans="1:18">
      <c r="A2" s="3" t="s">
        <v>61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</row>
    <row r="3" ht="16.5" spans="1:18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</row>
    <row r="4" customHeight="1" spans="1:18">
      <c r="A4" s="5" t="s">
        <v>62</v>
      </c>
      <c r="B4" s="5">
        <f>SUM(B6:B11)</f>
        <v>20</v>
      </c>
      <c r="C4" s="5">
        <f>SUM(C6:C11)</f>
        <v>20</v>
      </c>
      <c r="D4" s="5">
        <f>SUM(D6:D11)</f>
        <v>20</v>
      </c>
      <c r="E4" s="5">
        <f>SUM(E6:E11)</f>
        <v>20</v>
      </c>
      <c r="F4" s="5">
        <f>SUM(F6:F11)</f>
        <v>20</v>
      </c>
      <c r="G4" s="6" t="s">
        <v>1</v>
      </c>
      <c r="H4" s="2" t="s">
        <v>1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</row>
    <row r="5" ht="16.5" spans="1:18">
      <c r="A5" s="4" t="s">
        <v>63</v>
      </c>
      <c r="B5" s="7" t="s">
        <v>64</v>
      </c>
      <c r="C5" s="7" t="s">
        <v>65</v>
      </c>
      <c r="D5" s="7" t="s">
        <v>66</v>
      </c>
      <c r="E5" s="7" t="s">
        <v>67</v>
      </c>
      <c r="F5" s="7" t="s">
        <v>68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</row>
    <row r="6" ht="16.5" spans="1:18">
      <c r="A6" s="4" t="s">
        <v>69</v>
      </c>
      <c r="B6" s="8">
        <v>4</v>
      </c>
      <c r="C6" s="8">
        <v>4</v>
      </c>
      <c r="D6" s="8">
        <v>4</v>
      </c>
      <c r="E6" s="8">
        <v>4</v>
      </c>
      <c r="F6" s="8">
        <v>4</v>
      </c>
      <c r="G6" s="2" t="s">
        <v>1</v>
      </c>
      <c r="H6" s="2" t="s">
        <v>1</v>
      </c>
      <c r="I6" s="2" t="s">
        <v>1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</row>
    <row r="7" ht="16.5" spans="1:18">
      <c r="A7" s="4" t="s">
        <v>70</v>
      </c>
      <c r="B7" s="8">
        <v>4</v>
      </c>
      <c r="C7" s="8">
        <v>4</v>
      </c>
      <c r="D7" s="8">
        <v>4</v>
      </c>
      <c r="E7" s="8">
        <v>4</v>
      </c>
      <c r="F7" s="8">
        <v>4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</row>
    <row r="8" ht="16.5" spans="1:18">
      <c r="A8" s="4" t="s">
        <v>71</v>
      </c>
      <c r="B8" s="8">
        <v>4</v>
      </c>
      <c r="C8" s="8">
        <v>4</v>
      </c>
      <c r="D8" s="8">
        <v>4</v>
      </c>
      <c r="E8" s="8">
        <v>4</v>
      </c>
      <c r="F8" s="8">
        <v>4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2" t="s">
        <v>1</v>
      </c>
    </row>
    <row r="9" ht="16.5" spans="1:18">
      <c r="A9" s="4" t="s">
        <v>72</v>
      </c>
      <c r="B9" s="8">
        <v>4</v>
      </c>
      <c r="C9" s="8">
        <v>4</v>
      </c>
      <c r="D9" s="8">
        <v>4</v>
      </c>
      <c r="E9" s="8">
        <v>4</v>
      </c>
      <c r="F9" s="8">
        <v>4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</row>
    <row r="10" ht="16.5" spans="1:18">
      <c r="A10" s="4" t="s">
        <v>73</v>
      </c>
      <c r="B10" s="8">
        <v>4</v>
      </c>
      <c r="C10" s="8">
        <v>4</v>
      </c>
      <c r="D10" s="8">
        <v>4</v>
      </c>
      <c r="E10" s="8">
        <v>4</v>
      </c>
      <c r="F10" s="8">
        <v>4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</row>
    <row r="11" ht="16.5" spans="1:18">
      <c r="A11" s="4" t="s">
        <v>74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</row>
    <row r="12" ht="16.5" spans="1:18">
      <c r="A12" s="2" t="s">
        <v>1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</row>
    <row r="13" customHeight="1" spans="1:18">
      <c r="A13" s="1" t="s">
        <v>75</v>
      </c>
      <c r="B13" s="1" t="s">
        <v>1</v>
      </c>
      <c r="C13" s="1" t="s">
        <v>1</v>
      </c>
      <c r="D13" s="1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</row>
    <row r="14" ht="16.5" spans="1:18">
      <c r="A14" s="3" t="s">
        <v>76</v>
      </c>
      <c r="B14" s="4" t="s">
        <v>1</v>
      </c>
      <c r="C14" s="4" t="s">
        <v>1</v>
      </c>
      <c r="D14" s="4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</row>
    <row r="15" ht="16.5" spans="1:18">
      <c r="A15" s="4" t="s">
        <v>1</v>
      </c>
      <c r="B15" s="4" t="s">
        <v>1</v>
      </c>
      <c r="C15" s="4" t="s">
        <v>1</v>
      </c>
      <c r="D15" s="4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</row>
    <row r="16" customHeight="1" spans="1:18">
      <c r="A16" s="5" t="s">
        <v>63</v>
      </c>
      <c r="B16" s="5" t="s">
        <v>77</v>
      </c>
      <c r="C16" s="5" t="s">
        <v>78</v>
      </c>
      <c r="D16" s="5" t="s">
        <v>79</v>
      </c>
      <c r="E16" s="6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</row>
    <row r="17" ht="16.5" spans="1:18">
      <c r="A17" s="4" t="s">
        <v>69</v>
      </c>
      <c r="B17" s="8">
        <v>5</v>
      </c>
      <c r="C17" s="8">
        <v>15</v>
      </c>
      <c r="D17" s="8">
        <v>50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</row>
    <row r="18" ht="16.5" spans="1:18">
      <c r="A18" s="4" t="s">
        <v>70</v>
      </c>
      <c r="B18" s="8">
        <v>4</v>
      </c>
      <c r="C18" s="8">
        <v>12</v>
      </c>
      <c r="D18" s="8">
        <v>40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</row>
    <row r="19" ht="16.5" spans="1:18">
      <c r="A19" s="4" t="s">
        <v>71</v>
      </c>
      <c r="B19" s="8">
        <v>3</v>
      </c>
      <c r="C19" s="8">
        <v>10</v>
      </c>
      <c r="D19" s="8">
        <v>30</v>
      </c>
      <c r="E19" s="2" t="s">
        <v>1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</row>
    <row r="20" ht="16.5" spans="1:18">
      <c r="A20" s="4" t="s">
        <v>72</v>
      </c>
      <c r="B20" s="8">
        <v>3</v>
      </c>
      <c r="C20" s="8">
        <v>8</v>
      </c>
      <c r="D20" s="8">
        <v>25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2" t="s">
        <v>1</v>
      </c>
    </row>
    <row r="21" ht="16.5" spans="1:18">
      <c r="A21" s="4" t="s">
        <v>73</v>
      </c>
      <c r="B21" s="8">
        <v>2</v>
      </c>
      <c r="C21" s="8">
        <v>6</v>
      </c>
      <c r="D21" s="8">
        <v>20</v>
      </c>
      <c r="E21" s="2" t="s">
        <v>1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2" t="s">
        <v>1</v>
      </c>
    </row>
    <row r="22" ht="16.5" spans="1:18">
      <c r="A22" s="2" t="s">
        <v>1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</row>
    <row r="23" customHeight="1" spans="1:18">
      <c r="A23" s="1" t="s">
        <v>80</v>
      </c>
      <c r="B23" s="1" t="s">
        <v>1</v>
      </c>
      <c r="C23" s="1" t="s">
        <v>1</v>
      </c>
      <c r="D23" s="1" t="s">
        <v>1</v>
      </c>
      <c r="E23" s="1" t="s">
        <v>1</v>
      </c>
      <c r="F23" s="1" t="s">
        <v>1</v>
      </c>
      <c r="G23" s="1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</row>
    <row r="24" ht="16.5" spans="1:18">
      <c r="A24" s="3" t="s">
        <v>81</v>
      </c>
      <c r="B24" s="4" t="s">
        <v>1</v>
      </c>
      <c r="C24" s="4" t="s">
        <v>1</v>
      </c>
      <c r="D24" s="4" t="s">
        <v>1</v>
      </c>
      <c r="E24" s="4" t="s">
        <v>1</v>
      </c>
      <c r="F24" s="4" t="s">
        <v>1</v>
      </c>
      <c r="G24" s="4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</row>
    <row r="25" ht="16.5" spans="1:18">
      <c r="A25" s="4" t="s">
        <v>1</v>
      </c>
      <c r="B25" s="4" t="s">
        <v>1</v>
      </c>
      <c r="C25" s="4" t="s">
        <v>1</v>
      </c>
      <c r="D25" s="4" t="s">
        <v>1</v>
      </c>
      <c r="E25" s="4" t="s">
        <v>1</v>
      </c>
      <c r="F25" s="4" t="s">
        <v>1</v>
      </c>
      <c r="G25" s="4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</row>
    <row r="26" customHeight="1" spans="1:18">
      <c r="A26" s="5" t="s">
        <v>82</v>
      </c>
      <c r="B26" s="5" t="s">
        <v>64</v>
      </c>
      <c r="C26" s="5" t="s">
        <v>65</v>
      </c>
      <c r="D26" s="5" t="s">
        <v>66</v>
      </c>
      <c r="E26" s="5" t="s">
        <v>67</v>
      </c>
      <c r="F26" s="5" t="s">
        <v>68</v>
      </c>
      <c r="G26" s="5" t="s">
        <v>83</v>
      </c>
      <c r="H26" s="6" t="s">
        <v>1</v>
      </c>
      <c r="I26" s="2" t="s">
        <v>1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</row>
    <row r="27" ht="16.5" spans="1:18">
      <c r="A27" s="4">
        <v>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9">
        <f t="shared" ref="G27:G58" si="0">((B$6+B27)*(C$6+C27)*(D$6+D27)*(E$4-E$6-E27)*(F$4-F$6-F27)*B$17+(B$6+B27)*(C$6+C27)*(D$6+D27)*(E$6+E27)*(F$4-F$6-F27)*C$17+(B$6+B27)*(C$6+C27)*(D$6+D27)*(E$6+E27)*(F$6+F27)*D$17+(B$7+B27)*(C$7+C27)*(D$7+D27)*(E$4-E$7-E27)*(F$4-F$7-F27)*B$18+(B$7+B27)*(C$7+C27)*(D$7+D27)*(E$7+E27)*(F$4-F$7-F27)*C$18+(B$7+B27)*(C$7+C27)*(D$7+D27)*(E$7+E27)*(F$7+F27)*D$18+(B$8+B27)*(C$8+C27)*(D$8+D27)*(E$4-E$8-E27)*(F$4-F$8-F27)*B$19+(B$8+B27)*(C$8+C27)*(D$8+D27)*(E$8+E27)*(F$4-F$8-F27)*C$19+(B$8+B27)*(C$8+C27)*(D$8+D27)*(E$8+E27)*(F$8+F27)*D$19+(B$9+B27)*(C$9+C27)*(D$9+D27)*(E$4-E$9-E27)*(F$4-F$9-F27)*B$20+(B$9+B27)*(C$9+C27)*(D$9+D27)*(E$9+E27)*(F$4-F$9-F27)*C$20+(B$9+B27)*(C$9+C27)*(D$9+D27)*(E$9+E27)*(F$9+F27)*D$20+(B$10+B27)*(C$10+C27)*(D$10+D27)*(E$4-E$10-E27)*(F$4-F$10-F27)*B$21+(B$10+B27)*(C$10+C27)*(D$10+D27)*(E$10+E27)*(F$4-F$10-F27)*C$21+(B$10+B27)*(C$10+C27)*(D$10+D27)*(E$10+E27)*(F$10+F27)*D$21)/PRODUCT($B$4:$F$4)</f>
        <v>0.20512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</row>
    <row r="28" ht="16.5" spans="1:18">
      <c r="A28" s="4">
        <v>1</v>
      </c>
      <c r="B28" s="4">
        <v>1</v>
      </c>
      <c r="C28" s="4">
        <v>0</v>
      </c>
      <c r="D28" s="4">
        <v>0</v>
      </c>
      <c r="E28" s="4">
        <v>0</v>
      </c>
      <c r="F28" s="4">
        <v>0</v>
      </c>
      <c r="G28" s="9">
        <f t="shared" si="0"/>
        <v>0.2564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</row>
    <row r="29" ht="16.5" spans="1:18">
      <c r="A29" s="4">
        <v>2</v>
      </c>
      <c r="B29" s="4">
        <v>0</v>
      </c>
      <c r="C29" s="4">
        <v>1</v>
      </c>
      <c r="D29" s="4">
        <v>0</v>
      </c>
      <c r="E29" s="4">
        <v>0</v>
      </c>
      <c r="F29" s="4">
        <v>0</v>
      </c>
      <c r="G29" s="9">
        <f t="shared" si="0"/>
        <v>0.2564</v>
      </c>
      <c r="H29" s="2" t="s">
        <v>1</v>
      </c>
      <c r="I29" s="2" t="s">
        <v>1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2" t="s">
        <v>1</v>
      </c>
    </row>
    <row r="30" ht="16.5" spans="1:18">
      <c r="A30" s="4">
        <v>3</v>
      </c>
      <c r="B30" s="4">
        <v>1</v>
      </c>
      <c r="C30" s="4">
        <v>1</v>
      </c>
      <c r="D30" s="4">
        <v>0</v>
      </c>
      <c r="E30" s="4">
        <v>0</v>
      </c>
      <c r="F30" s="4">
        <v>0</v>
      </c>
      <c r="G30" s="9">
        <f t="shared" si="0"/>
        <v>0.3205</v>
      </c>
      <c r="H30" s="2" t="s">
        <v>1</v>
      </c>
      <c r="I30" s="2" t="s">
        <v>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</row>
    <row r="31" ht="16.5" spans="1:18">
      <c r="A31" s="4">
        <v>4</v>
      </c>
      <c r="B31" s="4">
        <v>0</v>
      </c>
      <c r="C31" s="4">
        <v>0</v>
      </c>
      <c r="D31" s="4">
        <v>1</v>
      </c>
      <c r="E31" s="4">
        <v>0</v>
      </c>
      <c r="F31" s="4">
        <v>0</v>
      </c>
      <c r="G31" s="9">
        <f t="shared" si="0"/>
        <v>0.2564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</row>
    <row r="32" ht="16.5" spans="1:18">
      <c r="A32" s="4">
        <v>5</v>
      </c>
      <c r="B32" s="4">
        <v>1</v>
      </c>
      <c r="C32" s="4">
        <v>0</v>
      </c>
      <c r="D32" s="4">
        <v>1</v>
      </c>
      <c r="E32" s="4">
        <v>0</v>
      </c>
      <c r="F32" s="4">
        <v>0</v>
      </c>
      <c r="G32" s="9">
        <f t="shared" si="0"/>
        <v>0.3205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2" t="s">
        <v>1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</row>
    <row r="33" ht="16.5" spans="1:18">
      <c r="A33" s="4">
        <v>6</v>
      </c>
      <c r="B33" s="4">
        <v>0</v>
      </c>
      <c r="C33" s="4">
        <v>1</v>
      </c>
      <c r="D33" s="4">
        <v>1</v>
      </c>
      <c r="E33" s="4">
        <v>0</v>
      </c>
      <c r="F33" s="4">
        <v>0</v>
      </c>
      <c r="G33" s="9">
        <f t="shared" si="0"/>
        <v>0.3205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</row>
    <row r="34" ht="16.5" spans="1:18">
      <c r="A34" s="4">
        <v>7</v>
      </c>
      <c r="B34" s="4">
        <v>1</v>
      </c>
      <c r="C34" s="4">
        <v>1</v>
      </c>
      <c r="D34" s="4">
        <v>1</v>
      </c>
      <c r="E34" s="4">
        <v>0</v>
      </c>
      <c r="F34" s="4">
        <v>0</v>
      </c>
      <c r="G34" s="9">
        <f t="shared" si="0"/>
        <v>0.400625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1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</row>
    <row r="35" ht="16.5" spans="1:18">
      <c r="A35" s="4">
        <v>8</v>
      </c>
      <c r="B35" s="4">
        <v>0</v>
      </c>
      <c r="C35" s="4">
        <v>0</v>
      </c>
      <c r="D35" s="4">
        <v>0</v>
      </c>
      <c r="E35" s="4">
        <v>1</v>
      </c>
      <c r="F35" s="4">
        <v>0</v>
      </c>
      <c r="G35" s="9">
        <f t="shared" si="0"/>
        <v>0.2292</v>
      </c>
      <c r="H35" s="2" t="s">
        <v>1</v>
      </c>
      <c r="I35" s="2" t="s">
        <v>1</v>
      </c>
      <c r="J35" s="2" t="s">
        <v>1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1</v>
      </c>
      <c r="P35" s="2" t="s">
        <v>1</v>
      </c>
      <c r="Q35" s="2" t="s">
        <v>1</v>
      </c>
      <c r="R35" s="2" t="s">
        <v>1</v>
      </c>
    </row>
    <row r="36" ht="16.5" spans="1:18">
      <c r="A36" s="4">
        <v>9</v>
      </c>
      <c r="B36" s="4">
        <v>1</v>
      </c>
      <c r="C36" s="4">
        <v>0</v>
      </c>
      <c r="D36" s="4">
        <v>0</v>
      </c>
      <c r="E36" s="4">
        <v>1</v>
      </c>
      <c r="F36" s="4">
        <v>0</v>
      </c>
      <c r="G36" s="9">
        <f t="shared" si="0"/>
        <v>0.2865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</row>
    <row r="37" ht="16.5" spans="1:18">
      <c r="A37" s="4">
        <v>10</v>
      </c>
      <c r="B37" s="4">
        <v>0</v>
      </c>
      <c r="C37" s="4">
        <v>1</v>
      </c>
      <c r="D37" s="4">
        <v>0</v>
      </c>
      <c r="E37" s="4">
        <v>1</v>
      </c>
      <c r="F37" s="4">
        <v>0</v>
      </c>
      <c r="G37" s="9">
        <f t="shared" si="0"/>
        <v>0.2865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2" t="s">
        <v>1</v>
      </c>
    </row>
    <row r="38" ht="16.5" spans="1:18">
      <c r="A38" s="4">
        <v>11</v>
      </c>
      <c r="B38" s="4">
        <v>1</v>
      </c>
      <c r="C38" s="4">
        <v>1</v>
      </c>
      <c r="D38" s="4">
        <v>0</v>
      </c>
      <c r="E38" s="4">
        <v>1</v>
      </c>
      <c r="F38" s="4">
        <v>0</v>
      </c>
      <c r="G38" s="9">
        <f t="shared" si="0"/>
        <v>0.358125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2" t="s">
        <v>1</v>
      </c>
    </row>
    <row r="39" ht="16.5" spans="1:18">
      <c r="A39" s="4">
        <v>12</v>
      </c>
      <c r="B39" s="4">
        <v>0</v>
      </c>
      <c r="C39" s="4">
        <v>0</v>
      </c>
      <c r="D39" s="4">
        <v>1</v>
      </c>
      <c r="E39" s="4">
        <v>1</v>
      </c>
      <c r="F39" s="4">
        <v>0</v>
      </c>
      <c r="G39" s="9">
        <f t="shared" si="0"/>
        <v>0.2865</v>
      </c>
      <c r="H39" s="2" t="s">
        <v>1</v>
      </c>
      <c r="I39" s="2" t="s">
        <v>1</v>
      </c>
      <c r="J39" s="2" t="s">
        <v>1</v>
      </c>
      <c r="K39" s="2" t="s">
        <v>1</v>
      </c>
      <c r="L39" s="2" t="s">
        <v>1</v>
      </c>
      <c r="M39" s="2" t="s">
        <v>1</v>
      </c>
      <c r="N39" s="2" t="s">
        <v>1</v>
      </c>
      <c r="O39" s="2" t="s">
        <v>1</v>
      </c>
      <c r="P39" s="2" t="s">
        <v>1</v>
      </c>
      <c r="Q39" s="2" t="s">
        <v>1</v>
      </c>
      <c r="R39" s="2" t="s">
        <v>1</v>
      </c>
    </row>
    <row r="40" ht="16.5" spans="1:18">
      <c r="A40" s="4">
        <v>13</v>
      </c>
      <c r="B40" s="4">
        <v>1</v>
      </c>
      <c r="C40" s="4">
        <v>0</v>
      </c>
      <c r="D40" s="4">
        <v>1</v>
      </c>
      <c r="E40" s="4">
        <v>1</v>
      </c>
      <c r="F40" s="4">
        <v>0</v>
      </c>
      <c r="G40" s="9">
        <f t="shared" si="0"/>
        <v>0.358125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2" t="s">
        <v>1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</row>
    <row r="41" ht="16.5" spans="1:18">
      <c r="A41" s="4">
        <v>14</v>
      </c>
      <c r="B41" s="4">
        <v>0</v>
      </c>
      <c r="C41" s="4">
        <v>1</v>
      </c>
      <c r="D41" s="4">
        <v>1</v>
      </c>
      <c r="E41" s="4">
        <v>1</v>
      </c>
      <c r="F41" s="4">
        <v>0</v>
      </c>
      <c r="G41" s="9">
        <f t="shared" si="0"/>
        <v>0.358125</v>
      </c>
      <c r="H41" s="2" t="s">
        <v>1</v>
      </c>
      <c r="I41" s="2" t="s">
        <v>1</v>
      </c>
      <c r="J41" s="2" t="s">
        <v>1</v>
      </c>
      <c r="K41" s="2" t="s">
        <v>1</v>
      </c>
      <c r="L41" s="2" t="s">
        <v>1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</row>
    <row r="42" ht="16.5" spans="1:18">
      <c r="A42" s="4">
        <v>15</v>
      </c>
      <c r="B42" s="4">
        <v>1</v>
      </c>
      <c r="C42" s="4">
        <v>1</v>
      </c>
      <c r="D42" s="4">
        <v>1</v>
      </c>
      <c r="E42" s="4">
        <v>1</v>
      </c>
      <c r="F42" s="4">
        <v>0</v>
      </c>
      <c r="G42" s="9">
        <f t="shared" si="0"/>
        <v>0.44765625</v>
      </c>
      <c r="H42" s="2" t="s">
        <v>1</v>
      </c>
      <c r="I42" s="2" t="s">
        <v>1</v>
      </c>
      <c r="J42" s="2" t="s">
        <v>1</v>
      </c>
      <c r="K42" s="2" t="s">
        <v>1</v>
      </c>
      <c r="L42" s="2" t="s">
        <v>1</v>
      </c>
      <c r="M42" s="2" t="s">
        <v>1</v>
      </c>
      <c r="N42" s="2" t="s">
        <v>1</v>
      </c>
      <c r="O42" s="2" t="s">
        <v>1</v>
      </c>
      <c r="P42" s="2" t="s">
        <v>1</v>
      </c>
      <c r="Q42" s="2" t="s">
        <v>1</v>
      </c>
      <c r="R42" s="2" t="s">
        <v>1</v>
      </c>
    </row>
    <row r="43" ht="16.5" spans="1:18">
      <c r="A43" s="4">
        <v>16</v>
      </c>
      <c r="B43" s="4">
        <v>0</v>
      </c>
      <c r="C43" s="4">
        <v>0</v>
      </c>
      <c r="D43" s="4">
        <v>0</v>
      </c>
      <c r="E43" s="4">
        <v>0</v>
      </c>
      <c r="F43" s="4">
        <v>1</v>
      </c>
      <c r="G43" s="9">
        <f t="shared" si="0"/>
        <v>0.2088</v>
      </c>
      <c r="H43" s="2" t="s">
        <v>1</v>
      </c>
      <c r="I43" s="2" t="s">
        <v>1</v>
      </c>
      <c r="J43" s="2" t="s">
        <v>1</v>
      </c>
      <c r="K43" s="2" t="s">
        <v>1</v>
      </c>
      <c r="L43" s="2" t="s">
        <v>1</v>
      </c>
      <c r="M43" s="2" t="s">
        <v>1</v>
      </c>
      <c r="N43" s="2" t="s">
        <v>1</v>
      </c>
      <c r="O43" s="2" t="s">
        <v>1</v>
      </c>
      <c r="P43" s="2" t="s">
        <v>1</v>
      </c>
      <c r="Q43" s="2" t="s">
        <v>1</v>
      </c>
      <c r="R43" s="2" t="s">
        <v>1</v>
      </c>
    </row>
    <row r="44" ht="16.5" spans="1:18">
      <c r="A44" s="4">
        <v>17</v>
      </c>
      <c r="B44" s="4">
        <v>1</v>
      </c>
      <c r="C44" s="4">
        <v>0</v>
      </c>
      <c r="D44" s="4">
        <v>0</v>
      </c>
      <c r="E44" s="4">
        <v>0</v>
      </c>
      <c r="F44" s="4">
        <v>1</v>
      </c>
      <c r="G44" s="9">
        <f t="shared" si="0"/>
        <v>0.261</v>
      </c>
      <c r="H44" s="2" t="s">
        <v>1</v>
      </c>
      <c r="I44" s="2" t="s">
        <v>1</v>
      </c>
      <c r="J44" s="2" t="s">
        <v>1</v>
      </c>
      <c r="K44" s="2" t="s">
        <v>1</v>
      </c>
      <c r="L44" s="2" t="s">
        <v>1</v>
      </c>
      <c r="M44" s="2" t="s">
        <v>1</v>
      </c>
      <c r="N44" s="2" t="s">
        <v>1</v>
      </c>
      <c r="O44" s="2" t="s">
        <v>1</v>
      </c>
      <c r="P44" s="2" t="s">
        <v>1</v>
      </c>
      <c r="Q44" s="2" t="s">
        <v>1</v>
      </c>
      <c r="R44" s="2" t="s">
        <v>1</v>
      </c>
    </row>
    <row r="45" ht="16.5" spans="1:18">
      <c r="A45" s="4">
        <v>18</v>
      </c>
      <c r="B45" s="4">
        <v>0</v>
      </c>
      <c r="C45" s="4">
        <v>1</v>
      </c>
      <c r="D45" s="4">
        <v>0</v>
      </c>
      <c r="E45" s="4">
        <v>0</v>
      </c>
      <c r="F45" s="4">
        <v>1</v>
      </c>
      <c r="G45" s="9">
        <f t="shared" si="0"/>
        <v>0.261</v>
      </c>
      <c r="H45" s="2" t="s">
        <v>1</v>
      </c>
      <c r="I45" s="2" t="s">
        <v>1</v>
      </c>
      <c r="J45" s="2" t="s">
        <v>1</v>
      </c>
      <c r="K45" s="2" t="s">
        <v>1</v>
      </c>
      <c r="L45" s="2" t="s">
        <v>1</v>
      </c>
      <c r="M45" s="2" t="s">
        <v>1</v>
      </c>
      <c r="N45" s="2" t="s">
        <v>1</v>
      </c>
      <c r="O45" s="2" t="s">
        <v>1</v>
      </c>
      <c r="P45" s="2" t="s">
        <v>1</v>
      </c>
      <c r="Q45" s="2" t="s">
        <v>1</v>
      </c>
      <c r="R45" s="2" t="s">
        <v>1</v>
      </c>
    </row>
    <row r="46" ht="16.5" spans="1:18">
      <c r="A46" s="4">
        <v>19</v>
      </c>
      <c r="B46" s="4">
        <v>1</v>
      </c>
      <c r="C46" s="4">
        <v>1</v>
      </c>
      <c r="D46" s="4">
        <v>0</v>
      </c>
      <c r="E46" s="4">
        <v>0</v>
      </c>
      <c r="F46" s="4">
        <v>1</v>
      </c>
      <c r="G46" s="9">
        <f t="shared" si="0"/>
        <v>0.32625</v>
      </c>
      <c r="H46" s="2" t="s">
        <v>1</v>
      </c>
      <c r="I46" s="2" t="s">
        <v>1</v>
      </c>
      <c r="J46" s="2" t="s">
        <v>1</v>
      </c>
      <c r="K46" s="2" t="s">
        <v>1</v>
      </c>
      <c r="L46" s="2" t="s">
        <v>1</v>
      </c>
      <c r="M46" s="2" t="s">
        <v>1</v>
      </c>
      <c r="N46" s="2" t="s">
        <v>1</v>
      </c>
      <c r="O46" s="2" t="s">
        <v>1</v>
      </c>
      <c r="P46" s="2" t="s">
        <v>1</v>
      </c>
      <c r="Q46" s="2" t="s">
        <v>1</v>
      </c>
      <c r="R46" s="2" t="s">
        <v>1</v>
      </c>
    </row>
    <row r="47" ht="16.5" spans="1:18">
      <c r="A47" s="4">
        <v>20</v>
      </c>
      <c r="B47" s="4">
        <v>0</v>
      </c>
      <c r="C47" s="4">
        <v>0</v>
      </c>
      <c r="D47" s="4">
        <v>1</v>
      </c>
      <c r="E47" s="4">
        <v>0</v>
      </c>
      <c r="F47" s="4">
        <v>1</v>
      </c>
      <c r="G47" s="9">
        <f t="shared" si="0"/>
        <v>0.261</v>
      </c>
      <c r="H47" s="2" t="s">
        <v>1</v>
      </c>
      <c r="I47" s="2" t="s">
        <v>1</v>
      </c>
      <c r="J47" s="2" t="s">
        <v>1</v>
      </c>
      <c r="K47" s="2" t="s">
        <v>1</v>
      </c>
      <c r="L47" s="2" t="s">
        <v>1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  <c r="R47" s="2" t="s">
        <v>1</v>
      </c>
    </row>
    <row r="48" ht="16.5" spans="1:18">
      <c r="A48" s="4">
        <v>21</v>
      </c>
      <c r="B48" s="4">
        <v>1</v>
      </c>
      <c r="C48" s="4">
        <v>0</v>
      </c>
      <c r="D48" s="4">
        <v>1</v>
      </c>
      <c r="E48" s="4">
        <v>0</v>
      </c>
      <c r="F48" s="4">
        <v>1</v>
      </c>
      <c r="G48" s="9">
        <f t="shared" si="0"/>
        <v>0.32625</v>
      </c>
      <c r="H48" s="2" t="s">
        <v>1</v>
      </c>
      <c r="I48" s="2" t="s">
        <v>1</v>
      </c>
      <c r="J48" s="2" t="s">
        <v>1</v>
      </c>
      <c r="K48" s="2" t="s">
        <v>1</v>
      </c>
      <c r="L48" s="2" t="s">
        <v>1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  <c r="R48" s="2" t="s">
        <v>1</v>
      </c>
    </row>
    <row r="49" ht="16.5" spans="1:18">
      <c r="A49" s="4">
        <v>22</v>
      </c>
      <c r="B49" s="4">
        <v>0</v>
      </c>
      <c r="C49" s="4">
        <v>1</v>
      </c>
      <c r="D49" s="4">
        <v>1</v>
      </c>
      <c r="E49" s="4">
        <v>0</v>
      </c>
      <c r="F49" s="4">
        <v>1</v>
      </c>
      <c r="G49" s="9">
        <f t="shared" si="0"/>
        <v>0.32625</v>
      </c>
      <c r="H49" s="2" t="s">
        <v>1</v>
      </c>
      <c r="I49" s="2" t="s">
        <v>1</v>
      </c>
      <c r="J49" s="2" t="s">
        <v>1</v>
      </c>
      <c r="K49" s="2" t="s">
        <v>1</v>
      </c>
      <c r="L49" s="2" t="s">
        <v>1</v>
      </c>
      <c r="M49" s="2" t="s">
        <v>1</v>
      </c>
      <c r="N49" s="2" t="s">
        <v>1</v>
      </c>
      <c r="O49" s="2" t="s">
        <v>1</v>
      </c>
      <c r="P49" s="2" t="s">
        <v>1</v>
      </c>
      <c r="Q49" s="2" t="s">
        <v>1</v>
      </c>
      <c r="R49" s="2" t="s">
        <v>1</v>
      </c>
    </row>
    <row r="50" ht="16.5" spans="1:18">
      <c r="A50" s="4">
        <v>23</v>
      </c>
      <c r="B50" s="4">
        <v>1</v>
      </c>
      <c r="C50" s="4">
        <v>1</v>
      </c>
      <c r="D50" s="4">
        <v>1</v>
      </c>
      <c r="E50" s="4">
        <v>0</v>
      </c>
      <c r="F50" s="4">
        <v>1</v>
      </c>
      <c r="G50" s="9">
        <f t="shared" si="0"/>
        <v>0.4078125</v>
      </c>
      <c r="H50" s="2" t="s">
        <v>1</v>
      </c>
      <c r="I50" s="2" t="s">
        <v>1</v>
      </c>
      <c r="J50" s="2" t="s">
        <v>1</v>
      </c>
      <c r="K50" s="2" t="s">
        <v>1</v>
      </c>
      <c r="L50" s="2" t="s">
        <v>1</v>
      </c>
      <c r="M50" s="2" t="s">
        <v>1</v>
      </c>
      <c r="N50" s="2" t="s">
        <v>1</v>
      </c>
      <c r="O50" s="2" t="s">
        <v>1</v>
      </c>
      <c r="P50" s="2" t="s">
        <v>1</v>
      </c>
      <c r="Q50" s="2" t="s">
        <v>1</v>
      </c>
      <c r="R50" s="2" t="s">
        <v>1</v>
      </c>
    </row>
    <row r="51" ht="16.5" spans="1:18">
      <c r="A51" s="4">
        <v>24</v>
      </c>
      <c r="B51" s="4">
        <v>0</v>
      </c>
      <c r="C51" s="4">
        <v>0</v>
      </c>
      <c r="D51" s="4">
        <v>0</v>
      </c>
      <c r="E51" s="4">
        <v>1</v>
      </c>
      <c r="F51" s="4">
        <v>1</v>
      </c>
      <c r="G51" s="9">
        <f t="shared" si="0"/>
        <v>0.2355</v>
      </c>
      <c r="H51" s="2" t="s">
        <v>1</v>
      </c>
      <c r="I51" s="2" t="s">
        <v>1</v>
      </c>
      <c r="J51" s="2" t="s">
        <v>1</v>
      </c>
      <c r="K51" s="2" t="s">
        <v>1</v>
      </c>
      <c r="L51" s="2" t="s">
        <v>1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2" t="s">
        <v>1</v>
      </c>
    </row>
    <row r="52" ht="16.5" spans="1:18">
      <c r="A52" s="4">
        <v>25</v>
      </c>
      <c r="B52" s="4">
        <v>1</v>
      </c>
      <c r="C52" s="4">
        <v>0</v>
      </c>
      <c r="D52" s="4">
        <v>0</v>
      </c>
      <c r="E52" s="4">
        <v>1</v>
      </c>
      <c r="F52" s="4">
        <v>1</v>
      </c>
      <c r="G52" s="9">
        <f t="shared" si="0"/>
        <v>0.294375</v>
      </c>
      <c r="H52" s="2" t="s">
        <v>1</v>
      </c>
      <c r="I52" s="2" t="s">
        <v>1</v>
      </c>
      <c r="J52" s="2" t="s">
        <v>1</v>
      </c>
      <c r="K52" s="2" t="s">
        <v>1</v>
      </c>
      <c r="L52" s="2" t="s">
        <v>1</v>
      </c>
      <c r="M52" s="2" t="s">
        <v>1</v>
      </c>
      <c r="N52" s="2" t="s">
        <v>1</v>
      </c>
      <c r="O52" s="2" t="s">
        <v>1</v>
      </c>
      <c r="P52" s="2" t="s">
        <v>1</v>
      </c>
      <c r="Q52" s="2" t="s">
        <v>1</v>
      </c>
      <c r="R52" s="2" t="s">
        <v>1</v>
      </c>
    </row>
    <row r="53" ht="16.5" spans="1:18">
      <c r="A53" s="4">
        <v>26</v>
      </c>
      <c r="B53" s="4">
        <v>0</v>
      </c>
      <c r="C53" s="4">
        <v>1</v>
      </c>
      <c r="D53" s="4">
        <v>0</v>
      </c>
      <c r="E53" s="4">
        <v>1</v>
      </c>
      <c r="F53" s="4">
        <v>1</v>
      </c>
      <c r="G53" s="9">
        <f t="shared" si="0"/>
        <v>0.294375</v>
      </c>
      <c r="H53" s="2" t="s">
        <v>1</v>
      </c>
      <c r="I53" s="2" t="s">
        <v>1</v>
      </c>
      <c r="J53" s="2" t="s">
        <v>1</v>
      </c>
      <c r="K53" s="2" t="s">
        <v>1</v>
      </c>
      <c r="L53" s="2" t="s">
        <v>1</v>
      </c>
      <c r="M53" s="2" t="s">
        <v>1</v>
      </c>
      <c r="N53" s="2" t="s">
        <v>1</v>
      </c>
      <c r="O53" s="2" t="s">
        <v>1</v>
      </c>
      <c r="P53" s="2" t="s">
        <v>1</v>
      </c>
      <c r="Q53" s="2" t="s">
        <v>1</v>
      </c>
      <c r="R53" s="2" t="s">
        <v>1</v>
      </c>
    </row>
    <row r="54" ht="16.5" spans="1:18">
      <c r="A54" s="4">
        <v>27</v>
      </c>
      <c r="B54" s="4">
        <v>1</v>
      </c>
      <c r="C54" s="4">
        <v>1</v>
      </c>
      <c r="D54" s="4">
        <v>0</v>
      </c>
      <c r="E54" s="4">
        <v>1</v>
      </c>
      <c r="F54" s="4">
        <v>1</v>
      </c>
      <c r="G54" s="9">
        <f t="shared" si="0"/>
        <v>0.36796875</v>
      </c>
      <c r="H54" s="2" t="s">
        <v>1</v>
      </c>
      <c r="I54" s="2" t="s">
        <v>1</v>
      </c>
      <c r="J54" s="2" t="s">
        <v>1</v>
      </c>
      <c r="K54" s="2" t="s">
        <v>1</v>
      </c>
      <c r="L54" s="2" t="s">
        <v>1</v>
      </c>
      <c r="M54" s="2" t="s">
        <v>1</v>
      </c>
      <c r="N54" s="2" t="s">
        <v>1</v>
      </c>
      <c r="O54" s="2" t="s">
        <v>1</v>
      </c>
      <c r="P54" s="2" t="s">
        <v>1</v>
      </c>
      <c r="Q54" s="2" t="s">
        <v>1</v>
      </c>
      <c r="R54" s="2" t="s">
        <v>1</v>
      </c>
    </row>
    <row r="55" ht="16.5" spans="1:18">
      <c r="A55" s="4">
        <v>28</v>
      </c>
      <c r="B55" s="4">
        <v>0</v>
      </c>
      <c r="C55" s="4">
        <v>0</v>
      </c>
      <c r="D55" s="4">
        <v>1</v>
      </c>
      <c r="E55" s="4">
        <v>1</v>
      </c>
      <c r="F55" s="4">
        <v>1</v>
      </c>
      <c r="G55" s="9">
        <f t="shared" si="0"/>
        <v>0.294375</v>
      </c>
      <c r="H55" s="2" t="s">
        <v>1</v>
      </c>
      <c r="I55" s="2" t="s">
        <v>1</v>
      </c>
      <c r="J55" s="2" t="s">
        <v>1</v>
      </c>
      <c r="K55" s="2" t="s">
        <v>1</v>
      </c>
      <c r="L55" s="2" t="s">
        <v>1</v>
      </c>
      <c r="M55" s="2" t="s">
        <v>1</v>
      </c>
      <c r="N55" s="2" t="s">
        <v>1</v>
      </c>
      <c r="O55" s="2" t="s">
        <v>1</v>
      </c>
      <c r="P55" s="2" t="s">
        <v>1</v>
      </c>
      <c r="Q55" s="2" t="s">
        <v>1</v>
      </c>
      <c r="R55" s="2" t="s">
        <v>1</v>
      </c>
    </row>
    <row r="56" ht="16.5" spans="1:18">
      <c r="A56" s="4">
        <v>29</v>
      </c>
      <c r="B56" s="4">
        <v>1</v>
      </c>
      <c r="C56" s="4">
        <v>0</v>
      </c>
      <c r="D56" s="4">
        <v>1</v>
      </c>
      <c r="E56" s="4">
        <v>1</v>
      </c>
      <c r="F56" s="4">
        <v>1</v>
      </c>
      <c r="G56" s="9">
        <f t="shared" si="0"/>
        <v>0.36796875</v>
      </c>
      <c r="H56" s="2" t="s">
        <v>1</v>
      </c>
      <c r="I56" s="2" t="s">
        <v>1</v>
      </c>
      <c r="J56" s="2" t="s">
        <v>1</v>
      </c>
      <c r="K56" s="2" t="s">
        <v>1</v>
      </c>
      <c r="L56" s="2" t="s">
        <v>1</v>
      </c>
      <c r="M56" s="2" t="s">
        <v>1</v>
      </c>
      <c r="N56" s="2" t="s">
        <v>1</v>
      </c>
      <c r="O56" s="2" t="s">
        <v>1</v>
      </c>
      <c r="P56" s="2" t="s">
        <v>1</v>
      </c>
      <c r="Q56" s="2" t="s">
        <v>1</v>
      </c>
      <c r="R56" s="2" t="s">
        <v>1</v>
      </c>
    </row>
    <row r="57" ht="16.5" spans="1:18">
      <c r="A57" s="4">
        <v>30</v>
      </c>
      <c r="B57" s="4">
        <v>0</v>
      </c>
      <c r="C57" s="4">
        <v>1</v>
      </c>
      <c r="D57" s="4">
        <v>1</v>
      </c>
      <c r="E57" s="4">
        <v>1</v>
      </c>
      <c r="F57" s="4">
        <v>1</v>
      </c>
      <c r="G57" s="9">
        <f t="shared" si="0"/>
        <v>0.36796875</v>
      </c>
      <c r="H57" s="2" t="s">
        <v>1</v>
      </c>
      <c r="I57" s="2" t="s">
        <v>1</v>
      </c>
      <c r="J57" s="2" t="s">
        <v>1</v>
      </c>
      <c r="K57" s="2" t="s">
        <v>1</v>
      </c>
      <c r="L57" s="2" t="s">
        <v>1</v>
      </c>
      <c r="M57" s="2" t="s">
        <v>1</v>
      </c>
      <c r="N57" s="2" t="s">
        <v>1</v>
      </c>
      <c r="O57" s="2" t="s">
        <v>1</v>
      </c>
      <c r="P57" s="2" t="s">
        <v>1</v>
      </c>
      <c r="Q57" s="2" t="s">
        <v>1</v>
      </c>
      <c r="R57" s="2" t="s">
        <v>1</v>
      </c>
    </row>
    <row r="58" ht="16.5" spans="1:18">
      <c r="A58" s="4">
        <v>31</v>
      </c>
      <c r="B58" s="4">
        <v>1</v>
      </c>
      <c r="C58" s="4">
        <v>1</v>
      </c>
      <c r="D58" s="4">
        <v>1</v>
      </c>
      <c r="E58" s="4">
        <v>1</v>
      </c>
      <c r="F58" s="4">
        <v>1</v>
      </c>
      <c r="G58" s="9">
        <f t="shared" si="0"/>
        <v>0.4599609375</v>
      </c>
      <c r="H58" s="2" t="s">
        <v>1</v>
      </c>
      <c r="I58" s="2" t="s">
        <v>1</v>
      </c>
      <c r="J58" s="2" t="s">
        <v>1</v>
      </c>
      <c r="K58" s="2" t="s">
        <v>1</v>
      </c>
      <c r="L58" s="2" t="s">
        <v>1</v>
      </c>
      <c r="M58" s="2" t="s">
        <v>1</v>
      </c>
      <c r="N58" s="2" t="s">
        <v>1</v>
      </c>
      <c r="O58" s="2" t="s">
        <v>1</v>
      </c>
      <c r="P58" s="2" t="s">
        <v>1</v>
      </c>
      <c r="Q58" s="2" t="s">
        <v>1</v>
      </c>
      <c r="R58" s="2" t="s">
        <v>1</v>
      </c>
    </row>
    <row r="59" ht="16.5" spans="1:18">
      <c r="A59" s="2" t="s">
        <v>1</v>
      </c>
      <c r="B59" s="2" t="s">
        <v>1</v>
      </c>
      <c r="C59" s="2" t="s">
        <v>1</v>
      </c>
      <c r="D59" s="2" t="s">
        <v>1</v>
      </c>
      <c r="E59" s="2" t="s">
        <v>1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2" t="s">
        <v>1</v>
      </c>
      <c r="L59" s="2" t="s">
        <v>1</v>
      </c>
      <c r="M59" s="2" t="s">
        <v>1</v>
      </c>
      <c r="N59" s="2" t="s">
        <v>1</v>
      </c>
      <c r="O59" s="2" t="s">
        <v>1</v>
      </c>
      <c r="P59" s="2" t="s">
        <v>1</v>
      </c>
      <c r="Q59" s="2" t="s">
        <v>1</v>
      </c>
      <c r="R59" s="2" t="s">
        <v>1</v>
      </c>
    </row>
    <row r="60" customHeight="1" spans="1:18">
      <c r="A60" s="1" t="s">
        <v>84</v>
      </c>
      <c r="B60" s="1" t="s">
        <v>1</v>
      </c>
      <c r="C60" s="1" t="s">
        <v>1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  <c r="J60" s="1" t="s">
        <v>1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1</v>
      </c>
      <c r="Q60" s="1" t="s">
        <v>1</v>
      </c>
      <c r="R60" s="1" t="s">
        <v>1</v>
      </c>
    </row>
    <row r="61" ht="16.5" spans="1:18">
      <c r="A61" s="3" t="s">
        <v>85</v>
      </c>
      <c r="B61" s="4" t="s">
        <v>1</v>
      </c>
      <c r="C61" s="4" t="s">
        <v>1</v>
      </c>
      <c r="D61" s="4" t="s">
        <v>1</v>
      </c>
      <c r="E61" s="4" t="s">
        <v>1</v>
      </c>
      <c r="F61" s="4" t="s">
        <v>1</v>
      </c>
      <c r="G61" s="4" t="s">
        <v>1</v>
      </c>
      <c r="H61" s="4" t="s">
        <v>1</v>
      </c>
      <c r="I61" s="4" t="s">
        <v>1</v>
      </c>
      <c r="J61" s="4" t="s">
        <v>1</v>
      </c>
      <c r="K61" s="4" t="s">
        <v>1</v>
      </c>
      <c r="L61" s="4" t="s">
        <v>1</v>
      </c>
      <c r="M61" s="4" t="s">
        <v>1</v>
      </c>
      <c r="N61" s="4" t="s">
        <v>1</v>
      </c>
      <c r="O61" s="4" t="s">
        <v>1</v>
      </c>
      <c r="P61" s="4" t="s">
        <v>1</v>
      </c>
      <c r="Q61" s="4" t="s">
        <v>1</v>
      </c>
      <c r="R61" s="4" t="s">
        <v>1</v>
      </c>
    </row>
    <row r="62" ht="16.5" spans="1:18">
      <c r="A62" s="4" t="s">
        <v>1</v>
      </c>
      <c r="B62" s="4" t="s">
        <v>1</v>
      </c>
      <c r="C62" s="4" t="s">
        <v>1</v>
      </c>
      <c r="D62" s="4" t="s">
        <v>1</v>
      </c>
      <c r="E62" s="4" t="s">
        <v>1</v>
      </c>
      <c r="F62" s="4" t="s">
        <v>1</v>
      </c>
      <c r="G62" s="4" t="s">
        <v>1</v>
      </c>
      <c r="H62" s="4" t="s">
        <v>1</v>
      </c>
      <c r="I62" s="4" t="s">
        <v>1</v>
      </c>
      <c r="J62" s="4" t="s">
        <v>1</v>
      </c>
      <c r="K62" s="4" t="s">
        <v>1</v>
      </c>
      <c r="L62" s="4" t="s">
        <v>1</v>
      </c>
      <c r="M62" s="4" t="s">
        <v>1</v>
      </c>
      <c r="N62" s="4" t="s">
        <v>1</v>
      </c>
      <c r="O62" s="4" t="s">
        <v>1</v>
      </c>
      <c r="P62" s="4" t="s">
        <v>1</v>
      </c>
      <c r="Q62" s="4" t="s">
        <v>1</v>
      </c>
      <c r="R62" s="4" t="s">
        <v>1</v>
      </c>
    </row>
    <row r="63" customHeight="1" spans="1:18">
      <c r="A63" s="5" t="s">
        <v>82</v>
      </c>
      <c r="B63" s="5" t="s">
        <v>86</v>
      </c>
      <c r="C63" s="5">
        <v>0</v>
      </c>
      <c r="D63" s="5">
        <v>1</v>
      </c>
      <c r="E63" s="5">
        <v>2</v>
      </c>
      <c r="F63" s="5">
        <v>3</v>
      </c>
      <c r="G63" s="5">
        <v>4</v>
      </c>
      <c r="H63" s="5">
        <v>5</v>
      </c>
      <c r="I63" s="5">
        <v>6</v>
      </c>
      <c r="J63" s="5">
        <v>7</v>
      </c>
      <c r="K63" s="5">
        <v>8</v>
      </c>
      <c r="L63" s="5">
        <v>9</v>
      </c>
      <c r="M63" s="5">
        <v>10</v>
      </c>
      <c r="N63" s="5">
        <v>11</v>
      </c>
      <c r="O63" s="5">
        <v>12</v>
      </c>
      <c r="P63" s="5">
        <v>13</v>
      </c>
      <c r="Q63" s="5">
        <v>14</v>
      </c>
      <c r="R63" s="5">
        <v>15</v>
      </c>
    </row>
    <row r="64" ht="16.5" spans="1:18">
      <c r="A64" s="4">
        <v>0</v>
      </c>
      <c r="B64" s="4">
        <f t="shared" ref="B64:B95" si="1">SUM(B27:F27)</f>
        <v>0</v>
      </c>
      <c r="C64" s="10">
        <f t="shared" ref="C64:R64" si="2">IF(AND(C$63-$B64&gt;=0,C$63-$B64&lt;=10),COMBIN(10,C$63-$B64)/COMBIN(15,C$63),0)</f>
        <v>1</v>
      </c>
      <c r="D64" s="10">
        <f t="shared" si="2"/>
        <v>0.666666666666667</v>
      </c>
      <c r="E64" s="10">
        <f t="shared" si="2"/>
        <v>0.428571428571429</v>
      </c>
      <c r="F64" s="10">
        <f t="shared" si="2"/>
        <v>0.263736263736264</v>
      </c>
      <c r="G64" s="10">
        <f t="shared" si="2"/>
        <v>0.153846153846154</v>
      </c>
      <c r="H64" s="10">
        <f t="shared" si="2"/>
        <v>0.0839160839160839</v>
      </c>
      <c r="I64" s="10">
        <f t="shared" si="2"/>
        <v>0.041958041958042</v>
      </c>
      <c r="J64" s="10">
        <f t="shared" si="2"/>
        <v>0.0186480186480186</v>
      </c>
      <c r="K64" s="10">
        <f t="shared" si="2"/>
        <v>0.00699300699300699</v>
      </c>
      <c r="L64" s="10">
        <f t="shared" si="2"/>
        <v>0.001998001998002</v>
      </c>
      <c r="M64" s="10">
        <f t="shared" si="2"/>
        <v>0.000333000333000333</v>
      </c>
      <c r="N64" s="10">
        <f t="shared" si="2"/>
        <v>0</v>
      </c>
      <c r="O64" s="10">
        <f t="shared" si="2"/>
        <v>0</v>
      </c>
      <c r="P64" s="10">
        <f t="shared" si="2"/>
        <v>0</v>
      </c>
      <c r="Q64" s="10">
        <f t="shared" si="2"/>
        <v>0</v>
      </c>
      <c r="R64" s="10">
        <f t="shared" si="2"/>
        <v>0</v>
      </c>
    </row>
    <row r="65" ht="16.5" spans="1:18">
      <c r="A65" s="4">
        <v>1</v>
      </c>
      <c r="B65" s="4">
        <f t="shared" si="1"/>
        <v>1</v>
      </c>
      <c r="C65" s="10">
        <f t="shared" ref="C65:R65" si="3">IF(AND(C$63-$B65&gt;=0,C$63-$B65&lt;=10),COMBIN(10,C$63-$B65)/COMBIN(15,C$63),0)</f>
        <v>0</v>
      </c>
      <c r="D65" s="10">
        <f t="shared" si="3"/>
        <v>0.0666666666666667</v>
      </c>
      <c r="E65" s="10">
        <f t="shared" si="3"/>
        <v>0.0952380952380952</v>
      </c>
      <c r="F65" s="10">
        <f t="shared" si="3"/>
        <v>0.0989010989010989</v>
      </c>
      <c r="G65" s="10">
        <f t="shared" si="3"/>
        <v>0.0879120879120879</v>
      </c>
      <c r="H65" s="10">
        <f t="shared" si="3"/>
        <v>0.0699300699300699</v>
      </c>
      <c r="I65" s="10">
        <f t="shared" si="3"/>
        <v>0.0503496503496504</v>
      </c>
      <c r="J65" s="10">
        <f t="shared" si="3"/>
        <v>0.0326340326340326</v>
      </c>
      <c r="K65" s="10">
        <f t="shared" si="3"/>
        <v>0.0186480186480186</v>
      </c>
      <c r="L65" s="10">
        <f t="shared" si="3"/>
        <v>0.00899100899100899</v>
      </c>
      <c r="M65" s="10">
        <f t="shared" si="3"/>
        <v>0.00333000333000333</v>
      </c>
      <c r="N65" s="10">
        <f t="shared" si="3"/>
        <v>0.000732600732600733</v>
      </c>
      <c r="O65" s="10">
        <f t="shared" si="3"/>
        <v>0</v>
      </c>
      <c r="P65" s="10">
        <f t="shared" si="3"/>
        <v>0</v>
      </c>
      <c r="Q65" s="10">
        <f t="shared" si="3"/>
        <v>0</v>
      </c>
      <c r="R65" s="10">
        <f t="shared" si="3"/>
        <v>0</v>
      </c>
    </row>
    <row r="66" ht="16.5" spans="1:18">
      <c r="A66" s="4">
        <v>2</v>
      </c>
      <c r="B66" s="4">
        <f t="shared" si="1"/>
        <v>1</v>
      </c>
      <c r="C66" s="10">
        <f t="shared" ref="C66:R66" si="4">IF(AND(C$63-$B66&gt;=0,C$63-$B66&lt;=10),COMBIN(10,C$63-$B66)/COMBIN(15,C$63),0)</f>
        <v>0</v>
      </c>
      <c r="D66" s="10">
        <f t="shared" si="4"/>
        <v>0.0666666666666667</v>
      </c>
      <c r="E66" s="10">
        <f t="shared" si="4"/>
        <v>0.0952380952380952</v>
      </c>
      <c r="F66" s="10">
        <f t="shared" si="4"/>
        <v>0.0989010989010989</v>
      </c>
      <c r="G66" s="10">
        <f t="shared" si="4"/>
        <v>0.0879120879120879</v>
      </c>
      <c r="H66" s="10">
        <f t="shared" si="4"/>
        <v>0.0699300699300699</v>
      </c>
      <c r="I66" s="10">
        <f t="shared" si="4"/>
        <v>0.0503496503496504</v>
      </c>
      <c r="J66" s="10">
        <f t="shared" si="4"/>
        <v>0.0326340326340326</v>
      </c>
      <c r="K66" s="10">
        <f t="shared" si="4"/>
        <v>0.0186480186480186</v>
      </c>
      <c r="L66" s="10">
        <f t="shared" si="4"/>
        <v>0.00899100899100899</v>
      </c>
      <c r="M66" s="10">
        <f t="shared" si="4"/>
        <v>0.00333000333000333</v>
      </c>
      <c r="N66" s="10">
        <f t="shared" si="4"/>
        <v>0.000732600732600733</v>
      </c>
      <c r="O66" s="10">
        <f t="shared" si="4"/>
        <v>0</v>
      </c>
      <c r="P66" s="10">
        <f t="shared" si="4"/>
        <v>0</v>
      </c>
      <c r="Q66" s="10">
        <f t="shared" si="4"/>
        <v>0</v>
      </c>
      <c r="R66" s="10">
        <f t="shared" si="4"/>
        <v>0</v>
      </c>
    </row>
    <row r="67" ht="16.5" spans="1:18">
      <c r="A67" s="4">
        <v>3</v>
      </c>
      <c r="B67" s="4">
        <f t="shared" si="1"/>
        <v>2</v>
      </c>
      <c r="C67" s="10">
        <f t="shared" ref="C67:R67" si="5">IF(AND(C$63-$B67&gt;=0,C$63-$B67&lt;=10),COMBIN(10,C$63-$B67)/COMBIN(15,C$63),0)</f>
        <v>0</v>
      </c>
      <c r="D67" s="10">
        <f t="shared" si="5"/>
        <v>0</v>
      </c>
      <c r="E67" s="10">
        <f t="shared" si="5"/>
        <v>0.00952380952380952</v>
      </c>
      <c r="F67" s="10">
        <f t="shared" si="5"/>
        <v>0.021978021978022</v>
      </c>
      <c r="G67" s="10">
        <f t="shared" si="5"/>
        <v>0.032967032967033</v>
      </c>
      <c r="H67" s="10">
        <f t="shared" si="5"/>
        <v>0.03996003996004</v>
      </c>
      <c r="I67" s="10">
        <f t="shared" si="5"/>
        <v>0.041958041958042</v>
      </c>
      <c r="J67" s="10">
        <f t="shared" si="5"/>
        <v>0.0391608391608392</v>
      </c>
      <c r="K67" s="10">
        <f t="shared" si="5"/>
        <v>0.0326340326340326</v>
      </c>
      <c r="L67" s="10">
        <f t="shared" si="5"/>
        <v>0.023976023976024</v>
      </c>
      <c r="M67" s="10">
        <f t="shared" si="5"/>
        <v>0.014985014985015</v>
      </c>
      <c r="N67" s="10">
        <f t="shared" si="5"/>
        <v>0.00732600732600733</v>
      </c>
      <c r="O67" s="10">
        <f t="shared" si="5"/>
        <v>0.0021978021978022</v>
      </c>
      <c r="P67" s="10">
        <f t="shared" si="5"/>
        <v>0</v>
      </c>
      <c r="Q67" s="10">
        <f t="shared" si="5"/>
        <v>0</v>
      </c>
      <c r="R67" s="10">
        <f t="shared" si="5"/>
        <v>0</v>
      </c>
    </row>
    <row r="68" ht="16.5" spans="1:18">
      <c r="A68" s="4">
        <v>4</v>
      </c>
      <c r="B68" s="4">
        <f t="shared" si="1"/>
        <v>1</v>
      </c>
      <c r="C68" s="10">
        <f t="shared" ref="C68:R68" si="6">IF(AND(C$63-$B68&gt;=0,C$63-$B68&lt;=10),COMBIN(10,C$63-$B68)/COMBIN(15,C$63),0)</f>
        <v>0</v>
      </c>
      <c r="D68" s="10">
        <f t="shared" si="6"/>
        <v>0.0666666666666667</v>
      </c>
      <c r="E68" s="10">
        <f t="shared" si="6"/>
        <v>0.0952380952380952</v>
      </c>
      <c r="F68" s="10">
        <f t="shared" si="6"/>
        <v>0.0989010989010989</v>
      </c>
      <c r="G68" s="10">
        <f t="shared" si="6"/>
        <v>0.0879120879120879</v>
      </c>
      <c r="H68" s="10">
        <f t="shared" si="6"/>
        <v>0.0699300699300699</v>
      </c>
      <c r="I68" s="10">
        <f t="shared" si="6"/>
        <v>0.0503496503496504</v>
      </c>
      <c r="J68" s="10">
        <f t="shared" si="6"/>
        <v>0.0326340326340326</v>
      </c>
      <c r="K68" s="10">
        <f t="shared" si="6"/>
        <v>0.0186480186480186</v>
      </c>
      <c r="L68" s="10">
        <f t="shared" si="6"/>
        <v>0.00899100899100899</v>
      </c>
      <c r="M68" s="10">
        <f t="shared" si="6"/>
        <v>0.00333000333000333</v>
      </c>
      <c r="N68" s="10">
        <f t="shared" si="6"/>
        <v>0.000732600732600733</v>
      </c>
      <c r="O68" s="10">
        <f t="shared" si="6"/>
        <v>0</v>
      </c>
      <c r="P68" s="10">
        <f t="shared" si="6"/>
        <v>0</v>
      </c>
      <c r="Q68" s="10">
        <f t="shared" si="6"/>
        <v>0</v>
      </c>
      <c r="R68" s="10">
        <f t="shared" si="6"/>
        <v>0</v>
      </c>
    </row>
    <row r="69" ht="16.5" spans="1:18">
      <c r="A69" s="4">
        <v>5</v>
      </c>
      <c r="B69" s="4">
        <f t="shared" si="1"/>
        <v>2</v>
      </c>
      <c r="C69" s="10">
        <f t="shared" ref="C69:R69" si="7">IF(AND(C$63-$B69&gt;=0,C$63-$B69&lt;=10),COMBIN(10,C$63-$B69)/COMBIN(15,C$63),0)</f>
        <v>0</v>
      </c>
      <c r="D69" s="10">
        <f t="shared" si="7"/>
        <v>0</v>
      </c>
      <c r="E69" s="10">
        <f t="shared" si="7"/>
        <v>0.00952380952380952</v>
      </c>
      <c r="F69" s="10">
        <f t="shared" si="7"/>
        <v>0.021978021978022</v>
      </c>
      <c r="G69" s="10">
        <f t="shared" si="7"/>
        <v>0.032967032967033</v>
      </c>
      <c r="H69" s="10">
        <f t="shared" si="7"/>
        <v>0.03996003996004</v>
      </c>
      <c r="I69" s="10">
        <f t="shared" si="7"/>
        <v>0.041958041958042</v>
      </c>
      <c r="J69" s="10">
        <f t="shared" si="7"/>
        <v>0.0391608391608392</v>
      </c>
      <c r="K69" s="10">
        <f t="shared" si="7"/>
        <v>0.0326340326340326</v>
      </c>
      <c r="L69" s="10">
        <f t="shared" si="7"/>
        <v>0.023976023976024</v>
      </c>
      <c r="M69" s="10">
        <f t="shared" si="7"/>
        <v>0.014985014985015</v>
      </c>
      <c r="N69" s="10">
        <f t="shared" si="7"/>
        <v>0.00732600732600733</v>
      </c>
      <c r="O69" s="10">
        <f t="shared" si="7"/>
        <v>0.0021978021978022</v>
      </c>
      <c r="P69" s="10">
        <f t="shared" si="7"/>
        <v>0</v>
      </c>
      <c r="Q69" s="10">
        <f t="shared" si="7"/>
        <v>0</v>
      </c>
      <c r="R69" s="10">
        <f t="shared" si="7"/>
        <v>0</v>
      </c>
    </row>
    <row r="70" ht="16.5" spans="1:18">
      <c r="A70" s="4">
        <v>6</v>
      </c>
      <c r="B70" s="4">
        <f t="shared" si="1"/>
        <v>2</v>
      </c>
      <c r="C70" s="10">
        <f t="shared" ref="C70:R70" si="8">IF(AND(C$63-$B70&gt;=0,C$63-$B70&lt;=10),COMBIN(10,C$63-$B70)/COMBIN(15,C$63),0)</f>
        <v>0</v>
      </c>
      <c r="D70" s="10">
        <f t="shared" si="8"/>
        <v>0</v>
      </c>
      <c r="E70" s="10">
        <f t="shared" si="8"/>
        <v>0.00952380952380952</v>
      </c>
      <c r="F70" s="10">
        <f t="shared" si="8"/>
        <v>0.021978021978022</v>
      </c>
      <c r="G70" s="10">
        <f t="shared" si="8"/>
        <v>0.032967032967033</v>
      </c>
      <c r="H70" s="10">
        <f t="shared" si="8"/>
        <v>0.03996003996004</v>
      </c>
      <c r="I70" s="10">
        <f t="shared" si="8"/>
        <v>0.041958041958042</v>
      </c>
      <c r="J70" s="10">
        <f t="shared" si="8"/>
        <v>0.0391608391608392</v>
      </c>
      <c r="K70" s="10">
        <f t="shared" si="8"/>
        <v>0.0326340326340326</v>
      </c>
      <c r="L70" s="10">
        <f t="shared" si="8"/>
        <v>0.023976023976024</v>
      </c>
      <c r="M70" s="10">
        <f t="shared" si="8"/>
        <v>0.014985014985015</v>
      </c>
      <c r="N70" s="10">
        <f t="shared" si="8"/>
        <v>0.00732600732600733</v>
      </c>
      <c r="O70" s="10">
        <f t="shared" si="8"/>
        <v>0.0021978021978022</v>
      </c>
      <c r="P70" s="10">
        <f t="shared" si="8"/>
        <v>0</v>
      </c>
      <c r="Q70" s="10">
        <f t="shared" si="8"/>
        <v>0</v>
      </c>
      <c r="R70" s="10">
        <f t="shared" si="8"/>
        <v>0</v>
      </c>
    </row>
    <row r="71" ht="16.5" spans="1:18">
      <c r="A71" s="4">
        <v>7</v>
      </c>
      <c r="B71" s="4">
        <f t="shared" si="1"/>
        <v>3</v>
      </c>
      <c r="C71" s="10">
        <f t="shared" ref="C71:R71" si="9">IF(AND(C$63-$B71&gt;=0,C$63-$B71&lt;=10),COMBIN(10,C$63-$B71)/COMBIN(15,C$63),0)</f>
        <v>0</v>
      </c>
      <c r="D71" s="10">
        <f t="shared" si="9"/>
        <v>0</v>
      </c>
      <c r="E71" s="10">
        <f t="shared" si="9"/>
        <v>0</v>
      </c>
      <c r="F71" s="10">
        <f t="shared" si="9"/>
        <v>0.0021978021978022</v>
      </c>
      <c r="G71" s="10">
        <f t="shared" si="9"/>
        <v>0.00732600732600733</v>
      </c>
      <c r="H71" s="10">
        <f t="shared" si="9"/>
        <v>0.014985014985015</v>
      </c>
      <c r="I71" s="10">
        <f t="shared" si="9"/>
        <v>0.023976023976024</v>
      </c>
      <c r="J71" s="10">
        <f t="shared" si="9"/>
        <v>0.0326340326340326</v>
      </c>
      <c r="K71" s="10">
        <f t="shared" si="9"/>
        <v>0.0391608391608392</v>
      </c>
      <c r="L71" s="10">
        <f t="shared" si="9"/>
        <v>0.041958041958042</v>
      </c>
      <c r="M71" s="10">
        <f t="shared" si="9"/>
        <v>0.03996003996004</v>
      </c>
      <c r="N71" s="10">
        <f t="shared" si="9"/>
        <v>0.032967032967033</v>
      </c>
      <c r="O71" s="10">
        <f t="shared" si="9"/>
        <v>0.021978021978022</v>
      </c>
      <c r="P71" s="10">
        <f t="shared" si="9"/>
        <v>0.00952380952380952</v>
      </c>
      <c r="Q71" s="10">
        <f t="shared" si="9"/>
        <v>0</v>
      </c>
      <c r="R71" s="10">
        <f t="shared" si="9"/>
        <v>0</v>
      </c>
    </row>
    <row r="72" ht="16.5" spans="1:18">
      <c r="A72" s="4">
        <v>8</v>
      </c>
      <c r="B72" s="4">
        <f t="shared" si="1"/>
        <v>1</v>
      </c>
      <c r="C72" s="10">
        <f t="shared" ref="C72:R72" si="10">IF(AND(C$63-$B72&gt;=0,C$63-$B72&lt;=10),COMBIN(10,C$63-$B72)/COMBIN(15,C$63),0)</f>
        <v>0</v>
      </c>
      <c r="D72" s="10">
        <f t="shared" si="10"/>
        <v>0.0666666666666667</v>
      </c>
      <c r="E72" s="10">
        <f t="shared" si="10"/>
        <v>0.0952380952380952</v>
      </c>
      <c r="F72" s="10">
        <f t="shared" si="10"/>
        <v>0.0989010989010989</v>
      </c>
      <c r="G72" s="10">
        <f t="shared" si="10"/>
        <v>0.0879120879120879</v>
      </c>
      <c r="H72" s="10">
        <f t="shared" si="10"/>
        <v>0.0699300699300699</v>
      </c>
      <c r="I72" s="10">
        <f t="shared" si="10"/>
        <v>0.0503496503496504</v>
      </c>
      <c r="J72" s="10">
        <f t="shared" si="10"/>
        <v>0.0326340326340326</v>
      </c>
      <c r="K72" s="10">
        <f t="shared" si="10"/>
        <v>0.0186480186480186</v>
      </c>
      <c r="L72" s="10">
        <f t="shared" si="10"/>
        <v>0.00899100899100899</v>
      </c>
      <c r="M72" s="10">
        <f t="shared" si="10"/>
        <v>0.00333000333000333</v>
      </c>
      <c r="N72" s="10">
        <f t="shared" si="10"/>
        <v>0.000732600732600733</v>
      </c>
      <c r="O72" s="10">
        <f t="shared" si="10"/>
        <v>0</v>
      </c>
      <c r="P72" s="10">
        <f t="shared" si="10"/>
        <v>0</v>
      </c>
      <c r="Q72" s="10">
        <f t="shared" si="10"/>
        <v>0</v>
      </c>
      <c r="R72" s="10">
        <f t="shared" si="10"/>
        <v>0</v>
      </c>
    </row>
    <row r="73" ht="16.5" spans="1:18">
      <c r="A73" s="4">
        <v>9</v>
      </c>
      <c r="B73" s="4">
        <f t="shared" si="1"/>
        <v>2</v>
      </c>
      <c r="C73" s="10">
        <f t="shared" ref="C73:R73" si="11">IF(AND(C$63-$B73&gt;=0,C$63-$B73&lt;=10),COMBIN(10,C$63-$B73)/COMBIN(15,C$63),0)</f>
        <v>0</v>
      </c>
      <c r="D73" s="10">
        <f t="shared" si="11"/>
        <v>0</v>
      </c>
      <c r="E73" s="10">
        <f t="shared" si="11"/>
        <v>0.00952380952380952</v>
      </c>
      <c r="F73" s="10">
        <f t="shared" si="11"/>
        <v>0.021978021978022</v>
      </c>
      <c r="G73" s="10">
        <f t="shared" si="11"/>
        <v>0.032967032967033</v>
      </c>
      <c r="H73" s="10">
        <f t="shared" si="11"/>
        <v>0.03996003996004</v>
      </c>
      <c r="I73" s="10">
        <f t="shared" si="11"/>
        <v>0.041958041958042</v>
      </c>
      <c r="J73" s="10">
        <f t="shared" si="11"/>
        <v>0.0391608391608392</v>
      </c>
      <c r="K73" s="10">
        <f t="shared" si="11"/>
        <v>0.0326340326340326</v>
      </c>
      <c r="L73" s="10">
        <f t="shared" si="11"/>
        <v>0.023976023976024</v>
      </c>
      <c r="M73" s="10">
        <f t="shared" si="11"/>
        <v>0.014985014985015</v>
      </c>
      <c r="N73" s="10">
        <f t="shared" si="11"/>
        <v>0.00732600732600733</v>
      </c>
      <c r="O73" s="10">
        <f t="shared" si="11"/>
        <v>0.0021978021978022</v>
      </c>
      <c r="P73" s="10">
        <f t="shared" si="11"/>
        <v>0</v>
      </c>
      <c r="Q73" s="10">
        <f t="shared" si="11"/>
        <v>0</v>
      </c>
      <c r="R73" s="10">
        <f t="shared" si="11"/>
        <v>0</v>
      </c>
    </row>
    <row r="74" ht="16.5" spans="1:18">
      <c r="A74" s="4">
        <v>10</v>
      </c>
      <c r="B74" s="4">
        <f t="shared" si="1"/>
        <v>2</v>
      </c>
      <c r="C74" s="10">
        <f t="shared" ref="C74:R74" si="12">IF(AND(C$63-$B74&gt;=0,C$63-$B74&lt;=10),COMBIN(10,C$63-$B74)/COMBIN(15,C$63),0)</f>
        <v>0</v>
      </c>
      <c r="D74" s="10">
        <f t="shared" si="12"/>
        <v>0</v>
      </c>
      <c r="E74" s="10">
        <f t="shared" si="12"/>
        <v>0.00952380952380952</v>
      </c>
      <c r="F74" s="10">
        <f t="shared" si="12"/>
        <v>0.021978021978022</v>
      </c>
      <c r="G74" s="10">
        <f t="shared" si="12"/>
        <v>0.032967032967033</v>
      </c>
      <c r="H74" s="10">
        <f t="shared" si="12"/>
        <v>0.03996003996004</v>
      </c>
      <c r="I74" s="10">
        <f t="shared" si="12"/>
        <v>0.041958041958042</v>
      </c>
      <c r="J74" s="10">
        <f t="shared" si="12"/>
        <v>0.0391608391608392</v>
      </c>
      <c r="K74" s="10">
        <f t="shared" si="12"/>
        <v>0.0326340326340326</v>
      </c>
      <c r="L74" s="10">
        <f t="shared" si="12"/>
        <v>0.023976023976024</v>
      </c>
      <c r="M74" s="10">
        <f t="shared" si="12"/>
        <v>0.014985014985015</v>
      </c>
      <c r="N74" s="10">
        <f t="shared" si="12"/>
        <v>0.00732600732600733</v>
      </c>
      <c r="O74" s="10">
        <f t="shared" si="12"/>
        <v>0.0021978021978022</v>
      </c>
      <c r="P74" s="10">
        <f t="shared" si="12"/>
        <v>0</v>
      </c>
      <c r="Q74" s="10">
        <f t="shared" si="12"/>
        <v>0</v>
      </c>
      <c r="R74" s="10">
        <f t="shared" si="12"/>
        <v>0</v>
      </c>
    </row>
    <row r="75" ht="16.5" spans="1:18">
      <c r="A75" s="4">
        <v>11</v>
      </c>
      <c r="B75" s="4">
        <f t="shared" si="1"/>
        <v>3</v>
      </c>
      <c r="C75" s="10">
        <f t="shared" ref="C75:R75" si="13">IF(AND(C$63-$B75&gt;=0,C$63-$B75&lt;=10),COMBIN(10,C$63-$B75)/COMBIN(15,C$63),0)</f>
        <v>0</v>
      </c>
      <c r="D75" s="10">
        <f t="shared" si="13"/>
        <v>0</v>
      </c>
      <c r="E75" s="10">
        <f t="shared" si="13"/>
        <v>0</v>
      </c>
      <c r="F75" s="10">
        <f t="shared" si="13"/>
        <v>0.0021978021978022</v>
      </c>
      <c r="G75" s="10">
        <f t="shared" si="13"/>
        <v>0.00732600732600733</v>
      </c>
      <c r="H75" s="10">
        <f t="shared" si="13"/>
        <v>0.014985014985015</v>
      </c>
      <c r="I75" s="10">
        <f t="shared" si="13"/>
        <v>0.023976023976024</v>
      </c>
      <c r="J75" s="10">
        <f t="shared" si="13"/>
        <v>0.0326340326340326</v>
      </c>
      <c r="K75" s="10">
        <f t="shared" si="13"/>
        <v>0.0391608391608392</v>
      </c>
      <c r="L75" s="10">
        <f t="shared" si="13"/>
        <v>0.041958041958042</v>
      </c>
      <c r="M75" s="10">
        <f t="shared" si="13"/>
        <v>0.03996003996004</v>
      </c>
      <c r="N75" s="10">
        <f t="shared" si="13"/>
        <v>0.032967032967033</v>
      </c>
      <c r="O75" s="10">
        <f t="shared" si="13"/>
        <v>0.021978021978022</v>
      </c>
      <c r="P75" s="10">
        <f t="shared" si="13"/>
        <v>0.00952380952380952</v>
      </c>
      <c r="Q75" s="10">
        <f t="shared" si="13"/>
        <v>0</v>
      </c>
      <c r="R75" s="10">
        <f t="shared" si="13"/>
        <v>0</v>
      </c>
    </row>
    <row r="76" ht="16.5" spans="1:18">
      <c r="A76" s="4">
        <v>12</v>
      </c>
      <c r="B76" s="4">
        <f t="shared" si="1"/>
        <v>2</v>
      </c>
      <c r="C76" s="10">
        <f t="shared" ref="C76:R76" si="14">IF(AND(C$63-$B76&gt;=0,C$63-$B76&lt;=10),COMBIN(10,C$63-$B76)/COMBIN(15,C$63),0)</f>
        <v>0</v>
      </c>
      <c r="D76" s="10">
        <f t="shared" si="14"/>
        <v>0</v>
      </c>
      <c r="E76" s="10">
        <f t="shared" si="14"/>
        <v>0.00952380952380952</v>
      </c>
      <c r="F76" s="10">
        <f t="shared" si="14"/>
        <v>0.021978021978022</v>
      </c>
      <c r="G76" s="10">
        <f t="shared" si="14"/>
        <v>0.032967032967033</v>
      </c>
      <c r="H76" s="10">
        <f t="shared" si="14"/>
        <v>0.03996003996004</v>
      </c>
      <c r="I76" s="10">
        <f t="shared" si="14"/>
        <v>0.041958041958042</v>
      </c>
      <c r="J76" s="10">
        <f t="shared" si="14"/>
        <v>0.0391608391608392</v>
      </c>
      <c r="K76" s="10">
        <f t="shared" si="14"/>
        <v>0.0326340326340326</v>
      </c>
      <c r="L76" s="10">
        <f t="shared" si="14"/>
        <v>0.023976023976024</v>
      </c>
      <c r="M76" s="10">
        <f t="shared" si="14"/>
        <v>0.014985014985015</v>
      </c>
      <c r="N76" s="10">
        <f t="shared" si="14"/>
        <v>0.00732600732600733</v>
      </c>
      <c r="O76" s="10">
        <f t="shared" si="14"/>
        <v>0.0021978021978022</v>
      </c>
      <c r="P76" s="10">
        <f t="shared" si="14"/>
        <v>0</v>
      </c>
      <c r="Q76" s="10">
        <f t="shared" si="14"/>
        <v>0</v>
      </c>
      <c r="R76" s="10">
        <f t="shared" si="14"/>
        <v>0</v>
      </c>
    </row>
    <row r="77" ht="16.5" spans="1:18">
      <c r="A77" s="4">
        <v>13</v>
      </c>
      <c r="B77" s="4">
        <f t="shared" si="1"/>
        <v>3</v>
      </c>
      <c r="C77" s="10">
        <f t="shared" ref="C77:R77" si="15">IF(AND(C$63-$B77&gt;=0,C$63-$B77&lt;=10),COMBIN(10,C$63-$B77)/COMBIN(15,C$63),0)</f>
        <v>0</v>
      </c>
      <c r="D77" s="10">
        <f t="shared" si="15"/>
        <v>0</v>
      </c>
      <c r="E77" s="10">
        <f t="shared" si="15"/>
        <v>0</v>
      </c>
      <c r="F77" s="10">
        <f t="shared" si="15"/>
        <v>0.0021978021978022</v>
      </c>
      <c r="G77" s="10">
        <f t="shared" si="15"/>
        <v>0.00732600732600733</v>
      </c>
      <c r="H77" s="10">
        <f t="shared" si="15"/>
        <v>0.014985014985015</v>
      </c>
      <c r="I77" s="10">
        <f t="shared" si="15"/>
        <v>0.023976023976024</v>
      </c>
      <c r="J77" s="10">
        <f t="shared" si="15"/>
        <v>0.0326340326340326</v>
      </c>
      <c r="K77" s="10">
        <f t="shared" si="15"/>
        <v>0.0391608391608392</v>
      </c>
      <c r="L77" s="10">
        <f t="shared" si="15"/>
        <v>0.041958041958042</v>
      </c>
      <c r="M77" s="10">
        <f t="shared" si="15"/>
        <v>0.03996003996004</v>
      </c>
      <c r="N77" s="10">
        <f t="shared" si="15"/>
        <v>0.032967032967033</v>
      </c>
      <c r="O77" s="10">
        <f t="shared" si="15"/>
        <v>0.021978021978022</v>
      </c>
      <c r="P77" s="10">
        <f t="shared" si="15"/>
        <v>0.00952380952380952</v>
      </c>
      <c r="Q77" s="10">
        <f t="shared" si="15"/>
        <v>0</v>
      </c>
      <c r="R77" s="10">
        <f t="shared" si="15"/>
        <v>0</v>
      </c>
    </row>
    <row r="78" ht="16.5" spans="1:18">
      <c r="A78" s="4">
        <v>14</v>
      </c>
      <c r="B78" s="4">
        <f t="shared" si="1"/>
        <v>3</v>
      </c>
      <c r="C78" s="10">
        <f t="shared" ref="C78:R78" si="16">IF(AND(C$63-$B78&gt;=0,C$63-$B78&lt;=10),COMBIN(10,C$63-$B78)/COMBIN(15,C$63),0)</f>
        <v>0</v>
      </c>
      <c r="D78" s="10">
        <f t="shared" si="16"/>
        <v>0</v>
      </c>
      <c r="E78" s="10">
        <f t="shared" si="16"/>
        <v>0</v>
      </c>
      <c r="F78" s="10">
        <f t="shared" si="16"/>
        <v>0.0021978021978022</v>
      </c>
      <c r="G78" s="10">
        <f t="shared" si="16"/>
        <v>0.00732600732600733</v>
      </c>
      <c r="H78" s="10">
        <f t="shared" si="16"/>
        <v>0.014985014985015</v>
      </c>
      <c r="I78" s="10">
        <f t="shared" si="16"/>
        <v>0.023976023976024</v>
      </c>
      <c r="J78" s="10">
        <f t="shared" si="16"/>
        <v>0.0326340326340326</v>
      </c>
      <c r="K78" s="10">
        <f t="shared" si="16"/>
        <v>0.0391608391608392</v>
      </c>
      <c r="L78" s="10">
        <f t="shared" si="16"/>
        <v>0.041958041958042</v>
      </c>
      <c r="M78" s="10">
        <f t="shared" si="16"/>
        <v>0.03996003996004</v>
      </c>
      <c r="N78" s="10">
        <f t="shared" si="16"/>
        <v>0.032967032967033</v>
      </c>
      <c r="O78" s="10">
        <f t="shared" si="16"/>
        <v>0.021978021978022</v>
      </c>
      <c r="P78" s="10">
        <f t="shared" si="16"/>
        <v>0.00952380952380952</v>
      </c>
      <c r="Q78" s="10">
        <f t="shared" si="16"/>
        <v>0</v>
      </c>
      <c r="R78" s="10">
        <f t="shared" si="16"/>
        <v>0</v>
      </c>
    </row>
    <row r="79" ht="16.5" spans="1:18">
      <c r="A79" s="4">
        <v>15</v>
      </c>
      <c r="B79" s="4">
        <f t="shared" si="1"/>
        <v>4</v>
      </c>
      <c r="C79" s="10">
        <f t="shared" ref="C79:R79" si="17">IF(AND(C$63-$B79&gt;=0,C$63-$B79&lt;=10),COMBIN(10,C$63-$B79)/COMBIN(15,C$63),0)</f>
        <v>0</v>
      </c>
      <c r="D79" s="10">
        <f t="shared" si="17"/>
        <v>0</v>
      </c>
      <c r="E79" s="10">
        <f t="shared" si="17"/>
        <v>0</v>
      </c>
      <c r="F79" s="10">
        <f t="shared" si="17"/>
        <v>0</v>
      </c>
      <c r="G79" s="10">
        <f t="shared" si="17"/>
        <v>0.000732600732600733</v>
      </c>
      <c r="H79" s="10">
        <f t="shared" si="17"/>
        <v>0.00333000333000333</v>
      </c>
      <c r="I79" s="10">
        <f t="shared" si="17"/>
        <v>0.00899100899100899</v>
      </c>
      <c r="J79" s="10">
        <f t="shared" si="17"/>
        <v>0.0186480186480186</v>
      </c>
      <c r="K79" s="10">
        <f t="shared" si="17"/>
        <v>0.0326340326340326</v>
      </c>
      <c r="L79" s="10">
        <f t="shared" si="17"/>
        <v>0.0503496503496504</v>
      </c>
      <c r="M79" s="10">
        <f t="shared" si="17"/>
        <v>0.0699300699300699</v>
      </c>
      <c r="N79" s="10">
        <f t="shared" si="17"/>
        <v>0.0879120879120879</v>
      </c>
      <c r="O79" s="10">
        <f t="shared" si="17"/>
        <v>0.0989010989010989</v>
      </c>
      <c r="P79" s="10">
        <f t="shared" si="17"/>
        <v>0.0952380952380952</v>
      </c>
      <c r="Q79" s="10">
        <f t="shared" si="17"/>
        <v>0.0666666666666667</v>
      </c>
      <c r="R79" s="10">
        <f t="shared" si="17"/>
        <v>0</v>
      </c>
    </row>
    <row r="80" ht="16.5" spans="1:18">
      <c r="A80" s="4">
        <v>16</v>
      </c>
      <c r="B80" s="4">
        <f t="shared" si="1"/>
        <v>1</v>
      </c>
      <c r="C80" s="10">
        <f t="shared" ref="C80:R80" si="18">IF(AND(C$63-$B80&gt;=0,C$63-$B80&lt;=10),COMBIN(10,C$63-$B80)/COMBIN(15,C$63),0)</f>
        <v>0</v>
      </c>
      <c r="D80" s="10">
        <f t="shared" si="18"/>
        <v>0.0666666666666667</v>
      </c>
      <c r="E80" s="10">
        <f t="shared" si="18"/>
        <v>0.0952380952380952</v>
      </c>
      <c r="F80" s="10">
        <f t="shared" si="18"/>
        <v>0.0989010989010989</v>
      </c>
      <c r="G80" s="10">
        <f t="shared" si="18"/>
        <v>0.0879120879120879</v>
      </c>
      <c r="H80" s="10">
        <f t="shared" si="18"/>
        <v>0.0699300699300699</v>
      </c>
      <c r="I80" s="10">
        <f t="shared" si="18"/>
        <v>0.0503496503496504</v>
      </c>
      <c r="J80" s="10">
        <f t="shared" si="18"/>
        <v>0.0326340326340326</v>
      </c>
      <c r="K80" s="10">
        <f t="shared" si="18"/>
        <v>0.0186480186480186</v>
      </c>
      <c r="L80" s="10">
        <f t="shared" si="18"/>
        <v>0.00899100899100899</v>
      </c>
      <c r="M80" s="10">
        <f t="shared" si="18"/>
        <v>0.00333000333000333</v>
      </c>
      <c r="N80" s="10">
        <f t="shared" si="18"/>
        <v>0.000732600732600733</v>
      </c>
      <c r="O80" s="10">
        <f t="shared" si="18"/>
        <v>0</v>
      </c>
      <c r="P80" s="10">
        <f t="shared" si="18"/>
        <v>0</v>
      </c>
      <c r="Q80" s="10">
        <f t="shared" si="18"/>
        <v>0</v>
      </c>
      <c r="R80" s="10">
        <f t="shared" si="18"/>
        <v>0</v>
      </c>
    </row>
    <row r="81" ht="16.5" spans="1:18">
      <c r="A81" s="4">
        <v>17</v>
      </c>
      <c r="B81" s="4">
        <f t="shared" si="1"/>
        <v>2</v>
      </c>
      <c r="C81" s="10">
        <f t="shared" ref="C81:R81" si="19">IF(AND(C$63-$B81&gt;=0,C$63-$B81&lt;=10),COMBIN(10,C$63-$B81)/COMBIN(15,C$63),0)</f>
        <v>0</v>
      </c>
      <c r="D81" s="10">
        <f t="shared" si="19"/>
        <v>0</v>
      </c>
      <c r="E81" s="10">
        <f t="shared" si="19"/>
        <v>0.00952380952380952</v>
      </c>
      <c r="F81" s="10">
        <f t="shared" si="19"/>
        <v>0.021978021978022</v>
      </c>
      <c r="G81" s="10">
        <f t="shared" si="19"/>
        <v>0.032967032967033</v>
      </c>
      <c r="H81" s="10">
        <f t="shared" si="19"/>
        <v>0.03996003996004</v>
      </c>
      <c r="I81" s="10">
        <f t="shared" si="19"/>
        <v>0.041958041958042</v>
      </c>
      <c r="J81" s="10">
        <f t="shared" si="19"/>
        <v>0.0391608391608392</v>
      </c>
      <c r="K81" s="10">
        <f t="shared" si="19"/>
        <v>0.0326340326340326</v>
      </c>
      <c r="L81" s="10">
        <f t="shared" si="19"/>
        <v>0.023976023976024</v>
      </c>
      <c r="M81" s="10">
        <f t="shared" si="19"/>
        <v>0.014985014985015</v>
      </c>
      <c r="N81" s="10">
        <f t="shared" si="19"/>
        <v>0.00732600732600733</v>
      </c>
      <c r="O81" s="10">
        <f t="shared" si="19"/>
        <v>0.0021978021978022</v>
      </c>
      <c r="P81" s="10">
        <f t="shared" si="19"/>
        <v>0</v>
      </c>
      <c r="Q81" s="10">
        <f t="shared" si="19"/>
        <v>0</v>
      </c>
      <c r="R81" s="10">
        <f t="shared" si="19"/>
        <v>0</v>
      </c>
    </row>
    <row r="82" ht="16.5" spans="1:18">
      <c r="A82" s="4">
        <v>18</v>
      </c>
      <c r="B82" s="4">
        <f t="shared" si="1"/>
        <v>2</v>
      </c>
      <c r="C82" s="10">
        <f t="shared" ref="C82:R82" si="20">IF(AND(C$63-$B82&gt;=0,C$63-$B82&lt;=10),COMBIN(10,C$63-$B82)/COMBIN(15,C$63),0)</f>
        <v>0</v>
      </c>
      <c r="D82" s="10">
        <f t="shared" si="20"/>
        <v>0</v>
      </c>
      <c r="E82" s="10">
        <f t="shared" si="20"/>
        <v>0.00952380952380952</v>
      </c>
      <c r="F82" s="10">
        <f t="shared" si="20"/>
        <v>0.021978021978022</v>
      </c>
      <c r="G82" s="10">
        <f t="shared" si="20"/>
        <v>0.032967032967033</v>
      </c>
      <c r="H82" s="10">
        <f t="shared" si="20"/>
        <v>0.03996003996004</v>
      </c>
      <c r="I82" s="10">
        <f t="shared" si="20"/>
        <v>0.041958041958042</v>
      </c>
      <c r="J82" s="10">
        <f t="shared" si="20"/>
        <v>0.0391608391608392</v>
      </c>
      <c r="K82" s="10">
        <f t="shared" si="20"/>
        <v>0.0326340326340326</v>
      </c>
      <c r="L82" s="10">
        <f t="shared" si="20"/>
        <v>0.023976023976024</v>
      </c>
      <c r="M82" s="10">
        <f t="shared" si="20"/>
        <v>0.014985014985015</v>
      </c>
      <c r="N82" s="10">
        <f t="shared" si="20"/>
        <v>0.00732600732600733</v>
      </c>
      <c r="O82" s="10">
        <f t="shared" si="20"/>
        <v>0.0021978021978022</v>
      </c>
      <c r="P82" s="10">
        <f t="shared" si="20"/>
        <v>0</v>
      </c>
      <c r="Q82" s="10">
        <f t="shared" si="20"/>
        <v>0</v>
      </c>
      <c r="R82" s="10">
        <f t="shared" si="20"/>
        <v>0</v>
      </c>
    </row>
    <row r="83" ht="16.5" spans="1:18">
      <c r="A83" s="4">
        <v>19</v>
      </c>
      <c r="B83" s="4">
        <f t="shared" si="1"/>
        <v>3</v>
      </c>
      <c r="C83" s="10">
        <f t="shared" ref="C83:R83" si="21">IF(AND(C$63-$B83&gt;=0,C$63-$B83&lt;=10),COMBIN(10,C$63-$B83)/COMBIN(15,C$63),0)</f>
        <v>0</v>
      </c>
      <c r="D83" s="10">
        <f t="shared" si="21"/>
        <v>0</v>
      </c>
      <c r="E83" s="10">
        <f t="shared" si="21"/>
        <v>0</v>
      </c>
      <c r="F83" s="10">
        <f t="shared" si="21"/>
        <v>0.0021978021978022</v>
      </c>
      <c r="G83" s="10">
        <f t="shared" si="21"/>
        <v>0.00732600732600733</v>
      </c>
      <c r="H83" s="10">
        <f t="shared" si="21"/>
        <v>0.014985014985015</v>
      </c>
      <c r="I83" s="10">
        <f t="shared" si="21"/>
        <v>0.023976023976024</v>
      </c>
      <c r="J83" s="10">
        <f t="shared" si="21"/>
        <v>0.0326340326340326</v>
      </c>
      <c r="K83" s="10">
        <f t="shared" si="21"/>
        <v>0.0391608391608392</v>
      </c>
      <c r="L83" s="10">
        <f t="shared" si="21"/>
        <v>0.041958041958042</v>
      </c>
      <c r="M83" s="10">
        <f t="shared" si="21"/>
        <v>0.03996003996004</v>
      </c>
      <c r="N83" s="10">
        <f t="shared" si="21"/>
        <v>0.032967032967033</v>
      </c>
      <c r="O83" s="10">
        <f t="shared" si="21"/>
        <v>0.021978021978022</v>
      </c>
      <c r="P83" s="10">
        <f t="shared" si="21"/>
        <v>0.00952380952380952</v>
      </c>
      <c r="Q83" s="10">
        <f t="shared" si="21"/>
        <v>0</v>
      </c>
      <c r="R83" s="10">
        <f t="shared" si="21"/>
        <v>0</v>
      </c>
    </row>
    <row r="84" ht="16.5" spans="1:18">
      <c r="A84" s="4">
        <v>20</v>
      </c>
      <c r="B84" s="4">
        <f t="shared" si="1"/>
        <v>2</v>
      </c>
      <c r="C84" s="10">
        <f t="shared" ref="C84:R84" si="22">IF(AND(C$63-$B84&gt;=0,C$63-$B84&lt;=10),COMBIN(10,C$63-$B84)/COMBIN(15,C$63),0)</f>
        <v>0</v>
      </c>
      <c r="D84" s="10">
        <f t="shared" si="22"/>
        <v>0</v>
      </c>
      <c r="E84" s="10">
        <f t="shared" si="22"/>
        <v>0.00952380952380952</v>
      </c>
      <c r="F84" s="10">
        <f t="shared" si="22"/>
        <v>0.021978021978022</v>
      </c>
      <c r="G84" s="10">
        <f t="shared" si="22"/>
        <v>0.032967032967033</v>
      </c>
      <c r="H84" s="10">
        <f t="shared" si="22"/>
        <v>0.03996003996004</v>
      </c>
      <c r="I84" s="10">
        <f t="shared" si="22"/>
        <v>0.041958041958042</v>
      </c>
      <c r="J84" s="10">
        <f t="shared" si="22"/>
        <v>0.0391608391608392</v>
      </c>
      <c r="K84" s="10">
        <f t="shared" si="22"/>
        <v>0.0326340326340326</v>
      </c>
      <c r="L84" s="10">
        <f t="shared" si="22"/>
        <v>0.023976023976024</v>
      </c>
      <c r="M84" s="10">
        <f t="shared" si="22"/>
        <v>0.014985014985015</v>
      </c>
      <c r="N84" s="10">
        <f t="shared" si="22"/>
        <v>0.00732600732600733</v>
      </c>
      <c r="O84" s="10">
        <f t="shared" si="22"/>
        <v>0.0021978021978022</v>
      </c>
      <c r="P84" s="10">
        <f t="shared" si="22"/>
        <v>0</v>
      </c>
      <c r="Q84" s="10">
        <f t="shared" si="22"/>
        <v>0</v>
      </c>
      <c r="R84" s="10">
        <f t="shared" si="22"/>
        <v>0</v>
      </c>
    </row>
    <row r="85" ht="16.5" spans="1:18">
      <c r="A85" s="4">
        <v>21</v>
      </c>
      <c r="B85" s="4">
        <f t="shared" si="1"/>
        <v>3</v>
      </c>
      <c r="C85" s="10">
        <f t="shared" ref="C85:R85" si="23">IF(AND(C$63-$B85&gt;=0,C$63-$B85&lt;=10),COMBIN(10,C$63-$B85)/COMBIN(15,C$63),0)</f>
        <v>0</v>
      </c>
      <c r="D85" s="10">
        <f t="shared" si="23"/>
        <v>0</v>
      </c>
      <c r="E85" s="10">
        <f t="shared" si="23"/>
        <v>0</v>
      </c>
      <c r="F85" s="10">
        <f t="shared" si="23"/>
        <v>0.0021978021978022</v>
      </c>
      <c r="G85" s="10">
        <f t="shared" si="23"/>
        <v>0.00732600732600733</v>
      </c>
      <c r="H85" s="10">
        <f t="shared" si="23"/>
        <v>0.014985014985015</v>
      </c>
      <c r="I85" s="10">
        <f t="shared" si="23"/>
        <v>0.023976023976024</v>
      </c>
      <c r="J85" s="10">
        <f t="shared" si="23"/>
        <v>0.0326340326340326</v>
      </c>
      <c r="K85" s="10">
        <f t="shared" si="23"/>
        <v>0.0391608391608392</v>
      </c>
      <c r="L85" s="10">
        <f t="shared" si="23"/>
        <v>0.041958041958042</v>
      </c>
      <c r="M85" s="10">
        <f t="shared" si="23"/>
        <v>0.03996003996004</v>
      </c>
      <c r="N85" s="10">
        <f t="shared" si="23"/>
        <v>0.032967032967033</v>
      </c>
      <c r="O85" s="10">
        <f t="shared" si="23"/>
        <v>0.021978021978022</v>
      </c>
      <c r="P85" s="10">
        <f t="shared" si="23"/>
        <v>0.00952380952380952</v>
      </c>
      <c r="Q85" s="10">
        <f t="shared" si="23"/>
        <v>0</v>
      </c>
      <c r="R85" s="10">
        <f t="shared" si="23"/>
        <v>0</v>
      </c>
    </row>
    <row r="86" ht="16.5" spans="1:18">
      <c r="A86" s="4">
        <v>22</v>
      </c>
      <c r="B86" s="4">
        <f t="shared" si="1"/>
        <v>3</v>
      </c>
      <c r="C86" s="10">
        <f t="shared" ref="C86:R86" si="24">IF(AND(C$63-$B86&gt;=0,C$63-$B86&lt;=10),COMBIN(10,C$63-$B86)/COMBIN(15,C$63),0)</f>
        <v>0</v>
      </c>
      <c r="D86" s="10">
        <f t="shared" si="24"/>
        <v>0</v>
      </c>
      <c r="E86" s="10">
        <f t="shared" si="24"/>
        <v>0</v>
      </c>
      <c r="F86" s="10">
        <f t="shared" si="24"/>
        <v>0.0021978021978022</v>
      </c>
      <c r="G86" s="10">
        <f t="shared" si="24"/>
        <v>0.00732600732600733</v>
      </c>
      <c r="H86" s="10">
        <f t="shared" si="24"/>
        <v>0.014985014985015</v>
      </c>
      <c r="I86" s="10">
        <f t="shared" si="24"/>
        <v>0.023976023976024</v>
      </c>
      <c r="J86" s="10">
        <f t="shared" si="24"/>
        <v>0.0326340326340326</v>
      </c>
      <c r="K86" s="10">
        <f t="shared" si="24"/>
        <v>0.0391608391608392</v>
      </c>
      <c r="L86" s="10">
        <f t="shared" si="24"/>
        <v>0.041958041958042</v>
      </c>
      <c r="M86" s="10">
        <f t="shared" si="24"/>
        <v>0.03996003996004</v>
      </c>
      <c r="N86" s="10">
        <f t="shared" si="24"/>
        <v>0.032967032967033</v>
      </c>
      <c r="O86" s="10">
        <f t="shared" si="24"/>
        <v>0.021978021978022</v>
      </c>
      <c r="P86" s="10">
        <f t="shared" si="24"/>
        <v>0.00952380952380952</v>
      </c>
      <c r="Q86" s="10">
        <f t="shared" si="24"/>
        <v>0</v>
      </c>
      <c r="R86" s="10">
        <f t="shared" si="24"/>
        <v>0</v>
      </c>
    </row>
    <row r="87" ht="16.5" spans="1:18">
      <c r="A87" s="4">
        <v>23</v>
      </c>
      <c r="B87" s="4">
        <f t="shared" si="1"/>
        <v>4</v>
      </c>
      <c r="C87" s="10">
        <f t="shared" ref="C87:R87" si="25">IF(AND(C$63-$B87&gt;=0,C$63-$B87&lt;=10),COMBIN(10,C$63-$B87)/COMBIN(15,C$63),0)</f>
        <v>0</v>
      </c>
      <c r="D87" s="10">
        <f t="shared" si="25"/>
        <v>0</v>
      </c>
      <c r="E87" s="10">
        <f t="shared" si="25"/>
        <v>0</v>
      </c>
      <c r="F87" s="10">
        <f t="shared" si="25"/>
        <v>0</v>
      </c>
      <c r="G87" s="10">
        <f t="shared" si="25"/>
        <v>0.000732600732600733</v>
      </c>
      <c r="H87" s="10">
        <f t="shared" si="25"/>
        <v>0.00333000333000333</v>
      </c>
      <c r="I87" s="10">
        <f t="shared" si="25"/>
        <v>0.00899100899100899</v>
      </c>
      <c r="J87" s="10">
        <f t="shared" si="25"/>
        <v>0.0186480186480186</v>
      </c>
      <c r="K87" s="10">
        <f t="shared" si="25"/>
        <v>0.0326340326340326</v>
      </c>
      <c r="L87" s="10">
        <f t="shared" si="25"/>
        <v>0.0503496503496504</v>
      </c>
      <c r="M87" s="10">
        <f t="shared" si="25"/>
        <v>0.0699300699300699</v>
      </c>
      <c r="N87" s="10">
        <f t="shared" si="25"/>
        <v>0.0879120879120879</v>
      </c>
      <c r="O87" s="10">
        <f t="shared" si="25"/>
        <v>0.0989010989010989</v>
      </c>
      <c r="P87" s="10">
        <f t="shared" si="25"/>
        <v>0.0952380952380952</v>
      </c>
      <c r="Q87" s="10">
        <f t="shared" si="25"/>
        <v>0.0666666666666667</v>
      </c>
      <c r="R87" s="10">
        <f t="shared" si="25"/>
        <v>0</v>
      </c>
    </row>
    <row r="88" ht="16.5" spans="1:18">
      <c r="A88" s="4">
        <v>24</v>
      </c>
      <c r="B88" s="4">
        <f t="shared" si="1"/>
        <v>2</v>
      </c>
      <c r="C88" s="10">
        <f t="shared" ref="C88:R88" si="26">IF(AND(C$63-$B88&gt;=0,C$63-$B88&lt;=10),COMBIN(10,C$63-$B88)/COMBIN(15,C$63),0)</f>
        <v>0</v>
      </c>
      <c r="D88" s="10">
        <f t="shared" si="26"/>
        <v>0</v>
      </c>
      <c r="E88" s="10">
        <f t="shared" si="26"/>
        <v>0.00952380952380952</v>
      </c>
      <c r="F88" s="10">
        <f t="shared" si="26"/>
        <v>0.021978021978022</v>
      </c>
      <c r="G88" s="10">
        <f t="shared" si="26"/>
        <v>0.032967032967033</v>
      </c>
      <c r="H88" s="10">
        <f t="shared" si="26"/>
        <v>0.03996003996004</v>
      </c>
      <c r="I88" s="10">
        <f t="shared" si="26"/>
        <v>0.041958041958042</v>
      </c>
      <c r="J88" s="10">
        <f t="shared" si="26"/>
        <v>0.0391608391608392</v>
      </c>
      <c r="K88" s="10">
        <f t="shared" si="26"/>
        <v>0.0326340326340326</v>
      </c>
      <c r="L88" s="10">
        <f t="shared" si="26"/>
        <v>0.023976023976024</v>
      </c>
      <c r="M88" s="10">
        <f t="shared" si="26"/>
        <v>0.014985014985015</v>
      </c>
      <c r="N88" s="10">
        <f t="shared" si="26"/>
        <v>0.00732600732600733</v>
      </c>
      <c r="O88" s="10">
        <f t="shared" si="26"/>
        <v>0.0021978021978022</v>
      </c>
      <c r="P88" s="10">
        <f t="shared" si="26"/>
        <v>0</v>
      </c>
      <c r="Q88" s="10">
        <f t="shared" si="26"/>
        <v>0</v>
      </c>
      <c r="R88" s="10">
        <f t="shared" si="26"/>
        <v>0</v>
      </c>
    </row>
    <row r="89" ht="16.5" spans="1:18">
      <c r="A89" s="4">
        <v>25</v>
      </c>
      <c r="B89" s="4">
        <f t="shared" si="1"/>
        <v>3</v>
      </c>
      <c r="C89" s="10">
        <f t="shared" ref="C89:R89" si="27">IF(AND(C$63-$B89&gt;=0,C$63-$B89&lt;=10),COMBIN(10,C$63-$B89)/COMBIN(15,C$63),0)</f>
        <v>0</v>
      </c>
      <c r="D89" s="10">
        <f t="shared" si="27"/>
        <v>0</v>
      </c>
      <c r="E89" s="10">
        <f t="shared" si="27"/>
        <v>0</v>
      </c>
      <c r="F89" s="10">
        <f t="shared" si="27"/>
        <v>0.0021978021978022</v>
      </c>
      <c r="G89" s="10">
        <f t="shared" si="27"/>
        <v>0.00732600732600733</v>
      </c>
      <c r="H89" s="10">
        <f t="shared" si="27"/>
        <v>0.014985014985015</v>
      </c>
      <c r="I89" s="10">
        <f t="shared" si="27"/>
        <v>0.023976023976024</v>
      </c>
      <c r="J89" s="10">
        <f t="shared" si="27"/>
        <v>0.0326340326340326</v>
      </c>
      <c r="K89" s="10">
        <f t="shared" si="27"/>
        <v>0.0391608391608392</v>
      </c>
      <c r="L89" s="10">
        <f t="shared" si="27"/>
        <v>0.041958041958042</v>
      </c>
      <c r="M89" s="10">
        <f t="shared" si="27"/>
        <v>0.03996003996004</v>
      </c>
      <c r="N89" s="10">
        <f t="shared" si="27"/>
        <v>0.032967032967033</v>
      </c>
      <c r="O89" s="10">
        <f t="shared" si="27"/>
        <v>0.021978021978022</v>
      </c>
      <c r="P89" s="10">
        <f t="shared" si="27"/>
        <v>0.00952380952380952</v>
      </c>
      <c r="Q89" s="10">
        <f t="shared" si="27"/>
        <v>0</v>
      </c>
      <c r="R89" s="10">
        <f t="shared" si="27"/>
        <v>0</v>
      </c>
    </row>
    <row r="90" ht="16.5" spans="1:18">
      <c r="A90" s="4">
        <v>26</v>
      </c>
      <c r="B90" s="4">
        <f t="shared" si="1"/>
        <v>3</v>
      </c>
      <c r="C90" s="10">
        <f t="shared" ref="C90:R90" si="28">IF(AND(C$63-$B90&gt;=0,C$63-$B90&lt;=10),COMBIN(10,C$63-$B90)/COMBIN(15,C$63),0)</f>
        <v>0</v>
      </c>
      <c r="D90" s="10">
        <f t="shared" si="28"/>
        <v>0</v>
      </c>
      <c r="E90" s="10">
        <f t="shared" si="28"/>
        <v>0</v>
      </c>
      <c r="F90" s="10">
        <f t="shared" si="28"/>
        <v>0.0021978021978022</v>
      </c>
      <c r="G90" s="10">
        <f t="shared" si="28"/>
        <v>0.00732600732600733</v>
      </c>
      <c r="H90" s="10">
        <f t="shared" si="28"/>
        <v>0.014985014985015</v>
      </c>
      <c r="I90" s="10">
        <f t="shared" si="28"/>
        <v>0.023976023976024</v>
      </c>
      <c r="J90" s="10">
        <f t="shared" si="28"/>
        <v>0.0326340326340326</v>
      </c>
      <c r="K90" s="10">
        <f t="shared" si="28"/>
        <v>0.0391608391608392</v>
      </c>
      <c r="L90" s="10">
        <f t="shared" si="28"/>
        <v>0.041958041958042</v>
      </c>
      <c r="M90" s="10">
        <f t="shared" si="28"/>
        <v>0.03996003996004</v>
      </c>
      <c r="N90" s="10">
        <f t="shared" si="28"/>
        <v>0.032967032967033</v>
      </c>
      <c r="O90" s="10">
        <f t="shared" si="28"/>
        <v>0.021978021978022</v>
      </c>
      <c r="P90" s="10">
        <f t="shared" si="28"/>
        <v>0.00952380952380952</v>
      </c>
      <c r="Q90" s="10">
        <f t="shared" si="28"/>
        <v>0</v>
      </c>
      <c r="R90" s="10">
        <f t="shared" si="28"/>
        <v>0</v>
      </c>
    </row>
    <row r="91" ht="16.5" spans="1:18">
      <c r="A91" s="4">
        <v>27</v>
      </c>
      <c r="B91" s="4">
        <f t="shared" si="1"/>
        <v>4</v>
      </c>
      <c r="C91" s="10">
        <f t="shared" ref="C91:R91" si="29">IF(AND(C$63-$B91&gt;=0,C$63-$B91&lt;=10),COMBIN(10,C$63-$B91)/COMBIN(15,C$63),0)</f>
        <v>0</v>
      </c>
      <c r="D91" s="10">
        <f t="shared" si="29"/>
        <v>0</v>
      </c>
      <c r="E91" s="10">
        <f t="shared" si="29"/>
        <v>0</v>
      </c>
      <c r="F91" s="10">
        <f t="shared" si="29"/>
        <v>0</v>
      </c>
      <c r="G91" s="10">
        <f t="shared" si="29"/>
        <v>0.000732600732600733</v>
      </c>
      <c r="H91" s="10">
        <f t="shared" si="29"/>
        <v>0.00333000333000333</v>
      </c>
      <c r="I91" s="10">
        <f t="shared" si="29"/>
        <v>0.00899100899100899</v>
      </c>
      <c r="J91" s="10">
        <f t="shared" si="29"/>
        <v>0.0186480186480186</v>
      </c>
      <c r="K91" s="10">
        <f t="shared" si="29"/>
        <v>0.0326340326340326</v>
      </c>
      <c r="L91" s="10">
        <f t="shared" si="29"/>
        <v>0.0503496503496504</v>
      </c>
      <c r="M91" s="10">
        <f t="shared" si="29"/>
        <v>0.0699300699300699</v>
      </c>
      <c r="N91" s="10">
        <f t="shared" si="29"/>
        <v>0.0879120879120879</v>
      </c>
      <c r="O91" s="10">
        <f t="shared" si="29"/>
        <v>0.0989010989010989</v>
      </c>
      <c r="P91" s="10">
        <f t="shared" si="29"/>
        <v>0.0952380952380952</v>
      </c>
      <c r="Q91" s="10">
        <f t="shared" si="29"/>
        <v>0.0666666666666667</v>
      </c>
      <c r="R91" s="10">
        <f t="shared" si="29"/>
        <v>0</v>
      </c>
    </row>
    <row r="92" ht="16.5" spans="1:18">
      <c r="A92" s="4">
        <v>28</v>
      </c>
      <c r="B92" s="4">
        <f t="shared" si="1"/>
        <v>3</v>
      </c>
      <c r="C92" s="10">
        <f t="shared" ref="C92:R92" si="30">IF(AND(C$63-$B92&gt;=0,C$63-$B92&lt;=10),COMBIN(10,C$63-$B92)/COMBIN(15,C$63),0)</f>
        <v>0</v>
      </c>
      <c r="D92" s="10">
        <f t="shared" si="30"/>
        <v>0</v>
      </c>
      <c r="E92" s="10">
        <f t="shared" si="30"/>
        <v>0</v>
      </c>
      <c r="F92" s="10">
        <f t="shared" si="30"/>
        <v>0.0021978021978022</v>
      </c>
      <c r="G92" s="10">
        <f t="shared" si="30"/>
        <v>0.00732600732600733</v>
      </c>
      <c r="H92" s="10">
        <f t="shared" si="30"/>
        <v>0.014985014985015</v>
      </c>
      <c r="I92" s="10">
        <f t="shared" si="30"/>
        <v>0.023976023976024</v>
      </c>
      <c r="J92" s="10">
        <f t="shared" si="30"/>
        <v>0.0326340326340326</v>
      </c>
      <c r="K92" s="10">
        <f t="shared" si="30"/>
        <v>0.0391608391608392</v>
      </c>
      <c r="L92" s="10">
        <f t="shared" si="30"/>
        <v>0.041958041958042</v>
      </c>
      <c r="M92" s="10">
        <f t="shared" si="30"/>
        <v>0.03996003996004</v>
      </c>
      <c r="N92" s="10">
        <f t="shared" si="30"/>
        <v>0.032967032967033</v>
      </c>
      <c r="O92" s="10">
        <f t="shared" si="30"/>
        <v>0.021978021978022</v>
      </c>
      <c r="P92" s="10">
        <f t="shared" si="30"/>
        <v>0.00952380952380952</v>
      </c>
      <c r="Q92" s="10">
        <f t="shared" si="30"/>
        <v>0</v>
      </c>
      <c r="R92" s="10">
        <f t="shared" si="30"/>
        <v>0</v>
      </c>
    </row>
    <row r="93" ht="16.5" spans="1:18">
      <c r="A93" s="4">
        <v>29</v>
      </c>
      <c r="B93" s="4">
        <f t="shared" si="1"/>
        <v>4</v>
      </c>
      <c r="C93" s="10">
        <f t="shared" ref="C93:R93" si="31">IF(AND(C$63-$B93&gt;=0,C$63-$B93&lt;=10),COMBIN(10,C$63-$B93)/COMBIN(15,C$63),0)</f>
        <v>0</v>
      </c>
      <c r="D93" s="10">
        <f t="shared" si="31"/>
        <v>0</v>
      </c>
      <c r="E93" s="10">
        <f t="shared" si="31"/>
        <v>0</v>
      </c>
      <c r="F93" s="10">
        <f t="shared" si="31"/>
        <v>0</v>
      </c>
      <c r="G93" s="10">
        <f t="shared" si="31"/>
        <v>0.000732600732600733</v>
      </c>
      <c r="H93" s="10">
        <f t="shared" si="31"/>
        <v>0.00333000333000333</v>
      </c>
      <c r="I93" s="10">
        <f t="shared" si="31"/>
        <v>0.00899100899100899</v>
      </c>
      <c r="J93" s="10">
        <f t="shared" si="31"/>
        <v>0.0186480186480186</v>
      </c>
      <c r="K93" s="10">
        <f t="shared" si="31"/>
        <v>0.0326340326340326</v>
      </c>
      <c r="L93" s="10">
        <f t="shared" si="31"/>
        <v>0.0503496503496504</v>
      </c>
      <c r="M93" s="10">
        <f t="shared" si="31"/>
        <v>0.0699300699300699</v>
      </c>
      <c r="N93" s="10">
        <f t="shared" si="31"/>
        <v>0.0879120879120879</v>
      </c>
      <c r="O93" s="10">
        <f t="shared" si="31"/>
        <v>0.0989010989010989</v>
      </c>
      <c r="P93" s="10">
        <f t="shared" si="31"/>
        <v>0.0952380952380952</v>
      </c>
      <c r="Q93" s="10">
        <f t="shared" si="31"/>
        <v>0.0666666666666667</v>
      </c>
      <c r="R93" s="10">
        <f t="shared" si="31"/>
        <v>0</v>
      </c>
    </row>
    <row r="94" ht="16.5" spans="1:18">
      <c r="A94" s="4">
        <v>30</v>
      </c>
      <c r="B94" s="4">
        <f t="shared" si="1"/>
        <v>4</v>
      </c>
      <c r="C94" s="10">
        <f t="shared" ref="C94:R94" si="32">IF(AND(C$63-$B94&gt;=0,C$63-$B94&lt;=10),COMBIN(10,C$63-$B94)/COMBIN(15,C$63),0)</f>
        <v>0</v>
      </c>
      <c r="D94" s="10">
        <f t="shared" si="32"/>
        <v>0</v>
      </c>
      <c r="E94" s="10">
        <f t="shared" si="32"/>
        <v>0</v>
      </c>
      <c r="F94" s="10">
        <f t="shared" si="32"/>
        <v>0</v>
      </c>
      <c r="G94" s="10">
        <f t="shared" si="32"/>
        <v>0.000732600732600733</v>
      </c>
      <c r="H94" s="10">
        <f t="shared" si="32"/>
        <v>0.00333000333000333</v>
      </c>
      <c r="I94" s="10">
        <f t="shared" si="32"/>
        <v>0.00899100899100899</v>
      </c>
      <c r="J94" s="10">
        <f t="shared" si="32"/>
        <v>0.0186480186480186</v>
      </c>
      <c r="K94" s="10">
        <f t="shared" si="32"/>
        <v>0.0326340326340326</v>
      </c>
      <c r="L94" s="10">
        <f t="shared" si="32"/>
        <v>0.0503496503496504</v>
      </c>
      <c r="M94" s="10">
        <f t="shared" si="32"/>
        <v>0.0699300699300699</v>
      </c>
      <c r="N94" s="10">
        <f t="shared" si="32"/>
        <v>0.0879120879120879</v>
      </c>
      <c r="O94" s="10">
        <f t="shared" si="32"/>
        <v>0.0989010989010989</v>
      </c>
      <c r="P94" s="10">
        <f t="shared" si="32"/>
        <v>0.0952380952380952</v>
      </c>
      <c r="Q94" s="10">
        <f t="shared" si="32"/>
        <v>0.0666666666666667</v>
      </c>
      <c r="R94" s="10">
        <f t="shared" si="32"/>
        <v>0</v>
      </c>
    </row>
    <row r="95" ht="16.5" spans="1:18">
      <c r="A95" s="4">
        <v>31</v>
      </c>
      <c r="B95" s="4">
        <f t="shared" si="1"/>
        <v>5</v>
      </c>
      <c r="C95" s="10">
        <f t="shared" ref="C95:R95" si="33">IF(AND(C$63-$B95&gt;=0,C$63-$B95&lt;=10),COMBIN(10,C$63-$B95)/COMBIN(15,C$63),0)</f>
        <v>0</v>
      </c>
      <c r="D95" s="10">
        <f t="shared" si="33"/>
        <v>0</v>
      </c>
      <c r="E95" s="10">
        <f t="shared" si="33"/>
        <v>0</v>
      </c>
      <c r="F95" s="10">
        <f t="shared" si="33"/>
        <v>0</v>
      </c>
      <c r="G95" s="10">
        <f t="shared" si="33"/>
        <v>0</v>
      </c>
      <c r="H95" s="10">
        <f t="shared" si="33"/>
        <v>0.000333000333000333</v>
      </c>
      <c r="I95" s="10">
        <f t="shared" si="33"/>
        <v>0.001998001998002</v>
      </c>
      <c r="J95" s="10">
        <f t="shared" si="33"/>
        <v>0.00699300699300699</v>
      </c>
      <c r="K95" s="10">
        <f t="shared" si="33"/>
        <v>0.0186480186480186</v>
      </c>
      <c r="L95" s="10">
        <f t="shared" si="33"/>
        <v>0.041958041958042</v>
      </c>
      <c r="M95" s="10">
        <f t="shared" si="33"/>
        <v>0.0839160839160839</v>
      </c>
      <c r="N95" s="10">
        <f t="shared" si="33"/>
        <v>0.153846153846154</v>
      </c>
      <c r="O95" s="10">
        <f t="shared" si="33"/>
        <v>0.263736263736264</v>
      </c>
      <c r="P95" s="10">
        <f t="shared" si="33"/>
        <v>0.428571428571429</v>
      </c>
      <c r="Q95" s="10">
        <f t="shared" si="33"/>
        <v>0.666666666666667</v>
      </c>
      <c r="R95" s="10">
        <f t="shared" si="33"/>
        <v>1</v>
      </c>
    </row>
    <row r="96" ht="16.5" spans="1:18">
      <c r="A96" s="4" t="s">
        <v>1</v>
      </c>
      <c r="B96" s="4" t="s">
        <v>1</v>
      </c>
      <c r="C96" s="4" t="s">
        <v>1</v>
      </c>
      <c r="D96" s="4" t="s">
        <v>1</v>
      </c>
      <c r="E96" s="4" t="s">
        <v>1</v>
      </c>
      <c r="F96" s="4" t="s">
        <v>1</v>
      </c>
      <c r="G96" s="4" t="s">
        <v>1</v>
      </c>
      <c r="H96" s="4" t="s">
        <v>1</v>
      </c>
      <c r="I96" s="4" t="s">
        <v>1</v>
      </c>
      <c r="J96" s="4" t="s">
        <v>1</v>
      </c>
      <c r="K96" s="4" t="s">
        <v>1</v>
      </c>
      <c r="L96" s="4" t="s">
        <v>1</v>
      </c>
      <c r="M96" s="4" t="s">
        <v>1</v>
      </c>
      <c r="N96" s="4" t="s">
        <v>1</v>
      </c>
      <c r="O96" s="4" t="s">
        <v>1</v>
      </c>
      <c r="P96" s="4" t="s">
        <v>1</v>
      </c>
      <c r="Q96" s="4" t="s">
        <v>1</v>
      </c>
      <c r="R96" s="4" t="s">
        <v>1</v>
      </c>
    </row>
    <row r="97" ht="16.5" spans="1:18">
      <c r="A97" s="4" t="s">
        <v>87</v>
      </c>
      <c r="B97" s="4" t="s">
        <v>1</v>
      </c>
      <c r="C97" s="11">
        <f t="shared" ref="C97:R97" si="34">SUM(C64:C95)</f>
        <v>1</v>
      </c>
      <c r="D97" s="11">
        <f t="shared" si="34"/>
        <v>1</v>
      </c>
      <c r="E97" s="11">
        <f t="shared" si="34"/>
        <v>1</v>
      </c>
      <c r="F97" s="11">
        <f t="shared" si="34"/>
        <v>1</v>
      </c>
      <c r="G97" s="11">
        <f t="shared" si="34"/>
        <v>1</v>
      </c>
      <c r="H97" s="11">
        <f t="shared" si="34"/>
        <v>1</v>
      </c>
      <c r="I97" s="11">
        <f t="shared" si="34"/>
        <v>1</v>
      </c>
      <c r="J97" s="11">
        <f t="shared" si="34"/>
        <v>1</v>
      </c>
      <c r="K97" s="11">
        <f t="shared" si="34"/>
        <v>1</v>
      </c>
      <c r="L97" s="11">
        <f t="shared" si="34"/>
        <v>1</v>
      </c>
      <c r="M97" s="11">
        <f t="shared" si="34"/>
        <v>1</v>
      </c>
      <c r="N97" s="11">
        <f t="shared" si="34"/>
        <v>1</v>
      </c>
      <c r="O97" s="11">
        <f t="shared" si="34"/>
        <v>1</v>
      </c>
      <c r="P97" s="11">
        <f t="shared" si="34"/>
        <v>1</v>
      </c>
      <c r="Q97" s="11">
        <f t="shared" si="34"/>
        <v>1</v>
      </c>
      <c r="R97" s="11">
        <f t="shared" si="34"/>
        <v>1</v>
      </c>
    </row>
    <row r="98" ht="16.5" spans="1:18">
      <c r="A98" s="2" t="s">
        <v>1</v>
      </c>
      <c r="B98" s="2" t="s">
        <v>1</v>
      </c>
      <c r="C98" s="2" t="s">
        <v>1</v>
      </c>
      <c r="D98" s="2" t="s">
        <v>1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  <c r="L98" s="2" t="s">
        <v>1</v>
      </c>
      <c r="M98" s="2" t="s">
        <v>1</v>
      </c>
      <c r="N98" s="2" t="s">
        <v>1</v>
      </c>
      <c r="O98" s="2" t="s">
        <v>1</v>
      </c>
      <c r="P98" s="2" t="s">
        <v>1</v>
      </c>
      <c r="Q98" s="2" t="s">
        <v>1</v>
      </c>
      <c r="R98" s="2" t="s">
        <v>1</v>
      </c>
    </row>
    <row r="99" customHeight="1" spans="1:18">
      <c r="A99" s="1" t="s">
        <v>88</v>
      </c>
      <c r="B99" s="1" t="s">
        <v>1</v>
      </c>
      <c r="C99" s="1" t="s">
        <v>1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  <c r="J99" s="1" t="s">
        <v>1</v>
      </c>
      <c r="K99" s="1" t="s">
        <v>1</v>
      </c>
      <c r="L99" s="1" t="s">
        <v>1</v>
      </c>
      <c r="M99" s="1" t="s">
        <v>1</v>
      </c>
      <c r="N99" s="1" t="s">
        <v>1</v>
      </c>
      <c r="O99" s="1" t="s">
        <v>1</v>
      </c>
      <c r="P99" s="1" t="s">
        <v>1</v>
      </c>
      <c r="Q99" s="1" t="s">
        <v>1</v>
      </c>
      <c r="R99" s="2" t="s">
        <v>1</v>
      </c>
    </row>
    <row r="100" ht="16.5" spans="1:18">
      <c r="A100" s="3" t="s">
        <v>89</v>
      </c>
      <c r="B100" s="4" t="s">
        <v>1</v>
      </c>
      <c r="C100" s="4" t="s">
        <v>1</v>
      </c>
      <c r="D100" s="4" t="s">
        <v>1</v>
      </c>
      <c r="E100" s="4" t="s">
        <v>1</v>
      </c>
      <c r="F100" s="4" t="s">
        <v>1</v>
      </c>
      <c r="G100" s="4" t="s">
        <v>1</v>
      </c>
      <c r="H100" s="4" t="s">
        <v>1</v>
      </c>
      <c r="I100" s="4" t="s">
        <v>1</v>
      </c>
      <c r="J100" s="4" t="s">
        <v>1</v>
      </c>
      <c r="K100" s="4" t="s">
        <v>1</v>
      </c>
      <c r="L100" s="4" t="s">
        <v>1</v>
      </c>
      <c r="M100" s="4" t="s">
        <v>1</v>
      </c>
      <c r="N100" s="4" t="s">
        <v>1</v>
      </c>
      <c r="O100" s="4" t="s">
        <v>1</v>
      </c>
      <c r="P100" s="4" t="s">
        <v>1</v>
      </c>
      <c r="Q100" s="4" t="s">
        <v>1</v>
      </c>
      <c r="R100" s="2" t="s">
        <v>1</v>
      </c>
    </row>
    <row r="101" ht="16.5" spans="1:18">
      <c r="A101" s="4" t="s">
        <v>1</v>
      </c>
      <c r="B101" s="4" t="s">
        <v>1</v>
      </c>
      <c r="C101" s="4" t="s">
        <v>1</v>
      </c>
      <c r="D101" s="4" t="s">
        <v>1</v>
      </c>
      <c r="E101" s="4" t="s">
        <v>1</v>
      </c>
      <c r="F101" s="4" t="s">
        <v>1</v>
      </c>
      <c r="G101" s="4" t="s">
        <v>1</v>
      </c>
      <c r="H101" s="4" t="s">
        <v>1</v>
      </c>
      <c r="I101" s="4" t="s">
        <v>1</v>
      </c>
      <c r="J101" s="4" t="s">
        <v>1</v>
      </c>
      <c r="K101" s="4" t="s">
        <v>1</v>
      </c>
      <c r="L101" s="4" t="s">
        <v>1</v>
      </c>
      <c r="M101" s="4" t="s">
        <v>1</v>
      </c>
      <c r="N101" s="4" t="s">
        <v>1</v>
      </c>
      <c r="O101" s="4" t="s">
        <v>1</v>
      </c>
      <c r="P101" s="4" t="s">
        <v>1</v>
      </c>
      <c r="Q101" s="4" t="s">
        <v>1</v>
      </c>
      <c r="R101" s="2" t="s">
        <v>1</v>
      </c>
    </row>
    <row r="102" customHeight="1" spans="1:18">
      <c r="A102" s="5" t="s">
        <v>90</v>
      </c>
      <c r="B102" s="5">
        <v>0</v>
      </c>
      <c r="C102" s="5">
        <v>1</v>
      </c>
      <c r="D102" s="5">
        <v>2</v>
      </c>
      <c r="E102" s="5">
        <v>3</v>
      </c>
      <c r="F102" s="5">
        <v>4</v>
      </c>
      <c r="G102" s="5">
        <v>5</v>
      </c>
      <c r="H102" s="5">
        <v>6</v>
      </c>
      <c r="I102" s="5">
        <v>7</v>
      </c>
      <c r="J102" s="5">
        <v>8</v>
      </c>
      <c r="K102" s="5">
        <v>9</v>
      </c>
      <c r="L102" s="5">
        <v>10</v>
      </c>
      <c r="M102" s="5">
        <v>11</v>
      </c>
      <c r="N102" s="5">
        <v>12</v>
      </c>
      <c r="O102" s="5">
        <v>13</v>
      </c>
      <c r="P102" s="5">
        <v>14</v>
      </c>
      <c r="Q102" s="5">
        <v>15</v>
      </c>
      <c r="R102" s="6" t="s">
        <v>1</v>
      </c>
    </row>
    <row r="103" ht="16.5" spans="1:18">
      <c r="A103" s="4" t="s">
        <v>91</v>
      </c>
      <c r="B103" s="12">
        <v>0</v>
      </c>
      <c r="C103" s="12">
        <f t="shared" ref="C103:Q103" si="35">1/15</f>
        <v>0.0666666666666667</v>
      </c>
      <c r="D103" s="12">
        <f t="shared" si="35"/>
        <v>0.0666666666666667</v>
      </c>
      <c r="E103" s="12">
        <f t="shared" si="35"/>
        <v>0.0666666666666667</v>
      </c>
      <c r="F103" s="12">
        <f t="shared" si="35"/>
        <v>0.0666666666666667</v>
      </c>
      <c r="G103" s="12">
        <f t="shared" si="35"/>
        <v>0.0666666666666667</v>
      </c>
      <c r="H103" s="12">
        <f t="shared" si="35"/>
        <v>0.0666666666666667</v>
      </c>
      <c r="I103" s="12">
        <f t="shared" si="35"/>
        <v>0.0666666666666667</v>
      </c>
      <c r="J103" s="12">
        <f t="shared" si="35"/>
        <v>0.0666666666666667</v>
      </c>
      <c r="K103" s="12">
        <f t="shared" si="35"/>
        <v>0.0666666666666667</v>
      </c>
      <c r="L103" s="12">
        <f t="shared" si="35"/>
        <v>0.0666666666666667</v>
      </c>
      <c r="M103" s="12">
        <f t="shared" si="35"/>
        <v>0.0666666666666667</v>
      </c>
      <c r="N103" s="12">
        <f t="shared" si="35"/>
        <v>0.0666666666666667</v>
      </c>
      <c r="O103" s="12">
        <f t="shared" si="35"/>
        <v>0.0666666666666667</v>
      </c>
      <c r="P103" s="12">
        <f t="shared" si="35"/>
        <v>0.0666666666666667</v>
      </c>
      <c r="Q103" s="12">
        <f t="shared" si="35"/>
        <v>0.0666666666666667</v>
      </c>
      <c r="R103" s="2" t="s">
        <v>1</v>
      </c>
    </row>
    <row r="104" ht="16.5" spans="1:18">
      <c r="A104" s="4" t="s">
        <v>92</v>
      </c>
      <c r="B104" s="9">
        <f t="shared" ref="B104:Q104" si="36">SUMPRODUCT(C64:C95,$G$27:$G$58)</f>
        <v>0.20512</v>
      </c>
      <c r="C104" s="9">
        <f t="shared" si="36"/>
        <v>0.217226666666667</v>
      </c>
      <c r="D104" s="9">
        <f t="shared" si="36"/>
        <v>0.229922857142857</v>
      </c>
      <c r="E104" s="9">
        <f t="shared" si="36"/>
        <v>0.243231373626374</v>
      </c>
      <c r="F104" s="9">
        <f t="shared" si="36"/>
        <v>0.257175695970696</v>
      </c>
      <c r="G104" s="9">
        <f t="shared" si="36"/>
        <v>0.271779995317183</v>
      </c>
      <c r="H104" s="9">
        <f t="shared" si="36"/>
        <v>0.287069147727273</v>
      </c>
      <c r="I104" s="9">
        <f t="shared" si="36"/>
        <v>0.303068747814685</v>
      </c>
      <c r="J104" s="9">
        <f t="shared" si="36"/>
        <v>0.319805122377622</v>
      </c>
      <c r="K104" s="9">
        <f t="shared" si="36"/>
        <v>0.337305344030969</v>
      </c>
      <c r="L104" s="9">
        <f t="shared" si="36"/>
        <v>0.355597244838495</v>
      </c>
      <c r="M104" s="9">
        <f t="shared" si="36"/>
        <v>0.374709429945055</v>
      </c>
      <c r="N104" s="9">
        <f t="shared" si="36"/>
        <v>0.394671291208791</v>
      </c>
      <c r="O104" s="9">
        <f t="shared" si="36"/>
        <v>0.415513020833333</v>
      </c>
      <c r="P104" s="9">
        <f t="shared" si="36"/>
        <v>0.437265625</v>
      </c>
      <c r="Q104" s="9">
        <f t="shared" si="36"/>
        <v>0.4599609375</v>
      </c>
      <c r="R104" s="2" t="s">
        <v>1</v>
      </c>
    </row>
    <row r="105" ht="16.5" spans="1:18">
      <c r="A105" s="4" t="s">
        <v>1</v>
      </c>
      <c r="B105" s="4" t="s">
        <v>1</v>
      </c>
      <c r="C105" s="4" t="s">
        <v>1</v>
      </c>
      <c r="D105" s="4" t="s">
        <v>1</v>
      </c>
      <c r="E105" s="4" t="s">
        <v>1</v>
      </c>
      <c r="F105" s="4" t="s">
        <v>1</v>
      </c>
      <c r="G105" s="4" t="s">
        <v>1</v>
      </c>
      <c r="H105" s="4" t="s">
        <v>1</v>
      </c>
      <c r="I105" s="4" t="s">
        <v>1</v>
      </c>
      <c r="J105" s="4" t="s">
        <v>1</v>
      </c>
      <c r="K105" s="4" t="s">
        <v>1</v>
      </c>
      <c r="L105" s="4" t="s">
        <v>1</v>
      </c>
      <c r="M105" s="4" t="s">
        <v>1</v>
      </c>
      <c r="N105" s="4" t="s">
        <v>1</v>
      </c>
      <c r="O105" s="4" t="s">
        <v>1</v>
      </c>
      <c r="P105" s="4" t="s">
        <v>1</v>
      </c>
      <c r="Q105" s="4" t="s">
        <v>1</v>
      </c>
      <c r="R105" s="2" t="s">
        <v>1</v>
      </c>
    </row>
    <row r="106" ht="16.5" spans="1:18">
      <c r="A106" s="4" t="s">
        <v>93</v>
      </c>
      <c r="B106" s="13">
        <f>SUM(B103:Q103)</f>
        <v>1</v>
      </c>
      <c r="C106" s="4" t="s">
        <v>1</v>
      </c>
      <c r="D106" s="4" t="s">
        <v>1</v>
      </c>
      <c r="E106" s="4" t="s">
        <v>1</v>
      </c>
      <c r="F106" s="4" t="s">
        <v>1</v>
      </c>
      <c r="G106" s="4" t="s">
        <v>1</v>
      </c>
      <c r="H106" s="4" t="s">
        <v>1</v>
      </c>
      <c r="I106" s="4" t="s">
        <v>1</v>
      </c>
      <c r="J106" s="4" t="s">
        <v>1</v>
      </c>
      <c r="K106" s="4" t="s">
        <v>1</v>
      </c>
      <c r="L106" s="4" t="s">
        <v>1</v>
      </c>
      <c r="M106" s="4" t="s">
        <v>1</v>
      </c>
      <c r="N106" s="4" t="s">
        <v>1</v>
      </c>
      <c r="O106" s="4" t="s">
        <v>1</v>
      </c>
      <c r="P106" s="4" t="s">
        <v>1</v>
      </c>
      <c r="Q106" s="4" t="s">
        <v>1</v>
      </c>
      <c r="R106" s="2" t="s">
        <v>1</v>
      </c>
    </row>
    <row r="107" ht="16.5" spans="1:18">
      <c r="A107" s="7" t="s">
        <v>94</v>
      </c>
      <c r="B107" s="13">
        <f>SUMPRODUCT(B103:Q103,B104:Q104)</f>
        <v>0.3269535</v>
      </c>
      <c r="C107" s="4" t="s">
        <v>1</v>
      </c>
      <c r="D107" s="4" t="s">
        <v>1</v>
      </c>
      <c r="E107" s="4" t="s">
        <v>1</v>
      </c>
      <c r="F107" s="4" t="s">
        <v>1</v>
      </c>
      <c r="G107" s="4" t="s">
        <v>1</v>
      </c>
      <c r="H107" s="4" t="s">
        <v>1</v>
      </c>
      <c r="I107" s="4" t="s">
        <v>1</v>
      </c>
      <c r="J107" s="4" t="s">
        <v>1</v>
      </c>
      <c r="K107" s="4" t="s">
        <v>1</v>
      </c>
      <c r="L107" s="4" t="s">
        <v>1</v>
      </c>
      <c r="M107" s="4" t="s">
        <v>1</v>
      </c>
      <c r="N107" s="4" t="s">
        <v>1</v>
      </c>
      <c r="O107" s="4" t="s">
        <v>1</v>
      </c>
      <c r="P107" s="4" t="s">
        <v>1</v>
      </c>
      <c r="Q107" s="4" t="s">
        <v>1</v>
      </c>
      <c r="R107" s="2" t="s">
        <v>1</v>
      </c>
    </row>
  </sheetData>
  <mergeCells count="8">
    <mergeCell ref="A1:R1"/>
    <mergeCell ref="A2:E2"/>
    <mergeCell ref="A13:C13"/>
    <mergeCell ref="A23:C23"/>
    <mergeCell ref="A24:D24"/>
    <mergeCell ref="A60:C60"/>
    <mergeCell ref="A61:F61"/>
    <mergeCell ref="A99:C9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随机百搭 条件机率+状态RTP→RTP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2026-09-27T17:10:00Z</dcterms:created>
  <dcterms:modified xsi:type="dcterms:W3CDTF">2026-09-29T15:50:37Z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9CC695BF1E3A41639D2147D74E340979_12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