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除错指南 程序+Excel+编码清单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<sst xmlns="http://schemas.openxmlformats.org/spreadsheetml/2006/main" count="113" uniqueCount="88">
  <si>
    <t>机率新手如何减少犯错的机会（Excel、Program）</t>
  </si>
  <si>
    <t>来源：https://ezslotdesign.com/junior-mathematician-suggestion/</t>
  </si>
  <si>
    <t/>
  </si>
  <si>
    <t>本工作簿为检查清单与编码示范，配合程序模拟除错使用：</t>
  </si>
  <si>
    <t xml:space="preserve">  程序检查清单 / Excel检查清单：模拟与Excel对不起来时的排查项（可勾选）。</t>
  </si>
  <si>
    <t xml:space="preserve">  编码示范：Locked Wild=15、Scatter=16、同时出现=17 的盘面编码，与 =A5 引用示范。</t>
  </si>
  <si>
    <t>（本簿已合并为 2 个页签：说明、除错指南 程序+Excel+编码清单；各区块：程序检查清单 第2~12行，Excel检查清单 第15~23行，编码示范 第26~41行）</t>
  </si>
  <si>
    <t>── 完整文档（原 老虎机数学专题-机率新手除错指南.md 存档）──</t>
  </si>
  <si>
    <t>老虎机数学专题 —— 机率新手如何减少犯错的机会（Excel、Program）</t>
  </si>
  <si>
    <t>配图：原文 2 张配图已下载到本目录 images/junior-mathematician-suggestion/ 并嵌入本文。</t>
  </si>
  <si>
    <t>配套模型：老虎机数学专题-机率新手除错指南.xlsx（检查清单 + 编码示范）</t>
  </si>
  <si>
    <t>[图片] 原文头图：机率新手如何减少犯错的机会  images/junior-mathematician-suggestion/01-15-opt.webp</t>
  </si>
  <si>
    <t>一、程序部分（除错注意事项）</t>
  </si>
  <si>
    <t>[图片] 原文配图（作者照片）  images/junior-mathematician-suggestion/02-wei-ming-ming-115-opt.webp</t>
  </si>
  <si>
    <t>• 1. Feature 类（Locked Wild 盘面变形）的程序逻辑先后要非常清楚——先算分还是先变化，前后搞错模拟结果会差很多。</t>
  </si>
  <si>
    <t>• 2. Pay Table 写入数值正确很重要（作者曾把 200 写成 20 导致炸掉）。</t>
  </si>
  <si>
    <t>• 3. 自然机率滚轮抽取后写入盘面的位置正确很重要（曾发生 Reel 2 抽完写到 Reel 3 的位置）。</t>
  </si>
  <si>
    <t>• 4. 盘面同时有 Locked Wild 与 Scatter 的处理：</t>
  </si>
  <si>
    <t>• Locked Wild 预设数字 15、Scatter 预设数字 16</t>
  </si>
  <si>
    <t>• 设定数字 17 = Locked Wild 与 Scatter 同时出现</t>
  </si>
  <si>
    <t>• 5. Line Game / Way Game 的算分逻辑正确（写过一次通常一直沿用，较少错）。</t>
  </si>
  <si>
    <t>二、Excel 部分</t>
  </si>
  <si>
    <t>• 1. 尽量不要复制贴上：把 A3 复制到 B3 后再改 A3，B3 不会跟着变；应尽量用 =A5 引用。</t>
  </si>
  <si>
    <t>• 2. Way Game 的滚轮表：滚轮表最后要补上相对应的图示，需确认数量正确（参考 PART IV）。</t>
  </si>
  <si>
    <t>• 3. Way Game 滚轮表长度与计算长度是否相等（假设盘面 2*3）。</t>
  </si>
  <si>
    <t>• 4. 马可夫链是否拉错（数字差距大时先查这里）。</t>
  </si>
  <si>
    <t>三、程序与 Excel 对不起来时的排查顺序</t>
  </si>
  <si>
    <t>• 先查 Excel：MID 找出的值是否正确、范围抓得对不对；查完才去程序除错。</t>
  </si>
  <si>
    <t>• 程序除错顺序：</t>
  </si>
  <si>
    <t>• 1. 先查宣告类（如 Pay Table）</t>
  </si>
  <si>
    <t>• 2. 再查程序逻辑</t>
  </si>
  <si>
    <t>• 3. 逻辑理不顺就加 printf（C# 用 Console.WriteLine）验证先后顺序</t>
  </si>
  <si>
    <t>• 4. C# 可用单步执行 + 断点，直接看 dictionary 或值</t>
  </si>
  <si>
    <t>四、Excel 模型</t>
  </si>
  <si>
    <t>老虎机数学专题-机率新手除错指南.xlsx：</t>
  </si>
  <si>
    <t>工作表</t>
  </si>
  <si>
    <t>内容</t>
  </si>
  <si>
    <t>说明</t>
  </si>
  <si>
    <t>来源与用法</t>
  </si>
  <si>
    <t>除错指南 程序+Excel+编码清单</t>
  </si>
  <si>
    <t>程序检查清单（上述 5 项 + 排查顺序，可勾选）+ Excel检查清单（上述 4 项，可勾选）+ 编码示范（Locked Wild=15 / Scatter=16 / 同时出现=17 的盘面编码与 =A5 引用示范）</t>
  </si>
  <si>
    <t>配图清单（images/junior-mathematician-suggestion/）</t>
  </si>
  <si>
    <t>文件</t>
  </si>
  <si>
    <t>images/junior-mathematician-suggestion/01-15-opt.webp</t>
  </si>
  <si>
    <t>原文配图</t>
  </si>
  <si>
    <t>images/junior-mathematician-suggestion/02-wei-ming-ming-115-opt.webp</t>
  </si>
  <si>
    <t>作者照片</t>
  </si>
  <si>
    <t>【程序检查清单】</t>
  </si>
  <si>
    <t>程序除错检查清单（做完一项在B列打勾）</t>
  </si>
  <si>
    <t>#</t>
  </si>
  <si>
    <t>检查项</t>
  </si>
  <si>
    <t>完成</t>
  </si>
  <si>
    <t>1</t>
  </si>
  <si>
    <t>Feature类（Locked Wild盘面变形）逻辑先后清楚：先算分还是先变化</t>
  </si>
  <si>
    <t>2</t>
  </si>
  <si>
    <t>Pay Table 数值写入正确（案例：200写成20导致炸掉）</t>
  </si>
  <si>
    <t>3</t>
  </si>
  <si>
    <t>自然机率滚轮抽取后写入盘面位置正确（案例：Reel2抽完写到Reel3）</t>
  </si>
  <si>
    <t>4</t>
  </si>
  <si>
    <t>Locked Wild(15)与Scatter(16)同格 → 用17表示同时出现</t>
  </si>
  <si>
    <t>5</t>
  </si>
  <si>
    <t>Line Game / Way Game 算分逻辑正确</t>
  </si>
  <si>
    <t>6</t>
  </si>
  <si>
    <t>排查顺序：先宣告类(Pay Table) → 再程序逻辑</t>
  </si>
  <si>
    <t>7</t>
  </si>
  <si>
    <t>逻辑理不顺：加 printf / Console.WriteLine 验证先后顺序</t>
  </si>
  <si>
    <t>8</t>
  </si>
  <si>
    <t>C#：单步执行 + 断点，直接看 dictionary 或值</t>
  </si>
  <si>
    <t>【Excel检查清单】</t>
  </si>
  <si>
    <t>Excel检查清单（先查Excel，再查程序）</t>
  </si>
  <si>
    <t>尽量不要复制贴上：用 =A5 引用，避免改A3后B3不联动</t>
  </si>
  <si>
    <t>Way Game 滚轮表最后补上的图示数量是否正确（参考PART IV）</t>
  </si>
  <si>
    <t>Way Game 滚轮表长度与计算数量长度是否相等（例：盘面2*3）</t>
  </si>
  <si>
    <t>马可夫链是否拉错（数字差距大时先查）</t>
  </si>
  <si>
    <t>MID 找出的值是否正确、范围抓得对不对</t>
  </si>
  <si>
    <t>Excel查完都没问题 → 才去程序里除错</t>
  </si>
  <si>
    <t>【编码示范】</t>
  </si>
  <si>
    <t>盘面编码示范：Locked Wild=15、Scatter=16、同时出现=17</t>
  </si>
  <si>
    <t>编码</t>
  </si>
  <si>
    <t>含义</t>
  </si>
  <si>
    <t>Locked Wild（黏住百搭）</t>
  </si>
  <si>
    <t>Scatter</t>
  </si>
  <si>
    <t>Locked Wild 与 Scatter 同时出现</t>
  </si>
  <si>
    <t>示范盘面（3x3，蓝字可改编码）</t>
  </si>
  <si>
    <t>引用示范（=A5 写法，避免复制贴上不联动）</t>
  </si>
  <si>
    <t>原值</t>
  </si>
  <si>
    <t>引用 =B14</t>
  </si>
  <si>
    <t>说明：把B14从200改成20时，B15会跟着变；若是复制贴上的值则不会（原文教训）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</si>
</sst>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Border="1"/>
    <xf numFmtId="0" fontId="2" fillId="4" borderId="0" xfId="0" applyFont="1" applyFill="1" applyBorder="1"/>
    <xf numFmtId="0" fontId="4" fillId="0" borderId="0" xfId="0" applyFont="1" applyBorder="1"/>
    <xf numFmtId="0" fontId="1" fillId="3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8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9" fillId="3" borderId="0" xfId="0" applyNumberFormat="1" applyFont="1" applyFill="1" applyAlignment="1">
      <alignment wrapText="1"/>
    </xf>
    <xf numFmtId="49" fontId="9" fillId="3" borderId="0" xfId="0" applyNumberFormat="1" applyFont="1" applyFill="1"/>
    <xf numFmtId="49" fontId="10" fillId="0" borderId="0" xfId="0" applyNumberFormat="1" applyFont="1" applyAlignment="1">
      <alignment wrapText="1"/>
    </xf>
    <xf numFmtId="49" fontId="10" fillId="0" borderId="0" xfId="0" applyNumberFormat="1" applyFont="1"/>
    <xf numFmtId="0" fontId="6" fillId="0" borderId="0" xfId="0" applyFont="1" applyAlignment="1">
      <alignment/>
    </xf>
    <xf numFmtId="49" fontId="8" fillId="0" borderId="0" xfId="0" applyNumberFormat="1" applyFont="1" applyAlignment="1">
      <alignment/>
    </xf>
    <xf numFmtId="49" fontId="6" fillId="0" borderId="0" xfId="0" applyNumberFormat="1" applyFont="1" applyAlignment="1">
      <alignment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15</xdr:row>
      <xdr:rowOff>0</xdr:rowOff>
    </xdr:from>
    <xdr:to>
      <xdr:col>9</xdr:col>
      <xdr:colOff>463550</xdr:colOff>
      <xdr:row>30</xdr:row>
      <xdr:rowOff>76200</xdr:rowOff>
    </xdr:to>
    <xdr:pic>
      <xdr:nvPicPr>
        <xdr:cNvPr id="6" name="图片 5" descr="01-15-opt"/>
        <xdr:cNvPicPr/>
      </xdr:nvPicPr>
      <xdr:blipFill>
        <a:blip r:embed="rId1"/>
        <a:stretch>
          <a:fillRect/>
        </a:stretch>
      </xdr:blipFill>
      <xdr:spPr>
        <a:xfrm>
          <a:off x="5943600" y="3276600"/>
          <a:ext cx="5461000" cy="4292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30</xdr:row>
      <xdr:rowOff>177800</xdr:rowOff>
    </xdr:from>
    <xdr:to>
      <xdr:col>9</xdr:col>
      <xdr:colOff>463550</xdr:colOff>
      <xdr:row>41</xdr:row>
      <xdr:rowOff>88900</xdr:rowOff>
    </xdr:to>
    <xdr:pic>
      <xdr:nvPicPr>
        <xdr:cNvPr id="7" name="图片 6" descr="02-wei-ming-ming-115-opt"/>
        <xdr:cNvPicPr/>
      </xdr:nvPicPr>
      <xdr:blipFill>
        <a:blip r:embed="rId2"/>
        <a:stretch>
          <a:fillRect/>
        </a:stretch>
      </xdr:blipFill>
      <xdr:spPr>
        <a:xfrm>
          <a:off x="5943600" y="7670800"/>
          <a:ext cx="5461000" cy="227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53"/>
  <sheetViews>
    <sheetView workbookViewId="0">
      <selection activeCell="A1" sqref="A1"/>
    </sheetView>
  </sheetViews>
  <sheetFormatPr defaultColWidth="9" defaultRowHeight="14"/>
  <cols>
    <col min="1" max="1" width="84.6363636363636" style="13" customWidth="1"/>
  </cols>
  <sheetData>
    <row r="1" ht="22" customHeight="1" spans="1:5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</row>
    <row r="2" customHeight="1" spans="1:5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customHeight="1" spans="1:5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</row>
    <row r="4" customHeight="1" spans="1:53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customHeight="1" spans="1:53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</row>
    <row r="6" customHeight="1" spans="1:53">
      <c r="A6" s="17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</row>
    <row r="7" customHeight="1" spans="1:53">
      <c r="A7" s="19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 customHeight="1" spans="1:53">
      <c r="A8" s="31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</row>
    <row r="10" ht="20" customHeight="1" spans="1:53">
      <c r="A10" s="20" t="s">
        <v>7</v>
      </c>
    </row>
    <row r="11" ht="24" customHeight="1" spans="1:53">
      <c r="A11" s="21" t="s">
        <v>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53">
      <c r="A12" s="2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ht="16.5" spans="1:53">
      <c r="A13" s="24" t="s">
        <v>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ht="33" spans="1:53">
      <c r="A14" s="32" t="s">
        <v>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ht="16.5" spans="1:53">
      <c r="A15" s="24" t="s">
        <v>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33" spans="1:53">
      <c r="A16" s="33" t="s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ht="20" customHeight="1" spans="1:20">
      <c r="A17" s="26" t="s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>
      <c r="A18" s="23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ht="33" spans="1:20">
      <c r="A19" s="33" t="s">
        <v>13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ht="33" spans="1:20">
      <c r="A20" s="33" t="s">
        <v>14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ht="16.5" spans="1:20">
      <c r="A21" s="25" t="s">
        <v>15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ht="33" spans="1:20">
      <c r="A22" s="33" t="s">
        <v>16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ht="16.5" spans="1:20">
      <c r="A23" s="25" t="s">
        <v>17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ht="16.5" spans="1:20">
      <c r="A24" s="25" t="s">
        <v>18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ht="16.5" spans="1:20">
      <c r="A25" s="25" t="s">
        <v>19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ht="16.5" spans="1:20">
      <c r="A26" s="25" t="s">
        <v>20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ht="20" customHeight="1" spans="1:20">
      <c r="A27" s="26" t="s">
        <v>21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1:20">
      <c r="A28" s="23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ht="16.5" spans="1:20">
      <c r="A29" s="33" t="s">
        <v>22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ht="33" spans="1:20">
      <c r="A30" s="33" t="s">
        <v>23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ht="16.5" spans="1:20">
      <c r="A31" s="25" t="s">
        <v>24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ht="16.5" spans="1:20">
      <c r="A32" s="25" t="s">
        <v>25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ht="20" customHeight="1" spans="1:20">
      <c r="A33" s="26" t="s">
        <v>26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>
      <c r="A34" s="23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ht="16.5" spans="1:20">
      <c r="A35" s="25" t="s">
        <v>27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ht="16.5" spans="1:20">
      <c r="A36" s="25" t="s">
        <v>28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ht="16.5" spans="1:20">
      <c r="A37" s="25" t="s">
        <v>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ht="16.5" spans="1:20">
      <c r="A38" s="25" t="s">
        <v>30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ht="16.5" spans="1:20">
      <c r="A39" s="25" t="s">
        <v>31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ht="16.5" spans="1:20">
      <c r="A40" s="25" t="s">
        <v>32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ht="20" customHeight="1" spans="1:20">
      <c r="A41" s="26" t="s">
        <v>33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>
      <c r="A42" s="23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ht="16.5" spans="1:20">
      <c r="A43" s="25" t="s">
        <v>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ht="18" customHeight="1" spans="1:20">
      <c r="A44" s="27" t="s">
        <v>35</v>
      </c>
      <c r="B44" s="28" t="s">
        <v>36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ht="14.5" spans="1:20">
      <c r="A45" s="29" t="s">
        <v>37</v>
      </c>
      <c r="B45" s="30" t="s">
        <v>38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ht="14.5" spans="1:20">
      <c r="A46" s="29" t="s">
        <v>39</v>
      </c>
      <c r="B46" s="30" t="s">
        <v>40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1:20">
      <c r="A47" s="23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ht="20" customHeight="1" spans="1:20">
      <c r="A48" s="26" t="s">
        <v>41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0">
      <c r="A49" s="2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ht="18" customHeight="1" spans="1:20">
      <c r="A50" s="27" t="s">
        <v>42</v>
      </c>
      <c r="B50" s="28" t="s">
        <v>37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ht="14.5" spans="1:20">
      <c r="A51" s="29" t="s">
        <v>43</v>
      </c>
      <c r="B51" s="30" t="s">
        <v>44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ht="14.5" spans="1:20">
      <c r="A52" s="29" t="s">
        <v>45</v>
      </c>
      <c r="B52" s="30" t="s">
        <v>46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1:20">
      <c r="A53" s="23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1:20">
      <c r="A54" s="23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1:20">
      <c r="A55" s="23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1:20">
      <c r="A56" s="2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1:20">
      <c r="A57" s="23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1:20">
      <c r="A58" s="23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0">
      <c r="A59" s="23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1:20">
      <c r="A60" s="23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1:20">
      <c r="A61" s="23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1:20">
      <c r="A62" s="23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1:20">
      <c r="A63" s="2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1:20">
      <c r="A64" s="2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1:20">
      <c r="A65" s="2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1:20">
      <c r="A66" s="23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>
      <c r="A67" s="23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1:20">
      <c r="A68" s="23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1:20">
      <c r="A69" s="23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1:20">
      <c r="A70" s="2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1:20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1:20">
      <c r="A72" s="2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1:20">
      <c r="A73" s="23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1:20">
      <c r="A74" s="2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1:20">
      <c r="A75" s="2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1:20">
      <c r="A76" s="2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1:20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1:20">
      <c r="A78" s="2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1:20">
      <c r="A79" s="2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1:20">
      <c r="A80" s="2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1:20">
      <c r="A81" s="2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1:20">
      <c r="A82" s="2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1:20">
      <c r="A83" s="2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1:20">
      <c r="A84" s="2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1:20">
      <c r="A85" s="2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1:20">
      <c r="A86" s="2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1:20">
      <c r="A87" s="2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1:20">
      <c r="A88" s="2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1:20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1:20">
      <c r="A90" s="2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1:20">
      <c r="A91" s="2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1:20">
      <c r="A92" s="2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1:20">
      <c r="A93" s="2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1:20">
      <c r="A94" s="2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1:20">
      <c r="A95" s="2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1:20">
      <c r="A96" s="2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1:20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1:20">
      <c r="A98" s="2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1:20">
      <c r="A99" s="2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1:20">
      <c r="A100" s="2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1:20">
      <c r="A101" s="2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1:20">
      <c r="A102" s="2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1:20">
      <c r="A103" s="2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1:20">
      <c r="A104" s="2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1:20">
      <c r="A105" s="2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1:20">
      <c r="A106" s="2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1:20">
      <c r="A107" s="2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1:20">
      <c r="A108" s="2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1:20">
      <c r="A109" s="2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1:20">
      <c r="A110" s="2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1:20">
      <c r="A111" s="2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1:20">
      <c r="A112" s="2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1:20">
      <c r="A113" s="2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1:20">
      <c r="A114" s="2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1:20">
      <c r="A115" s="2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1:20">
      <c r="A116" s="2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1:20">
      <c r="A117" s="2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1:20">
      <c r="A118" s="2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1:20">
      <c r="A119" s="2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1:20">
      <c r="A120" s="2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1:20">
      <c r="A121" s="2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1:20">
      <c r="A122" s="2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1:20">
      <c r="A123" s="2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1:20">
      <c r="A124" s="2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1:20">
      <c r="A125" s="2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1:20">
      <c r="A126" s="2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1:20">
      <c r="A127" s="2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1:20">
      <c r="A128" s="2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1:20">
      <c r="A129" s="2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1:20">
      <c r="A130" s="2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1:20">
      <c r="A131" s="2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1:20">
      <c r="A132" s="2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1:20">
      <c r="A133" s="2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1:20">
      <c r="A134" s="2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1:20">
      <c r="A135" s="2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1:20">
      <c r="A136" s="2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1:20">
      <c r="A137" s="2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1:20">
      <c r="A138" s="2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1:20">
      <c r="A139" s="2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1:20">
      <c r="A140" s="2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1:20">
      <c r="A141" s="2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1:20">
      <c r="A142" s="2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1:20">
      <c r="A143" s="2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1:20">
      <c r="A144" s="2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1:20">
      <c r="A145" s="2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1:20">
      <c r="A146" s="2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1:20">
      <c r="A147" s="2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1:20">
      <c r="A148" s="2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1:20">
      <c r="A149" s="2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1:20">
      <c r="A150" s="2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1:20">
      <c r="A151" s="2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1:20">
      <c r="A152" s="2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1:20">
      <c r="A153" s="2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</sheetData>
  <pageMargins left="0.75" right="0.75" top="1" bottom="1" header="0.5" footer="0.5"/>
  <headerFooter/>
  <ignoredErrors>
    <ignoredError sqref="A1:BF173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A26" sqref="A26:D41"/>
    </sheetView>
  </sheetViews>
  <sheetFormatPr defaultColWidth="8.72727272727273" defaultRowHeight="14" outlineLevelCol="3"/>
  <cols>
    <col min="1" max="1" width="29.6363636363636" customWidth="1"/>
    <col min="2" max="2" width="80" customWidth="1"/>
    <col min="3" max="4" width="9" customWidth="1"/>
  </cols>
  <sheetData>
    <row r="1" customHeight="1" spans="1:4">
      <c r="A1" s="1" t="s">
        <v>47</v>
      </c>
      <c r="B1" s="2"/>
      <c r="C1" s="3"/>
      <c r="D1" s="4"/>
    </row>
    <row r="2" ht="16.5" spans="1:4">
      <c r="A2" s="5" t="s">
        <v>48</v>
      </c>
      <c r="B2" s="6"/>
      <c r="C2" s="6"/>
      <c r="D2" s="4"/>
    </row>
    <row r="3" ht="16.5" spans="1:4">
      <c r="A3" s="6"/>
      <c r="B3" s="6"/>
      <c r="C3" s="6"/>
      <c r="D3" s="4"/>
    </row>
    <row r="4" customHeight="1" spans="1:4">
      <c r="A4" s="7" t="s">
        <v>49</v>
      </c>
      <c r="B4" s="7" t="s">
        <v>50</v>
      </c>
      <c r="C4" s="7" t="s">
        <v>51</v>
      </c>
      <c r="D4" s="8"/>
    </row>
    <row r="5" ht="16.5" spans="1:4">
      <c r="A5" s="9" t="s">
        <v>52</v>
      </c>
      <c r="B5" s="9" t="s">
        <v>53</v>
      </c>
      <c r="C5" s="10" t="s">
        <v>2</v>
      </c>
      <c r="D5" s="4"/>
    </row>
    <row r="6" ht="16.5" spans="1:4">
      <c r="A6" s="9" t="s">
        <v>54</v>
      </c>
      <c r="B6" s="9" t="s">
        <v>55</v>
      </c>
      <c r="C6" s="10" t="s">
        <v>2</v>
      </c>
      <c r="D6" s="4"/>
    </row>
    <row r="7" ht="16.5" spans="1:4">
      <c r="A7" s="9" t="s">
        <v>56</v>
      </c>
      <c r="B7" s="9" t="s">
        <v>57</v>
      </c>
      <c r="C7" s="10" t="s">
        <v>2</v>
      </c>
      <c r="D7" s="4"/>
    </row>
    <row r="8" ht="16.5" spans="1:4">
      <c r="A8" s="9" t="s">
        <v>58</v>
      </c>
      <c r="B8" s="9" t="s">
        <v>59</v>
      </c>
      <c r="C8" s="10" t="s">
        <v>2</v>
      </c>
      <c r="D8" s="4"/>
    </row>
    <row r="9" ht="16.5" spans="1:4">
      <c r="A9" s="9" t="s">
        <v>60</v>
      </c>
      <c r="B9" s="9" t="s">
        <v>61</v>
      </c>
      <c r="C9" s="10" t="s">
        <v>2</v>
      </c>
      <c r="D9" s="4"/>
    </row>
    <row r="10" ht="16.5" spans="1:4">
      <c r="A10" s="9" t="s">
        <v>62</v>
      </c>
      <c r="B10" s="9" t="s">
        <v>63</v>
      </c>
      <c r="C10" s="10" t="s">
        <v>2</v>
      </c>
      <c r="D10" s="4"/>
    </row>
    <row r="11" ht="16.5" spans="1:4">
      <c r="A11" s="9" t="s">
        <v>64</v>
      </c>
      <c r="B11" s="9" t="s">
        <v>65</v>
      </c>
      <c r="C11" s="10" t="s">
        <v>2</v>
      </c>
      <c r="D11" s="4"/>
    </row>
    <row r="12" ht="16.5" spans="1:4">
      <c r="A12" s="9" t="s">
        <v>66</v>
      </c>
      <c r="B12" s="9" t="s">
        <v>67</v>
      </c>
      <c r="C12" s="10" t="s">
        <v>2</v>
      </c>
      <c r="D12" s="4"/>
    </row>
    <row r="13" ht="16.5" spans="1:4">
      <c r="A13" s="4"/>
      <c r="B13" s="4"/>
      <c r="C13" s="4"/>
      <c r="D13" s="4"/>
    </row>
    <row r="14" customHeight="1" spans="1:4">
      <c r="A14" s="1" t="s">
        <v>68</v>
      </c>
      <c r="B14" s="2"/>
      <c r="C14" s="3"/>
      <c r="D14" s="4"/>
    </row>
    <row r="15" ht="16.5" spans="1:4">
      <c r="A15" s="5" t="s">
        <v>69</v>
      </c>
      <c r="B15" s="6"/>
      <c r="C15" s="6"/>
      <c r="D15" s="4"/>
    </row>
    <row r="16" ht="16.5" spans="1:4">
      <c r="A16" s="6"/>
      <c r="B16" s="6"/>
      <c r="C16" s="6"/>
      <c r="D16" s="4"/>
    </row>
    <row r="17" customHeight="1" spans="1:4">
      <c r="A17" s="7" t="s">
        <v>49</v>
      </c>
      <c r="B17" s="7" t="s">
        <v>50</v>
      </c>
      <c r="C17" s="7" t="s">
        <v>51</v>
      </c>
      <c r="D17" s="8"/>
    </row>
    <row r="18" ht="16.5" spans="1:4">
      <c r="A18" s="9" t="s">
        <v>52</v>
      </c>
      <c r="B18" s="9" t="s">
        <v>70</v>
      </c>
      <c r="C18" s="10" t="s">
        <v>2</v>
      </c>
      <c r="D18" s="4"/>
    </row>
    <row r="19" ht="16.5" spans="1:4">
      <c r="A19" s="9" t="s">
        <v>54</v>
      </c>
      <c r="B19" s="9" t="s">
        <v>71</v>
      </c>
      <c r="C19" s="10" t="s">
        <v>2</v>
      </c>
      <c r="D19" s="4"/>
    </row>
    <row r="20" ht="16.5" spans="1:4">
      <c r="A20" s="9" t="s">
        <v>56</v>
      </c>
      <c r="B20" s="9" t="s">
        <v>72</v>
      </c>
      <c r="C20" s="10" t="s">
        <v>2</v>
      </c>
      <c r="D20" s="4"/>
    </row>
    <row r="21" ht="16.5" spans="1:4">
      <c r="A21" s="9" t="s">
        <v>58</v>
      </c>
      <c r="B21" s="9" t="s">
        <v>73</v>
      </c>
      <c r="C21" s="10" t="s">
        <v>2</v>
      </c>
      <c r="D21" s="4"/>
    </row>
    <row r="22" ht="16.5" spans="1:4">
      <c r="A22" s="9" t="s">
        <v>60</v>
      </c>
      <c r="B22" s="9" t="s">
        <v>74</v>
      </c>
      <c r="C22" s="10" t="s">
        <v>2</v>
      </c>
      <c r="D22" s="4"/>
    </row>
    <row r="23" ht="16.5" spans="1:4">
      <c r="A23" s="9" t="s">
        <v>62</v>
      </c>
      <c r="B23" s="9" t="s">
        <v>75</v>
      </c>
      <c r="C23" s="10" t="s">
        <v>2</v>
      </c>
      <c r="D23" s="4"/>
    </row>
    <row r="24" ht="16.5" spans="1:4">
      <c r="A24" s="4"/>
      <c r="B24" s="4"/>
      <c r="C24" s="4"/>
      <c r="D24" s="4"/>
    </row>
    <row r="25" customHeight="1" spans="1:4">
      <c r="A25" s="1" t="s">
        <v>76</v>
      </c>
      <c r="B25" s="2"/>
      <c r="C25" s="4"/>
      <c r="D25" s="4"/>
    </row>
    <row r="26" ht="16.5" spans="1:4">
      <c r="A26" s="5" t="s">
        <v>77</v>
      </c>
      <c r="B26" s="6"/>
      <c r="C26" s="4"/>
      <c r="D26" s="4"/>
    </row>
    <row r="27" ht="16.5" spans="1:4">
      <c r="A27" s="6"/>
      <c r="B27" s="6"/>
      <c r="C27" s="4"/>
      <c r="D27" s="4"/>
    </row>
    <row r="28" customHeight="1" spans="1:4">
      <c r="A28" s="7" t="s">
        <v>78</v>
      </c>
      <c r="B28" s="7" t="s">
        <v>79</v>
      </c>
      <c r="C28" s="8"/>
      <c r="D28" s="4"/>
    </row>
    <row r="29" ht="16.5" spans="1:4">
      <c r="A29" s="11">
        <v>15</v>
      </c>
      <c r="B29" s="9" t="s">
        <v>80</v>
      </c>
      <c r="C29" s="4"/>
      <c r="D29" s="4"/>
    </row>
    <row r="30" ht="16.5" spans="1:4">
      <c r="A30" s="11">
        <v>16</v>
      </c>
      <c r="B30" s="9" t="s">
        <v>81</v>
      </c>
      <c r="C30" s="4"/>
      <c r="D30" s="4"/>
    </row>
    <row r="31" ht="16.5" spans="1:4">
      <c r="A31" s="11">
        <v>17</v>
      </c>
      <c r="B31" s="9" t="s">
        <v>82</v>
      </c>
      <c r="C31" s="4"/>
      <c r="D31" s="4"/>
    </row>
    <row r="32" ht="16.5" spans="1:4">
      <c r="A32" s="4"/>
      <c r="B32" s="4"/>
      <c r="C32" s="4"/>
      <c r="D32" s="4"/>
    </row>
    <row r="33" customHeight="1" spans="1:4">
      <c r="A33" s="1" t="s">
        <v>83</v>
      </c>
      <c r="B33" s="2"/>
      <c r="C33" s="3"/>
      <c r="D33" s="3"/>
    </row>
    <row r="34" customHeight="1" spans="1:4">
      <c r="A34" s="12"/>
      <c r="B34" s="7">
        <v>1</v>
      </c>
      <c r="C34" s="7">
        <v>15</v>
      </c>
      <c r="D34" s="7">
        <v>2</v>
      </c>
    </row>
    <row r="35" ht="16.5" spans="1:4">
      <c r="A35" s="6"/>
      <c r="B35" s="11">
        <v>3</v>
      </c>
      <c r="C35" s="11">
        <v>17</v>
      </c>
      <c r="D35" s="11">
        <v>4</v>
      </c>
    </row>
    <row r="36" ht="16.5" spans="1:4">
      <c r="A36" s="6"/>
      <c r="B36" s="11">
        <v>5</v>
      </c>
      <c r="C36" s="11">
        <v>16</v>
      </c>
      <c r="D36" s="11">
        <v>6</v>
      </c>
    </row>
    <row r="37" ht="16.5" spans="1:4">
      <c r="A37" s="4"/>
      <c r="B37" s="4"/>
      <c r="C37" s="4"/>
      <c r="D37" s="4"/>
    </row>
    <row r="38" customHeight="1" spans="1:4">
      <c r="A38" s="1" t="s">
        <v>84</v>
      </c>
      <c r="B38" s="2"/>
      <c r="C38" s="4"/>
      <c r="D38" s="4"/>
    </row>
    <row r="39" customHeight="1" spans="1:4">
      <c r="A39" s="7" t="s">
        <v>85</v>
      </c>
      <c r="B39" s="7">
        <v>200</v>
      </c>
      <c r="C39" s="8"/>
      <c r="D39" s="4"/>
    </row>
    <row r="40" ht="16.5" spans="1:4">
      <c r="A40" s="9" t="s">
        <v>86</v>
      </c>
      <c r="B40" s="6">
        <f>B39</f>
        <v>200</v>
      </c>
      <c r="C40" s="4"/>
      <c r="D40" s="4"/>
    </row>
    <row r="41" ht="16.5" spans="1:4">
      <c r="A41" s="9" t="s">
        <v>87</v>
      </c>
      <c r="B41" s="6"/>
      <c r="C41" s="4"/>
      <c r="D41" s="4"/>
    </row>
  </sheetData>
  <pageMargins left="0.75" right="0.75" top="1" bottom="1" header="0.5" footer="0.5"/>
  <headerFooter/>
  <ignoredErrors>
    <ignoredError sqref="A1:I61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除错指南 程序+Excel+编码清单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2026-09-27T17:18:00Z</dcterms:created>
  <dcterms:modified xsi:type="dcterms:W3CDTF">2026-09-29T04:49:11Z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CEEB1CFC8ED64B7A9D8974D1F65B019C_12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