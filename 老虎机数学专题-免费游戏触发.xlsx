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免费游戏触发 门槛K+首触分布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<sst xmlns="http://schemas.openxmlformats.org/spreadsheetml/2006/main" count="1772" uniqueCount="115">
  <si>
    <t>免费游戏的触发（Free Game Trigger）—— 原文对照版</t>
  </si>
  <si>
    <t xml:space="preserve"> </t>
  </si>
  <si>
    <t>来源：https://ezslotdesign.com/fs-trigger/  图片：images/fs-trigger/</t>
  </si>
  <si>
    <t/>
  </si>
  <si>
    <t>每局触发机率 p=1/N；连续k局未触发 = (1-1/N)^k</t>
  </si>
  <si>
    <t>1) 玩满N局未触发：N=100 → 36.60%（N&gt;=24 都在36.0%~36.8%）</t>
  </si>
  <si>
    <t>2) 运气好门槛 K：发生机率最接近且小于50%的整数 → K = INT(LN(0.5)/LN(1-1/N))</t>
  </si>
  <si>
    <t xml:space="preserve">   （原文 N=100 → K=68；K/N 极限 = LN(2) = 69.3144713841566%）</t>
  </si>
  <si>
    <t xml:space="preserve">   注意：K 不是 INT(N*LN(2))——小N时会差1（如 N=25 应为16，N*LN2=17.33）</t>
  </si>
  <si>
    <t>3) 最可能第一次触发的是第1局（机率p最高，但也只有1%）</t>
  </si>
  <si>
    <t>原文两张表已重建于「未触发机率」与「运气好门槛K」，并附原文数值对照列。</t>
  </si>
  <si>
    <t>（本簿已合并为 2 个页签：说明、免费游戏触发 门槛K+首触分布；各区块：未触发机率 第2~24行，运气好门槛K 第27~54行，首触分布 第57~261行）</t>
  </si>
  <si>
    <t>── 完整文档（原 老虎机数学专题-免费游戏触发.md 存档）──</t>
  </si>
  <si>
    <t>老虎机数学专题 —— 免费游戏的触发（Free Game Trigger）</t>
  </si>
  <si>
    <t>来源：https://ezslotdesign.com/fs-trigger/</t>
  </si>
  <si>
    <t>配图：原文 3 张配图已下载到本目录 images/fs-trigger/ 并嵌入本文。</t>
  </si>
  <si>
    <t>配套模型：老虎机数学专题-免费游戏触发.xlsx</t>
  </si>
  <si>
    <t>一、问题</t>
  </si>
  <si>
    <t>玩一款平均触发局数 = N 的老虎机：</t>
  </si>
  <si>
    <t>• 1. 玩到 N 局还没触发免费游戏的机率有多少？算运气不好吗？</t>
  </si>
  <si>
    <t>• 2. 玩到几局内触发才算「运气好」？</t>
  </si>
  <si>
    <t>• 3. 最有可能在第几局第一次触发？</t>
  </si>
  <si>
    <t>（几何分布问题，每局触发机率 p = 1/N）</t>
  </si>
  <si>
    <t>二、连续没触发的机率</t>
  </si>
  <si>
    <t>[图片] 原文表：N=25~1000 连续 N/2N/3N 局未触发机率  images/fs-trigger/01-image-188-opt.webp</t>
  </si>
  <si>
    <t>每局触发机率 p = 1/N，连续 k 局没触发的机率 = (1 − 1/N)^k。</t>
  </si>
  <si>
    <t>N = 100 时玩满 100 局未触发：(99%)^100 ≈ 36.60% → 答案是「YES，算运气不好」。</t>
  </si>
  <si>
    <t>有趣的是：不管 N 是多少（只要 N ≥ 24），玩满 N 局未触发的机率都落在 36.0% ~ 36.8%：</t>
  </si>
  <si>
    <t>连续未触发</t>
  </si>
  <si>
    <t>机率（约）</t>
  </si>
  <si>
    <t>N 局</t>
  </si>
  <si>
    <t>36.7%</t>
  </si>
  <si>
    <t>2N 局</t>
  </si>
  <si>
    <t>13.5%</t>
  </si>
  <si>
    <t>3N 局</t>
  </si>
  <si>
    <t>4.9%</t>
  </si>
  <si>
    <t>原文给出 N = 25 ~ 1000 的完整对照表（模型 xlsx 中已重建，可用蓝字改 N 重算）：</t>
  </si>
  <si>
    <t>三、几局内触发算「运气好」？</t>
  </si>
  <si>
    <t>[图片] 原文表：各 N 的门槛 K 与 K 局内触发机率  images/fs-trigger/03-image-189-opt.webp</t>
  </si>
  <si>
    <t>以「有一半以上的人比你用更多局数触发」为运气好的标准，即求中位数 K：</t>
  </si>
  <si>
    <t>• N = 100 时，必须在 68 局内触发才算运气好。</t>
  </si>
  <si>
    <t>• 规律：K ≈ N × 69.3144713841566%（N 越大越趋近）。</t>
  </si>
  <si>
    <r>
      <rPr>
        <i/>
        <sz val="11"/>
        <color rgb="FF606060"/>
        <rFont val="微软雅黑"/>
        <charset val="134"/>
      </rPr>
      <t xml:space="preserve">69.31% 来自 ln 2 ≈ 0.6931：连续 k 局未触发机率 = e^(−k/N)，令其 = 50% 得 k = N × ln 2 ≈ 0.6931N，即 K = </t>
    </r>
    <r>
      <rPr>
        <i/>
        <sz val="11"/>
        <color rgb="FF606060"/>
        <rFont val="宋体"/>
        <charset val="134"/>
      </rPr>
      <t>⌊</t>
    </r>
    <r>
      <rPr>
        <i/>
        <sz val="11"/>
        <color rgb="FF606060"/>
        <rFont val="微软雅黑"/>
        <charset val="134"/>
      </rPr>
      <t>N × ln 2</t>
    </r>
    <r>
      <rPr>
        <i/>
        <sz val="11"/>
        <color rgb="FF606060"/>
        <rFont val="宋体"/>
        <charset val="134"/>
      </rPr>
      <t>⌋</t>
    </r>
    <r>
      <rPr>
        <i/>
        <sz val="11"/>
        <color rgb="FF606060"/>
        <rFont val="微软雅黑"/>
        <charset val="134"/>
      </rPr>
      <t>。</t>
    </r>
  </si>
  <si>
    <t>四、第几局最可能第一次触发？</t>
  </si>
  <si>
    <t>答案：第一局。</t>
  </si>
  <si>
    <t>• 连续 k 局没触发、第 (k+1) 局才第一次触发的机率 = (1 − 1/N)^k × (1/N)</t>
  </si>
  <si>
    <t>• N = 100 时：第 1 局就触发 = 1%（最高），之后逐局递减</t>
  </si>
  <si>
    <t>• 第 101 局才首触 = (99%)^100 × 1% = 36.60% × 1%</t>
  </si>
  <si>
    <t>• 虽然第 1 局机率最高，但只有 1%，仍要累积到 68 局才有约一半的机率触发</t>
  </si>
  <si>
    <t>五、数值汇总（原文）</t>
  </si>
  <si>
    <t>项目</t>
  </si>
  <si>
    <t>数值</t>
  </si>
  <si>
    <t>N=100 玩满 N 局未触发</t>
  </si>
  <si>
    <t>36.60%</t>
  </si>
  <si>
    <t>N ≥ 24 时的未触发区间</t>
  </si>
  <si>
    <t>36.0% ~ 36.8%</t>
  </si>
  <si>
    <t>连续 N / 2N / 3N 局未触发</t>
  </si>
  <si>
    <t>36.7% / 13.5% / 4.9%</t>
  </si>
  <si>
    <t>N=100 的「运气好」门槛 K</t>
  </si>
  <si>
    <t>68 局</t>
  </si>
  <si>
    <t>K / N 极限比例</t>
  </si>
  <si>
    <t>69.3144713841566%</t>
  </si>
  <si>
    <t>第 1 局即触发</t>
  </si>
  <si>
    <t>1%</t>
  </si>
  <si>
    <t>单点公式</t>
  </si>
  <si>
    <t>(99%)^k × 1%</t>
  </si>
  <si>
    <t>六、Excel 模型说明</t>
  </si>
  <si>
    <t>老虎机数学专题-免费游戏触发.xlsx：</t>
  </si>
  <si>
    <t>工作表</t>
  </si>
  <si>
    <t>内容</t>
  </si>
  <si>
    <t>说明</t>
  </si>
  <si>
    <t>问题、公式、结论</t>
  </si>
  <si>
    <t>免费游戏触发 门槛K+首触分布</t>
  </si>
  <si>
    <t>未触发机率（N = 25~1000 × 连续 N/2N/3N 局）+ 运气好门槛K（各 N 的中位数 K = INT(N×LN(2)) 与 K/N）+ 首触分布（N=100 时第 1~200 局首次触发的机率与累计，几何分布）</t>
  </si>
  <si>
    <t>原文数据核对（读图回填）</t>
  </si>
  <si>
    <r>
      <rPr>
        <sz val="11"/>
        <color rgb="FF000000"/>
        <rFont val="微软雅黑"/>
        <charset val="134"/>
      </rPr>
      <t>• 原文表1（未触发机率，N=25~1000）：本模型公式 (1−1/N)^N/2N/3N 与原文逐行一致（N=25: 36.04/12.99/4.68 … N=1000: 36.77/13.52/4.97）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</si>
  <si>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原文表2（K 值）：16/34/51/68/86/103/120/138/155/172/207/242/276/311/346/415/484/554/623/692 —— 全部等于 INT(LN(0.5)/LN(1−1/N)) </t>
    </r>
    <r>
      <rPr>
        <sz val="11"/>
        <color rgb="FF000000"/>
        <rFont val="宋体"/>
        <charset val="134"/>
      </rPr>
      <t>✓</t>
    </r>
  </si>
  <si>
    <t>注意：K ≠ INT(N×LN2)（小 N 会差 1，如 N=25 应为 16、N=100 应为 68），模型已按正确公式修正</t>
  </si>
  <si>
    <t>• 原文「K局内触发」概率列（48.65%/49.34%/…/49.97%）与精确几何公式在小 N 处略有出入（N=25 公式值 47.96%），K 值本身完全一致；以原文表为准</t>
  </si>
  <si>
    <t>• N 序列与原文一致：25~250 步进 25，之后 300/350/…/1000</t>
  </si>
  <si>
    <t>配图清单（images/fs-trigger/）</t>
  </si>
  <si>
    <t>文件</t>
  </si>
  <si>
    <t>images/fs-trigger/01-image-188-opt.webp</t>
  </si>
  <si>
    <t>未触发机率表（大图）</t>
  </si>
  <si>
    <t>images/fs-trigger/02-image-188-opt.webp</t>
  </si>
  <si>
    <t>同图（小图重复）</t>
  </si>
  <si>
    <t>images/fs-trigger/03-image-189-opt.webp</t>
  </si>
  <si>
    <t>K 门槛表</t>
  </si>
  <si>
    <t>【未触发机率】</t>
  </si>
  <si>
    <t>连续N/2N/3N局未触发机率（公式值 vs 原文表对照）</t>
  </si>
  <si>
    <t>平均N局触发</t>
  </si>
  <si>
    <t>连续N局(公式)</t>
  </si>
  <si>
    <t>连续2N局(公式)</t>
  </si>
  <si>
    <t>连续3N局(公式)</t>
  </si>
  <si>
    <t>原文N</t>
  </si>
  <si>
    <t>原文2N</t>
  </si>
  <si>
    <t>原文3N</t>
  </si>
  <si>
    <t>【运气好门槛K】</t>
  </si>
  <si>
    <t>K = INT(LN(0.5)/LN(1-1/N))（发生机率最接近且&lt;50%）；附原文K与概率对照</t>
  </si>
  <si>
    <t>K(公式)</t>
  </si>
  <si>
    <t>K局内触发(公式)</t>
  </si>
  <si>
    <t>K/N</t>
  </si>
  <si>
    <t>原文K</t>
  </si>
  <si>
    <t>原文K局内触发</t>
  </si>
  <si>
    <t>K/N 极限 = LN(2)</t>
  </si>
  <si>
    <t>注：原文「K局内触发」概率列在小N时与精确几何公式略有出入（如N=25原文48.65%，</t>
  </si>
  <si>
    <t>公式值47.96%），K值本身则与公式完全一致；推断原文概率列另有微调，以原文表为准。</t>
  </si>
  <si>
    <t>【首触分布】</t>
  </si>
  <si>
    <t>N=100 时第 k 局才第一次触发的机率（几何分布）</t>
  </si>
  <si>
    <t>平均触发局数N</t>
  </si>
  <si>
    <t>局数k</t>
  </si>
  <si>
    <t>第k局才首触机率</t>
  </si>
  <si>
    <t>累计机率(前k局内有触发)</t>
  </si>
  <si>
    <t>← K=68：累计约49.67%（原文运气好门槛）</t>
  </si>
  <si>
    <t>← 玩满N=100局仍未触发36.60%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</si>
</sst>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i/>
      <sz val="11"/>
      <color rgb="FF60606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0" applyFont="1" applyBorder="1"/>
    <xf numFmtId="0" fontId="1" fillId="3" borderId="0" xfId="0" applyFont="1" applyFill="1" applyBorder="1" applyAlignment="1">
      <alignment horizontal="center"/>
    </xf>
    <xf numFmtId="10" fontId="3" fillId="0" borderId="0" xfId="0" applyNumberFormat="1" applyFont="1" applyBorder="1"/>
    <xf numFmtId="10" fontId="4" fillId="0" borderId="0" xfId="0" applyNumberFormat="1" applyFont="1" applyBorder="1"/>
    <xf numFmtId="0" fontId="3" fillId="0" borderId="0" xfId="0" applyFont="1"/>
    <xf numFmtId="0" fontId="3" fillId="0" borderId="0" xfId="0" applyFont="1" applyAlignment="1"/>
    <xf numFmtId="176" fontId="3" fillId="0" borderId="0" xfId="0" applyNumberFormat="1" applyFont="1" applyBorder="1"/>
    <xf numFmtId="0" fontId="4" fillId="0" borderId="0" xfId="0" applyFont="1" applyBorder="1"/>
    <xf numFmtId="0" fontId="5" fillId="0" borderId="0" xfId="0" applyFont="1" applyBorder="1"/>
    <xf numFmtId="177" fontId="3" fillId="4" borderId="0" xfId="0" applyNumberFormat="1" applyFont="1" applyFill="1" applyBorder="1"/>
    <xf numFmtId="0" fontId="1" fillId="3" borderId="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29</xdr:row>
      <xdr:rowOff>0</xdr:rowOff>
    </xdr:from>
    <xdr:to>
      <xdr:col>9</xdr:col>
      <xdr:colOff>463550</xdr:colOff>
      <xdr:row>46</xdr:row>
      <xdr:rowOff>63500</xdr:rowOff>
    </xdr:to>
    <xdr:pic>
      <xdr:nvPicPr>
        <xdr:cNvPr id="2" name="图片 1" descr="01-image-188-opt"/>
        <xdr:cNvPicPr/>
      </xdr:nvPicPr>
      <xdr:blipFill>
        <a:blip r:embed="rId1"/>
        <a:stretch>
          <a:fillRect/>
        </a:stretch>
      </xdr:blipFill>
      <xdr:spPr>
        <a:xfrm>
          <a:off x="5943600" y="5899150"/>
          <a:ext cx="5461000" cy="35115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46</xdr:row>
      <xdr:rowOff>165100</xdr:rowOff>
    </xdr:from>
    <xdr:to>
      <xdr:col>6</xdr:col>
      <xdr:colOff>622300</xdr:colOff>
      <xdr:row>70</xdr:row>
      <xdr:rowOff>63500</xdr:rowOff>
    </xdr:to>
    <xdr:pic>
      <xdr:nvPicPr>
        <xdr:cNvPr id="3" name="图片 2" descr="03-image-189-opt"/>
        <xdr:cNvPicPr/>
      </xdr:nvPicPr>
      <xdr:blipFill>
        <a:blip r:embed="rId2"/>
        <a:stretch>
          <a:fillRect/>
        </a:stretch>
      </xdr:blipFill>
      <xdr:spPr>
        <a:xfrm>
          <a:off x="5943600" y="9512300"/>
          <a:ext cx="3733800" cy="474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4"/>
  <sheetViews>
    <sheetView workbookViewId="0">
      <selection activeCell="A1" sqref="A1:B1"/>
    </sheetView>
  </sheetViews>
  <sheetFormatPr defaultColWidth="9" defaultRowHeight="14"/>
  <cols>
    <col min="1" max="1" width="84.6363636363636" style="14" customWidth="1"/>
  </cols>
  <sheetData>
    <row r="1" ht="22" customHeight="1" spans="1:10">
      <c r="A1" s="15" t="s">
        <v>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</row>
    <row r="2" customHeight="1" spans="1:10">
      <c r="A2" s="17" t="s">
        <v>2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  <c r="G2" s="18" t="s">
        <v>1</v>
      </c>
      <c r="H2" s="18" t="s">
        <v>1</v>
      </c>
      <c r="I2" s="18" t="s">
        <v>1</v>
      </c>
      <c r="J2" s="18" t="s">
        <v>1</v>
      </c>
    </row>
    <row r="3" customHeight="1" spans="1:10">
      <c r="A3" s="17" t="s">
        <v>3</v>
      </c>
      <c r="B3" s="18" t="s">
        <v>1</v>
      </c>
      <c r="C3" s="18" t="s">
        <v>1</v>
      </c>
      <c r="D3" s="18" t="s">
        <v>1</v>
      </c>
      <c r="E3" s="18" t="s">
        <v>1</v>
      </c>
      <c r="F3" s="18" t="s">
        <v>1</v>
      </c>
      <c r="G3" s="18" t="s">
        <v>1</v>
      </c>
      <c r="H3" s="18" t="s">
        <v>1</v>
      </c>
      <c r="I3" s="18" t="s">
        <v>1</v>
      </c>
      <c r="J3" s="18" t="s">
        <v>1</v>
      </c>
    </row>
    <row r="4" customHeight="1" spans="1:10">
      <c r="A4" s="17" t="s">
        <v>4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8" t="s">
        <v>1</v>
      </c>
      <c r="H4" s="18" t="s">
        <v>1</v>
      </c>
      <c r="I4" s="18" t="s">
        <v>1</v>
      </c>
      <c r="J4" s="18" t="s">
        <v>1</v>
      </c>
    </row>
    <row r="5" customHeight="1" spans="1:10">
      <c r="A5" s="17" t="s">
        <v>5</v>
      </c>
      <c r="B5" s="18" t="s">
        <v>1</v>
      </c>
      <c r="C5" s="18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</row>
    <row r="6" customHeight="1" spans="1:10">
      <c r="A6" s="17" t="s">
        <v>6</v>
      </c>
      <c r="B6" s="18" t="s">
        <v>1</v>
      </c>
      <c r="C6" s="18" t="s">
        <v>1</v>
      </c>
      <c r="D6" s="18" t="s">
        <v>1</v>
      </c>
      <c r="E6" s="18" t="s">
        <v>1</v>
      </c>
      <c r="F6" s="18" t="s">
        <v>1</v>
      </c>
      <c r="G6" s="18" t="s">
        <v>1</v>
      </c>
      <c r="H6" s="18" t="s">
        <v>1</v>
      </c>
      <c r="I6" s="18" t="s">
        <v>1</v>
      </c>
      <c r="J6" s="18" t="s">
        <v>1</v>
      </c>
    </row>
    <row r="7" customHeight="1" spans="1:10">
      <c r="A7" s="17" t="s">
        <v>7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</row>
    <row r="8" customHeight="1" spans="1:10">
      <c r="A8" s="17" t="s">
        <v>8</v>
      </c>
      <c r="B8" s="18" t="s">
        <v>1</v>
      </c>
      <c r="C8" s="18" t="s">
        <v>1</v>
      </c>
      <c r="D8" s="18" t="s">
        <v>1</v>
      </c>
      <c r="E8" s="18" t="s">
        <v>1</v>
      </c>
      <c r="F8" s="18" t="s">
        <v>1</v>
      </c>
      <c r="G8" s="18" t="s">
        <v>1</v>
      </c>
      <c r="H8" s="18" t="s">
        <v>1</v>
      </c>
      <c r="I8" s="18" t="s">
        <v>1</v>
      </c>
      <c r="J8" s="18" t="s">
        <v>1</v>
      </c>
    </row>
    <row r="9" customHeight="1" spans="1:10">
      <c r="A9" s="17" t="s">
        <v>9</v>
      </c>
      <c r="B9" s="18" t="s">
        <v>1</v>
      </c>
      <c r="C9" s="18" t="s">
        <v>1</v>
      </c>
      <c r="D9" s="18" t="s">
        <v>1</v>
      </c>
      <c r="E9" s="18" t="s">
        <v>1</v>
      </c>
      <c r="F9" s="18" t="s">
        <v>1</v>
      </c>
      <c r="G9" s="18" t="s">
        <v>1</v>
      </c>
      <c r="H9" s="18" t="s">
        <v>1</v>
      </c>
      <c r="I9" s="18" t="s">
        <v>1</v>
      </c>
      <c r="J9" s="18" t="s">
        <v>1</v>
      </c>
    </row>
    <row r="10" customHeight="1" spans="1:10">
      <c r="A10" s="17" t="s">
        <v>3</v>
      </c>
      <c r="B10" s="18" t="s">
        <v>1</v>
      </c>
      <c r="C10" s="18" t="s">
        <v>1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18" t="s">
        <v>1</v>
      </c>
    </row>
    <row r="11" customHeight="1" spans="1:10">
      <c r="A11" s="17" t="s">
        <v>10</v>
      </c>
      <c r="B11" s="18" t="s">
        <v>1</v>
      </c>
      <c r="C11" s="18" t="s">
        <v>1</v>
      </c>
      <c r="D11" s="18" t="s">
        <v>1</v>
      </c>
      <c r="E11" s="18" t="s">
        <v>1</v>
      </c>
      <c r="F11" s="18" t="s">
        <v>1</v>
      </c>
      <c r="G11" s="18" t="s">
        <v>1</v>
      </c>
      <c r="H11" s="18" t="s">
        <v>1</v>
      </c>
      <c r="I11" s="18" t="s">
        <v>1</v>
      </c>
      <c r="J11" s="18" t="s">
        <v>1</v>
      </c>
    </row>
    <row r="12" customHeight="1" spans="1:10">
      <c r="A12" s="17" t="s">
        <v>1</v>
      </c>
      <c r="B12" s="18" t="s">
        <v>1</v>
      </c>
      <c r="C12" s="18" t="s">
        <v>1</v>
      </c>
      <c r="D12" s="18" t="s">
        <v>1</v>
      </c>
      <c r="E12" s="18" t="s">
        <v>1</v>
      </c>
      <c r="F12" s="18" t="s">
        <v>1</v>
      </c>
      <c r="G12" s="18" t="s">
        <v>1</v>
      </c>
      <c r="H12" s="18" t="s">
        <v>1</v>
      </c>
      <c r="I12" s="18" t="s">
        <v>1</v>
      </c>
      <c r="J12" s="18" t="s">
        <v>1</v>
      </c>
    </row>
    <row r="13" customHeight="1" spans="1:10">
      <c r="A13" s="19" t="s">
        <v>11</v>
      </c>
      <c r="B13" s="18" t="s">
        <v>1</v>
      </c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18" t="s">
        <v>1</v>
      </c>
      <c r="I13" s="18" t="s">
        <v>1</v>
      </c>
      <c r="J13" s="18" t="s">
        <v>1</v>
      </c>
    </row>
    <row r="14" ht="16.5" spans="1:10">
      <c r="A14" s="17" t="s">
        <v>1</v>
      </c>
      <c r="B14" s="18" t="s">
        <v>1</v>
      </c>
      <c r="C14" s="18" t="s">
        <v>1</v>
      </c>
      <c r="D14" s="18" t="s">
        <v>1</v>
      </c>
      <c r="E14" s="18" t="s">
        <v>1</v>
      </c>
      <c r="F14" s="18" t="s">
        <v>1</v>
      </c>
      <c r="G14" s="18" t="s">
        <v>1</v>
      </c>
      <c r="H14" s="18" t="s">
        <v>1</v>
      </c>
      <c r="I14" s="18" t="s">
        <v>1</v>
      </c>
      <c r="J14" s="18" t="s">
        <v>1</v>
      </c>
    </row>
    <row r="15" ht="20" customHeight="1" spans="1:10">
      <c r="A15" s="20" t="s">
        <v>12</v>
      </c>
      <c r="B15" s="18" t="s">
        <v>1</v>
      </c>
      <c r="C15" s="18" t="s">
        <v>1</v>
      </c>
      <c r="D15" s="18" t="s">
        <v>1</v>
      </c>
      <c r="E15" s="18" t="s">
        <v>1</v>
      </c>
      <c r="F15" s="18" t="s">
        <v>1</v>
      </c>
      <c r="G15" s="18" t="s">
        <v>1</v>
      </c>
      <c r="H15" s="18" t="s">
        <v>1</v>
      </c>
      <c r="I15" s="18" t="s">
        <v>1</v>
      </c>
      <c r="J15" s="18" t="s">
        <v>1</v>
      </c>
    </row>
    <row r="16" ht="24" customHeight="1" spans="1:10">
      <c r="A16" s="21" t="s">
        <v>13</v>
      </c>
      <c r="B16" s="22" t="s">
        <v>1</v>
      </c>
      <c r="C16" s="22" t="s">
        <v>1</v>
      </c>
      <c r="D16" s="22" t="s">
        <v>1</v>
      </c>
      <c r="E16" s="22" t="s">
        <v>1</v>
      </c>
      <c r="F16" s="22" t="s">
        <v>1</v>
      </c>
      <c r="G16" s="22" t="s">
        <v>1</v>
      </c>
      <c r="H16" s="22" t="s">
        <v>1</v>
      </c>
      <c r="I16" s="22" t="s">
        <v>1</v>
      </c>
      <c r="J16" s="22" t="s">
        <v>1</v>
      </c>
    </row>
    <row r="17" spans="1:10">
      <c r="A17" s="23" t="s">
        <v>1</v>
      </c>
      <c r="B17" s="22" t="s">
        <v>1</v>
      </c>
      <c r="C17" s="22" t="s">
        <v>1</v>
      </c>
      <c r="D17" s="22" t="s">
        <v>1</v>
      </c>
      <c r="E17" s="22" t="s">
        <v>1</v>
      </c>
      <c r="F17" s="22" t="s">
        <v>1</v>
      </c>
      <c r="G17" s="22" t="s">
        <v>1</v>
      </c>
      <c r="H17" s="22" t="s">
        <v>1</v>
      </c>
      <c r="I17" s="22" t="s">
        <v>1</v>
      </c>
      <c r="J17" s="22" t="s">
        <v>1</v>
      </c>
    </row>
    <row r="18" ht="16.5" spans="1:10">
      <c r="A18" s="24" t="s">
        <v>14</v>
      </c>
      <c r="B18" s="22" t="s">
        <v>1</v>
      </c>
      <c r="C18" s="22" t="s">
        <v>1</v>
      </c>
      <c r="D18" s="22" t="s">
        <v>1</v>
      </c>
      <c r="E18" s="22" t="s">
        <v>1</v>
      </c>
      <c r="F18" s="22" t="s">
        <v>1</v>
      </c>
      <c r="G18" s="22" t="s">
        <v>1</v>
      </c>
      <c r="H18" s="22" t="s">
        <v>1</v>
      </c>
      <c r="I18" s="22" t="s">
        <v>1</v>
      </c>
      <c r="J18" s="22" t="s">
        <v>1</v>
      </c>
    </row>
    <row r="19" ht="16.5" spans="1:10">
      <c r="A19" s="24" t="s">
        <v>15</v>
      </c>
      <c r="B19" s="22" t="s">
        <v>1</v>
      </c>
      <c r="C19" s="22" t="s">
        <v>1</v>
      </c>
      <c r="D19" s="22" t="s">
        <v>1</v>
      </c>
      <c r="E19" s="22" t="s">
        <v>1</v>
      </c>
      <c r="F19" s="22" t="s">
        <v>1</v>
      </c>
      <c r="G19" s="22" t="s">
        <v>1</v>
      </c>
      <c r="H19" s="22" t="s">
        <v>1</v>
      </c>
      <c r="I19" s="22" t="s">
        <v>1</v>
      </c>
      <c r="J19" s="22" t="s">
        <v>1</v>
      </c>
    </row>
    <row r="20" ht="16.5" spans="1:10">
      <c r="A20" s="24" t="s">
        <v>16</v>
      </c>
      <c r="B20" s="22" t="s">
        <v>1</v>
      </c>
      <c r="C20" s="22" t="s">
        <v>1</v>
      </c>
      <c r="D20" s="22" t="s">
        <v>1</v>
      </c>
      <c r="E20" s="22" t="s">
        <v>1</v>
      </c>
      <c r="F20" s="22" t="s">
        <v>1</v>
      </c>
      <c r="G20" s="22" t="s">
        <v>1</v>
      </c>
      <c r="H20" s="22" t="s">
        <v>1</v>
      </c>
      <c r="I20" s="22" t="s">
        <v>1</v>
      </c>
      <c r="J20" s="22" t="s">
        <v>1</v>
      </c>
    </row>
    <row r="21" ht="20" customHeight="1" spans="1:10">
      <c r="A21" s="25" t="s">
        <v>17</v>
      </c>
      <c r="B21" s="22" t="s">
        <v>1</v>
      </c>
      <c r="C21" s="22" t="s">
        <v>1</v>
      </c>
      <c r="D21" s="22" t="s">
        <v>1</v>
      </c>
      <c r="E21" s="22" t="s">
        <v>1</v>
      </c>
      <c r="F21" s="22" t="s">
        <v>1</v>
      </c>
      <c r="G21" s="22" t="s">
        <v>1</v>
      </c>
      <c r="H21" s="22" t="s">
        <v>1</v>
      </c>
      <c r="I21" s="22" t="s">
        <v>1</v>
      </c>
      <c r="J21" s="22" t="s">
        <v>1</v>
      </c>
    </row>
    <row r="22" spans="1:10">
      <c r="A22" s="23" t="s">
        <v>1</v>
      </c>
      <c r="B22" s="22" t="s">
        <v>1</v>
      </c>
      <c r="C22" s="22" t="s">
        <v>1</v>
      </c>
      <c r="D22" s="22" t="s">
        <v>1</v>
      </c>
      <c r="E22" s="22" t="s">
        <v>1</v>
      </c>
      <c r="F22" s="22" t="s">
        <v>1</v>
      </c>
      <c r="G22" s="22" t="s">
        <v>1</v>
      </c>
      <c r="H22" s="22" t="s">
        <v>1</v>
      </c>
      <c r="I22" s="22" t="s">
        <v>1</v>
      </c>
      <c r="J22" s="22" t="s">
        <v>1</v>
      </c>
    </row>
    <row r="23" ht="16.5" spans="1:10">
      <c r="A23" s="26" t="s">
        <v>18</v>
      </c>
      <c r="B23" s="22" t="s">
        <v>1</v>
      </c>
      <c r="C23" s="22" t="s">
        <v>1</v>
      </c>
      <c r="D23" s="22" t="s">
        <v>1</v>
      </c>
      <c r="E23" s="22" t="s">
        <v>1</v>
      </c>
      <c r="F23" s="22" t="s">
        <v>1</v>
      </c>
      <c r="G23" s="22" t="s">
        <v>1</v>
      </c>
      <c r="H23" s="22" t="s">
        <v>1</v>
      </c>
      <c r="I23" s="22" t="s">
        <v>1</v>
      </c>
      <c r="J23" s="22" t="s">
        <v>1</v>
      </c>
    </row>
    <row r="24" ht="16.5" spans="1:10">
      <c r="A24" s="26" t="s">
        <v>19</v>
      </c>
      <c r="B24" s="22" t="s">
        <v>1</v>
      </c>
      <c r="C24" s="22" t="s">
        <v>1</v>
      </c>
      <c r="D24" s="22" t="s">
        <v>1</v>
      </c>
      <c r="E24" s="22" t="s">
        <v>1</v>
      </c>
      <c r="F24" s="22" t="s">
        <v>1</v>
      </c>
      <c r="G24" s="22" t="s">
        <v>1</v>
      </c>
      <c r="H24" s="22" t="s">
        <v>1</v>
      </c>
      <c r="I24" s="22" t="s">
        <v>1</v>
      </c>
      <c r="J24" s="22" t="s">
        <v>1</v>
      </c>
    </row>
    <row r="25" ht="16.5" spans="1:10">
      <c r="A25" s="26" t="s">
        <v>20</v>
      </c>
      <c r="B25" s="22" t="s">
        <v>1</v>
      </c>
      <c r="C25" s="22" t="s">
        <v>1</v>
      </c>
      <c r="D25" s="22" t="s">
        <v>1</v>
      </c>
      <c r="E25" s="22" t="s">
        <v>1</v>
      </c>
      <c r="F25" s="22" t="s">
        <v>1</v>
      </c>
      <c r="G25" s="22" t="s">
        <v>1</v>
      </c>
      <c r="H25" s="22" t="s">
        <v>1</v>
      </c>
      <c r="I25" s="22" t="s">
        <v>1</v>
      </c>
      <c r="J25" s="22" t="s">
        <v>1</v>
      </c>
    </row>
    <row r="26" ht="16.5" spans="1:10">
      <c r="A26" s="26" t="s">
        <v>21</v>
      </c>
      <c r="B26" s="22" t="s">
        <v>1</v>
      </c>
      <c r="C26" s="22" t="s">
        <v>1</v>
      </c>
      <c r="D26" s="22" t="s">
        <v>1</v>
      </c>
      <c r="E26" s="22" t="s">
        <v>1</v>
      </c>
      <c r="F26" s="22" t="s">
        <v>1</v>
      </c>
      <c r="G26" s="22" t="s">
        <v>1</v>
      </c>
      <c r="H26" s="22" t="s">
        <v>1</v>
      </c>
      <c r="I26" s="22" t="s">
        <v>1</v>
      </c>
      <c r="J26" s="22" t="s">
        <v>1</v>
      </c>
    </row>
    <row r="27" ht="16.5" spans="1:10">
      <c r="A27" s="26" t="s">
        <v>22</v>
      </c>
      <c r="B27" s="22" t="s">
        <v>1</v>
      </c>
      <c r="C27" s="22" t="s">
        <v>1</v>
      </c>
      <c r="D27" s="22" t="s">
        <v>1</v>
      </c>
      <c r="E27" s="22" t="s">
        <v>1</v>
      </c>
      <c r="F27" s="22" t="s">
        <v>1</v>
      </c>
      <c r="G27" s="22" t="s">
        <v>1</v>
      </c>
      <c r="H27" s="22" t="s">
        <v>1</v>
      </c>
      <c r="I27" s="22" t="s">
        <v>1</v>
      </c>
      <c r="J27" s="22" t="s">
        <v>1</v>
      </c>
    </row>
    <row r="28" ht="20" customHeight="1" spans="1:10">
      <c r="A28" s="25" t="s">
        <v>23</v>
      </c>
      <c r="B28" s="22" t="s">
        <v>1</v>
      </c>
      <c r="C28" s="22" t="s">
        <v>1</v>
      </c>
      <c r="D28" s="22" t="s">
        <v>1</v>
      </c>
      <c r="E28" s="22" t="s">
        <v>1</v>
      </c>
      <c r="F28" s="22" t="s">
        <v>1</v>
      </c>
      <c r="G28" s="22" t="s">
        <v>1</v>
      </c>
      <c r="H28" s="22" t="s">
        <v>1</v>
      </c>
      <c r="I28" s="22" t="s">
        <v>1</v>
      </c>
      <c r="J28" s="22" t="s">
        <v>1</v>
      </c>
    </row>
    <row r="29" spans="1:10">
      <c r="A29" s="23" t="s">
        <v>1</v>
      </c>
      <c r="B29" s="22" t="s">
        <v>1</v>
      </c>
      <c r="C29" s="22" t="s">
        <v>1</v>
      </c>
      <c r="D29" s="22" t="s">
        <v>1</v>
      </c>
      <c r="E29" s="22" t="s">
        <v>1</v>
      </c>
      <c r="F29" s="22" t="s">
        <v>1</v>
      </c>
      <c r="G29" s="22" t="s">
        <v>1</v>
      </c>
      <c r="H29" s="22" t="s">
        <v>1</v>
      </c>
      <c r="I29" s="22" t="s">
        <v>1</v>
      </c>
      <c r="J29" s="22" t="s">
        <v>1</v>
      </c>
    </row>
    <row r="30" ht="16.5" spans="1:10">
      <c r="A30" s="26" t="s">
        <v>24</v>
      </c>
      <c r="B30" s="22" t="s">
        <v>1</v>
      </c>
      <c r="C30" s="22" t="s">
        <v>1</v>
      </c>
      <c r="D30" s="22" t="s">
        <v>1</v>
      </c>
      <c r="E30" s="22" t="s">
        <v>1</v>
      </c>
      <c r="F30" s="22" t="s">
        <v>1</v>
      </c>
      <c r="G30" s="22" t="s">
        <v>1</v>
      </c>
      <c r="H30" s="22" t="s">
        <v>1</v>
      </c>
      <c r="I30" s="22" t="s">
        <v>1</v>
      </c>
      <c r="J30" s="22" t="s">
        <v>1</v>
      </c>
    </row>
    <row r="31" ht="16.5" spans="1:10">
      <c r="A31" s="26" t="s">
        <v>25</v>
      </c>
      <c r="B31" s="22" t="s">
        <v>1</v>
      </c>
      <c r="C31" s="22" t="s">
        <v>1</v>
      </c>
      <c r="D31" s="22" t="s">
        <v>1</v>
      </c>
      <c r="E31" s="22" t="s">
        <v>1</v>
      </c>
      <c r="F31" s="22" t="s">
        <v>1</v>
      </c>
      <c r="G31" s="22" t="s">
        <v>1</v>
      </c>
      <c r="H31" s="22" t="s">
        <v>1</v>
      </c>
      <c r="I31" s="22" t="s">
        <v>1</v>
      </c>
      <c r="J31" s="22" t="s">
        <v>1</v>
      </c>
    </row>
    <row r="32" ht="16.5" spans="1:10">
      <c r="A32" s="26" t="s">
        <v>26</v>
      </c>
      <c r="B32" s="22" t="s">
        <v>1</v>
      </c>
      <c r="C32" s="22" t="s">
        <v>1</v>
      </c>
      <c r="D32" s="22" t="s">
        <v>1</v>
      </c>
      <c r="E32" s="22" t="s">
        <v>1</v>
      </c>
      <c r="F32" s="22" t="s">
        <v>1</v>
      </c>
      <c r="G32" s="22" t="s">
        <v>1</v>
      </c>
      <c r="H32" s="22" t="s">
        <v>1</v>
      </c>
      <c r="I32" s="22" t="s">
        <v>1</v>
      </c>
      <c r="J32" s="22" t="s">
        <v>1</v>
      </c>
    </row>
    <row r="33" ht="16.5" spans="1:10">
      <c r="A33" s="27" t="s">
        <v>27</v>
      </c>
    </row>
    <row r="34" ht="15" customHeight="1" spans="1:10">
      <c r="A34" s="28" t="s">
        <v>28</v>
      </c>
      <c r="B34" s="29" t="s">
        <v>29</v>
      </c>
    </row>
    <row r="35" ht="14.5" spans="1:10">
      <c r="A35" s="30" t="s">
        <v>30</v>
      </c>
      <c r="B35" s="31" t="s">
        <v>31</v>
      </c>
      <c r="C35" s="22" t="s">
        <v>1</v>
      </c>
      <c r="D35" s="22" t="s">
        <v>1</v>
      </c>
      <c r="E35" s="22" t="s">
        <v>1</v>
      </c>
      <c r="F35" s="22" t="s">
        <v>1</v>
      </c>
      <c r="G35" s="22" t="s">
        <v>1</v>
      </c>
      <c r="H35" s="22" t="s">
        <v>1</v>
      </c>
      <c r="I35" s="22" t="s">
        <v>1</v>
      </c>
      <c r="J35" s="22" t="s">
        <v>1</v>
      </c>
    </row>
    <row r="36" ht="14.5" spans="1:10">
      <c r="A36" s="30" t="s">
        <v>32</v>
      </c>
      <c r="B36" s="31" t="s">
        <v>33</v>
      </c>
      <c r="C36" s="22" t="s">
        <v>1</v>
      </c>
      <c r="D36" s="22" t="s">
        <v>1</v>
      </c>
      <c r="E36" s="22" t="s">
        <v>1</v>
      </c>
      <c r="F36" s="22" t="s">
        <v>1</v>
      </c>
      <c r="G36" s="22" t="s">
        <v>1</v>
      </c>
      <c r="H36" s="22" t="s">
        <v>1</v>
      </c>
      <c r="I36" s="22" t="s">
        <v>1</v>
      </c>
      <c r="J36" s="22" t="s">
        <v>1</v>
      </c>
    </row>
    <row r="37" ht="14.5" spans="1:10">
      <c r="A37" s="30" t="s">
        <v>34</v>
      </c>
      <c r="B37" s="31" t="s">
        <v>35</v>
      </c>
      <c r="C37" s="22" t="s">
        <v>1</v>
      </c>
      <c r="D37" s="22" t="s">
        <v>1</v>
      </c>
      <c r="E37" s="22" t="s">
        <v>1</v>
      </c>
      <c r="F37" s="22" t="s">
        <v>1</v>
      </c>
      <c r="G37" s="22" t="s">
        <v>1</v>
      </c>
      <c r="H37" s="22" t="s">
        <v>1</v>
      </c>
      <c r="I37" s="22" t="s">
        <v>1</v>
      </c>
      <c r="J37" s="22" t="s">
        <v>1</v>
      </c>
    </row>
    <row r="38" spans="1:10">
      <c r="A38" s="23" t="s">
        <v>1</v>
      </c>
      <c r="B38" s="22" t="s">
        <v>1</v>
      </c>
      <c r="C38" s="22" t="s">
        <v>1</v>
      </c>
      <c r="D38" s="22" t="s">
        <v>1</v>
      </c>
      <c r="E38" s="22" t="s">
        <v>1</v>
      </c>
      <c r="F38" s="22" t="s">
        <v>1</v>
      </c>
      <c r="G38" s="22" t="s">
        <v>1</v>
      </c>
      <c r="H38" s="22" t="s">
        <v>1</v>
      </c>
      <c r="I38" s="22" t="s">
        <v>1</v>
      </c>
      <c r="J38" s="22" t="s">
        <v>1</v>
      </c>
    </row>
    <row r="39" ht="16.5" spans="1:10">
      <c r="A39" s="26" t="s">
        <v>36</v>
      </c>
      <c r="B39" s="22" t="s">
        <v>1</v>
      </c>
      <c r="C39" s="22" t="s">
        <v>1</v>
      </c>
      <c r="D39" s="22" t="s">
        <v>1</v>
      </c>
      <c r="E39" s="22" t="s">
        <v>1</v>
      </c>
      <c r="F39" s="22" t="s">
        <v>1</v>
      </c>
      <c r="G39" s="22" t="s">
        <v>1</v>
      </c>
      <c r="H39" s="22" t="s">
        <v>1</v>
      </c>
      <c r="I39" s="22" t="s">
        <v>1</v>
      </c>
      <c r="J39" s="22" t="s">
        <v>1</v>
      </c>
    </row>
    <row r="40" ht="20" customHeight="1" spans="1:10">
      <c r="A40" s="25" t="s">
        <v>37</v>
      </c>
      <c r="B40" s="22" t="s">
        <v>1</v>
      </c>
      <c r="C40" s="22" t="s">
        <v>1</v>
      </c>
      <c r="D40" s="22" t="s">
        <v>1</v>
      </c>
      <c r="E40" s="22" t="s">
        <v>1</v>
      </c>
      <c r="F40" s="22" t="s">
        <v>1</v>
      </c>
      <c r="G40" s="22" t="s">
        <v>1</v>
      </c>
      <c r="H40" s="22" t="s">
        <v>1</v>
      </c>
      <c r="I40" s="22" t="s">
        <v>1</v>
      </c>
      <c r="J40" s="22" t="s">
        <v>1</v>
      </c>
    </row>
    <row r="41" spans="1:10">
      <c r="A41" s="23" t="s">
        <v>1</v>
      </c>
      <c r="B41" s="22" t="s">
        <v>1</v>
      </c>
      <c r="C41" s="22" t="s">
        <v>1</v>
      </c>
      <c r="D41" s="22" t="s">
        <v>1</v>
      </c>
      <c r="E41" s="22" t="s">
        <v>1</v>
      </c>
      <c r="F41" s="22" t="s">
        <v>1</v>
      </c>
      <c r="G41" s="22" t="s">
        <v>1</v>
      </c>
      <c r="H41" s="22" t="s">
        <v>1</v>
      </c>
      <c r="I41" s="22" t="s">
        <v>1</v>
      </c>
      <c r="J41" s="22" t="s">
        <v>1</v>
      </c>
    </row>
    <row r="42" ht="16.5" spans="1:10">
      <c r="A42" s="26" t="s">
        <v>38</v>
      </c>
      <c r="B42" s="22" t="s">
        <v>1</v>
      </c>
      <c r="C42" s="22" t="s">
        <v>1</v>
      </c>
      <c r="D42" s="22" t="s">
        <v>1</v>
      </c>
      <c r="E42" s="22" t="s">
        <v>1</v>
      </c>
      <c r="F42" s="22" t="s">
        <v>1</v>
      </c>
      <c r="G42" s="22" t="s">
        <v>1</v>
      </c>
      <c r="H42" s="22" t="s">
        <v>1</v>
      </c>
      <c r="I42" s="22" t="s">
        <v>1</v>
      </c>
      <c r="J42" s="22" t="s">
        <v>1</v>
      </c>
    </row>
    <row r="43" ht="16.5" spans="1:10">
      <c r="A43" s="26" t="s">
        <v>39</v>
      </c>
      <c r="B43" s="22" t="s">
        <v>1</v>
      </c>
      <c r="C43" s="22" t="s">
        <v>1</v>
      </c>
      <c r="D43" s="22" t="s">
        <v>1</v>
      </c>
      <c r="E43" s="22" t="s">
        <v>1</v>
      </c>
      <c r="F43" s="22" t="s">
        <v>1</v>
      </c>
      <c r="G43" s="22" t="s">
        <v>1</v>
      </c>
      <c r="H43" s="22" t="s">
        <v>1</v>
      </c>
      <c r="I43" s="22" t="s">
        <v>1</v>
      </c>
      <c r="J43" s="22" t="s">
        <v>1</v>
      </c>
    </row>
    <row r="44" ht="16.5" spans="1:10">
      <c r="A44" s="26" t="s">
        <v>40</v>
      </c>
      <c r="B44" s="22" t="s">
        <v>1</v>
      </c>
      <c r="C44" s="22" t="s">
        <v>1</v>
      </c>
      <c r="D44" s="22" t="s">
        <v>1</v>
      </c>
      <c r="E44" s="22" t="s">
        <v>1</v>
      </c>
      <c r="F44" s="22" t="s">
        <v>1</v>
      </c>
      <c r="G44" s="22" t="s">
        <v>1</v>
      </c>
      <c r="H44" s="22" t="s">
        <v>1</v>
      </c>
      <c r="I44" s="22" t="s">
        <v>1</v>
      </c>
      <c r="J44" s="22" t="s">
        <v>1</v>
      </c>
    </row>
    <row r="45" ht="16.5" spans="1:10">
      <c r="A45" s="26" t="s">
        <v>41</v>
      </c>
      <c r="B45" s="22" t="s">
        <v>1</v>
      </c>
      <c r="C45" s="22" t="s">
        <v>1</v>
      </c>
      <c r="D45" s="22" t="s">
        <v>1</v>
      </c>
      <c r="E45" s="22" t="s">
        <v>1</v>
      </c>
      <c r="F45" s="22" t="s">
        <v>1</v>
      </c>
      <c r="G45" s="22" t="s">
        <v>1</v>
      </c>
      <c r="H45" s="22" t="s">
        <v>1</v>
      </c>
      <c r="I45" s="22" t="s">
        <v>1</v>
      </c>
      <c r="J45" s="22" t="s">
        <v>1</v>
      </c>
    </row>
    <row r="46" ht="16.5" spans="1:10">
      <c r="A46" s="24" t="s">
        <v>42</v>
      </c>
      <c r="B46" s="22" t="s">
        <v>1</v>
      </c>
      <c r="C46" s="22" t="s">
        <v>1</v>
      </c>
      <c r="D46" s="22" t="s">
        <v>1</v>
      </c>
      <c r="E46" s="22" t="s">
        <v>1</v>
      </c>
      <c r="F46" s="22" t="s">
        <v>1</v>
      </c>
      <c r="G46" s="22" t="s">
        <v>1</v>
      </c>
      <c r="H46" s="22" t="s">
        <v>1</v>
      </c>
      <c r="I46" s="22" t="s">
        <v>1</v>
      </c>
      <c r="J46" s="22" t="s">
        <v>1</v>
      </c>
    </row>
    <row r="47" ht="20" customHeight="1" spans="1:10">
      <c r="A47" s="25" t="s">
        <v>43</v>
      </c>
      <c r="B47" s="22" t="s">
        <v>1</v>
      </c>
      <c r="C47" s="22" t="s">
        <v>1</v>
      </c>
      <c r="D47" s="22" t="s">
        <v>1</v>
      </c>
      <c r="E47" s="22" t="s">
        <v>1</v>
      </c>
      <c r="F47" s="22" t="s">
        <v>1</v>
      </c>
      <c r="G47" s="22" t="s">
        <v>1</v>
      </c>
      <c r="H47" s="22" t="s">
        <v>1</v>
      </c>
      <c r="I47" s="22" t="s">
        <v>1</v>
      </c>
      <c r="J47" s="22" t="s">
        <v>1</v>
      </c>
    </row>
    <row r="48" spans="1:10">
      <c r="A48" s="23" t="s">
        <v>1</v>
      </c>
      <c r="B48" s="22" t="s">
        <v>1</v>
      </c>
      <c r="C48" s="22" t="s">
        <v>1</v>
      </c>
      <c r="D48" s="22" t="s">
        <v>1</v>
      </c>
      <c r="E48" s="22" t="s">
        <v>1</v>
      </c>
      <c r="F48" s="22" t="s">
        <v>1</v>
      </c>
      <c r="G48" s="22" t="s">
        <v>1</v>
      </c>
      <c r="H48" s="22" t="s">
        <v>1</v>
      </c>
      <c r="I48" s="22" t="s">
        <v>1</v>
      </c>
      <c r="J48" s="22" t="s">
        <v>1</v>
      </c>
    </row>
    <row r="49" ht="16.5" spans="1:10">
      <c r="A49" s="26" t="s">
        <v>44</v>
      </c>
      <c r="B49" s="22" t="s">
        <v>1</v>
      </c>
      <c r="C49" s="22" t="s">
        <v>1</v>
      </c>
      <c r="D49" s="22" t="s">
        <v>1</v>
      </c>
      <c r="E49" s="22" t="s">
        <v>1</v>
      </c>
      <c r="F49" s="22" t="s">
        <v>1</v>
      </c>
      <c r="G49" s="22" t="s">
        <v>1</v>
      </c>
      <c r="H49" s="22" t="s">
        <v>1</v>
      </c>
      <c r="I49" s="22" t="s">
        <v>1</v>
      </c>
      <c r="J49" s="22" t="s">
        <v>1</v>
      </c>
    </row>
    <row r="50" ht="16.5" spans="1:10">
      <c r="A50" s="26" t="s">
        <v>45</v>
      </c>
      <c r="B50" s="22" t="s">
        <v>1</v>
      </c>
      <c r="C50" s="22" t="s">
        <v>1</v>
      </c>
      <c r="D50" s="22" t="s">
        <v>1</v>
      </c>
      <c r="E50" s="22" t="s">
        <v>1</v>
      </c>
      <c r="F50" s="22" t="s">
        <v>1</v>
      </c>
      <c r="G50" s="22" t="s">
        <v>1</v>
      </c>
      <c r="H50" s="22" t="s">
        <v>1</v>
      </c>
      <c r="I50" s="22" t="s">
        <v>1</v>
      </c>
      <c r="J50" s="22" t="s">
        <v>1</v>
      </c>
    </row>
    <row r="51" ht="16.5" spans="1:10">
      <c r="A51" s="26" t="s">
        <v>46</v>
      </c>
      <c r="B51" s="22" t="s">
        <v>1</v>
      </c>
      <c r="C51" s="22" t="s">
        <v>1</v>
      </c>
      <c r="D51" s="22" t="s">
        <v>1</v>
      </c>
      <c r="E51" s="22" t="s">
        <v>1</v>
      </c>
      <c r="F51" s="22" t="s">
        <v>1</v>
      </c>
      <c r="G51" s="22" t="s">
        <v>1</v>
      </c>
      <c r="H51" s="22" t="s">
        <v>1</v>
      </c>
      <c r="I51" s="22" t="s">
        <v>1</v>
      </c>
      <c r="J51" s="22" t="s">
        <v>1</v>
      </c>
    </row>
    <row r="52" ht="16.5" spans="1:10">
      <c r="A52" s="26" t="s">
        <v>47</v>
      </c>
      <c r="B52" s="22" t="s">
        <v>1</v>
      </c>
      <c r="C52" s="22" t="s">
        <v>1</v>
      </c>
      <c r="D52" s="22" t="s">
        <v>1</v>
      </c>
      <c r="E52" s="22" t="s">
        <v>1</v>
      </c>
      <c r="F52" s="22" t="s">
        <v>1</v>
      </c>
      <c r="G52" s="22" t="s">
        <v>1</v>
      </c>
      <c r="H52" s="22" t="s">
        <v>1</v>
      </c>
      <c r="I52" s="22" t="s">
        <v>1</v>
      </c>
      <c r="J52" s="22" t="s">
        <v>1</v>
      </c>
    </row>
    <row r="53" ht="16.5" spans="1:10">
      <c r="A53" s="26" t="s">
        <v>48</v>
      </c>
      <c r="B53" s="22" t="s">
        <v>1</v>
      </c>
      <c r="C53" s="22" t="s">
        <v>1</v>
      </c>
      <c r="D53" s="22" t="s">
        <v>1</v>
      </c>
      <c r="E53" s="22" t="s">
        <v>1</v>
      </c>
      <c r="F53" s="22" t="s">
        <v>1</v>
      </c>
      <c r="G53" s="22" t="s">
        <v>1</v>
      </c>
      <c r="H53" s="22" t="s">
        <v>1</v>
      </c>
      <c r="I53" s="22" t="s">
        <v>1</v>
      </c>
      <c r="J53" s="22" t="s">
        <v>1</v>
      </c>
    </row>
    <row r="54" ht="20" customHeight="1" spans="1:10">
      <c r="A54" s="25" t="s">
        <v>49</v>
      </c>
      <c r="B54" s="22" t="s">
        <v>1</v>
      </c>
      <c r="C54" s="22" t="s">
        <v>1</v>
      </c>
      <c r="D54" s="22" t="s">
        <v>1</v>
      </c>
      <c r="E54" s="22" t="s">
        <v>1</v>
      </c>
      <c r="F54" s="22" t="s">
        <v>1</v>
      </c>
      <c r="G54" s="22" t="s">
        <v>1</v>
      </c>
      <c r="H54" s="22" t="s">
        <v>1</v>
      </c>
      <c r="I54" s="22" t="s">
        <v>1</v>
      </c>
      <c r="J54" s="22" t="s">
        <v>1</v>
      </c>
    </row>
    <row r="55" spans="1:10">
      <c r="A55" s="23" t="s">
        <v>1</v>
      </c>
      <c r="B55" s="22" t="s">
        <v>1</v>
      </c>
      <c r="C55" s="22" t="s">
        <v>1</v>
      </c>
      <c r="D55" s="22" t="s">
        <v>1</v>
      </c>
      <c r="E55" s="22" t="s">
        <v>1</v>
      </c>
      <c r="F55" s="22" t="s">
        <v>1</v>
      </c>
      <c r="G55" s="22" t="s">
        <v>1</v>
      </c>
      <c r="H55" s="22" t="s">
        <v>1</v>
      </c>
      <c r="I55" s="22" t="s">
        <v>1</v>
      </c>
      <c r="J55" s="22" t="s">
        <v>1</v>
      </c>
    </row>
    <row r="56" ht="18" customHeight="1" spans="1:10">
      <c r="A56" s="28" t="s">
        <v>50</v>
      </c>
      <c r="B56" s="29" t="s">
        <v>51</v>
      </c>
      <c r="C56" s="22" t="s">
        <v>1</v>
      </c>
      <c r="D56" s="22" t="s">
        <v>1</v>
      </c>
      <c r="E56" s="22" t="s">
        <v>1</v>
      </c>
      <c r="F56" s="22" t="s">
        <v>1</v>
      </c>
      <c r="G56" s="22" t="s">
        <v>1</v>
      </c>
      <c r="H56" s="22" t="s">
        <v>1</v>
      </c>
      <c r="I56" s="22" t="s">
        <v>1</v>
      </c>
      <c r="J56" s="22" t="s">
        <v>1</v>
      </c>
    </row>
    <row r="57" ht="14.5" spans="1:10">
      <c r="A57" s="30" t="s">
        <v>52</v>
      </c>
      <c r="B57" s="31" t="s">
        <v>53</v>
      </c>
      <c r="C57" s="22" t="s">
        <v>1</v>
      </c>
      <c r="D57" s="22" t="s">
        <v>1</v>
      </c>
      <c r="E57" s="22" t="s">
        <v>1</v>
      </c>
      <c r="F57" s="22" t="s">
        <v>1</v>
      </c>
      <c r="G57" s="22" t="s">
        <v>1</v>
      </c>
      <c r="H57" s="22" t="s">
        <v>1</v>
      </c>
      <c r="I57" s="22" t="s">
        <v>1</v>
      </c>
      <c r="J57" s="22" t="s">
        <v>1</v>
      </c>
    </row>
    <row r="58" ht="14.5" spans="1:10">
      <c r="A58" s="30" t="s">
        <v>54</v>
      </c>
      <c r="B58" s="31" t="s">
        <v>55</v>
      </c>
    </row>
    <row r="59" ht="14.5" spans="1:10">
      <c r="A59" s="30" t="s">
        <v>56</v>
      </c>
      <c r="B59" s="31" t="s">
        <v>57</v>
      </c>
      <c r="C59" s="22" t="s">
        <v>1</v>
      </c>
      <c r="D59" s="22" t="s">
        <v>1</v>
      </c>
      <c r="E59" s="22" t="s">
        <v>1</v>
      </c>
      <c r="F59" s="22" t="s">
        <v>1</v>
      </c>
      <c r="G59" s="22" t="s">
        <v>1</v>
      </c>
      <c r="H59" s="22" t="s">
        <v>1</v>
      </c>
      <c r="I59" s="22" t="s">
        <v>1</v>
      </c>
      <c r="J59" s="22" t="s">
        <v>1</v>
      </c>
    </row>
    <row r="60" ht="14.5" spans="1:10">
      <c r="A60" s="30" t="s">
        <v>58</v>
      </c>
      <c r="B60" s="31" t="s">
        <v>59</v>
      </c>
      <c r="C60" s="22" t="s">
        <v>1</v>
      </c>
      <c r="D60" s="22" t="s">
        <v>1</v>
      </c>
      <c r="E60" s="22" t="s">
        <v>1</v>
      </c>
      <c r="F60" s="22" t="s">
        <v>1</v>
      </c>
      <c r="G60" s="22" t="s">
        <v>1</v>
      </c>
      <c r="H60" s="22" t="s">
        <v>1</v>
      </c>
      <c r="I60" s="22" t="s">
        <v>1</v>
      </c>
      <c r="J60" s="22" t="s">
        <v>1</v>
      </c>
    </row>
    <row r="61" ht="14.5" spans="1:10">
      <c r="A61" s="30" t="s">
        <v>60</v>
      </c>
      <c r="B61" s="31" t="s">
        <v>61</v>
      </c>
      <c r="C61" s="22" t="s">
        <v>1</v>
      </c>
      <c r="D61" s="22" t="s">
        <v>1</v>
      </c>
      <c r="E61" s="22" t="s">
        <v>1</v>
      </c>
      <c r="F61" s="22" t="s">
        <v>1</v>
      </c>
      <c r="G61" s="22" t="s">
        <v>1</v>
      </c>
      <c r="H61" s="22" t="s">
        <v>1</v>
      </c>
      <c r="I61" s="22" t="s">
        <v>1</v>
      </c>
      <c r="J61" s="22" t="s">
        <v>1</v>
      </c>
    </row>
    <row r="62" ht="14.5" spans="1:10">
      <c r="A62" s="30" t="s">
        <v>62</v>
      </c>
      <c r="B62" s="31" t="s">
        <v>63</v>
      </c>
      <c r="C62" s="22" t="s">
        <v>1</v>
      </c>
      <c r="D62" s="22" t="s">
        <v>1</v>
      </c>
      <c r="E62" s="22" t="s">
        <v>1</v>
      </c>
      <c r="F62" s="22" t="s">
        <v>1</v>
      </c>
      <c r="G62" s="22" t="s">
        <v>1</v>
      </c>
      <c r="H62" s="22" t="s">
        <v>1</v>
      </c>
      <c r="I62" s="22" t="s">
        <v>1</v>
      </c>
      <c r="J62" s="22" t="s">
        <v>1</v>
      </c>
    </row>
    <row r="63" ht="14.5" spans="1:10">
      <c r="A63" s="30" t="s">
        <v>64</v>
      </c>
      <c r="B63" s="31" t="s">
        <v>65</v>
      </c>
    </row>
    <row r="64" spans="1:10">
      <c r="A64" s="23" t="s">
        <v>1</v>
      </c>
      <c r="B64" s="22" t="s">
        <v>1</v>
      </c>
      <c r="C64" s="22" t="s">
        <v>1</v>
      </c>
      <c r="D64" s="22" t="s">
        <v>1</v>
      </c>
      <c r="E64" s="22" t="s">
        <v>1</v>
      </c>
      <c r="F64" s="22" t="s">
        <v>1</v>
      </c>
      <c r="G64" s="22" t="s">
        <v>1</v>
      </c>
      <c r="H64" s="22" t="s">
        <v>1</v>
      </c>
      <c r="I64" s="22" t="s">
        <v>1</v>
      </c>
      <c r="J64" s="22" t="s">
        <v>1</v>
      </c>
    </row>
    <row r="65" ht="20" customHeight="1" spans="1:10">
      <c r="A65" s="25" t="s">
        <v>66</v>
      </c>
      <c r="B65" s="22" t="s">
        <v>1</v>
      </c>
      <c r="C65" s="22" t="s">
        <v>1</v>
      </c>
      <c r="D65" s="22" t="s">
        <v>1</v>
      </c>
      <c r="E65" s="22" t="s">
        <v>1</v>
      </c>
      <c r="F65" s="22" t="s">
        <v>1</v>
      </c>
      <c r="G65" s="22" t="s">
        <v>1</v>
      </c>
      <c r="H65" s="22" t="s">
        <v>1</v>
      </c>
      <c r="I65" s="22" t="s">
        <v>1</v>
      </c>
      <c r="J65" s="22" t="s">
        <v>1</v>
      </c>
    </row>
    <row r="66" spans="1:10">
      <c r="A66" s="23" t="s">
        <v>1</v>
      </c>
      <c r="B66" s="22" t="s">
        <v>1</v>
      </c>
      <c r="C66" s="22" t="s">
        <v>1</v>
      </c>
      <c r="D66" s="22" t="s">
        <v>1</v>
      </c>
      <c r="E66" s="22" t="s">
        <v>1</v>
      </c>
      <c r="F66" s="22" t="s">
        <v>1</v>
      </c>
      <c r="G66" s="22" t="s">
        <v>1</v>
      </c>
      <c r="H66" s="22" t="s">
        <v>1</v>
      </c>
      <c r="I66" s="22" t="s">
        <v>1</v>
      </c>
      <c r="J66" s="22" t="s">
        <v>1</v>
      </c>
    </row>
    <row r="67" ht="16.5" spans="1:10">
      <c r="A67" s="26" t="s">
        <v>67</v>
      </c>
      <c r="B67" s="22" t="s">
        <v>1</v>
      </c>
      <c r="C67" s="22" t="s">
        <v>1</v>
      </c>
      <c r="D67" s="22" t="s">
        <v>1</v>
      </c>
      <c r="E67" s="22" t="s">
        <v>1</v>
      </c>
      <c r="F67" s="22" t="s">
        <v>1</v>
      </c>
      <c r="G67" s="22" t="s">
        <v>1</v>
      </c>
      <c r="H67" s="22" t="s">
        <v>1</v>
      </c>
      <c r="I67" s="22" t="s">
        <v>1</v>
      </c>
      <c r="J67" s="22" t="s">
        <v>1</v>
      </c>
    </row>
    <row r="68" ht="18" customHeight="1" spans="1:10">
      <c r="A68" s="28" t="s">
        <v>68</v>
      </c>
      <c r="B68" s="29" t="s">
        <v>69</v>
      </c>
      <c r="C68" s="22" t="s">
        <v>1</v>
      </c>
      <c r="D68" s="22" t="s">
        <v>1</v>
      </c>
      <c r="E68" s="22" t="s">
        <v>1</v>
      </c>
      <c r="F68" s="22" t="s">
        <v>1</v>
      </c>
      <c r="G68" s="22" t="s">
        <v>1</v>
      </c>
      <c r="H68" s="22" t="s">
        <v>1</v>
      </c>
      <c r="I68" s="22" t="s">
        <v>1</v>
      </c>
      <c r="J68" s="22" t="s">
        <v>1</v>
      </c>
    </row>
    <row r="69" ht="14.5" spans="1:10">
      <c r="A69" s="30" t="s">
        <v>70</v>
      </c>
      <c r="B69" s="31" t="s">
        <v>71</v>
      </c>
      <c r="C69" s="22" t="s">
        <v>1</v>
      </c>
      <c r="D69" s="22" t="s">
        <v>1</v>
      </c>
      <c r="E69" s="22" t="s">
        <v>1</v>
      </c>
      <c r="F69" s="22" t="s">
        <v>1</v>
      </c>
      <c r="G69" s="22" t="s">
        <v>1</v>
      </c>
      <c r="H69" s="22" t="s">
        <v>1</v>
      </c>
      <c r="I69" s="22" t="s">
        <v>1</v>
      </c>
      <c r="J69" s="22" t="s">
        <v>1</v>
      </c>
    </row>
    <row r="70" ht="14.5" spans="1:10">
      <c r="A70" s="30" t="s">
        <v>72</v>
      </c>
      <c r="B70" s="31" t="s">
        <v>73</v>
      </c>
      <c r="C70" s="22" t="s">
        <v>1</v>
      </c>
      <c r="D70" s="22" t="s">
        <v>1</v>
      </c>
      <c r="E70" s="22" t="s">
        <v>1</v>
      </c>
      <c r="F70" s="22" t="s">
        <v>1</v>
      </c>
      <c r="G70" s="22" t="s">
        <v>1</v>
      </c>
      <c r="H70" s="22" t="s">
        <v>1</v>
      </c>
      <c r="I70" s="22" t="s">
        <v>1</v>
      </c>
      <c r="J70" s="22" t="s">
        <v>1</v>
      </c>
    </row>
    <row r="71" spans="1:10">
      <c r="A71" s="23" t="s">
        <v>1</v>
      </c>
      <c r="B71" s="22" t="s">
        <v>1</v>
      </c>
      <c r="C71" s="22" t="s">
        <v>1</v>
      </c>
      <c r="D71" s="22" t="s">
        <v>1</v>
      </c>
      <c r="E71" s="22" t="s">
        <v>1</v>
      </c>
      <c r="F71" s="22" t="s">
        <v>1</v>
      </c>
      <c r="G71" s="22" t="s">
        <v>1</v>
      </c>
      <c r="H71" s="22" t="s">
        <v>1</v>
      </c>
      <c r="I71" s="22" t="s">
        <v>1</v>
      </c>
      <c r="J71" s="22" t="s">
        <v>1</v>
      </c>
    </row>
    <row r="72" ht="20" customHeight="1" spans="1:10">
      <c r="A72" s="25" t="s">
        <v>74</v>
      </c>
      <c r="B72" s="22" t="s">
        <v>1</v>
      </c>
      <c r="C72" s="22" t="s">
        <v>1</v>
      </c>
      <c r="D72" s="22" t="s">
        <v>1</v>
      </c>
      <c r="E72" s="22" t="s">
        <v>1</v>
      </c>
      <c r="F72" s="22" t="s">
        <v>1</v>
      </c>
      <c r="G72" s="22" t="s">
        <v>1</v>
      </c>
      <c r="H72" s="22" t="s">
        <v>1</v>
      </c>
      <c r="I72" s="22" t="s">
        <v>1</v>
      </c>
      <c r="J72" s="22" t="s">
        <v>1</v>
      </c>
    </row>
    <row r="73" spans="1:10">
      <c r="A73" s="23" t="s">
        <v>1</v>
      </c>
      <c r="B73" s="22" t="s">
        <v>1</v>
      </c>
      <c r="C73" s="22" t="s">
        <v>1</v>
      </c>
      <c r="D73" s="22" t="s">
        <v>1</v>
      </c>
      <c r="E73" s="22" t="s">
        <v>1</v>
      </c>
      <c r="F73" s="22" t="s">
        <v>1</v>
      </c>
      <c r="G73" s="22" t="s">
        <v>1</v>
      </c>
      <c r="H73" s="22" t="s">
        <v>1</v>
      </c>
      <c r="I73" s="22" t="s">
        <v>1</v>
      </c>
      <c r="J73" s="22" t="s">
        <v>1</v>
      </c>
    </row>
    <row r="74" ht="16.5" spans="1:10">
      <c r="A74" s="27" t="s">
        <v>75</v>
      </c>
      <c r="B74" s="22" t="s">
        <v>1</v>
      </c>
      <c r="C74" s="22" t="s">
        <v>1</v>
      </c>
      <c r="D74" s="22" t="s">
        <v>1</v>
      </c>
      <c r="E74" s="22" t="s">
        <v>1</v>
      </c>
      <c r="F74" s="22" t="s">
        <v>1</v>
      </c>
      <c r="G74" s="22" t="s">
        <v>1</v>
      </c>
      <c r="H74" s="22" t="s">
        <v>1</v>
      </c>
      <c r="I74" s="22" t="s">
        <v>1</v>
      </c>
      <c r="J74" s="22" t="s">
        <v>1</v>
      </c>
    </row>
    <row r="75" ht="16.5" spans="1:10">
      <c r="A75" s="27" t="s">
        <v>76</v>
      </c>
      <c r="B75" s="22" t="s">
        <v>1</v>
      </c>
      <c r="C75" s="22" t="s">
        <v>1</v>
      </c>
      <c r="D75" s="22" t="s">
        <v>1</v>
      </c>
      <c r="E75" s="22" t="s">
        <v>1</v>
      </c>
      <c r="F75" s="22" t="s">
        <v>1</v>
      </c>
      <c r="G75" s="22" t="s">
        <v>1</v>
      </c>
      <c r="H75" s="22" t="s">
        <v>1</v>
      </c>
      <c r="I75" s="22" t="s">
        <v>1</v>
      </c>
      <c r="J75" s="22" t="s">
        <v>1</v>
      </c>
    </row>
    <row r="76" ht="16.5" spans="1:10">
      <c r="A76" s="26" t="s">
        <v>77</v>
      </c>
      <c r="B76" s="22" t="s">
        <v>1</v>
      </c>
      <c r="C76" s="22" t="s">
        <v>1</v>
      </c>
      <c r="D76" s="22" t="s">
        <v>1</v>
      </c>
      <c r="E76" s="22" t="s">
        <v>1</v>
      </c>
      <c r="F76" s="22" t="s">
        <v>1</v>
      </c>
      <c r="G76" s="22" t="s">
        <v>1</v>
      </c>
      <c r="H76" s="22" t="s">
        <v>1</v>
      </c>
      <c r="I76" s="22" t="s">
        <v>1</v>
      </c>
      <c r="J76" s="22" t="s">
        <v>1</v>
      </c>
    </row>
    <row r="77" ht="16.5" spans="1:10">
      <c r="A77" s="27" t="s">
        <v>78</v>
      </c>
      <c r="B77" s="22" t="s">
        <v>1</v>
      </c>
      <c r="C77" s="22" t="s">
        <v>1</v>
      </c>
      <c r="D77" s="22" t="s">
        <v>1</v>
      </c>
      <c r="E77" s="22" t="s">
        <v>1</v>
      </c>
      <c r="F77" s="22" t="s">
        <v>1</v>
      </c>
      <c r="G77" s="22" t="s">
        <v>1</v>
      </c>
      <c r="H77" s="22" t="s">
        <v>1</v>
      </c>
      <c r="I77" s="22" t="s">
        <v>1</v>
      </c>
      <c r="J77" s="22" t="s">
        <v>1</v>
      </c>
    </row>
    <row r="78" ht="16.5" spans="1:10">
      <c r="A78" s="26" t="s">
        <v>79</v>
      </c>
      <c r="B78" s="22" t="s">
        <v>1</v>
      </c>
      <c r="C78" s="22" t="s">
        <v>1</v>
      </c>
      <c r="D78" s="22" t="s">
        <v>1</v>
      </c>
      <c r="E78" s="22" t="s">
        <v>1</v>
      </c>
      <c r="F78" s="22" t="s">
        <v>1</v>
      </c>
      <c r="G78" s="22" t="s">
        <v>1</v>
      </c>
      <c r="H78" s="22" t="s">
        <v>1</v>
      </c>
      <c r="I78" s="22" t="s">
        <v>1</v>
      </c>
      <c r="J78" s="22" t="s">
        <v>1</v>
      </c>
    </row>
    <row r="79" ht="20" customHeight="1" spans="1:10">
      <c r="A79" s="25" t="s">
        <v>80</v>
      </c>
      <c r="B79" s="22" t="s">
        <v>1</v>
      </c>
      <c r="C79" s="22" t="s">
        <v>1</v>
      </c>
      <c r="D79" s="22" t="s">
        <v>1</v>
      </c>
      <c r="E79" s="22" t="s">
        <v>1</v>
      </c>
      <c r="F79" s="22" t="s">
        <v>1</v>
      </c>
      <c r="G79" s="22" t="s">
        <v>1</v>
      </c>
      <c r="H79" s="22" t="s">
        <v>1</v>
      </c>
      <c r="I79" s="22" t="s">
        <v>1</v>
      </c>
      <c r="J79" s="22" t="s">
        <v>1</v>
      </c>
    </row>
    <row r="80" spans="1:10">
      <c r="A80" s="23" t="s">
        <v>1</v>
      </c>
      <c r="B80" s="22" t="s">
        <v>1</v>
      </c>
      <c r="C80" s="22" t="s">
        <v>1</v>
      </c>
      <c r="D80" s="22" t="s">
        <v>1</v>
      </c>
      <c r="E80" s="22" t="s">
        <v>1</v>
      </c>
      <c r="F80" s="22" t="s">
        <v>1</v>
      </c>
      <c r="G80" s="22" t="s">
        <v>1</v>
      </c>
      <c r="H80" s="22" t="s">
        <v>1</v>
      </c>
      <c r="I80" s="22" t="s">
        <v>1</v>
      </c>
      <c r="J80" s="22" t="s">
        <v>1</v>
      </c>
    </row>
    <row r="81" ht="18" customHeight="1" spans="1:10">
      <c r="A81" s="28" t="s">
        <v>81</v>
      </c>
      <c r="B81" s="29" t="s">
        <v>70</v>
      </c>
      <c r="C81" s="22" t="s">
        <v>1</v>
      </c>
      <c r="D81" s="22" t="s">
        <v>1</v>
      </c>
      <c r="E81" s="22" t="s">
        <v>1</v>
      </c>
      <c r="F81" s="22" t="s">
        <v>1</v>
      </c>
      <c r="G81" s="22" t="s">
        <v>1</v>
      </c>
      <c r="H81" s="22" t="s">
        <v>1</v>
      </c>
      <c r="I81" s="22" t="s">
        <v>1</v>
      </c>
      <c r="J81" s="22" t="s">
        <v>1</v>
      </c>
    </row>
    <row r="82" ht="14.5" spans="1:10">
      <c r="A82" s="30" t="s">
        <v>82</v>
      </c>
      <c r="B82" s="31" t="s">
        <v>83</v>
      </c>
      <c r="C82" s="22" t="s">
        <v>1</v>
      </c>
      <c r="D82" s="22" t="s">
        <v>1</v>
      </c>
      <c r="E82" s="22" t="s">
        <v>1</v>
      </c>
      <c r="F82" s="22" t="s">
        <v>1</v>
      </c>
      <c r="G82" s="22" t="s">
        <v>1</v>
      </c>
      <c r="H82" s="22" t="s">
        <v>1</v>
      </c>
      <c r="I82" s="22" t="s">
        <v>1</v>
      </c>
      <c r="J82" s="22" t="s">
        <v>1</v>
      </c>
    </row>
    <row r="83" ht="14.5" spans="1:10">
      <c r="A83" s="30" t="s">
        <v>84</v>
      </c>
      <c r="B83" s="31" t="s">
        <v>85</v>
      </c>
      <c r="C83" s="22" t="s">
        <v>1</v>
      </c>
      <c r="D83" s="22" t="s">
        <v>1</v>
      </c>
      <c r="E83" s="22" t="s">
        <v>1</v>
      </c>
      <c r="F83" s="22" t="s">
        <v>1</v>
      </c>
      <c r="G83" s="22" t="s">
        <v>1</v>
      </c>
      <c r="H83" s="22" t="s">
        <v>1</v>
      </c>
      <c r="I83" s="22" t="s">
        <v>1</v>
      </c>
      <c r="J83" s="22" t="s">
        <v>1</v>
      </c>
    </row>
    <row r="84" ht="14.5" spans="1:10">
      <c r="A84" s="30" t="s">
        <v>86</v>
      </c>
      <c r="B84" s="31" t="s">
        <v>87</v>
      </c>
      <c r="C84" s="22" t="s">
        <v>1</v>
      </c>
      <c r="D84" s="22" t="s">
        <v>1</v>
      </c>
      <c r="E84" s="22" t="s">
        <v>1</v>
      </c>
      <c r="F84" s="22" t="s">
        <v>1</v>
      </c>
      <c r="G84" s="22" t="s">
        <v>1</v>
      </c>
      <c r="H84" s="22" t="s">
        <v>1</v>
      </c>
      <c r="I84" s="22" t="s">
        <v>1</v>
      </c>
      <c r="J84" s="22" t="s">
        <v>1</v>
      </c>
    </row>
  </sheetData>
  <mergeCells count="15">
    <mergeCell ref="A1:B1"/>
    <mergeCell ref="A13:G13"/>
    <mergeCell ref="A30:C30"/>
    <mergeCell ref="A42:C42"/>
    <mergeCell ref="A46:E46"/>
    <mergeCell ref="B59:D59"/>
    <mergeCell ref="B61:C61"/>
    <mergeCell ref="B69:C69"/>
    <mergeCell ref="B70:S70"/>
    <mergeCell ref="A74:G74"/>
    <mergeCell ref="A75:G75"/>
    <mergeCell ref="A76:C76"/>
    <mergeCell ref="A77:G77"/>
    <mergeCell ref="B82:D82"/>
    <mergeCell ref="B83:C83"/>
  </mergeCells>
  <pageMargins left="0.75" right="0.75" top="1" bottom="1" header="0.5" footer="0.5"/>
  <headerFooter/>
  <ignoredErrors>
    <ignoredError sqref="A1:X104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1"/>
  <sheetViews>
    <sheetView tabSelected="1" topLeftCell="A234" workbookViewId="0">
      <selection activeCell="A57" sqref="A57:D261"/>
    </sheetView>
  </sheetViews>
  <sheetFormatPr defaultColWidth="8.72727272727273" defaultRowHeight="14" outlineLevelCol="6"/>
  <cols>
    <col min="1" max="1" width="9" customWidth="1"/>
    <col min="2" max="2" width="17.6363636363636" customWidth="1"/>
    <col min="3" max="3" width="13.6363636363636" customWidth="1"/>
    <col min="4" max="4" width="44" customWidth="1"/>
    <col min="5" max="7" width="9" customWidth="1"/>
  </cols>
  <sheetData>
    <row r="1" customHeight="1" spans="1:7">
      <c r="A1" s="1" t="s">
        <v>88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ht="16.5" spans="1:7">
      <c r="A2" s="2" t="s">
        <v>89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ht="16.5" spans="1:7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ht="16.5" spans="1:7">
      <c r="A4" s="4" t="s">
        <v>90</v>
      </c>
      <c r="B4" s="4" t="s">
        <v>91</v>
      </c>
      <c r="C4" s="4" t="s">
        <v>92</v>
      </c>
      <c r="D4" s="4" t="s">
        <v>93</v>
      </c>
      <c r="E4" s="4" t="s">
        <v>94</v>
      </c>
      <c r="F4" s="4" t="s">
        <v>95</v>
      </c>
      <c r="G4" s="4" t="s">
        <v>96</v>
      </c>
    </row>
    <row r="5" ht="16.5" spans="1:7">
      <c r="A5" s="3">
        <v>25</v>
      </c>
      <c r="B5" s="5">
        <f t="shared" ref="B5:B24" si="0">(1-1/A5)^A5</f>
        <v>0.360396716858018</v>
      </c>
      <c r="C5" s="5">
        <f t="shared" ref="C5:C24" si="1">(1-1/A5)^(2*A5)</f>
        <v>0.129885793522038</v>
      </c>
      <c r="D5" s="5">
        <f t="shared" ref="D5:D24" si="2">(1-1/A5)^(3*A5)</f>
        <v>0.0468104135518411</v>
      </c>
      <c r="E5" s="6">
        <v>0.3604</v>
      </c>
      <c r="F5" s="6">
        <v>0.1299</v>
      </c>
      <c r="G5" s="6">
        <v>0.0468</v>
      </c>
    </row>
    <row r="6" ht="16.5" spans="1:7">
      <c r="A6" s="3">
        <v>50</v>
      </c>
      <c r="B6" s="5">
        <f t="shared" si="0"/>
        <v>0.364169680087117</v>
      </c>
      <c r="C6" s="5">
        <f t="shared" si="1"/>
        <v>0.132619555894753</v>
      </c>
      <c r="D6" s="5">
        <f t="shared" si="2"/>
        <v>0.0482960212434877</v>
      </c>
      <c r="E6" s="6">
        <v>0.3642</v>
      </c>
      <c r="F6" s="6">
        <v>0.1326</v>
      </c>
      <c r="G6" s="6">
        <v>0.0483</v>
      </c>
    </row>
    <row r="7" ht="16.5" spans="1:7">
      <c r="A7" s="3">
        <v>75</v>
      </c>
      <c r="B7" s="5">
        <f t="shared" si="0"/>
        <v>0.365413194878888</v>
      </c>
      <c r="C7" s="5">
        <f t="shared" si="1"/>
        <v>0.133526802991596</v>
      </c>
      <c r="D7" s="5">
        <f t="shared" si="2"/>
        <v>0.0487924556831229</v>
      </c>
      <c r="E7" s="6">
        <v>0.3654</v>
      </c>
      <c r="F7" s="6">
        <v>0.1335</v>
      </c>
      <c r="G7" s="6">
        <v>0.0488</v>
      </c>
    </row>
    <row r="8" ht="16.5" spans="1:7">
      <c r="A8" s="3">
        <v>100</v>
      </c>
      <c r="B8" s="5">
        <f t="shared" si="0"/>
        <v>0.366032341273229</v>
      </c>
      <c r="C8" s="5">
        <f t="shared" si="1"/>
        <v>0.133979674857962</v>
      </c>
      <c r="D8" s="5">
        <f t="shared" si="2"/>
        <v>0.0490408940712857</v>
      </c>
      <c r="E8" s="6">
        <v>0.366</v>
      </c>
      <c r="F8" s="6">
        <v>0.134</v>
      </c>
      <c r="G8" s="6">
        <v>0.049</v>
      </c>
    </row>
    <row r="9" ht="16.5" spans="1:7">
      <c r="A9" s="3">
        <v>125</v>
      </c>
      <c r="B9" s="5">
        <f t="shared" si="0"/>
        <v>0.366402998638711</v>
      </c>
      <c r="C9" s="5">
        <f t="shared" si="1"/>
        <v>0.134251157411439</v>
      </c>
      <c r="D9" s="5">
        <f t="shared" si="2"/>
        <v>0.049190026646269</v>
      </c>
      <c r="E9" s="6">
        <v>0.3664</v>
      </c>
      <c r="F9" s="6">
        <v>0.1343</v>
      </c>
      <c r="G9" s="6">
        <v>0.0492</v>
      </c>
    </row>
    <row r="10" ht="16.5" spans="1:7">
      <c r="A10" s="3">
        <v>150</v>
      </c>
      <c r="B10" s="5">
        <f t="shared" si="0"/>
        <v>0.36664975867942</v>
      </c>
      <c r="C10" s="5">
        <f t="shared" si="1"/>
        <v>0.134432045539677</v>
      </c>
      <c r="D10" s="5">
        <f t="shared" si="2"/>
        <v>0.0492894770559035</v>
      </c>
      <c r="E10" s="6">
        <v>0.3666</v>
      </c>
      <c r="F10" s="6">
        <v>0.1344</v>
      </c>
      <c r="G10" s="6">
        <v>0.0493</v>
      </c>
    </row>
    <row r="11" ht="16.5" spans="1:7">
      <c r="A11" s="3">
        <v>175</v>
      </c>
      <c r="B11" s="5">
        <f t="shared" si="0"/>
        <v>0.366825847299319</v>
      </c>
      <c r="C11" s="5">
        <f t="shared" si="1"/>
        <v>0.134561202246863</v>
      </c>
      <c r="D11" s="5">
        <f t="shared" si="2"/>
        <v>0.0493605270278205</v>
      </c>
      <c r="E11" s="6">
        <v>0.3668</v>
      </c>
      <c r="F11" s="6">
        <v>0.1346</v>
      </c>
      <c r="G11" s="6">
        <v>0.0494</v>
      </c>
    </row>
    <row r="12" ht="16.5" spans="1:7">
      <c r="A12" s="3">
        <v>200</v>
      </c>
      <c r="B12" s="5">
        <f t="shared" si="0"/>
        <v>0.366957821726167</v>
      </c>
      <c r="C12" s="5">
        <f t="shared" si="1"/>
        <v>0.134658042926013</v>
      </c>
      <c r="D12" s="5">
        <f t="shared" si="2"/>
        <v>0.0494138221100386</v>
      </c>
      <c r="E12" s="6">
        <v>0.367</v>
      </c>
      <c r="F12" s="6">
        <v>0.1347</v>
      </c>
      <c r="G12" s="6">
        <v>0.0494</v>
      </c>
    </row>
    <row r="13" ht="16.5" spans="1:7">
      <c r="A13" s="3">
        <v>225</v>
      </c>
      <c r="B13" s="5">
        <f t="shared" si="0"/>
        <v>0.367060414022346</v>
      </c>
      <c r="C13" s="5">
        <f t="shared" si="1"/>
        <v>0.134733347542256</v>
      </c>
      <c r="D13" s="5">
        <f t="shared" si="2"/>
        <v>0.049455278331477</v>
      </c>
      <c r="E13" s="6">
        <v>0.3671</v>
      </c>
      <c r="F13" s="6">
        <v>0.1347</v>
      </c>
      <c r="G13" s="6">
        <v>0.0495</v>
      </c>
    </row>
    <row r="14" ht="16.5" spans="1:7">
      <c r="A14" s="3">
        <v>250</v>
      </c>
      <c r="B14" s="5">
        <f t="shared" si="0"/>
        <v>0.367142453566242</v>
      </c>
      <c r="C14" s="5">
        <f t="shared" si="1"/>
        <v>0.13479358121064</v>
      </c>
      <c r="D14" s="5">
        <f t="shared" si="2"/>
        <v>0.049488446130655</v>
      </c>
      <c r="E14" s="6">
        <v>0.3671</v>
      </c>
      <c r="F14" s="6">
        <v>0.1348</v>
      </c>
      <c r="G14" s="6">
        <v>0.0495</v>
      </c>
    </row>
    <row r="15" ht="16.5" spans="1:7">
      <c r="A15" s="3">
        <v>300</v>
      </c>
      <c r="B15" s="5">
        <f t="shared" si="0"/>
        <v>0.367265455774763</v>
      </c>
      <c r="C15" s="5">
        <f t="shared" si="1"/>
        <v>0.134883915005444</v>
      </c>
      <c r="D15" s="5">
        <f t="shared" si="2"/>
        <v>0.0495382025211588</v>
      </c>
      <c r="E15" s="6">
        <v>0.3673</v>
      </c>
      <c r="F15" s="6">
        <v>0.1349</v>
      </c>
      <c r="G15" s="6">
        <v>0.0495</v>
      </c>
    </row>
    <row r="16" ht="16.5" spans="1:7">
      <c r="A16" s="3">
        <v>350</v>
      </c>
      <c r="B16" s="5">
        <f t="shared" si="0"/>
        <v>0.367353272572098</v>
      </c>
      <c r="C16" s="5">
        <f t="shared" si="1"/>
        <v>0.13494842686943</v>
      </c>
      <c r="D16" s="5">
        <f t="shared" si="2"/>
        <v>0.0495737462389414</v>
      </c>
      <c r="E16" s="6">
        <v>0.3674</v>
      </c>
      <c r="F16" s="6">
        <v>0.1349</v>
      </c>
      <c r="G16" s="6">
        <v>0.0496</v>
      </c>
    </row>
    <row r="17" ht="16.5" spans="1:7">
      <c r="A17" s="3">
        <v>400</v>
      </c>
      <c r="B17" s="5">
        <f t="shared" si="0"/>
        <v>0.367419112260693</v>
      </c>
      <c r="C17" s="5">
        <f t="shared" si="1"/>
        <v>0.134996804054436</v>
      </c>
      <c r="D17" s="5">
        <f t="shared" si="2"/>
        <v>0.0496004059037114</v>
      </c>
      <c r="E17" s="6">
        <v>0.3674</v>
      </c>
      <c r="F17" s="6">
        <v>0.135</v>
      </c>
      <c r="G17" s="6">
        <v>0.0496</v>
      </c>
    </row>
    <row r="18" ht="16.5" spans="1:7">
      <c r="A18" s="3">
        <v>450</v>
      </c>
      <c r="B18" s="5">
        <f t="shared" si="0"/>
        <v>0.367470307338958</v>
      </c>
      <c r="C18" s="5">
        <f t="shared" si="1"/>
        <v>0.135034426775788</v>
      </c>
      <c r="D18" s="5">
        <f t="shared" si="2"/>
        <v>0.0496211423086391</v>
      </c>
      <c r="E18" s="6">
        <v>0.3675</v>
      </c>
      <c r="F18" s="6">
        <v>0.135</v>
      </c>
      <c r="G18" s="6">
        <v>0.0496</v>
      </c>
    </row>
    <row r="19" ht="16.5" spans="1:7">
      <c r="A19" s="3">
        <v>500</v>
      </c>
      <c r="B19" s="5">
        <f t="shared" si="0"/>
        <v>0.367511254857159</v>
      </c>
      <c r="C19" s="5">
        <f t="shared" si="1"/>
        <v>0.135064522446683</v>
      </c>
      <c r="D19" s="5">
        <f t="shared" si="2"/>
        <v>0.0496377321310635</v>
      </c>
      <c r="E19" s="6">
        <v>0.3675</v>
      </c>
      <c r="F19" s="6">
        <v>0.1351</v>
      </c>
      <c r="G19" s="6">
        <v>0.0496</v>
      </c>
    </row>
    <row r="20" ht="16.5" spans="1:7">
      <c r="A20" s="3">
        <v>600</v>
      </c>
      <c r="B20" s="5">
        <f t="shared" si="0"/>
        <v>0.367572661899685</v>
      </c>
      <c r="C20" s="5">
        <f t="shared" si="1"/>
        <v>0.13510966177602</v>
      </c>
      <c r="D20" s="5">
        <f t="shared" si="2"/>
        <v>0.0496626180273779</v>
      </c>
      <c r="E20" s="6">
        <v>0.3676</v>
      </c>
      <c r="F20" s="6">
        <v>0.1351</v>
      </c>
      <c r="G20" s="6">
        <v>0.0497</v>
      </c>
    </row>
    <row r="21" ht="16.5" spans="1:7">
      <c r="A21" s="3">
        <v>700</v>
      </c>
      <c r="B21" s="5">
        <f t="shared" si="0"/>
        <v>0.367616513618891</v>
      </c>
      <c r="C21" s="5">
        <f t="shared" si="1"/>
        <v>0.135141901085308</v>
      </c>
      <c r="D21" s="5">
        <f t="shared" si="2"/>
        <v>0.0496803945208099</v>
      </c>
      <c r="E21" s="6">
        <v>0.3676</v>
      </c>
      <c r="F21" s="6">
        <v>0.1351</v>
      </c>
      <c r="G21" s="6">
        <v>0.0497</v>
      </c>
    </row>
    <row r="22" ht="16.5" spans="1:7">
      <c r="A22" s="3">
        <v>800</v>
      </c>
      <c r="B22" s="5">
        <f t="shared" si="0"/>
        <v>0.367649396693398</v>
      </c>
      <c r="C22" s="5">
        <f t="shared" si="1"/>
        <v>0.135166078889019</v>
      </c>
      <c r="D22" s="5">
        <f t="shared" si="2"/>
        <v>0.0496937273569602</v>
      </c>
      <c r="E22" s="6">
        <v>0.3676</v>
      </c>
      <c r="F22" s="6">
        <v>0.1352</v>
      </c>
      <c r="G22" s="6">
        <v>0.0497</v>
      </c>
    </row>
    <row r="23" ht="16.5" spans="1:7">
      <c r="A23" s="3">
        <v>900</v>
      </c>
      <c r="B23" s="5">
        <f t="shared" si="0"/>
        <v>0.367674969032344</v>
      </c>
      <c r="C23" s="5">
        <f t="shared" si="1"/>
        <v>0.135184882852935</v>
      </c>
      <c r="D23" s="5">
        <f t="shared" si="2"/>
        <v>0.049704097616594</v>
      </c>
      <c r="E23" s="6">
        <v>0.3677</v>
      </c>
      <c r="F23" s="6">
        <v>0.1352</v>
      </c>
      <c r="G23" s="6">
        <v>0.0497</v>
      </c>
    </row>
    <row r="24" ht="16.5" spans="1:7">
      <c r="A24" s="3">
        <v>1000</v>
      </c>
      <c r="B24" s="5">
        <f t="shared" si="0"/>
        <v>0.367695424770964</v>
      </c>
      <c r="C24" s="5">
        <f t="shared" si="1"/>
        <v>0.135199925397499</v>
      </c>
      <c r="D24" s="5">
        <f t="shared" si="2"/>
        <v>0.0497123939980362</v>
      </c>
      <c r="E24" s="6">
        <v>0.3677</v>
      </c>
      <c r="F24" s="6">
        <v>0.1352</v>
      </c>
      <c r="G24" s="6">
        <v>0.0497</v>
      </c>
    </row>
    <row r="25" ht="16.5" spans="1:7">
      <c r="A25" s="7" t="s">
        <v>1</v>
      </c>
      <c r="B25" s="7" t="s">
        <v>1</v>
      </c>
      <c r="C25" s="7" t="s">
        <v>1</v>
      </c>
      <c r="D25" s="7" t="s">
        <v>1</v>
      </c>
      <c r="E25" s="7" t="s">
        <v>1</v>
      </c>
      <c r="F25" s="7" t="s">
        <v>1</v>
      </c>
      <c r="G25" s="7" t="s">
        <v>1</v>
      </c>
    </row>
    <row r="26" customHeight="1" spans="1:7">
      <c r="A26" s="1" t="s">
        <v>97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7" t="s">
        <v>1</v>
      </c>
    </row>
    <row r="27" ht="16.5" spans="1:7">
      <c r="A27" s="2" t="s">
        <v>98</v>
      </c>
      <c r="B27" s="3" t="s">
        <v>1</v>
      </c>
      <c r="C27" s="3" t="s">
        <v>1</v>
      </c>
      <c r="D27" s="3" t="s">
        <v>1</v>
      </c>
      <c r="E27" s="3" t="s">
        <v>1</v>
      </c>
      <c r="F27" s="3" t="s">
        <v>1</v>
      </c>
      <c r="G27" s="7" t="s">
        <v>1</v>
      </c>
    </row>
    <row r="28" ht="16.5" spans="1:7">
      <c r="A28" s="3" t="s">
        <v>1</v>
      </c>
      <c r="B28" s="3" t="s">
        <v>1</v>
      </c>
      <c r="C28" s="3" t="s">
        <v>1</v>
      </c>
      <c r="D28" s="3" t="s">
        <v>1</v>
      </c>
      <c r="E28" s="3" t="s">
        <v>1</v>
      </c>
      <c r="F28" s="3" t="s">
        <v>1</v>
      </c>
      <c r="G28" s="7" t="s">
        <v>1</v>
      </c>
    </row>
    <row r="29" ht="16.5" spans="1:7">
      <c r="A29" s="4" t="s">
        <v>90</v>
      </c>
      <c r="B29" s="4" t="s">
        <v>99</v>
      </c>
      <c r="C29" s="4" t="s">
        <v>100</v>
      </c>
      <c r="D29" s="4" t="s">
        <v>101</v>
      </c>
      <c r="E29" s="4" t="s">
        <v>102</v>
      </c>
      <c r="F29" s="4" t="s">
        <v>103</v>
      </c>
      <c r="G29" s="8" t="s">
        <v>1</v>
      </c>
    </row>
    <row r="30" ht="16.5" spans="1:7">
      <c r="A30" s="3">
        <v>25</v>
      </c>
      <c r="B30" s="3">
        <f t="shared" ref="B30:B49" si="3">INT(LN(0.5)/LN(1-1/A30))</f>
        <v>16</v>
      </c>
      <c r="C30" s="5">
        <f t="shared" ref="C30:C49" si="4">1-(1-1/A30)^B30</f>
        <v>0.479597075333528</v>
      </c>
      <c r="D30" s="9">
        <f t="shared" ref="D30:D49" si="5">B30/A30</f>
        <v>0.64</v>
      </c>
      <c r="E30" s="10">
        <v>16</v>
      </c>
      <c r="F30" s="6">
        <v>0.4865</v>
      </c>
      <c r="G30" s="7" t="s">
        <v>1</v>
      </c>
    </row>
    <row r="31" ht="16.5" spans="1:7">
      <c r="A31" s="3">
        <v>50</v>
      </c>
      <c r="B31" s="3">
        <f t="shared" si="3"/>
        <v>34</v>
      </c>
      <c r="C31" s="5">
        <f t="shared" si="4"/>
        <v>0.496862632022369</v>
      </c>
      <c r="D31" s="9">
        <f t="shared" si="5"/>
        <v>0.68</v>
      </c>
      <c r="E31" s="10">
        <v>34</v>
      </c>
      <c r="F31" s="6">
        <v>0.4934</v>
      </c>
      <c r="G31" s="7" t="s">
        <v>1</v>
      </c>
    </row>
    <row r="32" ht="16.5" spans="1:7">
      <c r="A32" s="3">
        <v>75</v>
      </c>
      <c r="B32" s="3">
        <f t="shared" si="3"/>
        <v>51</v>
      </c>
      <c r="C32" s="5">
        <f t="shared" si="4"/>
        <v>0.495695000869351</v>
      </c>
      <c r="D32" s="9">
        <f t="shared" si="5"/>
        <v>0.68</v>
      </c>
      <c r="E32" s="10">
        <v>51</v>
      </c>
      <c r="F32" s="6">
        <v>0.4956</v>
      </c>
      <c r="G32" s="7" t="s">
        <v>1</v>
      </c>
    </row>
    <row r="33" ht="16.5" spans="1:7">
      <c r="A33" s="3">
        <v>100</v>
      </c>
      <c r="B33" s="3">
        <f t="shared" si="3"/>
        <v>68</v>
      </c>
      <c r="C33" s="5">
        <f t="shared" si="4"/>
        <v>0.49511411121293</v>
      </c>
      <c r="D33" s="9">
        <f t="shared" si="5"/>
        <v>0.68</v>
      </c>
      <c r="E33" s="10">
        <v>68</v>
      </c>
      <c r="F33" s="6">
        <v>0.4967</v>
      </c>
      <c r="G33" s="7" t="s">
        <v>1</v>
      </c>
    </row>
    <row r="34" ht="16.5" spans="1:7">
      <c r="A34" s="3">
        <v>125</v>
      </c>
      <c r="B34" s="3">
        <f t="shared" si="3"/>
        <v>86</v>
      </c>
      <c r="C34" s="5">
        <f t="shared" si="4"/>
        <v>0.498808374984284</v>
      </c>
      <c r="D34" s="9">
        <f t="shared" si="5"/>
        <v>0.688</v>
      </c>
      <c r="E34" s="10">
        <v>86</v>
      </c>
      <c r="F34" s="6">
        <v>0.4974</v>
      </c>
      <c r="G34" s="7" t="s">
        <v>1</v>
      </c>
    </row>
    <row r="35" ht="16.5" spans="1:7">
      <c r="A35" s="3">
        <v>150</v>
      </c>
      <c r="B35" s="3">
        <f t="shared" si="3"/>
        <v>103</v>
      </c>
      <c r="C35" s="5">
        <f t="shared" si="4"/>
        <v>0.497904922358701</v>
      </c>
      <c r="D35" s="9">
        <f t="shared" si="5"/>
        <v>0.686666666666667</v>
      </c>
      <c r="E35" s="10">
        <v>103</v>
      </c>
      <c r="F35" s="6">
        <v>0.4978</v>
      </c>
      <c r="G35" s="7" t="s">
        <v>1</v>
      </c>
    </row>
    <row r="36" ht="16.5" spans="1:7">
      <c r="A36" s="3">
        <v>175</v>
      </c>
      <c r="B36" s="3">
        <f t="shared" si="3"/>
        <v>120</v>
      </c>
      <c r="C36" s="5">
        <f t="shared" si="4"/>
        <v>0.497259408751929</v>
      </c>
      <c r="D36" s="9">
        <f t="shared" si="5"/>
        <v>0.685714285714286</v>
      </c>
      <c r="E36" s="10">
        <v>120</v>
      </c>
      <c r="F36" s="6">
        <v>0.4981</v>
      </c>
      <c r="G36" s="7" t="s">
        <v>1</v>
      </c>
    </row>
    <row r="37" ht="16.5" spans="1:7">
      <c r="A37" s="3">
        <v>200</v>
      </c>
      <c r="B37" s="3">
        <f t="shared" si="3"/>
        <v>138</v>
      </c>
      <c r="C37" s="5">
        <f t="shared" si="4"/>
        <v>0.499291293754147</v>
      </c>
      <c r="D37" s="9">
        <f t="shared" si="5"/>
        <v>0.69</v>
      </c>
      <c r="E37" s="10">
        <v>138</v>
      </c>
      <c r="F37" s="6">
        <v>0.4984</v>
      </c>
      <c r="G37" s="7" t="s">
        <v>1</v>
      </c>
    </row>
    <row r="38" ht="16.5" spans="1:7">
      <c r="A38" s="3">
        <v>225</v>
      </c>
      <c r="B38" s="3">
        <f t="shared" si="3"/>
        <v>155</v>
      </c>
      <c r="C38" s="5">
        <f t="shared" si="4"/>
        <v>0.498636706599578</v>
      </c>
      <c r="D38" s="9">
        <f t="shared" si="5"/>
        <v>0.688888888888889</v>
      </c>
      <c r="E38" s="10">
        <v>155</v>
      </c>
      <c r="F38" s="6">
        <v>0.4985</v>
      </c>
      <c r="G38" s="7" t="s">
        <v>1</v>
      </c>
    </row>
    <row r="39" ht="16.5" spans="1:7">
      <c r="A39" s="3">
        <v>250</v>
      </c>
      <c r="B39" s="3">
        <f t="shared" si="3"/>
        <v>172</v>
      </c>
      <c r="C39" s="5">
        <f t="shared" si="4"/>
        <v>0.498112696933415</v>
      </c>
      <c r="D39" s="9">
        <f t="shared" si="5"/>
        <v>0.688</v>
      </c>
      <c r="E39" s="10">
        <v>172</v>
      </c>
      <c r="F39" s="6">
        <v>0.4987</v>
      </c>
      <c r="G39" s="7" t="s">
        <v>1</v>
      </c>
    </row>
    <row r="40" ht="16.5" spans="1:7">
      <c r="A40" s="3">
        <v>300</v>
      </c>
      <c r="B40" s="3">
        <f t="shared" si="3"/>
        <v>207</v>
      </c>
      <c r="C40" s="5">
        <f t="shared" si="4"/>
        <v>0.49900169541332</v>
      </c>
      <c r="D40" s="9">
        <f t="shared" si="5"/>
        <v>0.69</v>
      </c>
      <c r="E40" s="10">
        <v>207</v>
      </c>
      <c r="F40" s="6">
        <v>0.4989</v>
      </c>
      <c r="G40" s="7" t="s">
        <v>1</v>
      </c>
    </row>
    <row r="41" ht="16.5" spans="1:7">
      <c r="A41" s="3">
        <v>350</v>
      </c>
      <c r="B41" s="3">
        <f t="shared" si="3"/>
        <v>242</v>
      </c>
      <c r="C41" s="5">
        <f t="shared" si="4"/>
        <v>0.499635382843854</v>
      </c>
      <c r="D41" s="9">
        <f t="shared" si="5"/>
        <v>0.691428571428571</v>
      </c>
      <c r="E41" s="10">
        <v>242</v>
      </c>
      <c r="F41" s="6">
        <v>0.4991</v>
      </c>
      <c r="G41" s="7" t="s">
        <v>1</v>
      </c>
    </row>
    <row r="42" ht="16.5" spans="1:7">
      <c r="A42" s="3">
        <v>400</v>
      </c>
      <c r="B42" s="3">
        <f t="shared" si="3"/>
        <v>276</v>
      </c>
      <c r="C42" s="5">
        <f t="shared" si="4"/>
        <v>0.498857075531263</v>
      </c>
      <c r="D42" s="9">
        <f t="shared" si="5"/>
        <v>0.69</v>
      </c>
      <c r="E42" s="10">
        <v>276</v>
      </c>
      <c r="F42" s="6">
        <v>0.4992</v>
      </c>
      <c r="G42" s="7" t="s">
        <v>1</v>
      </c>
    </row>
    <row r="43" ht="16.5" spans="1:7">
      <c r="A43" s="3">
        <v>450</v>
      </c>
      <c r="B43" s="3">
        <f t="shared" si="3"/>
        <v>311</v>
      </c>
      <c r="C43" s="5">
        <f t="shared" si="4"/>
        <v>0.499366084148335</v>
      </c>
      <c r="D43" s="9">
        <f t="shared" si="5"/>
        <v>0.691111111111111</v>
      </c>
      <c r="E43" s="10">
        <v>311</v>
      </c>
      <c r="F43" s="6">
        <v>0.4993</v>
      </c>
      <c r="G43" s="7" t="s">
        <v>1</v>
      </c>
    </row>
    <row r="44" ht="16.5" spans="1:7">
      <c r="A44" s="3">
        <v>500</v>
      </c>
      <c r="B44" s="3">
        <f t="shared" si="3"/>
        <v>346</v>
      </c>
      <c r="C44" s="5">
        <f t="shared" si="4"/>
        <v>0.499772820151414</v>
      </c>
      <c r="D44" s="9">
        <f t="shared" si="5"/>
        <v>0.692</v>
      </c>
      <c r="E44" s="10">
        <v>346</v>
      </c>
      <c r="F44" s="6">
        <v>0.4993</v>
      </c>
      <c r="G44" s="7" t="s">
        <v>1</v>
      </c>
    </row>
    <row r="45" ht="16.5" spans="1:7">
      <c r="A45" s="3">
        <v>600</v>
      </c>
      <c r="B45" s="3">
        <f t="shared" si="3"/>
        <v>415</v>
      </c>
      <c r="C45" s="5">
        <f t="shared" si="4"/>
        <v>0.499548053982464</v>
      </c>
      <c r="D45" s="9">
        <f t="shared" si="5"/>
        <v>0.691666666666667</v>
      </c>
      <c r="E45" s="10">
        <v>415</v>
      </c>
      <c r="F45" s="6">
        <v>0.4995</v>
      </c>
      <c r="G45" s="7" t="s">
        <v>1</v>
      </c>
    </row>
    <row r="46" ht="16.5" spans="1:7">
      <c r="A46" s="3">
        <v>700</v>
      </c>
      <c r="B46" s="3">
        <f t="shared" si="3"/>
        <v>484</v>
      </c>
      <c r="C46" s="5">
        <f t="shared" si="4"/>
        <v>0.499387494785346</v>
      </c>
      <c r="D46" s="9">
        <f t="shared" si="5"/>
        <v>0.691428571428571</v>
      </c>
      <c r="E46" s="10">
        <v>484</v>
      </c>
      <c r="F46" s="6">
        <v>0.4995</v>
      </c>
      <c r="G46" s="7" t="s">
        <v>1</v>
      </c>
    </row>
    <row r="47" ht="16.5" spans="1:7">
      <c r="A47" s="3">
        <v>800</v>
      </c>
      <c r="B47" s="3">
        <f t="shared" si="3"/>
        <v>554</v>
      </c>
      <c r="C47" s="5">
        <f t="shared" si="4"/>
        <v>0.499892985027228</v>
      </c>
      <c r="D47" s="9">
        <f t="shared" si="5"/>
        <v>0.6925</v>
      </c>
      <c r="E47" s="10">
        <v>554</v>
      </c>
      <c r="F47" s="6">
        <v>0.4996</v>
      </c>
      <c r="G47" s="7" t="s">
        <v>1</v>
      </c>
    </row>
    <row r="48" ht="16.5" spans="1:7">
      <c r="A48" s="3">
        <v>900</v>
      </c>
      <c r="B48" s="3">
        <f t="shared" si="3"/>
        <v>623</v>
      </c>
      <c r="C48" s="5">
        <f t="shared" si="4"/>
        <v>0.499729874391522</v>
      </c>
      <c r="D48" s="9">
        <f t="shared" si="5"/>
        <v>0.692222222222222</v>
      </c>
      <c r="E48" s="10">
        <v>623</v>
      </c>
      <c r="F48" s="6">
        <v>0.4996</v>
      </c>
      <c r="G48" s="7" t="s">
        <v>1</v>
      </c>
    </row>
    <row r="49" ht="16.5" spans="1:7">
      <c r="A49" s="3">
        <v>1000</v>
      </c>
      <c r="B49" s="3">
        <f t="shared" si="3"/>
        <v>692</v>
      </c>
      <c r="C49" s="5">
        <f t="shared" si="4"/>
        <v>0.499599364716989</v>
      </c>
      <c r="D49" s="9">
        <f t="shared" si="5"/>
        <v>0.692</v>
      </c>
      <c r="E49" s="10">
        <v>692</v>
      </c>
      <c r="F49" s="6">
        <v>0.4997</v>
      </c>
      <c r="G49" s="7" t="s">
        <v>1</v>
      </c>
    </row>
    <row r="50" ht="16.5" spans="1:7">
      <c r="A50" s="3" t="s">
        <v>1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7" t="s">
        <v>1</v>
      </c>
    </row>
    <row r="51" ht="30" customHeight="1" spans="1:7">
      <c r="A51" s="11" t="s">
        <v>104</v>
      </c>
      <c r="B51" s="12">
        <f>LN(2)</f>
        <v>0.693147180559945</v>
      </c>
      <c r="C51" s="3" t="s">
        <v>1</v>
      </c>
      <c r="D51" s="3" t="s">
        <v>1</v>
      </c>
      <c r="E51" s="3" t="s">
        <v>1</v>
      </c>
      <c r="F51" s="3" t="s">
        <v>1</v>
      </c>
      <c r="G51" s="7" t="s">
        <v>1</v>
      </c>
    </row>
    <row r="52" ht="16.5" spans="1:7">
      <c r="A52" s="3" t="s">
        <v>1</v>
      </c>
      <c r="B52" s="3" t="s">
        <v>1</v>
      </c>
      <c r="C52" s="3" t="s">
        <v>1</v>
      </c>
      <c r="D52" s="3" t="s">
        <v>1</v>
      </c>
      <c r="E52" s="3" t="s">
        <v>1</v>
      </c>
      <c r="F52" s="3" t="s">
        <v>1</v>
      </c>
      <c r="G52" s="7" t="s">
        <v>1</v>
      </c>
    </row>
    <row r="53" ht="16.5" spans="1:7">
      <c r="A53" s="3" t="s">
        <v>105</v>
      </c>
      <c r="B53" s="3" t="s">
        <v>1</v>
      </c>
      <c r="C53" s="3" t="s">
        <v>1</v>
      </c>
      <c r="D53" s="3" t="s">
        <v>1</v>
      </c>
      <c r="E53" s="3" t="s">
        <v>1</v>
      </c>
      <c r="F53" s="3" t="s">
        <v>1</v>
      </c>
      <c r="G53" s="7" t="s">
        <v>1</v>
      </c>
    </row>
    <row r="54" ht="16.5" spans="1:7">
      <c r="A54" s="3" t="s">
        <v>106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7" t="s">
        <v>1</v>
      </c>
    </row>
    <row r="55" ht="16.5" spans="1:7">
      <c r="A55" s="7" t="s">
        <v>1</v>
      </c>
      <c r="B55" s="7" t="s">
        <v>1</v>
      </c>
      <c r="C55" s="7" t="s">
        <v>1</v>
      </c>
      <c r="D55" s="7" t="s">
        <v>1</v>
      </c>
      <c r="E55" s="7" t="s">
        <v>1</v>
      </c>
      <c r="F55" s="7" t="s">
        <v>1</v>
      </c>
      <c r="G55" s="7" t="s">
        <v>1</v>
      </c>
    </row>
    <row r="56" customHeight="1" spans="1:7">
      <c r="A56" s="1" t="s">
        <v>107</v>
      </c>
      <c r="B56" s="1" t="s">
        <v>1</v>
      </c>
      <c r="C56" s="1" t="s">
        <v>1</v>
      </c>
      <c r="D56" s="1" t="s">
        <v>1</v>
      </c>
      <c r="E56" s="7" t="s">
        <v>1</v>
      </c>
      <c r="F56" s="7" t="s">
        <v>1</v>
      </c>
      <c r="G56" s="7" t="s">
        <v>1</v>
      </c>
    </row>
    <row r="57" ht="16.5" spans="1:7">
      <c r="A57" s="2" t="s">
        <v>108</v>
      </c>
      <c r="B57" s="3" t="s">
        <v>1</v>
      </c>
      <c r="C57" s="3" t="s">
        <v>1</v>
      </c>
      <c r="D57" s="3" t="s">
        <v>1</v>
      </c>
      <c r="E57" s="7" t="s">
        <v>1</v>
      </c>
      <c r="F57" s="7" t="s">
        <v>1</v>
      </c>
      <c r="G57" s="7" t="s">
        <v>1</v>
      </c>
    </row>
    <row r="58" ht="16.5" spans="1:7">
      <c r="A58" s="3" t="s">
        <v>1</v>
      </c>
      <c r="B58" s="3" t="s">
        <v>1</v>
      </c>
      <c r="C58" s="3" t="s">
        <v>1</v>
      </c>
      <c r="D58" s="3" t="s">
        <v>1</v>
      </c>
      <c r="E58" s="7" t="s">
        <v>1</v>
      </c>
      <c r="F58" s="7" t="s">
        <v>1</v>
      </c>
      <c r="G58" s="7" t="s">
        <v>1</v>
      </c>
    </row>
    <row r="59" ht="16.5" spans="1:7">
      <c r="A59" s="4" t="s">
        <v>109</v>
      </c>
      <c r="B59" s="4">
        <v>100</v>
      </c>
      <c r="C59" s="4" t="s">
        <v>1</v>
      </c>
      <c r="D59" s="13" t="s">
        <v>1</v>
      </c>
      <c r="E59" s="7" t="s">
        <v>1</v>
      </c>
      <c r="F59" s="7" t="s">
        <v>1</v>
      </c>
      <c r="G59" s="7" t="s">
        <v>1</v>
      </c>
    </row>
    <row r="60" ht="16.5" spans="1:7">
      <c r="A60" s="3" t="s">
        <v>1</v>
      </c>
      <c r="B60" s="3" t="s">
        <v>1</v>
      </c>
      <c r="C60" s="3" t="s">
        <v>1</v>
      </c>
      <c r="D60" s="3" t="s">
        <v>1</v>
      </c>
      <c r="E60" s="7" t="s">
        <v>1</v>
      </c>
      <c r="F60" s="7" t="s">
        <v>1</v>
      </c>
      <c r="G60" s="7" t="s">
        <v>1</v>
      </c>
    </row>
    <row r="61" ht="16.5" spans="1:7">
      <c r="A61" s="11" t="s">
        <v>110</v>
      </c>
      <c r="B61" s="11" t="s">
        <v>111</v>
      </c>
      <c r="C61" s="11" t="s">
        <v>112</v>
      </c>
      <c r="D61" s="3" t="s">
        <v>1</v>
      </c>
      <c r="E61" s="7" t="s">
        <v>1</v>
      </c>
      <c r="F61" s="7" t="s">
        <v>1</v>
      </c>
      <c r="G61" s="7" t="s">
        <v>1</v>
      </c>
    </row>
    <row r="62" ht="16.5" spans="1:7">
      <c r="A62" s="3">
        <v>1</v>
      </c>
      <c r="B62" s="9">
        <f t="shared" ref="B62:B125" si="6">(1-1/$B$59)^($A62-1)*(1/$B$59)</f>
        <v>0.01</v>
      </c>
      <c r="C62" s="9">
        <f>SUM($B$62:$B62)</f>
        <v>0.01</v>
      </c>
      <c r="D62" s="3" t="s">
        <v>1</v>
      </c>
      <c r="E62" s="7" t="s">
        <v>1</v>
      </c>
      <c r="F62" s="7" t="s">
        <v>1</v>
      </c>
      <c r="G62" s="7" t="s">
        <v>1</v>
      </c>
    </row>
    <row r="63" ht="16.5" spans="1:7">
      <c r="A63" s="3">
        <v>2</v>
      </c>
      <c r="B63" s="9">
        <f t="shared" si="6"/>
        <v>0.0099</v>
      </c>
      <c r="C63" s="9">
        <f>SUM($B$62:$B63)</f>
        <v>0.0199</v>
      </c>
      <c r="D63" s="3" t="s">
        <v>1</v>
      </c>
      <c r="E63" s="7" t="s">
        <v>1</v>
      </c>
      <c r="F63" s="7" t="s">
        <v>1</v>
      </c>
      <c r="G63" s="7" t="s">
        <v>1</v>
      </c>
    </row>
    <row r="64" ht="16.5" spans="1:7">
      <c r="A64" s="3">
        <v>3</v>
      </c>
      <c r="B64" s="9">
        <f t="shared" si="6"/>
        <v>0.009801</v>
      </c>
      <c r="C64" s="9">
        <f>SUM($B$62:$B64)</f>
        <v>0.029701</v>
      </c>
      <c r="D64" s="3" t="s">
        <v>1</v>
      </c>
      <c r="E64" s="7" t="s">
        <v>1</v>
      </c>
      <c r="F64" s="7" t="s">
        <v>1</v>
      </c>
      <c r="G64" s="7" t="s">
        <v>1</v>
      </c>
    </row>
    <row r="65" ht="16.5" spans="1:7">
      <c r="A65" s="3">
        <v>4</v>
      </c>
      <c r="B65" s="9">
        <f t="shared" si="6"/>
        <v>0.00970299</v>
      </c>
      <c r="C65" s="9">
        <f>SUM($B$62:$B65)</f>
        <v>0.03940399</v>
      </c>
      <c r="D65" s="3" t="s">
        <v>1</v>
      </c>
      <c r="E65" s="7" t="s">
        <v>1</v>
      </c>
      <c r="F65" s="7" t="s">
        <v>1</v>
      </c>
      <c r="G65" s="7" t="s">
        <v>1</v>
      </c>
    </row>
    <row r="66" ht="16.5" spans="1:7">
      <c r="A66" s="3">
        <v>5</v>
      </c>
      <c r="B66" s="9">
        <f t="shared" si="6"/>
        <v>0.0096059601</v>
      </c>
      <c r="C66" s="9">
        <f>SUM($B$62:$B66)</f>
        <v>0.0490099501</v>
      </c>
      <c r="D66" s="3" t="s">
        <v>1</v>
      </c>
      <c r="E66" s="7" t="s">
        <v>1</v>
      </c>
      <c r="F66" s="7" t="s">
        <v>1</v>
      </c>
      <c r="G66" s="7" t="s">
        <v>1</v>
      </c>
    </row>
    <row r="67" ht="16.5" spans="1:7">
      <c r="A67" s="3">
        <v>6</v>
      </c>
      <c r="B67" s="9">
        <f t="shared" si="6"/>
        <v>0.009509900499</v>
      </c>
      <c r="C67" s="9">
        <f>SUM($B$62:$B67)</f>
        <v>0.058519850599</v>
      </c>
      <c r="D67" s="3" t="s">
        <v>1</v>
      </c>
      <c r="E67" s="7" t="s">
        <v>1</v>
      </c>
      <c r="F67" s="7" t="s">
        <v>1</v>
      </c>
      <c r="G67" s="7" t="s">
        <v>1</v>
      </c>
    </row>
    <row r="68" ht="16.5" spans="1:7">
      <c r="A68" s="3">
        <v>7</v>
      </c>
      <c r="B68" s="9">
        <f t="shared" si="6"/>
        <v>0.00941480149401</v>
      </c>
      <c r="C68" s="9">
        <f>SUM($B$62:$B68)</f>
        <v>0.06793465209301</v>
      </c>
      <c r="D68" s="3" t="s">
        <v>1</v>
      </c>
      <c r="E68" s="7" t="s">
        <v>1</v>
      </c>
      <c r="F68" s="7" t="s">
        <v>1</v>
      </c>
      <c r="G68" s="7" t="s">
        <v>1</v>
      </c>
    </row>
    <row r="69" ht="16.5" spans="1:7">
      <c r="A69" s="3">
        <v>8</v>
      </c>
      <c r="B69" s="9">
        <f t="shared" si="6"/>
        <v>0.0093206534790699</v>
      </c>
      <c r="C69" s="9">
        <f>SUM($B$62:$B69)</f>
        <v>0.0772553055720799</v>
      </c>
      <c r="D69" s="3" t="s">
        <v>1</v>
      </c>
      <c r="E69" s="7" t="s">
        <v>1</v>
      </c>
      <c r="F69" s="7" t="s">
        <v>1</v>
      </c>
      <c r="G69" s="7" t="s">
        <v>1</v>
      </c>
    </row>
    <row r="70" ht="16.5" spans="1:7">
      <c r="A70" s="3">
        <v>9</v>
      </c>
      <c r="B70" s="9">
        <f t="shared" si="6"/>
        <v>0.0092274469442792</v>
      </c>
      <c r="C70" s="9">
        <f>SUM($B$62:$B70)</f>
        <v>0.0864827525163591</v>
      </c>
      <c r="D70" s="3" t="s">
        <v>1</v>
      </c>
      <c r="E70" s="7" t="s">
        <v>1</v>
      </c>
      <c r="F70" s="7" t="s">
        <v>1</v>
      </c>
      <c r="G70" s="7" t="s">
        <v>1</v>
      </c>
    </row>
    <row r="71" ht="16.5" spans="1:7">
      <c r="A71" s="3">
        <v>10</v>
      </c>
      <c r="B71" s="9">
        <f t="shared" si="6"/>
        <v>0.00913517247483641</v>
      </c>
      <c r="C71" s="9">
        <f>SUM($B$62:$B71)</f>
        <v>0.0956179249911955</v>
      </c>
      <c r="D71" s="3" t="s">
        <v>1</v>
      </c>
      <c r="E71" s="7" t="s">
        <v>1</v>
      </c>
      <c r="F71" s="7" t="s">
        <v>1</v>
      </c>
      <c r="G71" s="7" t="s">
        <v>1</v>
      </c>
    </row>
    <row r="72" ht="16.5" spans="1:7">
      <c r="A72" s="3">
        <v>11</v>
      </c>
      <c r="B72" s="9">
        <f t="shared" si="6"/>
        <v>0.00904382075008804</v>
      </c>
      <c r="C72" s="9">
        <f>SUM($B$62:$B72)</f>
        <v>0.104661745741284</v>
      </c>
      <c r="D72" s="3" t="s">
        <v>1</v>
      </c>
      <c r="E72" s="7" t="s">
        <v>1</v>
      </c>
      <c r="F72" s="7" t="s">
        <v>1</v>
      </c>
      <c r="G72" s="7" t="s">
        <v>1</v>
      </c>
    </row>
    <row r="73" ht="16.5" spans="1:7">
      <c r="A73" s="3">
        <v>12</v>
      </c>
      <c r="B73" s="9">
        <f t="shared" si="6"/>
        <v>0.00895338254258716</v>
      </c>
      <c r="C73" s="9">
        <f>SUM($B$62:$B73)</f>
        <v>0.113615128283871</v>
      </c>
      <c r="D73" s="3" t="s">
        <v>1</v>
      </c>
      <c r="E73" s="7" t="s">
        <v>1</v>
      </c>
      <c r="F73" s="7" t="s">
        <v>1</v>
      </c>
      <c r="G73" s="7" t="s">
        <v>1</v>
      </c>
    </row>
    <row r="74" ht="16.5" spans="1:7">
      <c r="A74" s="3">
        <v>13</v>
      </c>
      <c r="B74" s="9">
        <f t="shared" si="6"/>
        <v>0.00886384871716129</v>
      </c>
      <c r="C74" s="9">
        <f>SUM($B$62:$B74)</f>
        <v>0.122478977001032</v>
      </c>
      <c r="D74" s="3" t="s">
        <v>1</v>
      </c>
      <c r="E74" s="7" t="s">
        <v>1</v>
      </c>
      <c r="F74" s="7" t="s">
        <v>1</v>
      </c>
      <c r="G74" s="7" t="s">
        <v>1</v>
      </c>
    </row>
    <row r="75" ht="16.5" spans="1:7">
      <c r="A75" s="3">
        <v>14</v>
      </c>
      <c r="B75" s="9">
        <f t="shared" si="6"/>
        <v>0.00877521022998968</v>
      </c>
      <c r="C75" s="9">
        <f>SUM($B$62:$B75)</f>
        <v>0.131254187231022</v>
      </c>
      <c r="D75" s="3" t="s">
        <v>1</v>
      </c>
      <c r="E75" s="7" t="s">
        <v>1</v>
      </c>
      <c r="F75" s="7" t="s">
        <v>1</v>
      </c>
      <c r="G75" s="7" t="s">
        <v>1</v>
      </c>
    </row>
    <row r="76" ht="16.5" spans="1:7">
      <c r="A76" s="3">
        <v>15</v>
      </c>
      <c r="B76" s="9">
        <f t="shared" si="6"/>
        <v>0.00868745812768978</v>
      </c>
      <c r="C76" s="9">
        <f>SUM($B$62:$B76)</f>
        <v>0.139941645358711</v>
      </c>
      <c r="D76" s="3" t="s">
        <v>1</v>
      </c>
      <c r="E76" s="7" t="s">
        <v>1</v>
      </c>
      <c r="F76" s="7" t="s">
        <v>1</v>
      </c>
      <c r="G76" s="7" t="s">
        <v>1</v>
      </c>
    </row>
    <row r="77" ht="16.5" spans="1:7">
      <c r="A77" s="3">
        <v>16</v>
      </c>
      <c r="B77" s="9">
        <f t="shared" si="6"/>
        <v>0.00860058354641288</v>
      </c>
      <c r="C77" s="9">
        <f>SUM($B$62:$B77)</f>
        <v>0.148542228905124</v>
      </c>
      <c r="D77" s="3" t="s">
        <v>1</v>
      </c>
      <c r="E77" s="7" t="s">
        <v>1</v>
      </c>
      <c r="F77" s="7" t="s">
        <v>1</v>
      </c>
      <c r="G77" s="7" t="s">
        <v>1</v>
      </c>
    </row>
    <row r="78" ht="16.5" spans="1:7">
      <c r="A78" s="3">
        <v>17</v>
      </c>
      <c r="B78" s="9">
        <f t="shared" si="6"/>
        <v>0.00851457771094876</v>
      </c>
      <c r="C78" s="9">
        <f>SUM($B$62:$B78)</f>
        <v>0.157056806616073</v>
      </c>
      <c r="D78" s="3" t="s">
        <v>1</v>
      </c>
      <c r="E78" s="7" t="s">
        <v>1</v>
      </c>
      <c r="F78" s="7" t="s">
        <v>1</v>
      </c>
      <c r="G78" s="7" t="s">
        <v>1</v>
      </c>
    </row>
    <row r="79" ht="16.5" spans="1:7">
      <c r="A79" s="3">
        <v>18</v>
      </c>
      <c r="B79" s="9">
        <f t="shared" si="6"/>
        <v>0.00842943193383927</v>
      </c>
      <c r="C79" s="9">
        <f>SUM($B$62:$B79)</f>
        <v>0.165486238549912</v>
      </c>
      <c r="D79" s="3" t="s">
        <v>1</v>
      </c>
      <c r="E79" s="7" t="s">
        <v>1</v>
      </c>
      <c r="F79" s="7" t="s">
        <v>1</v>
      </c>
      <c r="G79" s="7" t="s">
        <v>1</v>
      </c>
    </row>
    <row r="80" ht="16.5" spans="1:7">
      <c r="A80" s="3">
        <v>19</v>
      </c>
      <c r="B80" s="9">
        <f t="shared" si="6"/>
        <v>0.00834513761450087</v>
      </c>
      <c r="C80" s="9">
        <f>SUM($B$62:$B80)</f>
        <v>0.173831376164413</v>
      </c>
      <c r="D80" s="3" t="s">
        <v>1</v>
      </c>
      <c r="E80" s="7" t="s">
        <v>1</v>
      </c>
      <c r="F80" s="7" t="s">
        <v>1</v>
      </c>
      <c r="G80" s="7" t="s">
        <v>1</v>
      </c>
    </row>
    <row r="81" ht="16.5" spans="1:7">
      <c r="A81" s="3">
        <v>20</v>
      </c>
      <c r="B81" s="9">
        <f t="shared" si="6"/>
        <v>0.00826168623835587</v>
      </c>
      <c r="C81" s="9">
        <f>SUM($B$62:$B81)</f>
        <v>0.182093062402769</v>
      </c>
      <c r="D81" s="3" t="s">
        <v>1</v>
      </c>
      <c r="E81" s="7" t="s">
        <v>1</v>
      </c>
      <c r="F81" s="7" t="s">
        <v>1</v>
      </c>
      <c r="G81" s="7" t="s">
        <v>1</v>
      </c>
    </row>
    <row r="82" ht="16.5" spans="1:7">
      <c r="A82" s="3">
        <v>21</v>
      </c>
      <c r="B82" s="9">
        <f t="shared" si="6"/>
        <v>0.00817906937597231</v>
      </c>
      <c r="C82" s="9">
        <f>SUM($B$62:$B82)</f>
        <v>0.190272131778741</v>
      </c>
      <c r="D82" s="3" t="s">
        <v>1</v>
      </c>
      <c r="E82" s="7" t="s">
        <v>1</v>
      </c>
      <c r="F82" s="7" t="s">
        <v>1</v>
      </c>
      <c r="G82" s="7" t="s">
        <v>1</v>
      </c>
    </row>
    <row r="83" ht="16.5" spans="1:7">
      <c r="A83" s="3">
        <v>22</v>
      </c>
      <c r="B83" s="9">
        <f t="shared" si="6"/>
        <v>0.00809727868221258</v>
      </c>
      <c r="C83" s="9">
        <f>SUM($B$62:$B83)</f>
        <v>0.198369410460954</v>
      </c>
      <c r="D83" s="3" t="s">
        <v>1</v>
      </c>
      <c r="E83" s="7" t="s">
        <v>1</v>
      </c>
      <c r="F83" s="7" t="s">
        <v>1</v>
      </c>
      <c r="G83" s="7" t="s">
        <v>1</v>
      </c>
    </row>
    <row r="84" ht="16.5" spans="1:7">
      <c r="A84" s="3">
        <v>23</v>
      </c>
      <c r="B84" s="9">
        <f t="shared" si="6"/>
        <v>0.00801630589539046</v>
      </c>
      <c r="C84" s="9">
        <f>SUM($B$62:$B84)</f>
        <v>0.206385716356344</v>
      </c>
      <c r="D84" s="3" t="s">
        <v>1</v>
      </c>
      <c r="E84" s="7" t="s">
        <v>1</v>
      </c>
      <c r="F84" s="7" t="s">
        <v>1</v>
      </c>
      <c r="G84" s="7" t="s">
        <v>1</v>
      </c>
    </row>
    <row r="85" ht="16.5" spans="1:7">
      <c r="A85" s="3">
        <v>24</v>
      </c>
      <c r="B85" s="9">
        <f t="shared" si="6"/>
        <v>0.00793614283643655</v>
      </c>
      <c r="C85" s="9">
        <f>SUM($B$62:$B85)</f>
        <v>0.214321859192781</v>
      </c>
      <c r="D85" s="3" t="s">
        <v>1</v>
      </c>
      <c r="E85" s="7" t="s">
        <v>1</v>
      </c>
      <c r="F85" s="7" t="s">
        <v>1</v>
      </c>
      <c r="G85" s="7" t="s">
        <v>1</v>
      </c>
    </row>
    <row r="86" ht="16.5" spans="1:7">
      <c r="A86" s="3">
        <v>25</v>
      </c>
      <c r="B86" s="9">
        <f t="shared" si="6"/>
        <v>0.00785678140807219</v>
      </c>
      <c r="C86" s="9">
        <f>SUM($B$62:$B86)</f>
        <v>0.222178640600853</v>
      </c>
      <c r="D86" s="3" t="s">
        <v>1</v>
      </c>
      <c r="E86" s="7" t="s">
        <v>1</v>
      </c>
      <c r="F86" s="7" t="s">
        <v>1</v>
      </c>
      <c r="G86" s="7" t="s">
        <v>1</v>
      </c>
    </row>
    <row r="87" ht="16.5" spans="1:7">
      <c r="A87" s="3">
        <v>26</v>
      </c>
      <c r="B87" s="9">
        <f t="shared" si="6"/>
        <v>0.00777821359399147</v>
      </c>
      <c r="C87" s="9">
        <f>SUM($B$62:$B87)</f>
        <v>0.229956854194845</v>
      </c>
      <c r="D87" s="3" t="s">
        <v>1</v>
      </c>
      <c r="E87" s="7" t="s">
        <v>1</v>
      </c>
      <c r="F87" s="7" t="s">
        <v>1</v>
      </c>
      <c r="G87" s="7" t="s">
        <v>1</v>
      </c>
    </row>
    <row r="88" ht="16.5" spans="1:7">
      <c r="A88" s="3">
        <v>27</v>
      </c>
      <c r="B88" s="9">
        <f t="shared" si="6"/>
        <v>0.00770043145805155</v>
      </c>
      <c r="C88" s="9">
        <f>SUM($B$62:$B88)</f>
        <v>0.237657285652896</v>
      </c>
      <c r="D88" s="3" t="s">
        <v>1</v>
      </c>
      <c r="E88" s="7" t="s">
        <v>1</v>
      </c>
      <c r="F88" s="7" t="s">
        <v>1</v>
      </c>
      <c r="G88" s="7" t="s">
        <v>1</v>
      </c>
    </row>
    <row r="89" ht="16.5" spans="1:7">
      <c r="A89" s="3">
        <v>28</v>
      </c>
      <c r="B89" s="9">
        <f t="shared" si="6"/>
        <v>0.00762342714347104</v>
      </c>
      <c r="C89" s="9">
        <f>SUM($B$62:$B89)</f>
        <v>0.245280712796367</v>
      </c>
      <c r="D89" s="3" t="s">
        <v>1</v>
      </c>
      <c r="E89" s="7" t="s">
        <v>1</v>
      </c>
      <c r="F89" s="7" t="s">
        <v>1</v>
      </c>
      <c r="G89" s="7" t="s">
        <v>1</v>
      </c>
    </row>
    <row r="90" ht="16.5" spans="1:7">
      <c r="A90" s="3">
        <v>29</v>
      </c>
      <c r="B90" s="9">
        <f t="shared" si="6"/>
        <v>0.00754719287203633</v>
      </c>
      <c r="C90" s="9">
        <f>SUM($B$62:$B90)</f>
        <v>0.252827905668404</v>
      </c>
      <c r="D90" s="3" t="s">
        <v>1</v>
      </c>
      <c r="E90" s="7" t="s">
        <v>1</v>
      </c>
      <c r="F90" s="7" t="s">
        <v>1</v>
      </c>
      <c r="G90" s="7" t="s">
        <v>1</v>
      </c>
    </row>
    <row r="91" ht="16.5" spans="1:7">
      <c r="A91" s="3">
        <v>30</v>
      </c>
      <c r="B91" s="9">
        <f t="shared" si="6"/>
        <v>0.00747172094331596</v>
      </c>
      <c r="C91" s="9">
        <f>SUM($B$62:$B91)</f>
        <v>0.26029962661172</v>
      </c>
      <c r="D91" s="3" t="s">
        <v>1</v>
      </c>
      <c r="E91" s="7" t="s">
        <v>1</v>
      </c>
      <c r="F91" s="7" t="s">
        <v>1</v>
      </c>
      <c r="G91" s="7" t="s">
        <v>1</v>
      </c>
    </row>
    <row r="92" ht="16.5" spans="1:7">
      <c r="A92" s="3">
        <v>31</v>
      </c>
      <c r="B92" s="9">
        <f t="shared" si="6"/>
        <v>0.0073970037338828</v>
      </c>
      <c r="C92" s="9">
        <f>SUM($B$62:$B92)</f>
        <v>0.267696630345602</v>
      </c>
      <c r="D92" s="3" t="s">
        <v>1</v>
      </c>
      <c r="E92" s="7" t="s">
        <v>1</v>
      </c>
      <c r="F92" s="7" t="s">
        <v>1</v>
      </c>
      <c r="G92" s="7" t="s">
        <v>1</v>
      </c>
    </row>
    <row r="93" ht="16.5" spans="1:7">
      <c r="A93" s="3">
        <v>32</v>
      </c>
      <c r="B93" s="9">
        <f t="shared" si="6"/>
        <v>0.00732303369654397</v>
      </c>
      <c r="C93" s="9">
        <f>SUM($B$62:$B93)</f>
        <v>0.275019664042146</v>
      </c>
      <c r="D93" s="3" t="s">
        <v>1</v>
      </c>
      <c r="E93" s="7" t="s">
        <v>1</v>
      </c>
      <c r="F93" s="7" t="s">
        <v>1</v>
      </c>
      <c r="G93" s="7" t="s">
        <v>1</v>
      </c>
    </row>
    <row r="94" ht="16.5" spans="1:7">
      <c r="A94" s="3">
        <v>33</v>
      </c>
      <c r="B94" s="9">
        <f t="shared" si="6"/>
        <v>0.00724980335957853</v>
      </c>
      <c r="C94" s="9">
        <f>SUM($B$62:$B94)</f>
        <v>0.282269467401725</v>
      </c>
      <c r="D94" s="3" t="s">
        <v>1</v>
      </c>
      <c r="E94" s="7" t="s">
        <v>1</v>
      </c>
      <c r="F94" s="7" t="s">
        <v>1</v>
      </c>
      <c r="G94" s="7" t="s">
        <v>1</v>
      </c>
    </row>
    <row r="95" ht="16.5" spans="1:7">
      <c r="A95" s="3">
        <v>34</v>
      </c>
      <c r="B95" s="9">
        <f t="shared" si="6"/>
        <v>0.00717730532598275</v>
      </c>
      <c r="C95" s="9">
        <f>SUM($B$62:$B95)</f>
        <v>0.289446772727708</v>
      </c>
      <c r="D95" s="3" t="s">
        <v>1</v>
      </c>
      <c r="E95" s="7" t="s">
        <v>1</v>
      </c>
      <c r="F95" s="7" t="s">
        <v>1</v>
      </c>
      <c r="G95" s="7" t="s">
        <v>1</v>
      </c>
    </row>
    <row r="96" ht="16.5" spans="1:7">
      <c r="A96" s="3">
        <v>35</v>
      </c>
      <c r="B96" s="9">
        <f t="shared" si="6"/>
        <v>0.00710553227272292</v>
      </c>
      <c r="C96" s="9">
        <f>SUM($B$62:$B96)</f>
        <v>0.296552305000431</v>
      </c>
      <c r="D96" s="3" t="s">
        <v>1</v>
      </c>
      <c r="E96" s="7" t="s">
        <v>1</v>
      </c>
      <c r="F96" s="7" t="s">
        <v>1</v>
      </c>
      <c r="G96" s="7" t="s">
        <v>1</v>
      </c>
    </row>
    <row r="97" ht="16.5" spans="1:7">
      <c r="A97" s="3">
        <v>36</v>
      </c>
      <c r="B97" s="9">
        <f t="shared" si="6"/>
        <v>0.00703447694999569</v>
      </c>
      <c r="C97" s="9">
        <f>SUM($B$62:$B97)</f>
        <v>0.303586781950426</v>
      </c>
      <c r="D97" s="3" t="s">
        <v>1</v>
      </c>
      <c r="E97" s="7" t="s">
        <v>1</v>
      </c>
      <c r="F97" s="7" t="s">
        <v>1</v>
      </c>
      <c r="G97" s="7" t="s">
        <v>1</v>
      </c>
    </row>
    <row r="98" ht="16.5" spans="1:7">
      <c r="A98" s="3">
        <v>37</v>
      </c>
      <c r="B98" s="9">
        <f t="shared" si="6"/>
        <v>0.00696413218049573</v>
      </c>
      <c r="C98" s="9">
        <f>SUM($B$62:$B98)</f>
        <v>0.310550914130922</v>
      </c>
      <c r="D98" s="3" t="s">
        <v>1</v>
      </c>
      <c r="E98" s="7" t="s">
        <v>1</v>
      </c>
      <c r="F98" s="7" t="s">
        <v>1</v>
      </c>
      <c r="G98" s="7" t="s">
        <v>1</v>
      </c>
    </row>
    <row r="99" ht="16.5" spans="1:7">
      <c r="A99" s="3">
        <v>38</v>
      </c>
      <c r="B99" s="9">
        <f t="shared" si="6"/>
        <v>0.00689449085869078</v>
      </c>
      <c r="C99" s="9">
        <f>SUM($B$62:$B99)</f>
        <v>0.317445404989613</v>
      </c>
      <c r="D99" s="3" t="s">
        <v>1</v>
      </c>
      <c r="E99" s="7" t="s">
        <v>1</v>
      </c>
      <c r="F99" s="7" t="s">
        <v>1</v>
      </c>
      <c r="G99" s="7" t="s">
        <v>1</v>
      </c>
    </row>
    <row r="100" ht="16.5" spans="1:7">
      <c r="A100" s="3">
        <v>39</v>
      </c>
      <c r="B100" s="9">
        <f t="shared" si="6"/>
        <v>0.00682554595010387</v>
      </c>
      <c r="C100" s="9">
        <f>SUM($B$62:$B100)</f>
        <v>0.324270950939717</v>
      </c>
      <c r="D100" s="3" t="s">
        <v>1</v>
      </c>
      <c r="E100" s="7" t="s">
        <v>1</v>
      </c>
      <c r="F100" s="7" t="s">
        <v>1</v>
      </c>
      <c r="G100" s="7" t="s">
        <v>1</v>
      </c>
    </row>
    <row r="101" ht="16.5" spans="1:7">
      <c r="A101" s="3">
        <v>40</v>
      </c>
      <c r="B101" s="9">
        <f t="shared" si="6"/>
        <v>0.00675729049060283</v>
      </c>
      <c r="C101" s="9">
        <f>SUM($B$62:$B101)</f>
        <v>0.331028241430319</v>
      </c>
      <c r="D101" s="3" t="s">
        <v>1</v>
      </c>
      <c r="E101" s="7" t="s">
        <v>1</v>
      </c>
      <c r="F101" s="7" t="s">
        <v>1</v>
      </c>
      <c r="G101" s="7" t="s">
        <v>1</v>
      </c>
    </row>
    <row r="102" ht="16.5" spans="1:7">
      <c r="A102" s="3">
        <v>41</v>
      </c>
      <c r="B102" s="9">
        <f t="shared" si="6"/>
        <v>0.0066897175856968</v>
      </c>
      <c r="C102" s="9">
        <f>SUM($B$62:$B102)</f>
        <v>0.337717959016016</v>
      </c>
      <c r="D102" s="3" t="s">
        <v>1</v>
      </c>
      <c r="E102" s="7" t="s">
        <v>1</v>
      </c>
      <c r="F102" s="7" t="s">
        <v>1</v>
      </c>
      <c r="G102" s="7" t="s">
        <v>1</v>
      </c>
    </row>
    <row r="103" ht="16.5" spans="1:7">
      <c r="A103" s="3">
        <v>42</v>
      </c>
      <c r="B103" s="9">
        <f t="shared" si="6"/>
        <v>0.00662282040983983</v>
      </c>
      <c r="C103" s="9">
        <f>SUM($B$62:$B103)</f>
        <v>0.344340779425856</v>
      </c>
      <c r="D103" s="3" t="s">
        <v>1</v>
      </c>
      <c r="E103" s="7" t="s">
        <v>1</v>
      </c>
      <c r="F103" s="7" t="s">
        <v>1</v>
      </c>
      <c r="G103" s="7" t="s">
        <v>1</v>
      </c>
    </row>
    <row r="104" ht="16.5" spans="1:7">
      <c r="A104" s="3">
        <v>43</v>
      </c>
      <c r="B104" s="9">
        <f t="shared" si="6"/>
        <v>0.00655659220574144</v>
      </c>
      <c r="C104" s="9">
        <f>SUM($B$62:$B104)</f>
        <v>0.350897371631598</v>
      </c>
      <c r="D104" s="3" t="s">
        <v>1</v>
      </c>
      <c r="E104" s="7" t="s">
        <v>1</v>
      </c>
      <c r="F104" s="7" t="s">
        <v>1</v>
      </c>
      <c r="G104" s="7" t="s">
        <v>1</v>
      </c>
    </row>
    <row r="105" ht="16.5" spans="1:7">
      <c r="A105" s="3">
        <v>44</v>
      </c>
      <c r="B105" s="9">
        <f t="shared" si="6"/>
        <v>0.00649102628368402</v>
      </c>
      <c r="C105" s="9">
        <f>SUM($B$62:$B105)</f>
        <v>0.357388397915282</v>
      </c>
      <c r="D105" s="3" t="s">
        <v>1</v>
      </c>
      <c r="E105" s="7" t="s">
        <v>1</v>
      </c>
      <c r="F105" s="7" t="s">
        <v>1</v>
      </c>
      <c r="G105" s="7" t="s">
        <v>1</v>
      </c>
    </row>
    <row r="106" ht="16.5" spans="1:7">
      <c r="A106" s="3">
        <v>45</v>
      </c>
      <c r="B106" s="9">
        <f t="shared" si="6"/>
        <v>0.00642611602084718</v>
      </c>
      <c r="C106" s="9">
        <f>SUM($B$62:$B106)</f>
        <v>0.363814513936129</v>
      </c>
      <c r="D106" s="3" t="s">
        <v>1</v>
      </c>
      <c r="E106" s="7" t="s">
        <v>1</v>
      </c>
      <c r="F106" s="7" t="s">
        <v>1</v>
      </c>
      <c r="G106" s="7" t="s">
        <v>1</v>
      </c>
    </row>
    <row r="107" ht="16.5" spans="1:7">
      <c r="A107" s="3">
        <v>46</v>
      </c>
      <c r="B107" s="9">
        <f t="shared" si="6"/>
        <v>0.00636185486063871</v>
      </c>
      <c r="C107" s="9">
        <f>SUM($B$62:$B107)</f>
        <v>0.370176368796768</v>
      </c>
      <c r="D107" s="3" t="s">
        <v>1</v>
      </c>
      <c r="E107" s="7" t="s">
        <v>1</v>
      </c>
      <c r="F107" s="7" t="s">
        <v>1</v>
      </c>
      <c r="G107" s="7" t="s">
        <v>1</v>
      </c>
    </row>
    <row r="108" ht="16.5" spans="1:7">
      <c r="A108" s="3">
        <v>47</v>
      </c>
      <c r="B108" s="9">
        <f t="shared" si="6"/>
        <v>0.00629823631203232</v>
      </c>
      <c r="C108" s="9">
        <f>SUM($B$62:$B108)</f>
        <v>0.3764746051088</v>
      </c>
      <c r="D108" s="3" t="s">
        <v>1</v>
      </c>
      <c r="E108" s="7" t="s">
        <v>1</v>
      </c>
      <c r="F108" s="7" t="s">
        <v>1</v>
      </c>
      <c r="G108" s="7" t="s">
        <v>1</v>
      </c>
    </row>
    <row r="109" ht="16.5" spans="1:7">
      <c r="A109" s="3">
        <v>48</v>
      </c>
      <c r="B109" s="9">
        <f t="shared" si="6"/>
        <v>0.006235253948912</v>
      </c>
      <c r="C109" s="9">
        <f>SUM($B$62:$B109)</f>
        <v>0.382709859057712</v>
      </c>
      <c r="D109" s="3" t="s">
        <v>1</v>
      </c>
      <c r="E109" s="7" t="s">
        <v>1</v>
      </c>
      <c r="F109" s="7" t="s">
        <v>1</v>
      </c>
      <c r="G109" s="7" t="s">
        <v>1</v>
      </c>
    </row>
    <row r="110" ht="16.5" spans="1:7">
      <c r="A110" s="3">
        <v>49</v>
      </c>
      <c r="B110" s="9">
        <f t="shared" si="6"/>
        <v>0.00617290140942288</v>
      </c>
      <c r="C110" s="9">
        <f>SUM($B$62:$B110)</f>
        <v>0.388882760467135</v>
      </c>
      <c r="D110" s="3" t="s">
        <v>1</v>
      </c>
      <c r="E110" s="7" t="s">
        <v>1</v>
      </c>
      <c r="F110" s="7" t="s">
        <v>1</v>
      </c>
      <c r="G110" s="7" t="s">
        <v>1</v>
      </c>
    </row>
    <row r="111" ht="16.5" spans="1:7">
      <c r="A111" s="3">
        <v>50</v>
      </c>
      <c r="B111" s="9">
        <f t="shared" si="6"/>
        <v>0.00611117239532865</v>
      </c>
      <c r="C111" s="9">
        <f>SUM($B$62:$B111)</f>
        <v>0.394993932862463</v>
      </c>
      <c r="D111" s="3" t="s">
        <v>1</v>
      </c>
      <c r="E111" s="7" t="s">
        <v>1</v>
      </c>
      <c r="F111" s="7" t="s">
        <v>1</v>
      </c>
      <c r="G111" s="7" t="s">
        <v>1</v>
      </c>
    </row>
    <row r="112" ht="16.5" spans="1:7">
      <c r="A112" s="3">
        <v>51</v>
      </c>
      <c r="B112" s="9">
        <f t="shared" si="6"/>
        <v>0.00605006067137536</v>
      </c>
      <c r="C112" s="9">
        <f>SUM($B$62:$B112)</f>
        <v>0.401043993533839</v>
      </c>
      <c r="D112" s="3" t="s">
        <v>1</v>
      </c>
      <c r="E112" s="7" t="s">
        <v>1</v>
      </c>
      <c r="F112" s="7" t="s">
        <v>1</v>
      </c>
      <c r="G112" s="7" t="s">
        <v>1</v>
      </c>
    </row>
    <row r="113" ht="16.5" spans="1:7">
      <c r="A113" s="3">
        <v>52</v>
      </c>
      <c r="B113" s="9">
        <f t="shared" si="6"/>
        <v>0.00598956006466161</v>
      </c>
      <c r="C113" s="9">
        <f>SUM($B$62:$B113)</f>
        <v>0.4070335535985</v>
      </c>
      <c r="D113" s="3" t="s">
        <v>1</v>
      </c>
      <c r="E113" s="7" t="s">
        <v>1</v>
      </c>
      <c r="F113" s="7" t="s">
        <v>1</v>
      </c>
      <c r="G113" s="7" t="s">
        <v>1</v>
      </c>
    </row>
    <row r="114" ht="16.5" spans="1:7">
      <c r="A114" s="3">
        <v>53</v>
      </c>
      <c r="B114" s="9">
        <f t="shared" si="6"/>
        <v>0.00592966446401499</v>
      </c>
      <c r="C114" s="9">
        <f>SUM($B$62:$B114)</f>
        <v>0.412963218062515</v>
      </c>
      <c r="D114" s="3" t="s">
        <v>1</v>
      </c>
      <c r="E114" s="7" t="s">
        <v>1</v>
      </c>
      <c r="F114" s="7" t="s">
        <v>1</v>
      </c>
      <c r="G114" s="7" t="s">
        <v>1</v>
      </c>
    </row>
    <row r="115" ht="16.5" spans="1:7">
      <c r="A115" s="3">
        <v>54</v>
      </c>
      <c r="B115" s="9">
        <f t="shared" si="6"/>
        <v>0.00587036781937484</v>
      </c>
      <c r="C115" s="9">
        <f>SUM($B$62:$B115)</f>
        <v>0.41883358588189</v>
      </c>
      <c r="D115" s="3" t="s">
        <v>1</v>
      </c>
      <c r="E115" s="7" t="s">
        <v>1</v>
      </c>
      <c r="F115" s="7" t="s">
        <v>1</v>
      </c>
      <c r="G115" s="7" t="s">
        <v>1</v>
      </c>
    </row>
    <row r="116" ht="16.5" spans="1:7">
      <c r="A116" s="3">
        <v>55</v>
      </c>
      <c r="B116" s="9">
        <f t="shared" si="6"/>
        <v>0.0058116641411811</v>
      </c>
      <c r="C116" s="9">
        <f>SUM($B$62:$B116)</f>
        <v>0.424645250023071</v>
      </c>
      <c r="D116" s="3" t="s">
        <v>1</v>
      </c>
      <c r="E116" s="7" t="s">
        <v>1</v>
      </c>
      <c r="F116" s="7" t="s">
        <v>1</v>
      </c>
      <c r="G116" s="7" t="s">
        <v>1</v>
      </c>
    </row>
    <row r="117" ht="16.5" spans="1:7">
      <c r="A117" s="3">
        <v>56</v>
      </c>
      <c r="B117" s="9">
        <f t="shared" si="6"/>
        <v>0.00575354749976929</v>
      </c>
      <c r="C117" s="9">
        <f>SUM($B$62:$B117)</f>
        <v>0.430398797522841</v>
      </c>
      <c r="D117" s="3" t="s">
        <v>1</v>
      </c>
      <c r="E117" s="7" t="s">
        <v>1</v>
      </c>
      <c r="F117" s="7" t="s">
        <v>1</v>
      </c>
      <c r="G117" s="7" t="s">
        <v>1</v>
      </c>
    </row>
    <row r="118" ht="16.5" spans="1:7">
      <c r="A118" s="3">
        <v>57</v>
      </c>
      <c r="B118" s="9">
        <f t="shared" si="6"/>
        <v>0.00569601202477159</v>
      </c>
      <c r="C118" s="9">
        <f>SUM($B$62:$B118)</f>
        <v>0.436094809547612</v>
      </c>
      <c r="D118" s="3" t="s">
        <v>1</v>
      </c>
      <c r="E118" s="7" t="s">
        <v>1</v>
      </c>
      <c r="F118" s="7" t="s">
        <v>1</v>
      </c>
      <c r="G118" s="7" t="s">
        <v>1</v>
      </c>
    </row>
    <row r="119" ht="16.5" spans="1:7">
      <c r="A119" s="3">
        <v>58</v>
      </c>
      <c r="B119" s="9">
        <f t="shared" si="6"/>
        <v>0.00563905190452388</v>
      </c>
      <c r="C119" s="9">
        <f>SUM($B$62:$B119)</f>
        <v>0.441733861452136</v>
      </c>
      <c r="D119" s="3" t="s">
        <v>1</v>
      </c>
      <c r="E119" s="7" t="s">
        <v>1</v>
      </c>
      <c r="F119" s="7" t="s">
        <v>1</v>
      </c>
      <c r="G119" s="7" t="s">
        <v>1</v>
      </c>
    </row>
    <row r="120" ht="16.5" spans="1:7">
      <c r="A120" s="3">
        <v>59</v>
      </c>
      <c r="B120" s="9">
        <f t="shared" si="6"/>
        <v>0.00558266138547864</v>
      </c>
      <c r="C120" s="9">
        <f>SUM($B$62:$B120)</f>
        <v>0.447316522837615</v>
      </c>
      <c r="D120" s="3" t="s">
        <v>1</v>
      </c>
      <c r="E120" s="7" t="s">
        <v>1</v>
      </c>
      <c r="F120" s="7" t="s">
        <v>1</v>
      </c>
      <c r="G120" s="7" t="s">
        <v>1</v>
      </c>
    </row>
    <row r="121" ht="16.5" spans="1:7">
      <c r="A121" s="3">
        <v>60</v>
      </c>
      <c r="B121" s="9">
        <f t="shared" si="6"/>
        <v>0.00552683477162385</v>
      </c>
      <c r="C121" s="9">
        <f>SUM($B$62:$B121)</f>
        <v>0.452843357609239</v>
      </c>
      <c r="D121" s="3" t="s">
        <v>1</v>
      </c>
      <c r="E121" s="7" t="s">
        <v>1</v>
      </c>
      <c r="F121" s="7" t="s">
        <v>1</v>
      </c>
      <c r="G121" s="7" t="s">
        <v>1</v>
      </c>
    </row>
    <row r="122" ht="16.5" spans="1:7">
      <c r="A122" s="3">
        <v>61</v>
      </c>
      <c r="B122" s="9">
        <f t="shared" si="6"/>
        <v>0.00547156642390761</v>
      </c>
      <c r="C122" s="9">
        <f>SUM($B$62:$B122)</f>
        <v>0.458314924033146</v>
      </c>
      <c r="D122" s="3" t="s">
        <v>1</v>
      </c>
      <c r="E122" s="7" t="s">
        <v>1</v>
      </c>
      <c r="F122" s="7" t="s">
        <v>1</v>
      </c>
      <c r="G122" s="7" t="s">
        <v>1</v>
      </c>
    </row>
    <row r="123" ht="16.5" spans="1:7">
      <c r="A123" s="3">
        <v>62</v>
      </c>
      <c r="B123" s="9">
        <f t="shared" si="6"/>
        <v>0.00541685075966854</v>
      </c>
      <c r="C123" s="9">
        <f>SUM($B$62:$B123)</f>
        <v>0.463731774792815</v>
      </c>
      <c r="D123" s="3" t="s">
        <v>1</v>
      </c>
      <c r="E123" s="7" t="s">
        <v>1</v>
      </c>
      <c r="F123" s="7" t="s">
        <v>1</v>
      </c>
      <c r="G123" s="7" t="s">
        <v>1</v>
      </c>
    </row>
    <row r="124" ht="16.5" spans="1:7">
      <c r="A124" s="3">
        <v>63</v>
      </c>
      <c r="B124" s="9">
        <f t="shared" si="6"/>
        <v>0.00536268225207185</v>
      </c>
      <c r="C124" s="9">
        <f>SUM($B$62:$B124)</f>
        <v>0.469094457044887</v>
      </c>
      <c r="D124" s="3" t="s">
        <v>1</v>
      </c>
      <c r="E124" s="7" t="s">
        <v>1</v>
      </c>
      <c r="F124" s="7" t="s">
        <v>1</v>
      </c>
      <c r="G124" s="7" t="s">
        <v>1</v>
      </c>
    </row>
    <row r="125" ht="16.5" spans="1:7">
      <c r="A125" s="3">
        <v>64</v>
      </c>
      <c r="B125" s="9">
        <f t="shared" si="6"/>
        <v>0.00530905542955113</v>
      </c>
      <c r="C125" s="9">
        <f>SUM($B$62:$B125)</f>
        <v>0.474403512474438</v>
      </c>
      <c r="D125" s="3" t="s">
        <v>1</v>
      </c>
      <c r="E125" s="7" t="s">
        <v>1</v>
      </c>
      <c r="F125" s="7" t="s">
        <v>1</v>
      </c>
      <c r="G125" s="7" t="s">
        <v>1</v>
      </c>
    </row>
    <row r="126" ht="16.5" spans="1:7">
      <c r="A126" s="3">
        <v>65</v>
      </c>
      <c r="B126" s="9">
        <f t="shared" ref="B126:B189" si="7">(1-1/$B$59)^($A126-1)*(1/$B$59)</f>
        <v>0.00525596487525562</v>
      </c>
      <c r="C126" s="9">
        <f>SUM($B$62:$B126)</f>
        <v>0.479659477349693</v>
      </c>
      <c r="D126" s="3" t="s">
        <v>1</v>
      </c>
      <c r="E126" s="7" t="s">
        <v>1</v>
      </c>
      <c r="F126" s="7" t="s">
        <v>1</v>
      </c>
      <c r="G126" s="7" t="s">
        <v>1</v>
      </c>
    </row>
    <row r="127" ht="16.5" spans="1:7">
      <c r="A127" s="3">
        <v>66</v>
      </c>
      <c r="B127" s="9">
        <f t="shared" si="7"/>
        <v>0.00520340522650306</v>
      </c>
      <c r="C127" s="9">
        <f>SUM($B$62:$B127)</f>
        <v>0.484862882576196</v>
      </c>
      <c r="D127" s="3" t="s">
        <v>1</v>
      </c>
      <c r="E127" s="7" t="s">
        <v>1</v>
      </c>
      <c r="F127" s="7" t="s">
        <v>1</v>
      </c>
      <c r="G127" s="7" t="s">
        <v>1</v>
      </c>
    </row>
    <row r="128" ht="16.5" spans="1:7">
      <c r="A128" s="3">
        <v>67</v>
      </c>
      <c r="B128" s="9">
        <f t="shared" si="7"/>
        <v>0.00515137117423803</v>
      </c>
      <c r="C128" s="9">
        <f>SUM($B$62:$B128)</f>
        <v>0.490014253750434</v>
      </c>
      <c r="D128" s="3" t="s">
        <v>1</v>
      </c>
      <c r="E128" s="7" t="s">
        <v>1</v>
      </c>
      <c r="F128" s="7" t="s">
        <v>1</v>
      </c>
      <c r="G128" s="7" t="s">
        <v>1</v>
      </c>
    </row>
    <row r="129" ht="16.5" spans="1:7">
      <c r="A129" s="3">
        <v>68</v>
      </c>
      <c r="B129" s="9">
        <f t="shared" si="7"/>
        <v>0.00509985746249565</v>
      </c>
      <c r="C129" s="9">
        <f>SUM($B$62:$B129)</f>
        <v>0.49511411121293</v>
      </c>
      <c r="D129" s="11" t="s">
        <v>113</v>
      </c>
      <c r="E129" s="7" t="s">
        <v>1</v>
      </c>
      <c r="F129" s="7" t="s">
        <v>1</v>
      </c>
      <c r="G129" s="7" t="s">
        <v>1</v>
      </c>
    </row>
    <row r="130" ht="16.5" spans="1:7">
      <c r="A130" s="3">
        <v>69</v>
      </c>
      <c r="B130" s="9">
        <f t="shared" si="7"/>
        <v>0.0050488588878707</v>
      </c>
      <c r="C130" s="9">
        <f>SUM($B$62:$B130)</f>
        <v>0.500162970100801</v>
      </c>
      <c r="D130" s="3" t="s">
        <v>1</v>
      </c>
      <c r="E130" s="7" t="s">
        <v>1</v>
      </c>
      <c r="F130" s="7" t="s">
        <v>1</v>
      </c>
      <c r="G130" s="7" t="s">
        <v>1</v>
      </c>
    </row>
    <row r="131" ht="16.5" spans="1:7">
      <c r="A131" s="3">
        <v>70</v>
      </c>
      <c r="B131" s="9">
        <f t="shared" si="7"/>
        <v>0.00499837029899199</v>
      </c>
      <c r="C131" s="9">
        <f>SUM($B$62:$B131)</f>
        <v>0.505161340399793</v>
      </c>
      <c r="D131" s="3" t="s">
        <v>1</v>
      </c>
      <c r="E131" s="7" t="s">
        <v>1</v>
      </c>
      <c r="F131" s="7" t="s">
        <v>1</v>
      </c>
      <c r="G131" s="7" t="s">
        <v>1</v>
      </c>
    </row>
    <row r="132" ht="16.5" spans="1:7">
      <c r="A132" s="3">
        <v>71</v>
      </c>
      <c r="B132" s="9">
        <f t="shared" si="7"/>
        <v>0.00494838659600207</v>
      </c>
      <c r="C132" s="9">
        <f>SUM($B$62:$B132)</f>
        <v>0.510109726995795</v>
      </c>
      <c r="D132" s="3" t="s">
        <v>1</v>
      </c>
      <c r="E132" s="7" t="s">
        <v>1</v>
      </c>
      <c r="F132" s="7" t="s">
        <v>1</v>
      </c>
      <c r="G132" s="7" t="s">
        <v>1</v>
      </c>
    </row>
    <row r="133" ht="16.5" spans="1:7">
      <c r="A133" s="3">
        <v>72</v>
      </c>
      <c r="B133" s="9">
        <f t="shared" si="7"/>
        <v>0.00489890273004205</v>
      </c>
      <c r="C133" s="9">
        <f>SUM($B$62:$B133)</f>
        <v>0.515008629725837</v>
      </c>
      <c r="D133" s="3" t="s">
        <v>1</v>
      </c>
      <c r="E133" s="7" t="s">
        <v>1</v>
      </c>
      <c r="F133" s="7" t="s">
        <v>1</v>
      </c>
      <c r="G133" s="7" t="s">
        <v>1</v>
      </c>
    </row>
    <row r="134" ht="16.5" spans="1:7">
      <c r="A134" s="3">
        <v>73</v>
      </c>
      <c r="B134" s="9">
        <f t="shared" si="7"/>
        <v>0.00484991370274163</v>
      </c>
      <c r="C134" s="9">
        <f>SUM($B$62:$B134)</f>
        <v>0.519858543428578</v>
      </c>
      <c r="D134" s="3" t="s">
        <v>1</v>
      </c>
      <c r="E134" s="7" t="s">
        <v>1</v>
      </c>
      <c r="F134" s="7" t="s">
        <v>1</v>
      </c>
      <c r="G134" s="7" t="s">
        <v>1</v>
      </c>
    </row>
    <row r="135" ht="16.5" spans="1:7">
      <c r="A135" s="3">
        <v>74</v>
      </c>
      <c r="B135" s="9">
        <f t="shared" si="7"/>
        <v>0.00480141456571421</v>
      </c>
      <c r="C135" s="9">
        <f>SUM($B$62:$B135)</f>
        <v>0.524659957994293</v>
      </c>
      <c r="D135" s="3" t="s">
        <v>1</v>
      </c>
      <c r="E135" s="7" t="s">
        <v>1</v>
      </c>
      <c r="F135" s="7" t="s">
        <v>1</v>
      </c>
      <c r="G135" s="7" t="s">
        <v>1</v>
      </c>
    </row>
    <row r="136" ht="16.5" spans="1:7">
      <c r="A136" s="3">
        <v>75</v>
      </c>
      <c r="B136" s="9">
        <f t="shared" si="7"/>
        <v>0.00475340042005707</v>
      </c>
      <c r="C136" s="9">
        <f>SUM($B$62:$B136)</f>
        <v>0.52941335841435</v>
      </c>
      <c r="D136" s="3" t="s">
        <v>1</v>
      </c>
      <c r="E136" s="7" t="s">
        <v>1</v>
      </c>
      <c r="F136" s="7" t="s">
        <v>1</v>
      </c>
      <c r="G136" s="7" t="s">
        <v>1</v>
      </c>
    </row>
    <row r="137" ht="16.5" spans="1:7">
      <c r="A137" s="3">
        <v>76</v>
      </c>
      <c r="B137" s="9">
        <f t="shared" si="7"/>
        <v>0.0047058664158565</v>
      </c>
      <c r="C137" s="9">
        <f>SUM($B$62:$B137)</f>
        <v>0.534119224830206</v>
      </c>
      <c r="D137" s="3" t="s">
        <v>1</v>
      </c>
      <c r="E137" s="7" t="s">
        <v>1</v>
      </c>
      <c r="F137" s="7" t="s">
        <v>1</v>
      </c>
      <c r="G137" s="7" t="s">
        <v>1</v>
      </c>
    </row>
    <row r="138" ht="16.5" spans="1:7">
      <c r="A138" s="3">
        <v>77</v>
      </c>
      <c r="B138" s="9">
        <f t="shared" si="7"/>
        <v>0.00465880775169793</v>
      </c>
      <c r="C138" s="9">
        <f>SUM($B$62:$B138)</f>
        <v>0.538778032581904</v>
      </c>
      <c r="D138" s="3" t="s">
        <v>1</v>
      </c>
      <c r="E138" s="7" t="s">
        <v>1</v>
      </c>
      <c r="F138" s="7" t="s">
        <v>1</v>
      </c>
      <c r="G138" s="7" t="s">
        <v>1</v>
      </c>
    </row>
    <row r="139" ht="16.5" spans="1:7">
      <c r="A139" s="3">
        <v>78</v>
      </c>
      <c r="B139" s="9">
        <f t="shared" si="7"/>
        <v>0.00461221967418095</v>
      </c>
      <c r="C139" s="9">
        <f>SUM($B$62:$B139)</f>
        <v>0.543390252256085</v>
      </c>
      <c r="D139" s="3" t="s">
        <v>1</v>
      </c>
      <c r="E139" s="7" t="s">
        <v>1</v>
      </c>
      <c r="F139" s="7" t="s">
        <v>1</v>
      </c>
      <c r="G139" s="7" t="s">
        <v>1</v>
      </c>
    </row>
    <row r="140" ht="16.5" spans="1:7">
      <c r="A140" s="3">
        <v>79</v>
      </c>
      <c r="B140" s="9">
        <f t="shared" si="7"/>
        <v>0.00456609747743915</v>
      </c>
      <c r="C140" s="9">
        <f>SUM($B$62:$B140)</f>
        <v>0.547956349733524</v>
      </c>
      <c r="D140" s="3" t="s">
        <v>1</v>
      </c>
      <c r="E140" s="7" t="s">
        <v>1</v>
      </c>
      <c r="F140" s="7" t="s">
        <v>1</v>
      </c>
      <c r="G140" s="7" t="s">
        <v>1</v>
      </c>
    </row>
    <row r="141" ht="16.5" spans="1:7">
      <c r="A141" s="3">
        <v>80</v>
      </c>
      <c r="B141" s="9">
        <f t="shared" si="7"/>
        <v>0.00452043650266475</v>
      </c>
      <c r="C141" s="9">
        <f>SUM($B$62:$B141)</f>
        <v>0.552476786236189</v>
      </c>
      <c r="D141" s="3" t="s">
        <v>1</v>
      </c>
      <c r="E141" s="7" t="s">
        <v>1</v>
      </c>
      <c r="F141" s="7" t="s">
        <v>1</v>
      </c>
      <c r="G141" s="7" t="s">
        <v>1</v>
      </c>
    </row>
    <row r="142" ht="16.5" spans="1:7">
      <c r="A142" s="3">
        <v>81</v>
      </c>
      <c r="B142" s="9">
        <f t="shared" si="7"/>
        <v>0.00447523213763811</v>
      </c>
      <c r="C142" s="9">
        <f>SUM($B$62:$B142)</f>
        <v>0.556952018373827</v>
      </c>
      <c r="D142" s="3" t="s">
        <v>1</v>
      </c>
      <c r="E142" s="7" t="s">
        <v>1</v>
      </c>
      <c r="F142" s="7" t="s">
        <v>1</v>
      </c>
      <c r="G142" s="7" t="s">
        <v>1</v>
      </c>
    </row>
    <row r="143" ht="16.5" spans="1:7">
      <c r="A143" s="3">
        <v>82</v>
      </c>
      <c r="B143" s="9">
        <f t="shared" si="7"/>
        <v>0.00443047981626173</v>
      </c>
      <c r="C143" s="9">
        <f>SUM($B$62:$B143)</f>
        <v>0.561382498190089</v>
      </c>
      <c r="D143" s="3" t="s">
        <v>1</v>
      </c>
      <c r="E143" s="7" t="s">
        <v>1</v>
      </c>
      <c r="F143" s="7" t="s">
        <v>1</v>
      </c>
      <c r="G143" s="7" t="s">
        <v>1</v>
      </c>
    </row>
    <row r="144" ht="16.5" spans="1:7">
      <c r="A144" s="3">
        <v>83</v>
      </c>
      <c r="B144" s="9">
        <f t="shared" si="7"/>
        <v>0.00438617501809911</v>
      </c>
      <c r="C144" s="9">
        <f>SUM($B$62:$B144)</f>
        <v>0.565768673208188</v>
      </c>
      <c r="D144" s="3" t="s">
        <v>1</v>
      </c>
      <c r="E144" s="7" t="s">
        <v>1</v>
      </c>
      <c r="F144" s="7" t="s">
        <v>1</v>
      </c>
      <c r="G144" s="7" t="s">
        <v>1</v>
      </c>
    </row>
    <row r="145" ht="16.5" spans="1:7">
      <c r="A145" s="3">
        <v>84</v>
      </c>
      <c r="B145" s="9">
        <f t="shared" si="7"/>
        <v>0.00434231326791812</v>
      </c>
      <c r="C145" s="9">
        <f>SUM($B$62:$B145)</f>
        <v>0.570110986476106</v>
      </c>
      <c r="D145" s="3" t="s">
        <v>1</v>
      </c>
      <c r="E145" s="7" t="s">
        <v>1</v>
      </c>
      <c r="F145" s="7" t="s">
        <v>1</v>
      </c>
      <c r="G145" s="7" t="s">
        <v>1</v>
      </c>
    </row>
    <row r="146" ht="16.5" spans="1:7">
      <c r="A146" s="3">
        <v>85</v>
      </c>
      <c r="B146" s="9">
        <f t="shared" si="7"/>
        <v>0.00429889013523894</v>
      </c>
      <c r="C146" s="9">
        <f>SUM($B$62:$B146)</f>
        <v>0.574409876611345</v>
      </c>
      <c r="D146" s="3" t="s">
        <v>1</v>
      </c>
      <c r="E146" s="7" t="s">
        <v>1</v>
      </c>
      <c r="F146" s="7" t="s">
        <v>1</v>
      </c>
      <c r="G146" s="7" t="s">
        <v>1</v>
      </c>
    </row>
    <row r="147" ht="16.5" spans="1:7">
      <c r="A147" s="3">
        <v>86</v>
      </c>
      <c r="B147" s="9">
        <f t="shared" si="7"/>
        <v>0.00425590123388655</v>
      </c>
      <c r="C147" s="9">
        <f>SUM($B$62:$B147)</f>
        <v>0.578665777845232</v>
      </c>
      <c r="D147" s="3" t="s">
        <v>1</v>
      </c>
      <c r="E147" s="7" t="s">
        <v>1</v>
      </c>
      <c r="F147" s="7" t="s">
        <v>1</v>
      </c>
      <c r="G147" s="7" t="s">
        <v>1</v>
      </c>
    </row>
    <row r="148" ht="16.5" spans="1:7">
      <c r="A148" s="3">
        <v>87</v>
      </c>
      <c r="B148" s="9">
        <f t="shared" si="7"/>
        <v>0.00421334222154768</v>
      </c>
      <c r="C148" s="9">
        <f>SUM($B$62:$B148)</f>
        <v>0.582879120066779</v>
      </c>
      <c r="D148" s="3" t="s">
        <v>1</v>
      </c>
      <c r="E148" s="7" t="s">
        <v>1</v>
      </c>
      <c r="F148" s="7" t="s">
        <v>1</v>
      </c>
      <c r="G148" s="7" t="s">
        <v>1</v>
      </c>
    </row>
    <row r="149" ht="16.5" spans="1:7">
      <c r="A149" s="3">
        <v>88</v>
      </c>
      <c r="B149" s="9">
        <f t="shared" si="7"/>
        <v>0.0041712087993322</v>
      </c>
      <c r="C149" s="9">
        <f>SUM($B$62:$B149)</f>
        <v>0.587050328866112</v>
      </c>
      <c r="D149" s="3" t="s">
        <v>1</v>
      </c>
      <c r="E149" s="7" t="s">
        <v>1</v>
      </c>
      <c r="F149" s="7" t="s">
        <v>1</v>
      </c>
      <c r="G149" s="7" t="s">
        <v>1</v>
      </c>
    </row>
    <row r="150" ht="16.5" spans="1:7">
      <c r="A150" s="3">
        <v>89</v>
      </c>
      <c r="B150" s="9">
        <f t="shared" si="7"/>
        <v>0.00412949671133888</v>
      </c>
      <c r="C150" s="9">
        <f>SUM($B$62:$B150)</f>
        <v>0.59117982557745</v>
      </c>
      <c r="D150" s="3" t="s">
        <v>1</v>
      </c>
      <c r="E150" s="7" t="s">
        <v>1</v>
      </c>
      <c r="F150" s="7" t="s">
        <v>1</v>
      </c>
      <c r="G150" s="7" t="s">
        <v>1</v>
      </c>
    </row>
    <row r="151" ht="16.5" spans="1:7">
      <c r="A151" s="3">
        <v>90</v>
      </c>
      <c r="B151" s="9">
        <f t="shared" si="7"/>
        <v>0.00408820174422549</v>
      </c>
      <c r="C151" s="9">
        <f>SUM($B$62:$B151)</f>
        <v>0.595268027321676</v>
      </c>
      <c r="D151" s="3" t="s">
        <v>1</v>
      </c>
      <c r="E151" s="7" t="s">
        <v>1</v>
      </c>
      <c r="F151" s="7" t="s">
        <v>1</v>
      </c>
      <c r="G151" s="7" t="s">
        <v>1</v>
      </c>
    </row>
    <row r="152" ht="16.5" spans="1:7">
      <c r="A152" s="3">
        <v>91</v>
      </c>
      <c r="B152" s="9">
        <f t="shared" si="7"/>
        <v>0.00404731972678324</v>
      </c>
      <c r="C152" s="9">
        <f>SUM($B$62:$B152)</f>
        <v>0.599315347048459</v>
      </c>
      <c r="D152" s="3" t="s">
        <v>1</v>
      </c>
      <c r="E152" s="7" t="s">
        <v>1</v>
      </c>
      <c r="F152" s="7" t="s">
        <v>1</v>
      </c>
      <c r="G152" s="7" t="s">
        <v>1</v>
      </c>
    </row>
    <row r="153" ht="16.5" spans="1:7">
      <c r="A153" s="3">
        <v>92</v>
      </c>
      <c r="B153" s="9">
        <f t="shared" si="7"/>
        <v>0.00400684652951541</v>
      </c>
      <c r="C153" s="9">
        <f>SUM($B$62:$B153)</f>
        <v>0.603322193577975</v>
      </c>
      <c r="D153" s="3" t="s">
        <v>1</v>
      </c>
      <c r="E153" s="7" t="s">
        <v>1</v>
      </c>
      <c r="F153" s="7" t="s">
        <v>1</v>
      </c>
      <c r="G153" s="7" t="s">
        <v>1</v>
      </c>
    </row>
    <row r="154" ht="16.5" spans="1:7">
      <c r="A154" s="3">
        <v>93</v>
      </c>
      <c r="B154" s="9">
        <f t="shared" si="7"/>
        <v>0.00396677806422025</v>
      </c>
      <c r="C154" s="9">
        <f>SUM($B$62:$B154)</f>
        <v>0.607288971642195</v>
      </c>
      <c r="D154" s="3" t="s">
        <v>1</v>
      </c>
      <c r="E154" s="7" t="s">
        <v>1</v>
      </c>
      <c r="F154" s="7" t="s">
        <v>1</v>
      </c>
      <c r="G154" s="7" t="s">
        <v>1</v>
      </c>
    </row>
    <row r="155" ht="16.5" spans="1:7">
      <c r="A155" s="3">
        <v>94</v>
      </c>
      <c r="B155" s="9">
        <f t="shared" si="7"/>
        <v>0.00392711028357805</v>
      </c>
      <c r="C155" s="9">
        <f>SUM($B$62:$B155)</f>
        <v>0.611216081925773</v>
      </c>
      <c r="D155" s="3" t="s">
        <v>1</v>
      </c>
      <c r="E155" s="7" t="s">
        <v>1</v>
      </c>
      <c r="F155" s="7" t="s">
        <v>1</v>
      </c>
      <c r="G155" s="7" t="s">
        <v>1</v>
      </c>
    </row>
    <row r="156" ht="16.5" spans="1:7">
      <c r="A156" s="3">
        <v>95</v>
      </c>
      <c r="B156" s="9">
        <f t="shared" si="7"/>
        <v>0.00388783918074227</v>
      </c>
      <c r="C156" s="9">
        <f>SUM($B$62:$B156)</f>
        <v>0.615103921106515</v>
      </c>
      <c r="D156" s="3" t="s">
        <v>1</v>
      </c>
      <c r="E156" s="7" t="s">
        <v>1</v>
      </c>
      <c r="F156" s="7" t="s">
        <v>1</v>
      </c>
      <c r="G156" s="7" t="s">
        <v>1</v>
      </c>
    </row>
    <row r="157" ht="16.5" spans="1:7">
      <c r="A157" s="3">
        <v>96</v>
      </c>
      <c r="B157" s="9">
        <f t="shared" si="7"/>
        <v>0.00384896078893485</v>
      </c>
      <c r="C157" s="9">
        <f>SUM($B$62:$B157)</f>
        <v>0.61895288189545</v>
      </c>
      <c r="D157" s="3" t="s">
        <v>1</v>
      </c>
      <c r="E157" s="7" t="s">
        <v>1</v>
      </c>
      <c r="F157" s="7" t="s">
        <v>1</v>
      </c>
      <c r="G157" s="7" t="s">
        <v>1</v>
      </c>
    </row>
    <row r="158" ht="16.5" spans="1:7">
      <c r="A158" s="3">
        <v>97</v>
      </c>
      <c r="B158" s="9">
        <f t="shared" si="7"/>
        <v>0.0038104711810455</v>
      </c>
      <c r="C158" s="9">
        <f>SUM($B$62:$B158)</f>
        <v>0.622763353076496</v>
      </c>
      <c r="D158" s="3" t="s">
        <v>1</v>
      </c>
      <c r="E158" s="7" t="s">
        <v>1</v>
      </c>
      <c r="F158" s="7" t="s">
        <v>1</v>
      </c>
      <c r="G158" s="7" t="s">
        <v>1</v>
      </c>
    </row>
    <row r="159" ht="16.5" spans="1:7">
      <c r="A159" s="3">
        <v>98</v>
      </c>
      <c r="B159" s="9">
        <f t="shared" si="7"/>
        <v>0.00377236646923504</v>
      </c>
      <c r="C159" s="9">
        <f>SUM($B$62:$B159)</f>
        <v>0.626535719545731</v>
      </c>
      <c r="D159" s="3" t="s">
        <v>1</v>
      </c>
      <c r="E159" s="7" t="s">
        <v>1</v>
      </c>
      <c r="F159" s="7" t="s">
        <v>1</v>
      </c>
      <c r="G159" s="7" t="s">
        <v>1</v>
      </c>
    </row>
    <row r="160" ht="16.5" spans="1:7">
      <c r="A160" s="3">
        <v>99</v>
      </c>
      <c r="B160" s="9">
        <f t="shared" si="7"/>
        <v>0.00373464280454269</v>
      </c>
      <c r="C160" s="9">
        <f>SUM($B$62:$B160)</f>
        <v>0.630270362350273</v>
      </c>
      <c r="D160" s="3" t="s">
        <v>1</v>
      </c>
      <c r="E160" s="7" t="s">
        <v>1</v>
      </c>
      <c r="F160" s="7" t="s">
        <v>1</v>
      </c>
      <c r="G160" s="7" t="s">
        <v>1</v>
      </c>
    </row>
    <row r="161" ht="16.5" spans="1:7">
      <c r="A161" s="3">
        <v>100</v>
      </c>
      <c r="B161" s="9">
        <f t="shared" si="7"/>
        <v>0.00369729637649726</v>
      </c>
      <c r="C161" s="9">
        <f>SUM($B$62:$B161)</f>
        <v>0.633967658726771</v>
      </c>
      <c r="D161" s="11" t="s">
        <v>114</v>
      </c>
      <c r="E161" s="7" t="s">
        <v>1</v>
      </c>
      <c r="F161" s="7" t="s">
        <v>1</v>
      </c>
      <c r="G161" s="7" t="s">
        <v>1</v>
      </c>
    </row>
    <row r="162" ht="16.5" spans="1:7">
      <c r="A162" s="3">
        <v>101</v>
      </c>
      <c r="B162" s="9">
        <f t="shared" si="7"/>
        <v>0.00366032341273229</v>
      </c>
      <c r="C162" s="9">
        <f>SUM($B$62:$B162)</f>
        <v>0.637627982139503</v>
      </c>
      <c r="D162" s="3" t="s">
        <v>1</v>
      </c>
      <c r="E162" s="7" t="s">
        <v>1</v>
      </c>
      <c r="F162" s="7" t="s">
        <v>1</v>
      </c>
      <c r="G162" s="7" t="s">
        <v>1</v>
      </c>
    </row>
    <row r="163" ht="16.5" spans="1:7">
      <c r="A163" s="3">
        <v>102</v>
      </c>
      <c r="B163" s="9">
        <f t="shared" si="7"/>
        <v>0.00362372017860497</v>
      </c>
      <c r="C163" s="9">
        <f>SUM($B$62:$B163)</f>
        <v>0.641251702318108</v>
      </c>
      <c r="D163" s="3" t="s">
        <v>1</v>
      </c>
      <c r="E163" s="7" t="s">
        <v>1</v>
      </c>
      <c r="F163" s="7" t="s">
        <v>1</v>
      </c>
      <c r="G163" s="7" t="s">
        <v>1</v>
      </c>
    </row>
    <row r="164" ht="16.5" spans="1:7">
      <c r="A164" s="3">
        <v>103</v>
      </c>
      <c r="B164" s="9">
        <f t="shared" si="7"/>
        <v>0.00358748297681892</v>
      </c>
      <c r="C164" s="9">
        <f>SUM($B$62:$B164)</f>
        <v>0.644839185294927</v>
      </c>
      <c r="D164" s="3" t="s">
        <v>1</v>
      </c>
      <c r="E164" s="7" t="s">
        <v>1</v>
      </c>
      <c r="F164" s="7" t="s">
        <v>1</v>
      </c>
      <c r="G164" s="7" t="s">
        <v>1</v>
      </c>
    </row>
    <row r="165" ht="16.5" spans="1:7">
      <c r="A165" s="3">
        <v>104</v>
      </c>
      <c r="B165" s="9">
        <f t="shared" si="7"/>
        <v>0.00355160814705073</v>
      </c>
      <c r="C165" s="9">
        <f>SUM($B$62:$B165)</f>
        <v>0.648390793441977</v>
      </c>
      <c r="D165" s="3" t="s">
        <v>1</v>
      </c>
      <c r="E165" s="7" t="s">
        <v>1</v>
      </c>
      <c r="F165" s="7" t="s">
        <v>1</v>
      </c>
      <c r="G165" s="7" t="s">
        <v>1</v>
      </c>
    </row>
    <row r="166" ht="16.5" spans="1:7">
      <c r="A166" s="3">
        <v>105</v>
      </c>
      <c r="B166" s="9">
        <f t="shared" si="7"/>
        <v>0.00351609206558022</v>
      </c>
      <c r="C166" s="9">
        <f>SUM($B$62:$B166)</f>
        <v>0.651906885507558</v>
      </c>
      <c r="D166" s="3" t="s">
        <v>1</v>
      </c>
      <c r="E166" s="7" t="s">
        <v>1</v>
      </c>
      <c r="F166" s="7" t="s">
        <v>1</v>
      </c>
      <c r="G166" s="7" t="s">
        <v>1</v>
      </c>
    </row>
    <row r="167" ht="16.5" spans="1:7">
      <c r="A167" s="3">
        <v>106</v>
      </c>
      <c r="B167" s="9">
        <f t="shared" si="7"/>
        <v>0.00348093114492442</v>
      </c>
      <c r="C167" s="9">
        <f>SUM($B$62:$B167)</f>
        <v>0.655387816652482</v>
      </c>
      <c r="D167" s="3" t="s">
        <v>1</v>
      </c>
      <c r="E167" s="7" t="s">
        <v>1</v>
      </c>
      <c r="F167" s="7" t="s">
        <v>1</v>
      </c>
      <c r="G167" s="7" t="s">
        <v>1</v>
      </c>
    </row>
    <row r="168" ht="16.5" spans="1:7">
      <c r="A168" s="3">
        <v>107</v>
      </c>
      <c r="B168" s="9">
        <f t="shared" si="7"/>
        <v>0.00344612183347518</v>
      </c>
      <c r="C168" s="9">
        <f>SUM($B$62:$B168)</f>
        <v>0.658833938485957</v>
      </c>
      <c r="D168" s="3" t="s">
        <v>1</v>
      </c>
      <c r="E168" s="7" t="s">
        <v>1</v>
      </c>
      <c r="F168" s="7" t="s">
        <v>1</v>
      </c>
      <c r="G168" s="7" t="s">
        <v>1</v>
      </c>
    </row>
    <row r="169" ht="16.5" spans="1:7">
      <c r="A169" s="3">
        <v>108</v>
      </c>
      <c r="B169" s="9">
        <f t="shared" si="7"/>
        <v>0.00341166061514042</v>
      </c>
      <c r="C169" s="9">
        <f>SUM($B$62:$B169)</f>
        <v>0.662245599101098</v>
      </c>
      <c r="D169" s="3" t="s">
        <v>1</v>
      </c>
      <c r="E169" s="7" t="s">
        <v>1</v>
      </c>
      <c r="F169" s="7" t="s">
        <v>1</v>
      </c>
      <c r="G169" s="7" t="s">
        <v>1</v>
      </c>
    </row>
    <row r="170" ht="16.5" spans="1:7">
      <c r="A170" s="3">
        <v>109</v>
      </c>
      <c r="B170" s="9">
        <f t="shared" si="7"/>
        <v>0.00337754400898902</v>
      </c>
      <c r="C170" s="9">
        <f>SUM($B$62:$B170)</f>
        <v>0.665623143110087</v>
      </c>
      <c r="D170" s="3" t="s">
        <v>1</v>
      </c>
      <c r="E170" s="7" t="s">
        <v>1</v>
      </c>
      <c r="F170" s="7" t="s">
        <v>1</v>
      </c>
      <c r="G170" s="7" t="s">
        <v>1</v>
      </c>
    </row>
    <row r="171" ht="16.5" spans="1:7">
      <c r="A171" s="3">
        <v>110</v>
      </c>
      <c r="B171" s="9">
        <f t="shared" si="7"/>
        <v>0.00334376856889913</v>
      </c>
      <c r="C171" s="9">
        <f>SUM($B$62:$B171)</f>
        <v>0.668966911678986</v>
      </c>
      <c r="D171" s="3" t="s">
        <v>1</v>
      </c>
      <c r="E171" s="7" t="s">
        <v>1</v>
      </c>
      <c r="F171" s="7" t="s">
        <v>1</v>
      </c>
      <c r="G171" s="7" t="s">
        <v>1</v>
      </c>
    </row>
    <row r="172" ht="16.5" spans="1:7">
      <c r="A172" s="3">
        <v>111</v>
      </c>
      <c r="B172" s="9">
        <f t="shared" si="7"/>
        <v>0.00331033088321014</v>
      </c>
      <c r="C172" s="9">
        <f>SUM($B$62:$B172)</f>
        <v>0.672277242562196</v>
      </c>
      <c r="D172" s="3" t="s">
        <v>1</v>
      </c>
      <c r="E172" s="7" t="s">
        <v>1</v>
      </c>
      <c r="F172" s="7" t="s">
        <v>1</v>
      </c>
      <c r="G172" s="7" t="s">
        <v>1</v>
      </c>
    </row>
    <row r="173" ht="16.5" spans="1:7">
      <c r="A173" s="3">
        <v>112</v>
      </c>
      <c r="B173" s="9">
        <f t="shared" si="7"/>
        <v>0.00327722757437804</v>
      </c>
      <c r="C173" s="9">
        <f>SUM($B$62:$B173)</f>
        <v>0.675554470136574</v>
      </c>
      <c r="D173" s="3" t="s">
        <v>1</v>
      </c>
      <c r="E173" s="7" t="s">
        <v>1</v>
      </c>
      <c r="F173" s="7" t="s">
        <v>1</v>
      </c>
      <c r="G173" s="7" t="s">
        <v>1</v>
      </c>
    </row>
    <row r="174" ht="16.5" spans="1:7">
      <c r="A174" s="3">
        <v>113</v>
      </c>
      <c r="B174" s="9">
        <f t="shared" si="7"/>
        <v>0.00324445529863426</v>
      </c>
      <c r="C174" s="9">
        <f>SUM($B$62:$B174)</f>
        <v>0.678798925435208</v>
      </c>
      <c r="D174" s="3" t="s">
        <v>1</v>
      </c>
      <c r="E174" s="7" t="s">
        <v>1</v>
      </c>
      <c r="F174" s="7" t="s">
        <v>1</v>
      </c>
      <c r="G174" s="7" t="s">
        <v>1</v>
      </c>
    </row>
    <row r="175" ht="16.5" spans="1:7">
      <c r="A175" s="3">
        <v>114</v>
      </c>
      <c r="B175" s="9">
        <f t="shared" si="7"/>
        <v>0.00321201074564791</v>
      </c>
      <c r="C175" s="9">
        <f>SUM($B$62:$B175)</f>
        <v>0.682010936180856</v>
      </c>
      <c r="D175" s="3" t="s">
        <v>1</v>
      </c>
      <c r="E175" s="7" t="s">
        <v>1</v>
      </c>
      <c r="F175" s="7" t="s">
        <v>1</v>
      </c>
      <c r="G175" s="7" t="s">
        <v>1</v>
      </c>
    </row>
    <row r="176" ht="16.5" spans="1:7">
      <c r="A176" s="3">
        <v>115</v>
      </c>
      <c r="B176" s="9">
        <f t="shared" si="7"/>
        <v>0.00317989063819143</v>
      </c>
      <c r="C176" s="9">
        <f>SUM($B$62:$B176)</f>
        <v>0.685190826819048</v>
      </c>
      <c r="D176" s="3" t="s">
        <v>1</v>
      </c>
      <c r="E176" s="7" t="s">
        <v>1</v>
      </c>
      <c r="F176" s="7" t="s">
        <v>1</v>
      </c>
      <c r="G176" s="7" t="s">
        <v>1</v>
      </c>
    </row>
    <row r="177" ht="16.5" spans="1:7">
      <c r="A177" s="3">
        <v>116</v>
      </c>
      <c r="B177" s="9">
        <f t="shared" si="7"/>
        <v>0.00314809173180952</v>
      </c>
      <c r="C177" s="9">
        <f>SUM($B$62:$B177)</f>
        <v>0.688338918550857</v>
      </c>
      <c r="D177" s="3" t="s">
        <v>1</v>
      </c>
      <c r="E177" s="7" t="s">
        <v>1</v>
      </c>
      <c r="F177" s="7" t="s">
        <v>1</v>
      </c>
      <c r="G177" s="7" t="s">
        <v>1</v>
      </c>
    </row>
    <row r="178" ht="16.5" spans="1:7">
      <c r="A178" s="3">
        <v>117</v>
      </c>
      <c r="B178" s="9">
        <f t="shared" si="7"/>
        <v>0.00311661081449142</v>
      </c>
      <c r="C178" s="9">
        <f>SUM($B$62:$B178)</f>
        <v>0.691455529365349</v>
      </c>
      <c r="D178" s="3" t="s">
        <v>1</v>
      </c>
      <c r="E178" s="7" t="s">
        <v>1</v>
      </c>
      <c r="F178" s="7" t="s">
        <v>1</v>
      </c>
      <c r="G178" s="7" t="s">
        <v>1</v>
      </c>
    </row>
    <row r="179" ht="16.5" spans="1:7">
      <c r="A179" s="3">
        <v>118</v>
      </c>
      <c r="B179" s="9">
        <f t="shared" si="7"/>
        <v>0.00308544470634651</v>
      </c>
      <c r="C179" s="9">
        <f>SUM($B$62:$B179)</f>
        <v>0.694540974071695</v>
      </c>
      <c r="D179" s="3" t="s">
        <v>1</v>
      </c>
      <c r="E179" s="7" t="s">
        <v>1</v>
      </c>
      <c r="F179" s="7" t="s">
        <v>1</v>
      </c>
      <c r="G179" s="7" t="s">
        <v>1</v>
      </c>
    </row>
    <row r="180" ht="16.5" spans="1:7">
      <c r="A180" s="3">
        <v>119</v>
      </c>
      <c r="B180" s="9">
        <f t="shared" si="7"/>
        <v>0.00305459025928305</v>
      </c>
      <c r="C180" s="9">
        <f>SUM($B$62:$B180)</f>
        <v>0.697595564330978</v>
      </c>
      <c r="D180" s="3" t="s">
        <v>1</v>
      </c>
      <c r="E180" s="7" t="s">
        <v>1</v>
      </c>
      <c r="F180" s="7" t="s">
        <v>1</v>
      </c>
      <c r="G180" s="7" t="s">
        <v>1</v>
      </c>
    </row>
    <row r="181" ht="16.5" spans="1:7">
      <c r="A181" s="3">
        <v>120</v>
      </c>
      <c r="B181" s="9">
        <f t="shared" si="7"/>
        <v>0.00302404435669022</v>
      </c>
      <c r="C181" s="9">
        <f>SUM($B$62:$B181)</f>
        <v>0.700619608687668</v>
      </c>
      <c r="D181" s="3" t="s">
        <v>1</v>
      </c>
      <c r="E181" s="7" t="s">
        <v>1</v>
      </c>
      <c r="F181" s="7" t="s">
        <v>1</v>
      </c>
      <c r="G181" s="7" t="s">
        <v>1</v>
      </c>
    </row>
    <row r="182" ht="16.5" spans="1:7">
      <c r="A182" s="3">
        <v>121</v>
      </c>
      <c r="B182" s="9">
        <f t="shared" si="7"/>
        <v>0.00299380391312331</v>
      </c>
      <c r="C182" s="9">
        <f>SUM($B$62:$B182)</f>
        <v>0.703613412600792</v>
      </c>
      <c r="D182" s="3" t="s">
        <v>1</v>
      </c>
      <c r="E182" s="7" t="s">
        <v>1</v>
      </c>
      <c r="F182" s="7" t="s">
        <v>1</v>
      </c>
      <c r="G182" s="7" t="s">
        <v>1</v>
      </c>
    </row>
    <row r="183" ht="16.5" spans="1:7">
      <c r="A183" s="3">
        <v>122</v>
      </c>
      <c r="B183" s="9">
        <f t="shared" si="7"/>
        <v>0.00296386587399208</v>
      </c>
      <c r="C183" s="9">
        <f>SUM($B$62:$B183)</f>
        <v>0.706577278474784</v>
      </c>
      <c r="D183" s="3" t="s">
        <v>1</v>
      </c>
      <c r="E183" s="7" t="s">
        <v>1</v>
      </c>
      <c r="F183" s="7" t="s">
        <v>1</v>
      </c>
      <c r="G183" s="7" t="s">
        <v>1</v>
      </c>
    </row>
    <row r="184" ht="16.5" spans="1:7">
      <c r="A184" s="3">
        <v>123</v>
      </c>
      <c r="B184" s="9">
        <f t="shared" si="7"/>
        <v>0.00293422721525216</v>
      </c>
      <c r="C184" s="9">
        <f>SUM($B$62:$B184)</f>
        <v>0.709511505690036</v>
      </c>
      <c r="D184" s="3" t="s">
        <v>1</v>
      </c>
      <c r="E184" s="7" t="s">
        <v>1</v>
      </c>
      <c r="F184" s="7" t="s">
        <v>1</v>
      </c>
      <c r="G184" s="7" t="s">
        <v>1</v>
      </c>
    </row>
    <row r="185" ht="16.5" spans="1:7">
      <c r="A185" s="3">
        <v>124</v>
      </c>
      <c r="B185" s="9">
        <f t="shared" si="7"/>
        <v>0.00290488494309964</v>
      </c>
      <c r="C185" s="9">
        <f>SUM($B$62:$B185)</f>
        <v>0.712416390633136</v>
      </c>
      <c r="D185" s="3" t="s">
        <v>1</v>
      </c>
      <c r="E185" s="7" t="s">
        <v>1</v>
      </c>
      <c r="F185" s="7" t="s">
        <v>1</v>
      </c>
      <c r="G185" s="7" t="s">
        <v>1</v>
      </c>
    </row>
    <row r="186" ht="16.5" spans="1:7">
      <c r="A186" s="3">
        <v>125</v>
      </c>
      <c r="B186" s="9">
        <f t="shared" si="7"/>
        <v>0.00287583609366864</v>
      </c>
      <c r="C186" s="9">
        <f>SUM($B$62:$B186)</f>
        <v>0.715292226726804</v>
      </c>
      <c r="D186" s="3" t="s">
        <v>1</v>
      </c>
      <c r="E186" s="7" t="s">
        <v>1</v>
      </c>
      <c r="F186" s="7" t="s">
        <v>1</v>
      </c>
      <c r="G186" s="7" t="s">
        <v>1</v>
      </c>
    </row>
    <row r="187" ht="16.5" spans="1:7">
      <c r="A187" s="3">
        <v>126</v>
      </c>
      <c r="B187" s="9">
        <f t="shared" si="7"/>
        <v>0.00284707773273195</v>
      </c>
      <c r="C187" s="9">
        <f>SUM($B$62:$B187)</f>
        <v>0.718139304459536</v>
      </c>
      <c r="D187" s="3" t="s">
        <v>1</v>
      </c>
      <c r="E187" s="7" t="s">
        <v>1</v>
      </c>
      <c r="F187" s="7" t="s">
        <v>1</v>
      </c>
      <c r="G187" s="7" t="s">
        <v>1</v>
      </c>
    </row>
    <row r="188" ht="16.5" spans="1:7">
      <c r="A188" s="3">
        <v>127</v>
      </c>
      <c r="B188" s="9">
        <f t="shared" si="7"/>
        <v>0.00281860695540464</v>
      </c>
      <c r="C188" s="9">
        <f>SUM($B$62:$B188)</f>
        <v>0.720957911414941</v>
      </c>
      <c r="D188" s="3" t="s">
        <v>1</v>
      </c>
      <c r="E188" s="7" t="s">
        <v>1</v>
      </c>
      <c r="F188" s="7" t="s">
        <v>1</v>
      </c>
      <c r="G188" s="7" t="s">
        <v>1</v>
      </c>
    </row>
    <row r="189" ht="16.5" spans="1:7">
      <c r="A189" s="3">
        <v>128</v>
      </c>
      <c r="B189" s="9">
        <f t="shared" si="7"/>
        <v>0.00279042088585059</v>
      </c>
      <c r="C189" s="9">
        <f>SUM($B$62:$B189)</f>
        <v>0.723748332300791</v>
      </c>
      <c r="D189" s="3" t="s">
        <v>1</v>
      </c>
      <c r="E189" s="7" t="s">
        <v>1</v>
      </c>
      <c r="F189" s="7" t="s">
        <v>1</v>
      </c>
      <c r="G189" s="7" t="s">
        <v>1</v>
      </c>
    </row>
    <row r="190" ht="16.5" spans="1:7">
      <c r="A190" s="3">
        <v>129</v>
      </c>
      <c r="B190" s="9">
        <f t="shared" ref="B190:B253" si="8">(1-1/$B$59)^($A190-1)*(1/$B$59)</f>
        <v>0.00276251667699208</v>
      </c>
      <c r="C190" s="9">
        <f>SUM($B$62:$B190)</f>
        <v>0.726510848977783</v>
      </c>
      <c r="D190" s="3" t="s">
        <v>1</v>
      </c>
      <c r="E190" s="7" t="s">
        <v>1</v>
      </c>
      <c r="F190" s="7" t="s">
        <v>1</v>
      </c>
      <c r="G190" s="7" t="s">
        <v>1</v>
      </c>
    </row>
    <row r="191" ht="16.5" spans="1:7">
      <c r="A191" s="3">
        <v>130</v>
      </c>
      <c r="B191" s="9">
        <f t="shared" si="8"/>
        <v>0.00273489151022216</v>
      </c>
      <c r="C191" s="9">
        <f>SUM($B$62:$B191)</f>
        <v>0.729245740488006</v>
      </c>
      <c r="D191" s="3" t="s">
        <v>1</v>
      </c>
      <c r="E191" s="7" t="s">
        <v>1</v>
      </c>
      <c r="F191" s="7" t="s">
        <v>1</v>
      </c>
      <c r="G191" s="7" t="s">
        <v>1</v>
      </c>
    </row>
    <row r="192" ht="16.5" spans="1:7">
      <c r="A192" s="3">
        <v>131</v>
      </c>
      <c r="B192" s="9">
        <f t="shared" si="8"/>
        <v>0.00270754259511994</v>
      </c>
      <c r="C192" s="9">
        <f>SUM($B$62:$B192)</f>
        <v>0.731953283083126</v>
      </c>
      <c r="D192" s="3" t="s">
        <v>1</v>
      </c>
      <c r="E192" s="7" t="s">
        <v>1</v>
      </c>
      <c r="F192" s="7" t="s">
        <v>1</v>
      </c>
      <c r="G192" s="7" t="s">
        <v>1</v>
      </c>
    </row>
    <row r="193" ht="16.5" spans="1:7">
      <c r="A193" s="3">
        <v>132</v>
      </c>
      <c r="B193" s="9">
        <f t="shared" si="8"/>
        <v>0.00268046716916874</v>
      </c>
      <c r="C193" s="9">
        <f>SUM($B$62:$B193)</f>
        <v>0.734633750252294</v>
      </c>
      <c r="D193" s="3" t="s">
        <v>1</v>
      </c>
      <c r="E193" s="7" t="s">
        <v>1</v>
      </c>
      <c r="F193" s="7" t="s">
        <v>1</v>
      </c>
      <c r="G193" s="7" t="s">
        <v>1</v>
      </c>
    </row>
    <row r="194" ht="16.5" spans="1:7">
      <c r="A194" s="3">
        <v>133</v>
      </c>
      <c r="B194" s="9">
        <f t="shared" si="8"/>
        <v>0.00265366249747705</v>
      </c>
      <c r="C194" s="9">
        <f>SUM($B$62:$B194)</f>
        <v>0.737287412749771</v>
      </c>
      <c r="D194" s="3" t="s">
        <v>1</v>
      </c>
      <c r="E194" s="7" t="s">
        <v>1</v>
      </c>
      <c r="F194" s="7" t="s">
        <v>1</v>
      </c>
      <c r="G194" s="7" t="s">
        <v>1</v>
      </c>
    </row>
    <row r="195" ht="16.5" spans="1:7">
      <c r="A195" s="3">
        <v>134</v>
      </c>
      <c r="B195" s="9">
        <f t="shared" si="8"/>
        <v>0.00262712587250228</v>
      </c>
      <c r="C195" s="9">
        <f>SUM($B$62:$B195)</f>
        <v>0.739914538622274</v>
      </c>
      <c r="D195" s="3" t="s">
        <v>1</v>
      </c>
      <c r="E195" s="7" t="s">
        <v>1</v>
      </c>
      <c r="F195" s="7" t="s">
        <v>1</v>
      </c>
      <c r="G195" s="7" t="s">
        <v>1</v>
      </c>
    </row>
    <row r="196" ht="16.5" spans="1:7">
      <c r="A196" s="3">
        <v>135</v>
      </c>
      <c r="B196" s="9">
        <f t="shared" si="8"/>
        <v>0.00260085461377726</v>
      </c>
      <c r="C196" s="9">
        <f>SUM($B$62:$B196)</f>
        <v>0.742515393236051</v>
      </c>
      <c r="D196" s="3" t="s">
        <v>1</v>
      </c>
      <c r="E196" s="7" t="s">
        <v>1</v>
      </c>
      <c r="F196" s="7" t="s">
        <v>1</v>
      </c>
      <c r="G196" s="7" t="s">
        <v>1</v>
      </c>
    </row>
    <row r="197" ht="16.5" spans="1:7">
      <c r="A197" s="3">
        <v>136</v>
      </c>
      <c r="B197" s="9">
        <f t="shared" si="8"/>
        <v>0.00257484606763949</v>
      </c>
      <c r="C197" s="9">
        <f>SUM($B$62:$B197)</f>
        <v>0.74509023930369</v>
      </c>
      <c r="D197" s="3" t="s">
        <v>1</v>
      </c>
      <c r="E197" s="7" t="s">
        <v>1</v>
      </c>
      <c r="F197" s="7" t="s">
        <v>1</v>
      </c>
      <c r="G197" s="7" t="s">
        <v>1</v>
      </c>
    </row>
    <row r="198" ht="16.5" spans="1:7">
      <c r="A198" s="3">
        <v>137</v>
      </c>
      <c r="B198" s="9">
        <f t="shared" si="8"/>
        <v>0.00254909760696309</v>
      </c>
      <c r="C198" s="9">
        <f>SUM($B$62:$B198)</f>
        <v>0.747639336910653</v>
      </c>
      <c r="D198" s="3" t="s">
        <v>1</v>
      </c>
      <c r="E198" s="7" t="s">
        <v>1</v>
      </c>
      <c r="F198" s="7" t="s">
        <v>1</v>
      </c>
      <c r="G198" s="7" t="s">
        <v>1</v>
      </c>
    </row>
    <row r="199" ht="16.5" spans="1:7">
      <c r="A199" s="3">
        <v>138</v>
      </c>
      <c r="B199" s="9">
        <f t="shared" si="8"/>
        <v>0.00252360663089346</v>
      </c>
      <c r="C199" s="9">
        <f>SUM($B$62:$B199)</f>
        <v>0.750162943541547</v>
      </c>
      <c r="D199" s="3" t="s">
        <v>1</v>
      </c>
      <c r="E199" s="7" t="s">
        <v>1</v>
      </c>
      <c r="F199" s="7" t="s">
        <v>1</v>
      </c>
      <c r="G199" s="7" t="s">
        <v>1</v>
      </c>
    </row>
    <row r="200" ht="16.5" spans="1:7">
      <c r="A200" s="3">
        <v>139</v>
      </c>
      <c r="B200" s="9">
        <f t="shared" si="8"/>
        <v>0.00249837056458453</v>
      </c>
      <c r="C200" s="9">
        <f>SUM($B$62:$B200)</f>
        <v>0.752661314106131</v>
      </c>
      <c r="D200" s="3" t="s">
        <v>1</v>
      </c>
      <c r="E200" s="7" t="s">
        <v>1</v>
      </c>
      <c r="F200" s="7" t="s">
        <v>1</v>
      </c>
      <c r="G200" s="7" t="s">
        <v>1</v>
      </c>
    </row>
    <row r="201" ht="16.5" spans="1:7">
      <c r="A201" s="3">
        <v>140</v>
      </c>
      <c r="B201" s="9">
        <f t="shared" si="8"/>
        <v>0.00247338685893868</v>
      </c>
      <c r="C201" s="9">
        <f>SUM($B$62:$B201)</f>
        <v>0.75513470096507</v>
      </c>
      <c r="D201" s="3" t="s">
        <v>1</v>
      </c>
      <c r="E201" s="7" t="s">
        <v>1</v>
      </c>
      <c r="F201" s="7" t="s">
        <v>1</v>
      </c>
      <c r="G201" s="7" t="s">
        <v>1</v>
      </c>
    </row>
    <row r="202" ht="16.5" spans="1:7">
      <c r="A202" s="3">
        <v>141</v>
      </c>
      <c r="B202" s="9">
        <f t="shared" si="8"/>
        <v>0.00244865299034929</v>
      </c>
      <c r="C202" s="9">
        <f>SUM($B$62:$B202)</f>
        <v>0.757583353955419</v>
      </c>
      <c r="D202" s="3" t="s">
        <v>1</v>
      </c>
      <c r="E202" s="7" t="s">
        <v>1</v>
      </c>
      <c r="F202" s="7" t="s">
        <v>1</v>
      </c>
      <c r="G202" s="7" t="s">
        <v>1</v>
      </c>
    </row>
    <row r="203" ht="16.5" spans="1:7">
      <c r="A203" s="3">
        <v>142</v>
      </c>
      <c r="B203" s="9">
        <f t="shared" si="8"/>
        <v>0.0024241664604458</v>
      </c>
      <c r="C203" s="9">
        <f>SUM($B$62:$B203)</f>
        <v>0.760007520415865</v>
      </c>
      <c r="D203" s="3" t="s">
        <v>1</v>
      </c>
      <c r="E203" s="7" t="s">
        <v>1</v>
      </c>
      <c r="F203" s="7" t="s">
        <v>1</v>
      </c>
      <c r="G203" s="7" t="s">
        <v>1</v>
      </c>
    </row>
    <row r="204" ht="16.5" spans="1:7">
      <c r="A204" s="3">
        <v>143</v>
      </c>
      <c r="B204" s="9">
        <f t="shared" si="8"/>
        <v>0.00239992479584134</v>
      </c>
      <c r="C204" s="9">
        <f>SUM($B$62:$B204)</f>
        <v>0.762407445211707</v>
      </c>
      <c r="D204" s="3" t="s">
        <v>1</v>
      </c>
      <c r="E204" s="7" t="s">
        <v>1</v>
      </c>
      <c r="F204" s="7" t="s">
        <v>1</v>
      </c>
      <c r="G204" s="7" t="s">
        <v>1</v>
      </c>
    </row>
    <row r="205" ht="16.5" spans="1:7">
      <c r="A205" s="3">
        <v>144</v>
      </c>
      <c r="B205" s="9">
        <f t="shared" si="8"/>
        <v>0.00237592554788293</v>
      </c>
      <c r="C205" s="9">
        <f>SUM($B$62:$B205)</f>
        <v>0.764783370759589</v>
      </c>
      <c r="D205" s="3" t="s">
        <v>1</v>
      </c>
      <c r="E205" s="7" t="s">
        <v>1</v>
      </c>
      <c r="F205" s="7" t="s">
        <v>1</v>
      </c>
      <c r="G205" s="7" t="s">
        <v>1</v>
      </c>
    </row>
    <row r="206" ht="16.5" spans="1:7">
      <c r="A206" s="3">
        <v>145</v>
      </c>
      <c r="B206" s="9">
        <f t="shared" si="8"/>
        <v>0.0023521662924041</v>
      </c>
      <c r="C206" s="9">
        <f>SUM($B$62:$B206)</f>
        <v>0.767135537051994</v>
      </c>
      <c r="D206" s="3" t="s">
        <v>1</v>
      </c>
      <c r="E206" s="7" t="s">
        <v>1</v>
      </c>
      <c r="F206" s="7" t="s">
        <v>1</v>
      </c>
      <c r="G206" s="7" t="s">
        <v>1</v>
      </c>
    </row>
    <row r="207" ht="16.5" spans="1:7">
      <c r="A207" s="3">
        <v>146</v>
      </c>
      <c r="B207" s="9">
        <f t="shared" si="8"/>
        <v>0.00232864462948006</v>
      </c>
      <c r="C207" s="9">
        <f>SUM($B$62:$B207)</f>
        <v>0.769464181681474</v>
      </c>
      <c r="D207" s="3" t="s">
        <v>1</v>
      </c>
      <c r="E207" s="7" t="s">
        <v>1</v>
      </c>
      <c r="F207" s="7" t="s">
        <v>1</v>
      </c>
      <c r="G207" s="7" t="s">
        <v>1</v>
      </c>
    </row>
    <row r="208" ht="16.5" spans="1:7">
      <c r="A208" s="3">
        <v>147</v>
      </c>
      <c r="B208" s="9">
        <f t="shared" si="8"/>
        <v>0.00230535818318526</v>
      </c>
      <c r="C208" s="9">
        <f>SUM($B$62:$B208)</f>
        <v>0.771769539864659</v>
      </c>
      <c r="D208" s="3" t="s">
        <v>1</v>
      </c>
      <c r="E208" s="7" t="s">
        <v>1</v>
      </c>
      <c r="F208" s="7" t="s">
        <v>1</v>
      </c>
      <c r="G208" s="7" t="s">
        <v>1</v>
      </c>
    </row>
    <row r="209" ht="16.5" spans="1:7">
      <c r="A209" s="3">
        <v>148</v>
      </c>
      <c r="B209" s="9">
        <f t="shared" si="8"/>
        <v>0.00228230460135341</v>
      </c>
      <c r="C209" s="9">
        <f>SUM($B$62:$B209)</f>
        <v>0.774051844466012</v>
      </c>
      <c r="D209" s="3" t="s">
        <v>1</v>
      </c>
      <c r="E209" s="7" t="s">
        <v>1</v>
      </c>
      <c r="F209" s="7" t="s">
        <v>1</v>
      </c>
      <c r="G209" s="7" t="s">
        <v>1</v>
      </c>
    </row>
    <row r="210" ht="16.5" spans="1:7">
      <c r="A210" s="3">
        <v>149</v>
      </c>
      <c r="B210" s="9">
        <f t="shared" si="8"/>
        <v>0.00225948155533987</v>
      </c>
      <c r="C210" s="9">
        <f>SUM($B$62:$B210)</f>
        <v>0.776311326021352</v>
      </c>
      <c r="D210" s="3" t="s">
        <v>1</v>
      </c>
      <c r="E210" s="7" t="s">
        <v>1</v>
      </c>
      <c r="F210" s="7" t="s">
        <v>1</v>
      </c>
      <c r="G210" s="7" t="s">
        <v>1</v>
      </c>
    </row>
    <row r="211" ht="16.5" spans="1:7">
      <c r="A211" s="3">
        <v>150</v>
      </c>
      <c r="B211" s="9">
        <f t="shared" si="8"/>
        <v>0.00223688673978647</v>
      </c>
      <c r="C211" s="9">
        <f>SUM($B$62:$B211)</f>
        <v>0.778548212761139</v>
      </c>
      <c r="D211" s="3" t="s">
        <v>1</v>
      </c>
      <c r="E211" s="7" t="s">
        <v>1</v>
      </c>
      <c r="F211" s="7" t="s">
        <v>1</v>
      </c>
      <c r="G211" s="7" t="s">
        <v>1</v>
      </c>
    </row>
    <row r="212" ht="16.5" spans="1:7">
      <c r="A212" s="3">
        <v>151</v>
      </c>
      <c r="B212" s="9">
        <f t="shared" si="8"/>
        <v>0.00221451787238861</v>
      </c>
      <c r="C212" s="9">
        <f>SUM($B$62:$B212)</f>
        <v>0.780762730633527</v>
      </c>
      <c r="D212" s="3" t="s">
        <v>1</v>
      </c>
      <c r="E212" s="7" t="s">
        <v>1</v>
      </c>
      <c r="F212" s="7" t="s">
        <v>1</v>
      </c>
      <c r="G212" s="7" t="s">
        <v>1</v>
      </c>
    </row>
    <row r="213" ht="16.5" spans="1:7">
      <c r="A213" s="3">
        <v>152</v>
      </c>
      <c r="B213" s="9">
        <f t="shared" si="8"/>
        <v>0.00219237269366472</v>
      </c>
      <c r="C213" s="9">
        <f>SUM($B$62:$B213)</f>
        <v>0.782955103327192</v>
      </c>
      <c r="D213" s="3" t="s">
        <v>1</v>
      </c>
      <c r="E213" s="7" t="s">
        <v>1</v>
      </c>
      <c r="F213" s="7" t="s">
        <v>1</v>
      </c>
      <c r="G213" s="7" t="s">
        <v>1</v>
      </c>
    </row>
    <row r="214" ht="16.5" spans="1:7">
      <c r="A214" s="3">
        <v>153</v>
      </c>
      <c r="B214" s="9">
        <f t="shared" si="8"/>
        <v>0.00217044896672808</v>
      </c>
      <c r="C214" s="9">
        <f>SUM($B$62:$B214)</f>
        <v>0.78512555229392</v>
      </c>
      <c r="D214" s="3" t="s">
        <v>1</v>
      </c>
      <c r="E214" s="7" t="s">
        <v>1</v>
      </c>
      <c r="F214" s="7" t="s">
        <v>1</v>
      </c>
      <c r="G214" s="7" t="s">
        <v>1</v>
      </c>
    </row>
    <row r="215" ht="16.5" spans="1:7">
      <c r="A215" s="3">
        <v>154</v>
      </c>
      <c r="B215" s="9">
        <f t="shared" si="8"/>
        <v>0.0021487444770608</v>
      </c>
      <c r="C215" s="9">
        <f>SUM($B$62:$B215)</f>
        <v>0.787274296770981</v>
      </c>
      <c r="D215" s="3" t="s">
        <v>1</v>
      </c>
      <c r="E215" s="7" t="s">
        <v>1</v>
      </c>
      <c r="F215" s="7" t="s">
        <v>1</v>
      </c>
      <c r="G215" s="7" t="s">
        <v>1</v>
      </c>
    </row>
    <row r="216" ht="16.5" spans="1:7">
      <c r="A216" s="3">
        <v>155</v>
      </c>
      <c r="B216" s="9">
        <f t="shared" si="8"/>
        <v>0.00212725703229019</v>
      </c>
      <c r="C216" s="9">
        <f>SUM($B$62:$B216)</f>
        <v>0.789401553803271</v>
      </c>
      <c r="D216" s="3" t="s">
        <v>1</v>
      </c>
      <c r="E216" s="7" t="s">
        <v>1</v>
      </c>
      <c r="F216" s="7" t="s">
        <v>1</v>
      </c>
      <c r="G216" s="7" t="s">
        <v>1</v>
      </c>
    </row>
    <row r="217" ht="16.5" spans="1:7">
      <c r="A217" s="3">
        <v>156</v>
      </c>
      <c r="B217" s="9">
        <f t="shared" si="8"/>
        <v>0.00210598446196729</v>
      </c>
      <c r="C217" s="9">
        <f>SUM($B$62:$B217)</f>
        <v>0.791507538265238</v>
      </c>
      <c r="D217" s="3" t="s">
        <v>1</v>
      </c>
      <c r="E217" s="7" t="s">
        <v>1</v>
      </c>
      <c r="F217" s="7" t="s">
        <v>1</v>
      </c>
      <c r="G217" s="7" t="s">
        <v>1</v>
      </c>
    </row>
    <row r="218" ht="16.5" spans="1:7">
      <c r="A218" s="3">
        <v>157</v>
      </c>
      <c r="B218" s="9">
        <f t="shared" si="8"/>
        <v>0.00208492461734761</v>
      </c>
      <c r="C218" s="9">
        <f>SUM($B$62:$B218)</f>
        <v>0.793592462882586</v>
      </c>
      <c r="D218" s="3" t="s">
        <v>1</v>
      </c>
      <c r="E218" s="7" t="s">
        <v>1</v>
      </c>
      <c r="F218" s="7" t="s">
        <v>1</v>
      </c>
      <c r="G218" s="7" t="s">
        <v>1</v>
      </c>
    </row>
    <row r="219" ht="16.5" spans="1:7">
      <c r="A219" s="3">
        <v>158</v>
      </c>
      <c r="B219" s="9">
        <f t="shared" si="8"/>
        <v>0.00206407537117414</v>
      </c>
      <c r="C219" s="9">
        <f>SUM($B$62:$B219)</f>
        <v>0.79565653825376</v>
      </c>
      <c r="D219" s="3" t="s">
        <v>1</v>
      </c>
      <c r="E219" s="7" t="s">
        <v>1</v>
      </c>
      <c r="F219" s="7" t="s">
        <v>1</v>
      </c>
      <c r="G219" s="7" t="s">
        <v>1</v>
      </c>
    </row>
    <row r="220" ht="16.5" spans="1:7">
      <c r="A220" s="3">
        <v>159</v>
      </c>
      <c r="B220" s="9">
        <f t="shared" si="8"/>
        <v>0.00204343461746239</v>
      </c>
      <c r="C220" s="9">
        <f>SUM($B$62:$B220)</f>
        <v>0.797699972871222</v>
      </c>
      <c r="D220" s="3" t="s">
        <v>1</v>
      </c>
      <c r="E220" s="7" t="s">
        <v>1</v>
      </c>
      <c r="F220" s="7" t="s">
        <v>1</v>
      </c>
      <c r="G220" s="7" t="s">
        <v>1</v>
      </c>
    </row>
    <row r="221" ht="16.5" spans="1:7">
      <c r="A221" s="3">
        <v>160</v>
      </c>
      <c r="B221" s="9">
        <f t="shared" si="8"/>
        <v>0.00202300027128777</v>
      </c>
      <c r="C221" s="9">
        <f>SUM($B$62:$B221)</f>
        <v>0.79972297314251</v>
      </c>
      <c r="D221" s="3" t="s">
        <v>1</v>
      </c>
      <c r="E221" s="7" t="s">
        <v>1</v>
      </c>
      <c r="F221" s="7" t="s">
        <v>1</v>
      </c>
      <c r="G221" s="7" t="s">
        <v>1</v>
      </c>
    </row>
    <row r="222" ht="16.5" spans="1:7">
      <c r="A222" s="3">
        <v>161</v>
      </c>
      <c r="B222" s="9">
        <f t="shared" si="8"/>
        <v>0.00200277026857489</v>
      </c>
      <c r="C222" s="9">
        <f>SUM($B$62:$B222)</f>
        <v>0.801725743411085</v>
      </c>
      <c r="D222" s="3" t="s">
        <v>1</v>
      </c>
      <c r="E222" s="7" t="s">
        <v>1</v>
      </c>
      <c r="F222" s="7" t="s">
        <v>1</v>
      </c>
      <c r="G222" s="7" t="s">
        <v>1</v>
      </c>
    </row>
    <row r="223" ht="16.5" spans="1:7">
      <c r="A223" s="3">
        <v>162</v>
      </c>
      <c r="B223" s="9">
        <f t="shared" si="8"/>
        <v>0.00198274256588914</v>
      </c>
      <c r="C223" s="9">
        <f>SUM($B$62:$B223)</f>
        <v>0.803708485976974</v>
      </c>
      <c r="D223" s="3" t="s">
        <v>1</v>
      </c>
      <c r="E223" s="7" t="s">
        <v>1</v>
      </c>
      <c r="F223" s="7" t="s">
        <v>1</v>
      </c>
      <c r="G223" s="7" t="s">
        <v>1</v>
      </c>
    </row>
    <row r="224" ht="16.5" spans="1:7">
      <c r="A224" s="3">
        <v>163</v>
      </c>
      <c r="B224" s="9">
        <f t="shared" si="8"/>
        <v>0.00196291514023025</v>
      </c>
      <c r="C224" s="9">
        <f>SUM($B$62:$B224)</f>
        <v>0.805671401117204</v>
      </c>
      <c r="D224" s="3" t="s">
        <v>1</v>
      </c>
      <c r="E224" s="7" t="s">
        <v>1</v>
      </c>
      <c r="F224" s="7" t="s">
        <v>1</v>
      </c>
      <c r="G224" s="7" t="s">
        <v>1</v>
      </c>
    </row>
    <row r="225" ht="16.5" spans="1:7">
      <c r="A225" s="3">
        <v>164</v>
      </c>
      <c r="B225" s="9">
        <f t="shared" si="8"/>
        <v>0.00194328598882795</v>
      </c>
      <c r="C225" s="9">
        <f>SUM($B$62:$B225)</f>
        <v>0.807614687106032</v>
      </c>
      <c r="D225" s="3" t="s">
        <v>1</v>
      </c>
      <c r="E225" s="7" t="s">
        <v>1</v>
      </c>
      <c r="F225" s="7" t="s">
        <v>1</v>
      </c>
      <c r="G225" s="7" t="s">
        <v>1</v>
      </c>
    </row>
    <row r="226" ht="16.5" spans="1:7">
      <c r="A226" s="3">
        <v>165</v>
      </c>
      <c r="B226" s="9">
        <f t="shared" si="8"/>
        <v>0.00192385312893967</v>
      </c>
      <c r="C226" s="9">
        <f>SUM($B$62:$B226)</f>
        <v>0.809538540234972</v>
      </c>
      <c r="D226" s="3" t="s">
        <v>1</v>
      </c>
      <c r="E226" s="7" t="s">
        <v>1</v>
      </c>
      <c r="F226" s="7" t="s">
        <v>1</v>
      </c>
      <c r="G226" s="7" t="s">
        <v>1</v>
      </c>
    </row>
    <row r="227" ht="16.5" spans="1:7">
      <c r="A227" s="3">
        <v>166</v>
      </c>
      <c r="B227" s="9">
        <f t="shared" si="8"/>
        <v>0.00190461459765027</v>
      </c>
      <c r="C227" s="9">
        <f>SUM($B$62:$B227)</f>
        <v>0.811443154832622</v>
      </c>
      <c r="D227" s="3" t="s">
        <v>1</v>
      </c>
      <c r="E227" s="7" t="s">
        <v>1</v>
      </c>
      <c r="F227" s="7" t="s">
        <v>1</v>
      </c>
      <c r="G227" s="7" t="s">
        <v>1</v>
      </c>
    </row>
    <row r="228" ht="16.5" spans="1:7">
      <c r="A228" s="3">
        <v>167</v>
      </c>
      <c r="B228" s="9">
        <f t="shared" si="8"/>
        <v>0.00188556845167377</v>
      </c>
      <c r="C228" s="9">
        <f>SUM($B$62:$B228)</f>
        <v>0.813328723284296</v>
      </c>
      <c r="D228" s="3" t="s">
        <v>1</v>
      </c>
      <c r="E228" s="7" t="s">
        <v>1</v>
      </c>
      <c r="F228" s="7" t="s">
        <v>1</v>
      </c>
      <c r="G228" s="7" t="s">
        <v>1</v>
      </c>
    </row>
    <row r="229" ht="16.5" spans="1:7">
      <c r="A229" s="3">
        <v>168</v>
      </c>
      <c r="B229" s="9">
        <f t="shared" si="8"/>
        <v>0.00186671276715703</v>
      </c>
      <c r="C229" s="9">
        <f>SUM($B$62:$B229)</f>
        <v>0.815195436051453</v>
      </c>
      <c r="D229" s="3" t="s">
        <v>1</v>
      </c>
      <c r="E229" s="7" t="s">
        <v>1</v>
      </c>
      <c r="F229" s="7" t="s">
        <v>1</v>
      </c>
      <c r="G229" s="7" t="s">
        <v>1</v>
      </c>
    </row>
    <row r="230" ht="16.5" spans="1:7">
      <c r="A230" s="3">
        <v>169</v>
      </c>
      <c r="B230" s="9">
        <f t="shared" si="8"/>
        <v>0.00184804563948546</v>
      </c>
      <c r="C230" s="9">
        <f>SUM($B$62:$B230)</f>
        <v>0.817043481690939</v>
      </c>
      <c r="D230" s="3" t="s">
        <v>1</v>
      </c>
      <c r="E230" s="7" t="s">
        <v>1</v>
      </c>
      <c r="F230" s="7" t="s">
        <v>1</v>
      </c>
      <c r="G230" s="7" t="s">
        <v>1</v>
      </c>
    </row>
    <row r="231" ht="16.5" spans="1:7">
      <c r="A231" s="3">
        <v>170</v>
      </c>
      <c r="B231" s="9">
        <f t="shared" si="8"/>
        <v>0.00182956518309061</v>
      </c>
      <c r="C231" s="9">
        <f>SUM($B$62:$B231)</f>
        <v>0.818873046874029</v>
      </c>
      <c r="D231" s="3" t="s">
        <v>1</v>
      </c>
      <c r="E231" s="7" t="s">
        <v>1</v>
      </c>
      <c r="F231" s="7" t="s">
        <v>1</v>
      </c>
      <c r="G231" s="7" t="s">
        <v>1</v>
      </c>
    </row>
    <row r="232" ht="16.5" spans="1:7">
      <c r="A232" s="3">
        <v>171</v>
      </c>
      <c r="B232" s="9">
        <f t="shared" si="8"/>
        <v>0.0018112695312597</v>
      </c>
      <c r="C232" s="9">
        <f>SUM($B$62:$B232)</f>
        <v>0.820684316405289</v>
      </c>
      <c r="D232" s="3" t="s">
        <v>1</v>
      </c>
      <c r="E232" s="7" t="s">
        <v>1</v>
      </c>
      <c r="F232" s="7" t="s">
        <v>1</v>
      </c>
      <c r="G232" s="7" t="s">
        <v>1</v>
      </c>
    </row>
    <row r="233" ht="16.5" spans="1:7">
      <c r="A233" s="3">
        <v>172</v>
      </c>
      <c r="B233" s="9">
        <f t="shared" si="8"/>
        <v>0.00179315683594711</v>
      </c>
      <c r="C233" s="9">
        <f>SUM($B$62:$B233)</f>
        <v>0.822477473241236</v>
      </c>
      <c r="D233" s="3" t="s">
        <v>1</v>
      </c>
      <c r="E233" s="7" t="s">
        <v>1</v>
      </c>
      <c r="F233" s="7" t="s">
        <v>1</v>
      </c>
      <c r="G233" s="7" t="s">
        <v>1</v>
      </c>
    </row>
    <row r="234" ht="16.5" spans="1:7">
      <c r="A234" s="3">
        <v>173</v>
      </c>
      <c r="B234" s="9">
        <f t="shared" si="8"/>
        <v>0.00177522526758763</v>
      </c>
      <c r="C234" s="9">
        <f>SUM($B$62:$B234)</f>
        <v>0.824252698508824</v>
      </c>
      <c r="D234" s="3" t="s">
        <v>1</v>
      </c>
      <c r="E234" s="7" t="s">
        <v>1</v>
      </c>
      <c r="F234" s="7" t="s">
        <v>1</v>
      </c>
      <c r="G234" s="7" t="s">
        <v>1</v>
      </c>
    </row>
    <row r="235" ht="16.5" spans="1:7">
      <c r="A235" s="3">
        <v>174</v>
      </c>
      <c r="B235" s="9">
        <f t="shared" si="8"/>
        <v>0.00175747301491176</v>
      </c>
      <c r="C235" s="9">
        <f>SUM($B$62:$B235)</f>
        <v>0.826010171523735</v>
      </c>
      <c r="D235" s="3" t="s">
        <v>1</v>
      </c>
      <c r="E235" s="7" t="s">
        <v>1</v>
      </c>
      <c r="F235" s="7" t="s">
        <v>1</v>
      </c>
      <c r="G235" s="7" t="s">
        <v>1</v>
      </c>
    </row>
    <row r="236" ht="16.5" spans="1:7">
      <c r="A236" s="3">
        <v>175</v>
      </c>
      <c r="B236" s="9">
        <f t="shared" si="8"/>
        <v>0.00173989828476264</v>
      </c>
      <c r="C236" s="9">
        <f>SUM($B$62:$B236)</f>
        <v>0.827750069808498</v>
      </c>
      <c r="D236" s="3" t="s">
        <v>1</v>
      </c>
      <c r="E236" s="7" t="s">
        <v>1</v>
      </c>
      <c r="F236" s="7" t="s">
        <v>1</v>
      </c>
      <c r="G236" s="7" t="s">
        <v>1</v>
      </c>
    </row>
    <row r="237" ht="16.5" spans="1:7">
      <c r="A237" s="3">
        <v>176</v>
      </c>
      <c r="B237" s="9">
        <f t="shared" si="8"/>
        <v>0.00172249930191501</v>
      </c>
      <c r="C237" s="9">
        <f>SUM($B$62:$B237)</f>
        <v>0.829472569110413</v>
      </c>
      <c r="D237" s="3" t="s">
        <v>1</v>
      </c>
      <c r="E237" s="7" t="s">
        <v>1</v>
      </c>
      <c r="F237" s="7" t="s">
        <v>1</v>
      </c>
      <c r="G237" s="7" t="s">
        <v>1</v>
      </c>
    </row>
    <row r="238" ht="16.5" spans="1:7">
      <c r="A238" s="3">
        <v>177</v>
      </c>
      <c r="B238" s="9">
        <f t="shared" si="8"/>
        <v>0.00170527430889586</v>
      </c>
      <c r="C238" s="9">
        <f>SUM($B$62:$B238)</f>
        <v>0.831177843419309</v>
      </c>
      <c r="D238" s="3" t="s">
        <v>1</v>
      </c>
      <c r="E238" s="7" t="s">
        <v>1</v>
      </c>
      <c r="F238" s="7" t="s">
        <v>1</v>
      </c>
      <c r="G238" s="7" t="s">
        <v>1</v>
      </c>
    </row>
    <row r="239" ht="16.5" spans="1:7">
      <c r="A239" s="3">
        <v>178</v>
      </c>
      <c r="B239" s="9">
        <f t="shared" si="8"/>
        <v>0.0016882215658069</v>
      </c>
      <c r="C239" s="9">
        <f>SUM($B$62:$B239)</f>
        <v>0.832866064985116</v>
      </c>
      <c r="D239" s="3" t="s">
        <v>1</v>
      </c>
      <c r="E239" s="7" t="s">
        <v>1</v>
      </c>
      <c r="F239" s="7" t="s">
        <v>1</v>
      </c>
      <c r="G239" s="7" t="s">
        <v>1</v>
      </c>
    </row>
    <row r="240" ht="16.5" spans="1:7">
      <c r="A240" s="3">
        <v>179</v>
      </c>
      <c r="B240" s="9">
        <f t="shared" si="8"/>
        <v>0.00167133935014884</v>
      </c>
      <c r="C240" s="9">
        <f>SUM($B$62:$B240)</f>
        <v>0.834537404335265</v>
      </c>
      <c r="D240" s="3" t="s">
        <v>1</v>
      </c>
      <c r="E240" s="7" t="s">
        <v>1</v>
      </c>
      <c r="F240" s="7" t="s">
        <v>1</v>
      </c>
      <c r="G240" s="7" t="s">
        <v>1</v>
      </c>
    </row>
    <row r="241" ht="16.5" spans="1:7">
      <c r="A241" s="3">
        <v>180</v>
      </c>
      <c r="B241" s="9">
        <f t="shared" si="8"/>
        <v>0.00165462595664735</v>
      </c>
      <c r="C241" s="9">
        <f>SUM($B$62:$B241)</f>
        <v>0.836192030291912</v>
      </c>
      <c r="D241" s="3" t="s">
        <v>1</v>
      </c>
      <c r="E241" s="7" t="s">
        <v>1</v>
      </c>
      <c r="F241" s="7" t="s">
        <v>1</v>
      </c>
      <c r="G241" s="7" t="s">
        <v>1</v>
      </c>
    </row>
    <row r="242" ht="16.5" spans="1:7">
      <c r="A242" s="3">
        <v>181</v>
      </c>
      <c r="B242" s="9">
        <f t="shared" si="8"/>
        <v>0.00163807969708087</v>
      </c>
      <c r="C242" s="9">
        <f>SUM($B$62:$B242)</f>
        <v>0.837830109988993</v>
      </c>
      <c r="D242" s="3" t="s">
        <v>1</v>
      </c>
      <c r="E242" s="7" t="s">
        <v>1</v>
      </c>
      <c r="F242" s="7" t="s">
        <v>1</v>
      </c>
      <c r="G242" s="7" t="s">
        <v>1</v>
      </c>
    </row>
    <row r="243" ht="16.5" spans="1:7">
      <c r="A243" s="3">
        <v>182</v>
      </c>
      <c r="B243" s="9">
        <f t="shared" si="8"/>
        <v>0.00162169890011007</v>
      </c>
      <c r="C243" s="9">
        <f>SUM($B$62:$B243)</f>
        <v>0.839451808889103</v>
      </c>
      <c r="D243" s="3" t="s">
        <v>1</v>
      </c>
      <c r="E243" s="7" t="s">
        <v>1</v>
      </c>
      <c r="F243" s="7" t="s">
        <v>1</v>
      </c>
      <c r="G243" s="7" t="s">
        <v>1</v>
      </c>
    </row>
    <row r="244" ht="16.5" spans="1:7">
      <c r="A244" s="3">
        <v>183</v>
      </c>
      <c r="B244" s="9">
        <f t="shared" si="8"/>
        <v>0.00160548191110896</v>
      </c>
      <c r="C244" s="9">
        <f>SUM($B$62:$B244)</f>
        <v>0.841057290800212</v>
      </c>
      <c r="D244" s="3" t="s">
        <v>1</v>
      </c>
      <c r="E244" s="7" t="s">
        <v>1</v>
      </c>
      <c r="F244" s="7" t="s">
        <v>1</v>
      </c>
      <c r="G244" s="7" t="s">
        <v>1</v>
      </c>
    </row>
    <row r="245" ht="16.5" spans="1:7">
      <c r="A245" s="3">
        <v>184</v>
      </c>
      <c r="B245" s="9">
        <f t="shared" si="8"/>
        <v>0.00158942709199788</v>
      </c>
      <c r="C245" s="9">
        <f>SUM($B$62:$B245)</f>
        <v>0.84264671789221</v>
      </c>
      <c r="D245" s="3" t="s">
        <v>1</v>
      </c>
      <c r="E245" s="7" t="s">
        <v>1</v>
      </c>
      <c r="F245" s="7" t="s">
        <v>1</v>
      </c>
      <c r="G245" s="7" t="s">
        <v>1</v>
      </c>
    </row>
    <row r="246" ht="16.5" spans="1:7">
      <c r="A246" s="3">
        <v>185</v>
      </c>
      <c r="B246" s="9">
        <f t="shared" si="8"/>
        <v>0.0015735328210779</v>
      </c>
      <c r="C246" s="9">
        <f>SUM($B$62:$B246)</f>
        <v>0.844220250713288</v>
      </c>
      <c r="D246" s="3" t="s">
        <v>1</v>
      </c>
      <c r="E246" s="7" t="s">
        <v>1</v>
      </c>
      <c r="F246" s="7" t="s">
        <v>1</v>
      </c>
      <c r="G246" s="7" t="s">
        <v>1</v>
      </c>
    </row>
    <row r="247" ht="16.5" spans="1:7">
      <c r="A247" s="3">
        <v>186</v>
      </c>
      <c r="B247" s="9">
        <f t="shared" si="8"/>
        <v>0.00155779749286712</v>
      </c>
      <c r="C247" s="9">
        <f>SUM($B$62:$B247)</f>
        <v>0.845778048206155</v>
      </c>
      <c r="D247" s="3" t="s">
        <v>1</v>
      </c>
      <c r="E247" s="7" t="s">
        <v>1</v>
      </c>
      <c r="F247" s="7" t="s">
        <v>1</v>
      </c>
      <c r="G247" s="7" t="s">
        <v>1</v>
      </c>
    </row>
    <row r="248" ht="16.5" spans="1:7">
      <c r="A248" s="3">
        <v>187</v>
      </c>
      <c r="B248" s="9">
        <f t="shared" si="8"/>
        <v>0.00154221951793845</v>
      </c>
      <c r="C248" s="9">
        <f>SUM($B$62:$B248)</f>
        <v>0.847320267724093</v>
      </c>
      <c r="D248" s="3" t="s">
        <v>1</v>
      </c>
      <c r="E248" s="7" t="s">
        <v>1</v>
      </c>
      <c r="F248" s="7" t="s">
        <v>1</v>
      </c>
      <c r="G248" s="7" t="s">
        <v>1</v>
      </c>
    </row>
    <row r="249" ht="16.5" spans="1:7">
      <c r="A249" s="3">
        <v>188</v>
      </c>
      <c r="B249" s="9">
        <f t="shared" si="8"/>
        <v>0.00152679732275906</v>
      </c>
      <c r="C249" s="9">
        <f>SUM($B$62:$B249)</f>
        <v>0.848847065046852</v>
      </c>
      <c r="D249" s="3" t="s">
        <v>1</v>
      </c>
      <c r="E249" s="7" t="s">
        <v>1</v>
      </c>
      <c r="F249" s="7" t="s">
        <v>1</v>
      </c>
      <c r="G249" s="7" t="s">
        <v>1</v>
      </c>
    </row>
    <row r="250" ht="16.5" spans="1:7">
      <c r="A250" s="3">
        <v>189</v>
      </c>
      <c r="B250" s="9">
        <f t="shared" si="8"/>
        <v>0.00151152934953147</v>
      </c>
      <c r="C250" s="9">
        <f>SUM($B$62:$B250)</f>
        <v>0.850358594396384</v>
      </c>
      <c r="D250" s="3" t="s">
        <v>1</v>
      </c>
      <c r="E250" s="7" t="s">
        <v>1</v>
      </c>
      <c r="F250" s="7" t="s">
        <v>1</v>
      </c>
      <c r="G250" s="7" t="s">
        <v>1</v>
      </c>
    </row>
    <row r="251" ht="16.5" spans="1:7">
      <c r="A251" s="3">
        <v>190</v>
      </c>
      <c r="B251" s="9">
        <f t="shared" si="8"/>
        <v>0.00149641405603616</v>
      </c>
      <c r="C251" s="9">
        <f>SUM($B$62:$B251)</f>
        <v>0.85185500845242</v>
      </c>
      <c r="D251" s="3" t="s">
        <v>1</v>
      </c>
      <c r="E251" s="7" t="s">
        <v>1</v>
      </c>
      <c r="F251" s="7" t="s">
        <v>1</v>
      </c>
      <c r="G251" s="7" t="s">
        <v>1</v>
      </c>
    </row>
    <row r="252" ht="16.5" spans="1:7">
      <c r="A252" s="3">
        <v>191</v>
      </c>
      <c r="B252" s="9">
        <f t="shared" si="8"/>
        <v>0.00148144991547579</v>
      </c>
      <c r="C252" s="9">
        <f>SUM($B$62:$B252)</f>
        <v>0.853336458367896</v>
      </c>
      <c r="D252" s="3" t="s">
        <v>1</v>
      </c>
      <c r="E252" s="7" t="s">
        <v>1</v>
      </c>
      <c r="F252" s="7" t="s">
        <v>1</v>
      </c>
      <c r="G252" s="7" t="s">
        <v>1</v>
      </c>
    </row>
    <row r="253" ht="16.5" spans="1:7">
      <c r="A253" s="3">
        <v>192</v>
      </c>
      <c r="B253" s="9">
        <f t="shared" si="8"/>
        <v>0.00146663541632104</v>
      </c>
      <c r="C253" s="9">
        <f>SUM($B$62:$B253)</f>
        <v>0.854803093784217</v>
      </c>
      <c r="D253" s="3" t="s">
        <v>1</v>
      </c>
      <c r="E253" s="7" t="s">
        <v>1</v>
      </c>
      <c r="F253" s="7" t="s">
        <v>1</v>
      </c>
      <c r="G253" s="7" t="s">
        <v>1</v>
      </c>
    </row>
    <row r="254" ht="16.5" spans="1:7">
      <c r="A254" s="3">
        <v>193</v>
      </c>
      <c r="B254" s="9">
        <f t="shared" ref="B254:B261" si="9">(1-1/$B$59)^($A254-1)*(1/$B$59)</f>
        <v>0.00145196906215783</v>
      </c>
      <c r="C254" s="9">
        <f>SUM($B$62:$B254)</f>
        <v>0.856255062846375</v>
      </c>
      <c r="D254" s="3" t="s">
        <v>1</v>
      </c>
      <c r="E254" s="7" t="s">
        <v>1</v>
      </c>
      <c r="F254" s="7" t="s">
        <v>1</v>
      </c>
      <c r="G254" s="7" t="s">
        <v>1</v>
      </c>
    </row>
    <row r="255" ht="16.5" spans="1:7">
      <c r="A255" s="3">
        <v>194</v>
      </c>
      <c r="B255" s="9">
        <f t="shared" si="9"/>
        <v>0.00143744937153625</v>
      </c>
      <c r="C255" s="9">
        <f>SUM($B$62:$B255)</f>
        <v>0.857692512217911</v>
      </c>
      <c r="D255" s="3" t="s">
        <v>1</v>
      </c>
      <c r="E255" s="7" t="s">
        <v>1</v>
      </c>
      <c r="F255" s="7" t="s">
        <v>1</v>
      </c>
      <c r="G255" s="7" t="s">
        <v>1</v>
      </c>
    </row>
    <row r="256" ht="16.5" spans="1:7">
      <c r="A256" s="3">
        <v>195</v>
      </c>
      <c r="B256" s="9">
        <f t="shared" si="9"/>
        <v>0.00142307487782089</v>
      </c>
      <c r="C256" s="9">
        <f>SUM($B$62:$B256)</f>
        <v>0.859115587095732</v>
      </c>
      <c r="D256" s="3" t="s">
        <v>1</v>
      </c>
      <c r="E256" s="7" t="s">
        <v>1</v>
      </c>
      <c r="F256" s="7" t="s">
        <v>1</v>
      </c>
      <c r="G256" s="7" t="s">
        <v>1</v>
      </c>
    </row>
    <row r="257" ht="16.5" spans="1:7">
      <c r="A257" s="3">
        <v>196</v>
      </c>
      <c r="B257" s="9">
        <f t="shared" si="9"/>
        <v>0.00140884412904268</v>
      </c>
      <c r="C257" s="9">
        <f>SUM($B$62:$B257)</f>
        <v>0.860524431224774</v>
      </c>
      <c r="D257" s="3" t="s">
        <v>1</v>
      </c>
      <c r="E257" s="7" t="s">
        <v>1</v>
      </c>
      <c r="F257" s="7" t="s">
        <v>1</v>
      </c>
      <c r="G257" s="7" t="s">
        <v>1</v>
      </c>
    </row>
    <row r="258" ht="16.5" spans="1:7">
      <c r="A258" s="3">
        <v>197</v>
      </c>
      <c r="B258" s="9">
        <f t="shared" si="9"/>
        <v>0.00139475568775225</v>
      </c>
      <c r="C258" s="9">
        <f>SUM($B$62:$B258)</f>
        <v>0.861919186912527</v>
      </c>
      <c r="D258" s="3" t="s">
        <v>1</v>
      </c>
      <c r="E258" s="7" t="s">
        <v>1</v>
      </c>
      <c r="F258" s="7" t="s">
        <v>1</v>
      </c>
      <c r="G258" s="7" t="s">
        <v>1</v>
      </c>
    </row>
    <row r="259" ht="16.5" spans="1:7">
      <c r="A259" s="3">
        <v>198</v>
      </c>
      <c r="B259" s="9">
        <f t="shared" si="9"/>
        <v>0.00138080813087473</v>
      </c>
      <c r="C259" s="9">
        <f>SUM($B$62:$B259)</f>
        <v>0.863299995043401</v>
      </c>
      <c r="D259" s="3" t="s">
        <v>1</v>
      </c>
      <c r="E259" s="7" t="s">
        <v>1</v>
      </c>
      <c r="F259" s="7" t="s">
        <v>1</v>
      </c>
      <c r="G259" s="7" t="s">
        <v>1</v>
      </c>
    </row>
    <row r="260" ht="16.5" spans="1:7">
      <c r="A260" s="3">
        <v>199</v>
      </c>
      <c r="B260" s="9">
        <f t="shared" si="9"/>
        <v>0.00136700004956598</v>
      </c>
      <c r="C260" s="9">
        <f>SUM($B$62:$B260)</f>
        <v>0.864666995092967</v>
      </c>
      <c r="D260" s="3" t="s">
        <v>1</v>
      </c>
      <c r="E260" s="7" t="s">
        <v>1</v>
      </c>
      <c r="F260" s="7" t="s">
        <v>1</v>
      </c>
      <c r="G260" s="7" t="s">
        <v>1</v>
      </c>
    </row>
    <row r="261" ht="16.5" spans="1:7">
      <c r="A261" s="3">
        <v>200</v>
      </c>
      <c r="B261" s="9">
        <f t="shared" si="9"/>
        <v>0.00135333004907032</v>
      </c>
      <c r="C261" s="9">
        <f>SUM($B$62:$B261)</f>
        <v>0.866020325142038</v>
      </c>
      <c r="D261" s="3" t="s">
        <v>1</v>
      </c>
      <c r="E261" s="7" t="s">
        <v>1</v>
      </c>
      <c r="F261" s="7" t="s">
        <v>1</v>
      </c>
      <c r="G261" s="7" t="s">
        <v>1</v>
      </c>
    </row>
  </sheetData>
  <mergeCells count="9">
    <mergeCell ref="A1:G1"/>
    <mergeCell ref="A2:D2"/>
    <mergeCell ref="A26:C26"/>
    <mergeCell ref="A27:D27"/>
    <mergeCell ref="A53:E53"/>
    <mergeCell ref="A54:E54"/>
    <mergeCell ref="A56:C56"/>
    <mergeCell ref="A57:D57"/>
    <mergeCell ref="C61:D61"/>
  </mergeCells>
  <pageMargins left="0.75" right="0.75" top="1" bottom="1" header="0.5" footer="0.5"/>
  <headerFooter/>
  <ignoredErrors>
    <ignoredError sqref="A1:L281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免费游戏触发 门槛K+首触分布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2026-09-27T17:35:00Z</dcterms:created>
  <dcterms:modified xsi:type="dcterms:W3CDTF">2026-09-29T16:07:35Z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9ED8DF7280E349F8A7A91A0831B36ADC_12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