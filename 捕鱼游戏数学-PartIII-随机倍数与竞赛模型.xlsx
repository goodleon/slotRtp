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II 随机倍数+竞赛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<sst xmlns="http://schemas.openxmlformats.org/spreadsheetml/2006/main" count="198" uniqueCount="65">
  <si>
    <t>捕鱼游戏数学 PART Ⅲ —— 随机倍数鱼与竞赛模式（复刻自 ezslotdesign.com/fishgame3/）</t>
  </si>
  <si>
    <t/>
  </si>
  <si>
    <t>用法</t>
  </si>
  <si>
    <t>1) B4:C8「随机倍数鱼」：填赔率区间下限／上限与 RTP，自动算平均赔率与击杀率（P = R ÷ 平均赔率）</t>
  </si>
  <si>
    <t>2) B12:D17「列举式档位」：默认 40 / 45 / 50 / 55 / 60（原文建议），各档击杀率与 RTP 贡献都等于 90%（可改成自己的档位）</t>
  </si>
  <si>
    <t>3) B21:C22 与 B24:G29「竞赛模式」：填注入 RTP、回合长度与各玩家本回合击发金额 → 各人奖池累积、总奖池、胜者实得奖励与实得率</t>
  </si>
  <si>
    <t>蓝字＝可改输入；其余为公式。</t>
  </si>
  <si>
    <t>建模要点</t>
  </si>
  <si>
    <t>· 随机倍数鱼：赔率不是定值而是区间（范例 [40~60]，平均 50 倍）→ 设计击杀率时直接把它当「50 倍的一般鱼种」</t>
  </si>
  <si>
    <t>· 两种实现：① 鱼死后从区间随机挑一个倍率（简单明瞭）② 出场就决定好 X，之后当赔率 X 的一般鱼处理（可配合美术：倍率越大体积做越大）</t>
  </si>
  <si>
    <t>· 区间不必全取：可取 40 / 45 / 50 / 55 / 60，画面与数字更清晰；理论上 40.0001 ~ 60.0000 也成立，关键是玩家体验</t>
  </si>
  <si>
    <t>· 竞赛模式：把鱼场切成固定回合（范例每 6 分钟），回合内「总击发金额」最高者独得奖池；括号里的竞赛项目可合理替换</t>
  </si>
  <si>
    <t>· 奖池来源＝从整体 RTP 里切出一小块（范例 0.5%）：总奖池 = Σ（各玩家击发金额 × 0.5%）</t>
  </si>
  <si>
    <t>── 原文公式与示例（照抄）──</t>
  </si>
  <si>
    <t>【随机倍数鱼】让某种鱼的赔率不是固定值，而是一个范围（例如 [40 ~ 60] 倍）→ 平均赔率仍为 50 倍。</t>
  </si>
  <si>
    <t>【公式·平均赔率】平均赔率 =（下限 + 上限）÷ 2 =（40 + 60）÷ 2 = 50</t>
  </si>
  <si>
    <t>【公式·击杀率】P = R ÷ 平均赔率 → 直接把它当作 50 倍的一般鱼种来设计击杀率</t>
  </si>
  <si>
    <t>【方法 1】鱼死亡后，倍率从 [40 ~ 60] 范围内随机挑选一个数字。该鱼的平均赔率仍为 50 倍，计算时只需把它当作 50 倍的一般鱼种。优点：简单明瞭。</t>
  </si>
  <si>
    <t>【方法 2】由企划端与 Server 端配合，在鱼出场时就决定好赔率 X（X 为 [40 ~ 60] 之中的数字）；之后把它当成赔率为 X 的一般鱼种处理。可配合美术：同种鱼按倍率大小刻意设计成不同的体积大小。</t>
  </si>
  <si>
    <t>【补充】[40 ~ 60] 的范围不一定要全取，可取 40、45、50、55、60，画面与数字会更清晰；若确定玩家眼睛够好，也可以从 40.0000、40.0001 ~ 60.0000 发放，数学上同样成立。</t>
  </si>
  <si>
    <t>【竞赛模式】将鱼场每 6 分钟设计为一回合；该回合内【总击发金额】最高的玩家获得额外奖励（括号内的竞赛项目可合理替换，选用「总击发金额」只是数学建模上较方便解释）。</t>
  </si>
  <si>
    <t>【公式·奖池】单个玩家奖池累积 = 该玩家本回合击发金额 × 0.5%；总奖池 = Σ（各玩家击发金额 × 0.5%）；奖励发放 = 总奖池 → 给予本回合击发金额最高的玩家。</t>
  </si>
  <si>
    <t>【示例·竞赛模式】预计放入竞赛模式的 RTP = 0.5%，本回合三位玩家 A~C 的击发金额如下：</t>
  </si>
  <si>
    <t>　A：击发 100 元 → 奖池累积 100 × 0.5% = 0.5 元</t>
  </si>
  <si>
    <t>　B：击发 10 元 → 奖池累积 10 × 0.5% = 0.05 元</t>
  </si>
  <si>
    <t>　C：击发 1000 元 → 奖池累积 1000 × 0.5% = 5 元</t>
  </si>
  <si>
    <t>　总奖池累积 = 0.5 + 0.05 + 5 = 5.55 元　→ C 为本回合总击发金额最高者，可获得额外 5.55 元的奖励。</t>
  </si>
  <si>
    <t>校验（原文数字）: 区间 [40~60] → 平均赔率 50 倍；竞赛模式注入 0.5%、A 击发 100 元 / B 10 元 / C 1000 元 → 奖池累积 0.5 / 0.05 / 5 → 总奖池 5.55 元，由击发金额最高的 C 独得。</t>
  </si>
  <si>
    <t>Source: ezslotdesign.com《捕魚遊戲 Part III》, https://ezslotdesign.com/fishgame3/ （原文未标发布日与作者）</t>
  </si>
  <si>
    <t>配图：原文配图（装饰性照片与游戏截图）已下载到 images/fishgame/01-image-155-opt.webp，无数据图表。</t>
  </si>
  <si>
    <t>捕鱼游戏 PART Ⅲ：随机倍数鱼 ＋ 竞赛模式奖池　（蓝字＝可改输入）</t>
  </si>
  <si>
    <t>【1】随机倍数鱼：赔率是区间而不是定值</t>
  </si>
  <si>
    <t>项目</t>
  </si>
  <si>
    <t>值</t>
  </si>
  <si>
    <t>赔率区间下限</t>
  </si>
  <si>
    <t>原文：让某种鱼的赔率是一个范围（例 [40~60]），平均 50 倍 → 设计击杀率时直接当 50 倍的一般鱼种</t>
  </si>
  <si>
    <t>赔率区间上限</t>
  </si>
  <si>
    <t>方法①（鱼死后随机挑倍率）简单明瞭；方法②（出场就定 X）可配合美术把倍率大的鱼做更大只</t>
  </si>
  <si>
    <t>平均赔率 =（下限＋上限）÷ 2</t>
  </si>
  <si>
    <t>RTP R</t>
  </si>
  <si>
    <t>击杀率 P = R ÷ 平均赔率</t>
  </si>
  <si>
    <t>【2】也可以只取固定档位（原文建议 40／45／50／55／60）</t>
  </si>
  <si>
    <t>档位赔率 Nᵢ</t>
  </si>
  <si>
    <t>击杀率 Pᵢ = R ÷ Nᵢ</t>
  </si>
  <si>
    <t>RTP 贡献 = Nᵢ × Pᵢ</t>
  </si>
  <si>
    <t>每一档的 RTP 贡献都是一样的（= R）——这就是「随机倍数鱼」不会破坏 RTP 的原因</t>
  </si>
  <si>
    <t>平均</t>
  </si>
  <si>
    <t>平均赔率 = 50 → 与【1】的算法一致</t>
  </si>
  <si>
    <t>【3】竞赛模式：每回合固定时间（范例 6 分钟），总击发金额最高者独得奖池</t>
  </si>
  <si>
    <t>注入 RTP（从整体切出）</t>
  </si>
  <si>
    <t>从整体 RTP 里切出 0.5% 当竞赛奖池（范例）；也可以切别的比例</t>
  </si>
  <si>
    <t>回合长度（分钟）</t>
  </si>
  <si>
    <t>玩家</t>
  </si>
  <si>
    <t>本回合击发金额</t>
  </si>
  <si>
    <t>奖池累积 = 金额 × 注入 RTP</t>
  </si>
  <si>
    <t>是否最高</t>
  </si>
  <si>
    <t>实得奖励</t>
  </si>
  <si>
    <t>实得率</t>
  </si>
  <si>
    <t>A</t>
  </si>
  <si>
    <t>原文：A 100 元 → 0.5；B 10 元 → 0.05；C 1000 元 → 5；总奖池 5.55 元</t>
  </si>
  <si>
    <t>B</t>
  </si>
  <si>
    <t>C</t>
  </si>
  <si>
    <t>总奖池 = Σ 奖池累积</t>
  </si>
  <si>
    <t>C 的击发金额最高 → 独得 5.55 元（实得率 0.555%）；竞赛项目可换成别的（原文说括号内可合理替换）</t>
  </si>
  <si>
    <t>验算：总奖池是否全数发出？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</si>
</sst>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2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1" fillId="3" borderId="3" xfId="0" applyFont="1" applyFill="1" applyBorder="1"/>
    <xf numFmtId="0" fontId="2" fillId="0" borderId="0" xfId="0" applyFont="1"/>
    <xf numFmtId="0" fontId="0" fillId="0" borderId="3" xfId="0" applyBorder="1"/>
    <xf numFmtId="1" fontId="3" fillId="4" borderId="3" xfId="0" applyNumberFormat="1" applyFont="1" applyFill="1" applyBorder="1"/>
    <xf numFmtId="0" fontId="2" fillId="0" borderId="0" xfId="0" applyFont="1" applyAlignment="1">
      <alignment vertical="center" wrapText="1"/>
    </xf>
    <xf numFmtId="0" fontId="0" fillId="0" borderId="3" xfId="0" applyBorder="1" applyAlignment="1">
      <alignment vertical="top" wrapText="1"/>
    </xf>
    <xf numFmtId="2" fontId="0" fillId="0" borderId="3" xfId="0" applyNumberFormat="1" applyBorder="1"/>
    <xf numFmtId="10" fontId="3" fillId="4" borderId="3" xfId="0" applyNumberFormat="1" applyFont="1" applyFill="1" applyBorder="1"/>
    <xf numFmtId="176" fontId="0" fillId="0" borderId="3" xfId="0" applyNumberFormat="1" applyBorder="1"/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center" wrapText="1"/>
    </xf>
    <xf numFmtId="0" fontId="0" fillId="0" borderId="4" xfId="0" applyBorder="1"/>
    <xf numFmtId="10" fontId="0" fillId="0" borderId="3" xfId="0" applyNumberFormat="1" applyBorder="1"/>
    <xf numFmtId="4" fontId="3" fillId="4" borderId="3" xfId="0" applyNumberFormat="1" applyFont="1" applyFill="1" applyBorder="1"/>
    <xf numFmtId="4" fontId="0" fillId="0" borderId="3" xfId="0" applyNumberFormat="1" applyBorder="1"/>
    <xf numFmtId="0" fontId="1" fillId="0" borderId="3" xfId="0" applyFont="1" applyBorder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/>
    <xf numFmtId="49" fontId="0" fillId="0" borderId="0" xfId="0" applyNumberFormat="1" applyAlignment="1">
      <alignment vertical="center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22" t="s">
        <v>0</v>
      </c>
    </row>
    <row r="2" spans="1:1">
      <c r="A2" s="23" t="s">
        <v>1</v>
      </c>
    </row>
    <row r="3" spans="1:1">
      <c r="A3" s="22" t="s">
        <v>2</v>
      </c>
    </row>
    <row r="4" spans="1:1">
      <c r="A4" s="23" t="s">
        <v>3</v>
      </c>
    </row>
    <row r="5" spans="1:1">
      <c r="A5" s="24" t="s">
        <v>4</v>
      </c>
    </row>
    <row r="6" spans="1:1">
      <c r="A6" s="24" t="s">
        <v>5</v>
      </c>
    </row>
    <row r="7" spans="1:1">
      <c r="A7" s="23" t="s">
        <v>6</v>
      </c>
    </row>
    <row r="8" spans="1:1">
      <c r="A8" s="23" t="s">
        <v>1</v>
      </c>
    </row>
    <row r="9" spans="1:1">
      <c r="A9" s="22" t="s">
        <v>7</v>
      </c>
    </row>
    <row r="10" spans="1:1">
      <c r="A10" s="23" t="s">
        <v>8</v>
      </c>
    </row>
    <row r="11" spans="1:1">
      <c r="A11" s="24" t="s">
        <v>9</v>
      </c>
    </row>
    <row r="12" spans="1:1">
      <c r="A12" s="23" t="s">
        <v>10</v>
      </c>
    </row>
    <row r="13" spans="1:1">
      <c r="A13" s="24" t="s">
        <v>11</v>
      </c>
    </row>
    <row r="14" spans="1:1">
      <c r="A14" s="23" t="s">
        <v>12</v>
      </c>
    </row>
    <row r="15" spans="1:1">
      <c r="A15" s="23" t="s">
        <v>1</v>
      </c>
    </row>
    <row r="16" spans="1:1">
      <c r="A16" s="25" t="s">
        <v>13</v>
      </c>
    </row>
    <row r="17" spans="1:1">
      <c r="A17" s="24" t="s">
        <v>14</v>
      </c>
    </row>
    <row r="18" spans="1:1">
      <c r="A18" s="24" t="s">
        <v>15</v>
      </c>
    </row>
    <row r="19" spans="1:1">
      <c r="A19" s="24" t="s">
        <v>16</v>
      </c>
    </row>
    <row r="20" spans="1:1">
      <c r="A20" s="26" t="s">
        <v>17</v>
      </c>
    </row>
    <row r="21" spans="1:1">
      <c r="A21" s="26" t="s">
        <v>18</v>
      </c>
    </row>
    <row r="22" spans="1:1">
      <c r="A22" s="26" t="s">
        <v>19</v>
      </c>
    </row>
    <row r="23" spans="1:1">
      <c r="A23" s="26" t="s">
        <v>20</v>
      </c>
    </row>
    <row r="24" spans="1:1">
      <c r="A24" s="26" t="s">
        <v>21</v>
      </c>
    </row>
    <row r="25" spans="1:1">
      <c r="A25" s="24" t="s">
        <v>22</v>
      </c>
    </row>
    <row r="26" spans="1:1">
      <c r="A26" s="23" t="s">
        <v>23</v>
      </c>
    </row>
    <row r="27" spans="1:1">
      <c r="A27" s="23" t="s">
        <v>24</v>
      </c>
    </row>
    <row r="28" spans="1:1">
      <c r="A28" s="23" t="s">
        <v>25</v>
      </c>
    </row>
    <row r="29" spans="1:1">
      <c r="A29" s="27" t="s">
        <v>26</v>
      </c>
    </row>
    <row r="30" spans="1:1">
      <c r="A30" s="23" t="s">
        <v>1</v>
      </c>
    </row>
    <row r="31" spans="1:1">
      <c r="A31" s="28" t="s">
        <v>27</v>
      </c>
    </row>
    <row r="32" spans="1:1">
      <c r="A32" s="27" t="s">
        <v>28</v>
      </c>
    </row>
    <row r="33" spans="1:1">
      <c r="A33" s="27" t="s">
        <v>29</v>
      </c>
    </row>
  </sheetData>
  <mergeCells count="14">
    <mergeCell ref="A5:C5"/>
    <mergeCell ref="A6:C6"/>
    <mergeCell ref="A11:D11"/>
    <mergeCell ref="A13:C13"/>
    <mergeCell ref="A17:C17"/>
    <mergeCell ref="A18:C18"/>
    <mergeCell ref="A19:C19"/>
    <mergeCell ref="A20:D20"/>
    <mergeCell ref="A21:I21"/>
    <mergeCell ref="A22:G22"/>
    <mergeCell ref="A23:G23"/>
    <mergeCell ref="A24:E24"/>
    <mergeCell ref="A25:C25"/>
    <mergeCell ref="A31:H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C28" sqref="C28"/>
    </sheetView>
  </sheetViews>
  <sheetFormatPr defaultColWidth="9" defaultRowHeight="14"/>
  <cols>
    <col min="1" max="1" width="3" customWidth="1"/>
    <col min="2" max="2" width="22" customWidth="1"/>
    <col min="3" max="3" width="35.6363636363636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30</v>
      </c>
    </row>
    <row r="2" spans="1:8">
      <c r="A2" s="2" t="s">
        <v>1</v>
      </c>
      <c r="B2" s="3" t="s">
        <v>31</v>
      </c>
      <c r="C2" s="4"/>
      <c r="D2" s="5"/>
      <c r="E2" s="6" t="s">
        <v>1</v>
      </c>
      <c r="F2" s="6" t="s">
        <v>1</v>
      </c>
      <c r="G2" s="6" t="s">
        <v>1</v>
      </c>
      <c r="H2" s="7" t="s">
        <v>1</v>
      </c>
    </row>
    <row r="3" spans="1:8">
      <c r="A3" s="2" t="s">
        <v>1</v>
      </c>
      <c r="B3" s="6" t="s">
        <v>32</v>
      </c>
      <c r="C3" s="6" t="s">
        <v>33</v>
      </c>
      <c r="D3" s="6" t="s">
        <v>1</v>
      </c>
      <c r="E3" s="6" t="s">
        <v>1</v>
      </c>
      <c r="F3" s="6" t="s">
        <v>1</v>
      </c>
      <c r="G3" s="6" t="s">
        <v>1</v>
      </c>
      <c r="H3" s="7" t="s">
        <v>1</v>
      </c>
    </row>
    <row r="4" spans="1:8">
      <c r="A4" s="2" t="s">
        <v>1</v>
      </c>
      <c r="B4" s="8" t="s">
        <v>34</v>
      </c>
      <c r="C4" s="9">
        <v>40</v>
      </c>
      <c r="D4" s="6" t="s">
        <v>1</v>
      </c>
      <c r="E4" s="6" t="s">
        <v>1</v>
      </c>
      <c r="F4" s="6" t="s">
        <v>1</v>
      </c>
      <c r="G4" s="6" t="s">
        <v>1</v>
      </c>
      <c r="H4" s="10" t="s">
        <v>35</v>
      </c>
    </row>
    <row r="5" spans="1:8">
      <c r="A5" s="2" t="s">
        <v>1</v>
      </c>
      <c r="B5" s="8" t="s">
        <v>36</v>
      </c>
      <c r="C5" s="9">
        <v>60</v>
      </c>
      <c r="D5" s="6" t="s">
        <v>1</v>
      </c>
      <c r="E5" s="6" t="s">
        <v>1</v>
      </c>
      <c r="F5" s="6" t="s">
        <v>1</v>
      </c>
      <c r="G5" s="6" t="s">
        <v>1</v>
      </c>
      <c r="H5" s="10" t="s">
        <v>37</v>
      </c>
    </row>
    <row r="6" ht="30" customHeight="1" spans="1:8">
      <c r="A6" s="2" t="s">
        <v>1</v>
      </c>
      <c r="B6" s="11" t="s">
        <v>38</v>
      </c>
      <c r="C6" s="12">
        <f>IF(OR(C4="",C5=""),"",(C4+C5)/2)</f>
        <v>50</v>
      </c>
      <c r="D6" s="6" t="s">
        <v>1</v>
      </c>
      <c r="E6" s="6" t="s">
        <v>1</v>
      </c>
      <c r="F6" s="6" t="s">
        <v>1</v>
      </c>
      <c r="G6" s="6" t="s">
        <v>1</v>
      </c>
      <c r="H6" s="7" t="s">
        <v>1</v>
      </c>
    </row>
    <row r="7" spans="1:8">
      <c r="A7" s="2" t="s">
        <v>1</v>
      </c>
      <c r="B7" s="8" t="s">
        <v>39</v>
      </c>
      <c r="C7" s="13">
        <v>0.9</v>
      </c>
      <c r="D7" s="6" t="s">
        <v>1</v>
      </c>
      <c r="E7" s="6" t="s">
        <v>1</v>
      </c>
      <c r="F7" s="6" t="s">
        <v>1</v>
      </c>
      <c r="G7" s="6" t="s">
        <v>1</v>
      </c>
      <c r="H7" s="7" t="s">
        <v>1</v>
      </c>
    </row>
    <row r="8" ht="30" customHeight="1" spans="1:8">
      <c r="A8" s="2" t="s">
        <v>1</v>
      </c>
      <c r="B8" s="11" t="s">
        <v>40</v>
      </c>
      <c r="C8" s="14">
        <f>IF(OR(C7="",C6="",C6=0),"",C7/C6)</f>
        <v>0.018</v>
      </c>
      <c r="D8" s="6" t="s">
        <v>1</v>
      </c>
      <c r="E8" s="6" t="s">
        <v>1</v>
      </c>
      <c r="F8" s="6" t="s">
        <v>1</v>
      </c>
      <c r="G8" s="6" t="s">
        <v>1</v>
      </c>
      <c r="H8" s="7" t="s">
        <v>1</v>
      </c>
    </row>
    <row r="9" spans="1:8">
      <c r="A9" s="2" t="s">
        <v>1</v>
      </c>
      <c r="B9" s="8" t="s">
        <v>1</v>
      </c>
      <c r="C9" s="14" t="s">
        <v>1</v>
      </c>
      <c r="D9" s="6" t="s">
        <v>1</v>
      </c>
      <c r="E9" s="6" t="s">
        <v>1</v>
      </c>
      <c r="F9" s="6" t="s">
        <v>1</v>
      </c>
      <c r="G9" s="6" t="s">
        <v>1</v>
      </c>
      <c r="H9" s="7" t="s">
        <v>1</v>
      </c>
    </row>
    <row r="10" spans="1:8">
      <c r="A10" s="2" t="s">
        <v>1</v>
      </c>
      <c r="B10" s="3" t="s">
        <v>41</v>
      </c>
      <c r="C10" s="4"/>
      <c r="D10" s="4"/>
      <c r="E10" s="5"/>
      <c r="F10" s="6" t="s">
        <v>1</v>
      </c>
      <c r="G10" s="6" t="s">
        <v>1</v>
      </c>
      <c r="H10" s="7" t="s">
        <v>1</v>
      </c>
    </row>
    <row r="11" ht="30" customHeight="1" spans="1:8">
      <c r="A11" s="2" t="s">
        <v>1</v>
      </c>
      <c r="B11" s="6" t="s">
        <v>42</v>
      </c>
      <c r="C11" s="15" t="s">
        <v>43</v>
      </c>
      <c r="D11" s="16" t="s">
        <v>44</v>
      </c>
      <c r="E11" s="17"/>
      <c r="F11" s="6" t="s">
        <v>1</v>
      </c>
      <c r="G11" s="6" t="s">
        <v>1</v>
      </c>
      <c r="H11" s="7" t="s">
        <v>1</v>
      </c>
    </row>
    <row r="12" spans="1:8">
      <c r="A12" s="2" t="s">
        <v>1</v>
      </c>
      <c r="B12" s="9">
        <v>40</v>
      </c>
      <c r="C12" s="14">
        <f>IF(OR(B12="",B12=0),"",$C$7/B12)</f>
        <v>0.0225</v>
      </c>
      <c r="D12" s="18">
        <f>IF(OR(C12="",B12=""),"",B12*C12)</f>
        <v>0.9</v>
      </c>
      <c r="E12" s="6" t="s">
        <v>1</v>
      </c>
      <c r="F12" s="6" t="s">
        <v>1</v>
      </c>
      <c r="G12" s="6" t="s">
        <v>1</v>
      </c>
      <c r="H12" s="10" t="s">
        <v>45</v>
      </c>
    </row>
    <row r="13" spans="1:8">
      <c r="A13" s="2" t="s">
        <v>1</v>
      </c>
      <c r="B13" s="9">
        <v>45</v>
      </c>
      <c r="C13" s="14">
        <f>IF(OR(B13="",B13=0),"",$C$7/B13)</f>
        <v>0.02</v>
      </c>
      <c r="D13" s="18">
        <f>IF(OR(C13="",B13=""),"",B13*C13)</f>
        <v>0.9</v>
      </c>
      <c r="E13" s="6" t="s">
        <v>1</v>
      </c>
      <c r="F13" s="6" t="s">
        <v>1</v>
      </c>
      <c r="G13" s="6" t="s">
        <v>1</v>
      </c>
      <c r="H13" s="7" t="s">
        <v>1</v>
      </c>
    </row>
    <row r="14" spans="1:8">
      <c r="A14" s="2" t="s">
        <v>1</v>
      </c>
      <c r="B14" s="9">
        <v>50</v>
      </c>
      <c r="C14" s="14">
        <f>IF(OR(B14="",B14=0),"",$C$7/B14)</f>
        <v>0.018</v>
      </c>
      <c r="D14" s="18">
        <f>IF(OR(C14="",B14=""),"",B14*C14)</f>
        <v>0.9</v>
      </c>
      <c r="E14" s="6" t="s">
        <v>1</v>
      </c>
      <c r="F14" s="6" t="s">
        <v>1</v>
      </c>
      <c r="G14" s="6" t="s">
        <v>1</v>
      </c>
      <c r="H14" s="7" t="s">
        <v>1</v>
      </c>
    </row>
    <row r="15" spans="1:8">
      <c r="A15" s="2" t="s">
        <v>1</v>
      </c>
      <c r="B15" s="9">
        <v>55</v>
      </c>
      <c r="C15" s="14">
        <f>IF(OR(B15="",B15=0),"",$C$7/B15)</f>
        <v>0.0163636363636364</v>
      </c>
      <c r="D15" s="18">
        <f>IF(OR(C15="",B15=""),"",B15*C15)</f>
        <v>0.9</v>
      </c>
      <c r="E15" s="6" t="s">
        <v>1</v>
      </c>
      <c r="F15" s="6" t="s">
        <v>1</v>
      </c>
      <c r="G15" s="6" t="s">
        <v>1</v>
      </c>
      <c r="H15" s="7" t="s">
        <v>1</v>
      </c>
    </row>
    <row r="16" spans="1:8">
      <c r="A16" s="2" t="s">
        <v>1</v>
      </c>
      <c r="B16" s="9">
        <v>60</v>
      </c>
      <c r="C16" s="14">
        <f>IF(OR(B16="",B16=0),"",$C$7/B16)</f>
        <v>0.015</v>
      </c>
      <c r="D16" s="18">
        <f>IF(OR(C16="",B16=""),"",B16*C16)</f>
        <v>0.9</v>
      </c>
      <c r="E16" s="6" t="s">
        <v>1</v>
      </c>
      <c r="F16" s="6" t="s">
        <v>1</v>
      </c>
      <c r="G16" s="6" t="s">
        <v>1</v>
      </c>
      <c r="H16" s="7" t="s">
        <v>1</v>
      </c>
    </row>
    <row r="17" spans="1:8">
      <c r="A17" s="2" t="s">
        <v>1</v>
      </c>
      <c r="B17" s="8" t="s">
        <v>46</v>
      </c>
      <c r="C17" s="14">
        <f>IF(COUNT(B12:B16)=0,"",$C$7/AVERAGE(B12:B16))</f>
        <v>0.018</v>
      </c>
      <c r="D17" s="18">
        <f>IF(COUNT(B12:B16)=0,"",AVERAGE(B12:B16)*C17)</f>
        <v>0.9</v>
      </c>
      <c r="E17" s="6" t="s">
        <v>1</v>
      </c>
      <c r="F17" s="6" t="s">
        <v>1</v>
      </c>
      <c r="G17" s="6" t="s">
        <v>1</v>
      </c>
      <c r="H17" s="7" t="s">
        <v>47</v>
      </c>
    </row>
    <row r="18" spans="1:8">
      <c r="A18" s="2" t="s">
        <v>1</v>
      </c>
      <c r="B18" s="8" t="s">
        <v>1</v>
      </c>
      <c r="C18" s="14" t="s">
        <v>1</v>
      </c>
      <c r="D18" s="18" t="s">
        <v>1</v>
      </c>
      <c r="E18" s="6" t="s">
        <v>1</v>
      </c>
      <c r="F18" s="6" t="s">
        <v>1</v>
      </c>
      <c r="G18" s="6" t="s">
        <v>1</v>
      </c>
      <c r="H18" s="7" t="s">
        <v>1</v>
      </c>
    </row>
    <row r="19" spans="1:8">
      <c r="A19" s="2" t="s">
        <v>1</v>
      </c>
      <c r="B19" s="3" t="s">
        <v>48</v>
      </c>
      <c r="C19" s="4"/>
      <c r="D19" s="4"/>
      <c r="E19" s="4"/>
      <c r="F19" s="4"/>
      <c r="G19" s="5"/>
      <c r="H19" s="7" t="s">
        <v>1</v>
      </c>
    </row>
    <row r="20" spans="1:8">
      <c r="A20" s="2" t="s">
        <v>1</v>
      </c>
      <c r="B20" s="6" t="s">
        <v>32</v>
      </c>
      <c r="C20" s="6" t="s">
        <v>33</v>
      </c>
      <c r="D20" s="18" t="s">
        <v>1</v>
      </c>
      <c r="E20" s="6" t="s">
        <v>1</v>
      </c>
      <c r="F20" s="6" t="s">
        <v>1</v>
      </c>
      <c r="G20" s="6" t="s">
        <v>1</v>
      </c>
      <c r="H20" s="7" t="s">
        <v>1</v>
      </c>
    </row>
    <row r="21" spans="1:8">
      <c r="A21" s="2" t="s">
        <v>1</v>
      </c>
      <c r="B21" s="8" t="s">
        <v>49</v>
      </c>
      <c r="C21" s="13">
        <v>0.005</v>
      </c>
      <c r="D21" s="18" t="s">
        <v>1</v>
      </c>
      <c r="E21" s="6" t="s">
        <v>1</v>
      </c>
      <c r="F21" s="6" t="s">
        <v>1</v>
      </c>
      <c r="G21" s="6" t="s">
        <v>1</v>
      </c>
      <c r="H21" s="7" t="s">
        <v>50</v>
      </c>
    </row>
    <row r="22" spans="1:8">
      <c r="A22" s="2" t="s">
        <v>1</v>
      </c>
      <c r="B22" s="8" t="s">
        <v>51</v>
      </c>
      <c r="C22" s="9">
        <v>6</v>
      </c>
      <c r="D22" s="18" t="s">
        <v>1</v>
      </c>
      <c r="E22" s="6" t="s">
        <v>1</v>
      </c>
      <c r="F22" s="6" t="s">
        <v>1</v>
      </c>
      <c r="G22" s="6" t="s">
        <v>1</v>
      </c>
      <c r="H22" s="7" t="s">
        <v>1</v>
      </c>
    </row>
    <row r="23" ht="30" customHeight="1" spans="1:8">
      <c r="A23" s="2" t="s">
        <v>1</v>
      </c>
      <c r="B23" s="6" t="s">
        <v>52</v>
      </c>
      <c r="C23" s="15" t="s">
        <v>53</v>
      </c>
      <c r="D23" s="15" t="s">
        <v>54</v>
      </c>
      <c r="E23" s="6" t="s">
        <v>55</v>
      </c>
      <c r="F23" s="6" t="s">
        <v>56</v>
      </c>
      <c r="G23" s="6" t="s">
        <v>57</v>
      </c>
      <c r="H23" s="7" t="s">
        <v>1</v>
      </c>
    </row>
    <row r="24" spans="1:8">
      <c r="A24" s="2" t="s">
        <v>1</v>
      </c>
      <c r="B24" s="8" t="s">
        <v>58</v>
      </c>
      <c r="C24" s="19">
        <v>100</v>
      </c>
      <c r="D24" s="20">
        <f>IF(OR(C24="",C24=0),"",C24*$C$21)</f>
        <v>0.5</v>
      </c>
      <c r="E24" s="8" t="str">
        <f>IF(C24="","",IF(C24=MAX($C$24:$C$26),"★",""))</f>
        <v/>
      </c>
      <c r="F24" s="20">
        <f>IF(E24="★",$D$27,0)</f>
        <v>0</v>
      </c>
      <c r="G24" s="14">
        <f>IF(OR(C24="",C24=0),"",F24/C24)</f>
        <v>0</v>
      </c>
      <c r="H24" s="7" t="s">
        <v>59</v>
      </c>
    </row>
    <row r="25" spans="1:8">
      <c r="A25" s="2" t="s">
        <v>1</v>
      </c>
      <c r="B25" s="8" t="s">
        <v>60</v>
      </c>
      <c r="C25" s="19">
        <v>10</v>
      </c>
      <c r="D25" s="20">
        <f>IF(OR(C25="",C25=0),"",C25*$C$21)</f>
        <v>0.05</v>
      </c>
      <c r="E25" s="8" t="str">
        <f>IF(C25="","",IF(C25=MAX($C$24:$C$26),"★",""))</f>
        <v/>
      </c>
      <c r="F25" s="20">
        <f>IF(E25="★",$D$27,0)</f>
        <v>0</v>
      </c>
      <c r="G25" s="14">
        <f>IF(OR(C25="",C25=0),"",F25/C25)</f>
        <v>0</v>
      </c>
      <c r="H25" s="7" t="s">
        <v>1</v>
      </c>
    </row>
    <row r="26" spans="1:8">
      <c r="A26" s="2" t="s">
        <v>1</v>
      </c>
      <c r="B26" s="8" t="s">
        <v>61</v>
      </c>
      <c r="C26" s="19">
        <v>1000</v>
      </c>
      <c r="D26" s="20">
        <f>IF(OR(C26="",C26=0),"",C26*$C$21)</f>
        <v>5</v>
      </c>
      <c r="E26" s="8" t="str">
        <f>IF(C26="","",IF(C26=MAX($C$24:$C$26),"★",""))</f>
        <v>★</v>
      </c>
      <c r="F26" s="20">
        <f>IF(E26="★",$D$27,0)</f>
        <v>5.55</v>
      </c>
      <c r="G26" s="14">
        <f>IF(OR(C26="",C26=0),"",F26/C26)</f>
        <v>0.00555</v>
      </c>
      <c r="H26" s="7" t="s">
        <v>1</v>
      </c>
    </row>
    <row r="27" spans="1:8">
      <c r="A27" s="2" t="s">
        <v>1</v>
      </c>
      <c r="B27" s="8" t="s">
        <v>62</v>
      </c>
      <c r="C27" s="8" t="s">
        <v>1</v>
      </c>
      <c r="D27" s="20">
        <f>SUM(D24:D26)</f>
        <v>5.55</v>
      </c>
      <c r="E27" s="8" t="s">
        <v>1</v>
      </c>
      <c r="F27" s="8" t="s">
        <v>1</v>
      </c>
      <c r="G27" s="8" t="s">
        <v>1</v>
      </c>
      <c r="H27" s="10" t="s">
        <v>63</v>
      </c>
    </row>
    <row r="28" ht="30" customHeight="1" spans="1:8">
      <c r="A28" s="2" t="s">
        <v>1</v>
      </c>
      <c r="B28" s="11" t="s">
        <v>64</v>
      </c>
      <c r="C28" s="21" t="str">
        <f>IF(ABS(SUM(F24:F26)-D27)&lt;0.0000001,"✓ 全数发给最高者","✗")</f>
        <v>✓ 全数发给最高者</v>
      </c>
      <c r="D28" s="8" t="s">
        <v>1</v>
      </c>
      <c r="E28" s="8" t="s">
        <v>1</v>
      </c>
      <c r="F28" s="8" t="s">
        <v>1</v>
      </c>
      <c r="G28" s="8" t="s">
        <v>1</v>
      </c>
      <c r="H28" s="7" t="s">
        <v>1</v>
      </c>
    </row>
  </sheetData>
  <mergeCells count="9">
    <mergeCell ref="A1:H1"/>
    <mergeCell ref="B2:D2"/>
    <mergeCell ref="H4:K4"/>
    <mergeCell ref="H5:J5"/>
    <mergeCell ref="B10:E10"/>
    <mergeCell ref="D11:E11"/>
    <mergeCell ref="H12:I12"/>
    <mergeCell ref="B19:G19"/>
    <mergeCell ref="H27:K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III 随机倍数+竞赛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2026-09-29T15:59:26Z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037C59B6EC5A48A0989600AF64CFC6AD_12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