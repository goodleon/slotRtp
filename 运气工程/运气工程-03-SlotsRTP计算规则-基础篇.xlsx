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2"/>
  </bookViews>
  <sheets>
    <sheet name="说明" sheetId="1" r:id="rId1"/>
    <sheet name="滚轴与赔付" sheetId="2" r:id="rId2"/>
    <sheet name="线型与RTP" sheetId="3" r:id="rId3"/>
    <sheet name="线注与可选线" sheetId="4" r:id="rId4"/>
    <sheet name="满线Ways" sheetId="5" r:id="rId5"/>
    <sheet name="易错点-窗口环绕" sheetId="6" r:id="rId6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<sst xmlns="http://schemas.openxmlformats.org/spreadsheetml/2006/main" count="936" uniqueCount="198">
  <si>
    <r>
      <rPr>
        <b/>
        <sz val="14"/>
        <color rgb="FF1F4E79"/>
        <rFont val="Noto Sans SC"/>
        <charset val="134"/>
      </rPr>
      <t xml:space="preserve">运气工程 ③ —— </t>
    </r>
    <r>
      <rPr>
        <b/>
        <sz val="14"/>
        <color rgb="FF1F4E79"/>
        <rFont val="Cambria"/>
        <charset val="1"/>
      </rPr>
      <t xml:space="preserve">Slots </t>
    </r>
    <r>
      <rPr>
        <b/>
        <sz val="14"/>
        <color rgb="FF1F4E79"/>
        <rFont val="Noto Sans SC"/>
        <charset val="134"/>
      </rPr>
      <t xml:space="preserve">游戏 </t>
    </r>
    <r>
      <rPr>
        <b/>
        <sz val="14"/>
        <color rgb="FF1F4E79"/>
        <rFont val="Cambria"/>
        <charset val="1"/>
      </rPr>
      <t xml:space="preserve">RTP </t>
    </r>
    <r>
      <rPr>
        <b/>
        <sz val="14"/>
        <color rgb="FF1F4E79"/>
        <rFont val="Noto Sans SC"/>
        <charset val="134"/>
      </rPr>
      <t xml:space="preserve">计算规则 </t>
    </r>
    <r>
      <rPr>
        <b/>
        <sz val="14"/>
        <color rgb="FF1F4E79"/>
        <rFont val="Cambria"/>
        <charset val="1"/>
      </rPr>
      <t>· ②</t>
    </r>
    <r>
      <rPr>
        <b/>
        <sz val="14"/>
        <color rgb="FF1F4E79"/>
        <rFont val="Noto Sans SC"/>
        <charset val="134"/>
      </rPr>
      <t>基础篇</t>
    </r>
  </si>
  <si>
    <t xml:space="preserve"> </t>
  </si>
  <si>
    <r>
      <rPr>
        <sz val="11"/>
        <color rgb="FF808080"/>
        <rFont val="Noto Sans SC"/>
        <charset val="134"/>
      </rPr>
      <t>来源：知乎《</t>
    </r>
    <r>
      <rPr>
        <sz val="11"/>
        <color rgb="FF808080"/>
        <rFont val="Cambria"/>
        <charset val="1"/>
      </rPr>
      <t xml:space="preserve">Slots </t>
    </r>
    <r>
      <rPr>
        <sz val="11"/>
        <color rgb="FF808080"/>
        <rFont val="Noto Sans SC"/>
        <charset val="134"/>
      </rPr>
      <t xml:space="preserve">游戏 </t>
    </r>
    <r>
      <rPr>
        <sz val="11"/>
        <color rgb="FF808080"/>
        <rFont val="Cambria"/>
        <charset val="1"/>
      </rPr>
      <t xml:space="preserve">RTP </t>
    </r>
    <r>
      <rPr>
        <sz val="11"/>
        <color rgb="FF808080"/>
        <rFont val="Noto Sans SC"/>
        <charset val="134"/>
      </rPr>
      <t xml:space="preserve">计算规则 </t>
    </r>
    <r>
      <rPr>
        <sz val="11"/>
        <color rgb="FF808080"/>
        <rFont val="Cambria"/>
        <charset val="1"/>
      </rPr>
      <t>- ②</t>
    </r>
    <r>
      <rPr>
        <sz val="11"/>
        <color rgb="FF808080"/>
        <rFont val="Noto Sans SC"/>
        <charset val="134"/>
      </rPr>
      <t xml:space="preserve">基础篇》 </t>
    </r>
    <r>
      <rPr>
        <sz val="11"/>
        <color rgb="FF808080"/>
        <rFont val="Cambria"/>
        <charset val="1"/>
      </rPr>
      <t>https://zhuanlan.zhihu.com/p/1927429615065995087</t>
    </r>
  </si>
  <si>
    <r>
      <rPr>
        <sz val="11"/>
        <color rgb="FF808080"/>
        <rFont val="Noto Sans SC"/>
        <charset val="134"/>
      </rPr>
      <t>专栏：运气工程：</t>
    </r>
    <r>
      <rPr>
        <sz val="11"/>
        <color rgb="FF808080"/>
        <rFont val="Cambria"/>
        <charset val="1"/>
      </rPr>
      <t xml:space="preserve">Slots </t>
    </r>
    <r>
      <rPr>
        <sz val="11"/>
        <color rgb="FF808080"/>
        <rFont val="Noto Sans SC"/>
        <charset val="134"/>
      </rPr>
      <t xml:space="preserve">数值研究所  </t>
    </r>
    <r>
      <rPr>
        <sz val="11"/>
        <color rgb="FF808080"/>
        <rFont val="Cambria"/>
        <charset val="1"/>
      </rPr>
      <t>https://zhuanlan.zhihu.com/c_1918334633642287500</t>
    </r>
  </si>
  <si>
    <t>页签</t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</si>
  <si>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>滚轴与赔付：</t>
    </r>
    <r>
      <rPr>
        <sz val="11"/>
        <color theme="1"/>
        <rFont val="Calibri"/>
        <charset val="1"/>
      </rPr>
      <t xml:space="preserve">3 </t>
    </r>
    <r>
      <rPr>
        <sz val="11"/>
        <color theme="1"/>
        <rFont val="Noto Sans SC"/>
        <charset val="134"/>
      </rPr>
      <t xml:space="preserve">行 </t>
    </r>
    <r>
      <rPr>
        <sz val="11"/>
        <color theme="1"/>
        <rFont val="Calibri"/>
        <charset val="1"/>
      </rPr>
      <t xml:space="preserve">× 5 </t>
    </r>
    <r>
      <rPr>
        <sz val="11"/>
        <color theme="1"/>
        <rFont val="Noto Sans SC"/>
        <charset val="134"/>
      </rPr>
      <t xml:space="preserve">列 示例滚轴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Noto Sans SC"/>
        <charset val="134"/>
      </rPr>
      <t xml:space="preserve">图案次数统计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Noto Sans SC"/>
        <charset val="134"/>
      </rPr>
      <t xml:space="preserve">赔付表 </t>
    </r>
    <r>
      <rPr>
        <sz val="11"/>
        <color theme="1"/>
        <rFont val="Calibri"/>
        <charset val="1"/>
      </rPr>
      <t xml:space="preserve">/ 5 </t>
    </r>
    <r>
      <rPr>
        <sz val="11"/>
        <color theme="1"/>
        <rFont val="Noto Sans SC"/>
        <charset val="134"/>
      </rPr>
      <t>条线的线型定义</t>
    </r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</si>
  <si>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>线型与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 xml:space="preserve">：由滚轴 </t>
    </r>
    <r>
      <rPr>
        <sz val="11"/>
        <color theme="1"/>
        <rFont val="Calibri"/>
        <charset val="1"/>
      </rPr>
      <t xml:space="preserve">+ </t>
    </r>
    <r>
      <rPr>
        <sz val="11"/>
        <color theme="1"/>
        <rFont val="Noto Sans SC"/>
        <charset val="134"/>
      </rPr>
      <t xml:space="preserve">赔付表逐符号算出「单线 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>」，并说明各线统计相同</t>
    </r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</si>
  <si>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 xml:space="preserve">线注与可选线：线数 ↔ 线注 ↔ 记账比例的换算；玩家只买 </t>
    </r>
    <r>
      <rPr>
        <sz val="11"/>
        <color theme="1"/>
        <rFont val="Calibri"/>
        <charset val="1"/>
      </rPr>
      <t xml:space="preserve">n </t>
    </r>
    <r>
      <rPr>
        <sz val="11"/>
        <color theme="1"/>
        <rFont val="Noto Sans SC"/>
        <charset val="134"/>
      </rPr>
      <t xml:space="preserve">条线时的中奖率与 </t>
    </r>
    <r>
      <rPr>
        <sz val="11"/>
        <color theme="1"/>
        <rFont val="Calibri"/>
        <charset val="1"/>
      </rPr>
      <t>RTP</t>
    </r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</si>
  <si>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>满线</t>
    </r>
    <r>
      <rPr>
        <sz val="11"/>
        <color theme="1"/>
        <rFont val="Calibri"/>
        <charset val="1"/>
      </rPr>
      <t>Ways</t>
    </r>
    <r>
      <rPr>
        <sz val="11"/>
        <color theme="1"/>
        <rFont val="Noto Sans SC"/>
        <charset val="134"/>
      </rPr>
      <t>：</t>
    </r>
    <r>
      <rPr>
        <sz val="11"/>
        <color theme="1"/>
        <rFont val="Calibri"/>
        <charset val="1"/>
      </rPr>
      <t xml:space="preserve">243 / 1024 / 3125 ways </t>
    </r>
    <r>
      <rPr>
        <sz val="11"/>
        <color theme="1"/>
        <rFont val="Noto Sans SC"/>
        <charset val="134"/>
      </rPr>
      <t>与有线的关系</t>
    </r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</si>
  <si>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>易错点</t>
    </r>
    <r>
      <rPr>
        <sz val="11"/>
        <color theme="1"/>
        <rFont val="Calibri"/>
        <charset val="1"/>
      </rPr>
      <t>-</t>
    </r>
    <r>
      <rPr>
        <sz val="11"/>
        <color theme="1"/>
        <rFont val="Noto Sans SC"/>
        <charset val="134"/>
      </rPr>
      <t>窗口环绕：滚轴是否环绕对「每一行」计数的影响</t>
    </r>
  </si>
  <si>
    <t>一、滚轴线数的规则</t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</si>
  <si>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>有线（</t>
    </r>
    <r>
      <rPr>
        <sz val="11"/>
        <color theme="1"/>
        <rFont val="Calibri"/>
        <charset val="1"/>
      </rPr>
      <t>Lines Slots</t>
    </r>
    <r>
      <rPr>
        <sz val="11"/>
        <color theme="1"/>
        <rFont val="Noto Sans SC"/>
        <charset val="134"/>
      </rPr>
      <t xml:space="preserve">）：最经典的 </t>
    </r>
    <r>
      <rPr>
        <sz val="11"/>
        <color theme="1"/>
        <rFont val="Calibri"/>
        <charset val="1"/>
      </rPr>
      <t>Slots</t>
    </r>
    <r>
      <rPr>
        <sz val="11"/>
        <color theme="1"/>
        <rFont val="Noto Sans SC"/>
        <charset val="134"/>
      </rPr>
      <t xml:space="preserve">，由固定 </t>
    </r>
    <r>
      <rPr>
        <sz val="11"/>
        <color theme="1"/>
        <rFont val="Calibri"/>
        <charset val="1"/>
      </rPr>
      <t>paylines</t>
    </r>
    <r>
      <rPr>
        <sz val="11"/>
        <color theme="1"/>
        <rFont val="Noto Sans SC"/>
        <charset val="134"/>
      </rPr>
      <t>（赔付线）构成。</t>
    </r>
  </si>
  <si>
    <r>
      <rPr>
        <sz val="11"/>
        <color theme="1"/>
        <rFont val="Noto Sans SC"/>
        <charset val="134"/>
      </rPr>
      <t xml:space="preserve">  示例游戏 </t>
    </r>
    <r>
      <rPr>
        <sz val="11"/>
        <color theme="1"/>
        <rFont val="Calibri"/>
        <charset val="1"/>
      </rPr>
      <t>GOP3</t>
    </r>
    <r>
      <rPr>
        <sz val="11"/>
        <color theme="1"/>
        <rFont val="Noto Sans SC"/>
        <charset val="134"/>
      </rPr>
      <t>：</t>
    </r>
    <r>
      <rPr>
        <sz val="11"/>
        <color theme="1"/>
        <rFont val="Calibri"/>
        <charset val="1"/>
      </rPr>
      <t xml:space="preserve">3 </t>
    </r>
    <r>
      <rPr>
        <sz val="11"/>
        <color theme="1"/>
        <rFont val="Noto Sans SC"/>
        <charset val="134"/>
      </rPr>
      <t xml:space="preserve">行 </t>
    </r>
    <r>
      <rPr>
        <sz val="11"/>
        <color theme="1"/>
        <rFont val="Calibri"/>
        <charset val="1"/>
      </rPr>
      <t xml:space="preserve">5 </t>
    </r>
    <r>
      <rPr>
        <sz val="11"/>
        <color theme="1"/>
        <rFont val="Noto Sans SC"/>
        <charset val="134"/>
      </rPr>
      <t>列的经典滚轴结构。</t>
    </r>
  </si>
  <si>
    <r>
      <rPr>
        <sz val="11"/>
        <color theme="1"/>
        <rFont val="Noto Sans SC"/>
        <charset val="134"/>
      </rPr>
      <t xml:space="preserve">  中奖基础规则：需要相同图案从第 </t>
    </r>
    <r>
      <rPr>
        <sz val="11"/>
        <color theme="1"/>
        <rFont val="Calibri"/>
        <charset val="1"/>
      </rPr>
      <t xml:space="preserve">1 </t>
    </r>
    <r>
      <rPr>
        <sz val="11"/>
        <color theme="1"/>
        <rFont val="Noto Sans SC"/>
        <charset val="134"/>
      </rPr>
      <t>滚轴开始连续（本簿按此口径）。</t>
    </r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</si>
  <si>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>满线（</t>
    </r>
    <r>
      <rPr>
        <sz val="11"/>
        <color theme="1"/>
        <rFont val="Calibri"/>
        <charset val="1"/>
      </rPr>
      <t>Full Lines / Ways</t>
    </r>
    <r>
      <rPr>
        <sz val="11"/>
        <color theme="1"/>
        <rFont val="Noto Sans SC"/>
        <charset val="134"/>
      </rPr>
      <t>）：游戏规则中不会展示具体中奖线路图，但会声明线数；</t>
    </r>
  </si>
  <si>
    <r>
      <rPr>
        <sz val="11"/>
        <color theme="1"/>
        <rFont val="Noto Sans SC"/>
        <charset val="134"/>
      </rPr>
      <t xml:space="preserve">  若线数与滚轴一算能对应，就是满线。常见规格：</t>
    </r>
    <r>
      <rPr>
        <sz val="11"/>
        <color theme="1"/>
        <rFont val="Calibri"/>
        <charset val="1"/>
      </rPr>
      <t>243 ways</t>
    </r>
    <r>
      <rPr>
        <sz val="11"/>
        <color theme="1"/>
        <rFont val="Noto Sans SC"/>
        <charset val="134"/>
      </rPr>
      <t>（</t>
    </r>
    <r>
      <rPr>
        <sz val="11"/>
        <color theme="1"/>
        <rFont val="Calibri"/>
        <charset val="1"/>
      </rPr>
      <t>3×5</t>
    </r>
    <r>
      <rPr>
        <sz val="11"/>
        <color theme="1"/>
        <rFont val="Noto Sans SC"/>
        <charset val="134"/>
      </rPr>
      <t>）、</t>
    </r>
    <r>
      <rPr>
        <sz val="11"/>
        <color theme="1"/>
        <rFont val="Calibri"/>
        <charset val="1"/>
      </rPr>
      <t>1024 ways</t>
    </r>
    <r>
      <rPr>
        <sz val="11"/>
        <color theme="1"/>
        <rFont val="Noto Sans SC"/>
        <charset val="134"/>
      </rPr>
      <t>（</t>
    </r>
    <r>
      <rPr>
        <sz val="11"/>
        <color theme="1"/>
        <rFont val="Calibri"/>
        <charset val="1"/>
      </rPr>
      <t>4×5</t>
    </r>
    <r>
      <rPr>
        <sz val="11"/>
        <color theme="1"/>
        <rFont val="Noto Sans SC"/>
        <charset val="134"/>
      </rPr>
      <t>）、</t>
    </r>
    <r>
      <rPr>
        <sz val="11"/>
        <color theme="1"/>
        <rFont val="Calibri"/>
        <charset val="1"/>
      </rPr>
      <t>3125 ways</t>
    </r>
    <r>
      <rPr>
        <sz val="11"/>
        <color theme="1"/>
        <rFont val="Noto Sans SC"/>
        <charset val="134"/>
      </rPr>
      <t>（</t>
    </r>
    <r>
      <rPr>
        <sz val="11"/>
        <color theme="1"/>
        <rFont val="Calibri"/>
        <charset val="1"/>
      </rPr>
      <t>5×5</t>
    </r>
    <r>
      <rPr>
        <sz val="11"/>
        <color theme="1"/>
        <rFont val="Noto Sans SC"/>
        <charset val="134"/>
      </rPr>
      <t>）。</t>
    </r>
  </si>
  <si>
    <t xml:space="preserve">  由于组合数太多，界面不展示连线路径，只能靠数学计算验证声明的线数是否与滚轴结构相符。</t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</si>
  <si>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 xml:space="preserve">可选线：在有线基础上，部分 </t>
    </r>
    <r>
      <rPr>
        <sz val="11"/>
        <color theme="1"/>
        <rFont val="Calibri"/>
        <charset val="1"/>
      </rPr>
      <t xml:space="preserve">Slots </t>
    </r>
    <r>
      <rPr>
        <sz val="11"/>
        <color theme="1"/>
        <rFont val="Noto Sans SC"/>
        <charset val="134"/>
      </rPr>
      <t xml:space="preserve">支持选线 —— 玩家可以买固定的几条线（至少 </t>
    </r>
    <r>
      <rPr>
        <sz val="11"/>
        <color theme="1"/>
        <rFont val="Calibri"/>
        <charset val="1"/>
      </rPr>
      <t xml:space="preserve">1 </t>
    </r>
    <r>
      <rPr>
        <sz val="11"/>
        <color theme="1"/>
        <rFont val="Noto Sans SC"/>
        <charset val="134"/>
      </rPr>
      <t>条）。</t>
    </r>
  </si>
  <si>
    <t xml:space="preserve">  因为是按线下注（线注），选线越少单次旋转下注越少，相应的中奖率会下降。</t>
  </si>
  <si>
    <t>二、赔付表</t>
  </si>
  <si>
    <r>
      <rPr>
        <sz val="11"/>
        <color theme="1"/>
        <rFont val="Noto Sans SC"/>
        <charset val="134"/>
      </rPr>
      <t xml:space="preserve">知道怎样才算中奖之后，接下来就是中奖金额如何计算。每个 </t>
    </r>
    <r>
      <rPr>
        <sz val="11"/>
        <color theme="1"/>
        <rFont val="Calibri"/>
        <charset val="1"/>
      </rPr>
      <t xml:space="preserve">Slot </t>
    </r>
    <r>
      <rPr>
        <sz val="11"/>
        <color theme="1"/>
        <rFont val="Noto Sans SC"/>
        <charset val="134"/>
      </rPr>
      <t>都有一张赔付表，</t>
    </r>
  </si>
  <si>
    <r>
      <rPr>
        <sz val="11"/>
        <color theme="1"/>
        <rFont val="Noto Sans SC"/>
        <charset val="134"/>
      </rPr>
      <t xml:space="preserve">按「图案 </t>
    </r>
    <r>
      <rPr>
        <sz val="11"/>
        <color theme="1"/>
        <rFont val="Calibri"/>
        <charset val="1"/>
      </rPr>
      <t xml:space="preserve">× </t>
    </r>
    <r>
      <rPr>
        <sz val="11"/>
        <color theme="1"/>
        <rFont val="Noto Sans SC"/>
        <charset val="134"/>
      </rPr>
      <t xml:space="preserve">连线数」给出赔付倍数。本簿赔付表沿用与《老虎机数学入门 </t>
    </r>
    <r>
      <rPr>
        <sz val="11"/>
        <color theme="1"/>
        <rFont val="Calibri"/>
        <charset val="1"/>
      </rPr>
      <t>Part II</t>
    </r>
    <r>
      <rPr>
        <sz val="11"/>
        <color theme="1"/>
        <rFont val="Noto Sans SC"/>
        <charset val="134"/>
      </rPr>
      <t>》一致的示例数值，</t>
    </r>
  </si>
  <si>
    <r>
      <rPr>
        <sz val="11"/>
        <color theme="1"/>
        <rFont val="Noto Sans SC"/>
        <charset val="134"/>
      </rPr>
      <t>便于交叉核对：</t>
    </r>
    <r>
      <rPr>
        <sz val="11"/>
        <color theme="1"/>
        <rFont val="Calibri"/>
        <charset val="1"/>
      </rPr>
      <t>K 5/30/100</t>
    </r>
    <r>
      <rPr>
        <sz val="11"/>
        <color theme="1"/>
        <rFont val="Noto Sans SC"/>
        <charset val="134"/>
      </rPr>
      <t>、</t>
    </r>
    <r>
      <rPr>
        <sz val="11"/>
        <color theme="1"/>
        <rFont val="Calibri"/>
        <charset val="1"/>
      </rPr>
      <t>Q 5/25/100</t>
    </r>
    <r>
      <rPr>
        <sz val="11"/>
        <color theme="1"/>
        <rFont val="Noto Sans SC"/>
        <charset val="134"/>
      </rPr>
      <t>、</t>
    </r>
    <r>
      <rPr>
        <sz val="11"/>
        <color theme="1"/>
        <rFont val="Calibri"/>
        <charset val="1"/>
      </rPr>
      <t>J 5/20/75</t>
    </r>
    <r>
      <rPr>
        <sz val="11"/>
        <color theme="1"/>
        <rFont val="Noto Sans SC"/>
        <charset val="134"/>
      </rPr>
      <t>、</t>
    </r>
    <r>
      <rPr>
        <sz val="11"/>
        <color theme="1"/>
        <rFont val="Calibri"/>
        <charset val="1"/>
      </rPr>
      <t>10 5/20/75</t>
    </r>
    <r>
      <rPr>
        <sz val="11"/>
        <color theme="1"/>
        <rFont val="Noto Sans SC"/>
        <charset val="134"/>
      </rPr>
      <t>、</t>
    </r>
    <r>
      <rPr>
        <sz val="11"/>
        <color theme="1"/>
        <rFont val="Calibri"/>
        <charset val="1"/>
      </rPr>
      <t>9 5/10/50</t>
    </r>
    <r>
      <rPr>
        <sz val="11"/>
        <color theme="1"/>
        <rFont val="Noto Sans SC"/>
        <charset val="134"/>
      </rPr>
      <t>。</t>
    </r>
  </si>
  <si>
    <t>三、线注换算</t>
  </si>
  <si>
    <t>满线游戏的线注计算有特殊规则：为避免出现除不尽的小数，设计者通常会设定一个固定比例。</t>
  </si>
  <si>
    <r>
      <rPr>
        <sz val="11"/>
        <color theme="1"/>
        <rFont val="Noto Sans SC"/>
        <charset val="134"/>
      </rPr>
      <t xml:space="preserve">原文举例：将比例设为 </t>
    </r>
    <r>
      <rPr>
        <sz val="11"/>
        <color theme="1"/>
        <rFont val="Calibri"/>
        <charset val="1"/>
      </rPr>
      <t xml:space="preserve">10000 </t>
    </r>
    <r>
      <rPr>
        <sz val="11"/>
        <color theme="1"/>
        <rFont val="Noto Sans SC"/>
        <charset val="134"/>
      </rPr>
      <t>时，</t>
    </r>
    <r>
      <rPr>
        <sz val="11"/>
        <color theme="1"/>
        <rFont val="Calibri"/>
        <charset val="1"/>
      </rPr>
      <t xml:space="preserve">10000 </t>
    </r>
    <r>
      <rPr>
        <sz val="11"/>
        <color theme="1"/>
        <rFont val="Noto Sans SC"/>
        <charset val="134"/>
      </rPr>
      <t xml:space="preserve">总投注对应的线注就是 </t>
    </r>
    <r>
      <rPr>
        <sz val="11"/>
        <color theme="1"/>
        <rFont val="Calibri"/>
        <charset val="1"/>
      </rPr>
      <t>1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</si>
  <si>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 xml:space="preserve">这样既简化计算，又保持 </t>
    </r>
    <r>
      <rPr>
        <sz val="11"/>
        <color theme="1"/>
        <rFont val="Calibri"/>
        <charset val="1"/>
      </rPr>
      <t xml:space="preserve">RTP </t>
    </r>
    <r>
      <rPr>
        <sz val="11"/>
        <color theme="1"/>
        <rFont val="Noto Sans SC"/>
        <charset val="134"/>
      </rPr>
      <t>稳定。</t>
    </r>
  </si>
  <si>
    <t>四、本簿计算口径</t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</si>
  <si>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 xml:space="preserve">转轮表：每列 </t>
    </r>
    <r>
      <rPr>
        <sz val="11"/>
        <color theme="1"/>
        <rFont val="Calibri"/>
        <charset val="1"/>
      </rPr>
      <t xml:space="preserve">20 </t>
    </r>
    <r>
      <rPr>
        <sz val="11"/>
        <color theme="1"/>
        <rFont val="Noto Sans SC"/>
        <charset val="134"/>
      </rPr>
      <t xml:space="preserve">停（环绕带），窗口可停在该列的 </t>
    </r>
    <r>
      <rPr>
        <sz val="11"/>
        <color theme="1"/>
        <rFont val="Calibri"/>
        <charset val="1"/>
      </rPr>
      <t xml:space="preserve">20 </t>
    </r>
    <r>
      <rPr>
        <sz val="11"/>
        <color theme="1"/>
        <rFont val="Noto Sans SC"/>
        <charset val="134"/>
      </rPr>
      <t>个位置之一，因此每个窗口下</t>
    </r>
  </si>
  <si>
    <r>
      <rPr>
        <sz val="11"/>
        <color theme="1"/>
        <rFont val="Noto Sans SC"/>
        <charset val="134"/>
      </rPr>
      <t xml:space="preserve">  「某一行」看到的格子会遍历整条带 → 行 </t>
    </r>
    <r>
      <rPr>
        <sz val="11"/>
        <color theme="1"/>
        <rFont val="Calibri"/>
        <charset val="1"/>
      </rPr>
      <t xml:space="preserve">1 / </t>
    </r>
    <r>
      <rPr>
        <sz val="11"/>
        <color theme="1"/>
        <rFont val="Noto Sans SC"/>
        <charset val="134"/>
      </rPr>
      <t xml:space="preserve">行 </t>
    </r>
    <r>
      <rPr>
        <sz val="11"/>
        <color theme="1"/>
        <rFont val="Calibri"/>
        <charset val="1"/>
      </rPr>
      <t xml:space="preserve">2 / </t>
    </r>
    <r>
      <rPr>
        <sz val="11"/>
        <color theme="1"/>
        <rFont val="Noto Sans SC"/>
        <charset val="134"/>
      </rPr>
      <t xml:space="preserve">行 </t>
    </r>
    <r>
      <rPr>
        <sz val="11"/>
        <color theme="1"/>
        <rFont val="Calibri"/>
        <charset val="1"/>
      </rPr>
      <t xml:space="preserve">3 </t>
    </r>
    <r>
      <rPr>
        <sz val="11"/>
        <color theme="1"/>
        <rFont val="Noto Sans SC"/>
        <charset val="134"/>
      </rPr>
      <t>的符号计数都等于该列的整体计数。</t>
    </r>
  </si>
  <si>
    <r>
      <rPr>
        <sz val="11"/>
        <color theme="1"/>
        <rFont val="Noto Sans SC"/>
        <charset val="134"/>
      </rPr>
      <t xml:space="preserve">  （这正是「易错点</t>
    </r>
    <r>
      <rPr>
        <sz val="11"/>
        <color theme="1"/>
        <rFont val="Calibri"/>
        <charset val="1"/>
      </rPr>
      <t>-</t>
    </r>
    <r>
      <rPr>
        <sz val="11"/>
        <color theme="1"/>
        <rFont val="Noto Sans SC"/>
        <charset val="134"/>
      </rPr>
      <t>窗口环绕」页要说明的地方）</t>
    </r>
  </si>
  <si>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Noto Sans SC"/>
        <charset val="134"/>
      </rPr>
      <t xml:space="preserve">单线 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 xml:space="preserve">：对符号 </t>
    </r>
    <r>
      <rPr>
        <sz val="11"/>
        <color theme="1"/>
        <rFont val="Calibri"/>
        <charset val="1"/>
      </rPr>
      <t>S</t>
    </r>
    <r>
      <rPr>
        <sz val="11"/>
        <color theme="1"/>
        <rFont val="Noto Sans SC"/>
        <charset val="134"/>
      </rPr>
      <t xml:space="preserve">，令 </t>
    </r>
    <r>
      <rPr>
        <sz val="11"/>
        <color theme="1"/>
        <rFont val="Calibri"/>
        <charset val="1"/>
      </rPr>
      <t xml:space="preserve">mᵢ = </t>
    </r>
    <r>
      <rPr>
        <sz val="11"/>
        <color theme="1"/>
        <rFont val="Noto Sans SC"/>
        <charset val="134"/>
      </rPr>
      <t xml:space="preserve">第 </t>
    </r>
    <r>
      <rPr>
        <sz val="11"/>
        <color theme="1"/>
        <rFont val="Calibri"/>
        <charset val="1"/>
      </rPr>
      <t xml:space="preserve">i </t>
    </r>
    <r>
      <rPr>
        <sz val="11"/>
        <color theme="1"/>
        <rFont val="Noto Sans SC"/>
        <charset val="134"/>
      </rPr>
      <t xml:space="preserve">列的 </t>
    </r>
    <r>
      <rPr>
        <sz val="11"/>
        <color theme="1"/>
        <rFont val="Calibri"/>
        <charset val="1"/>
      </rPr>
      <t xml:space="preserve">S </t>
    </r>
    <r>
      <rPr>
        <sz val="11"/>
        <color theme="1"/>
        <rFont val="Noto Sans SC"/>
        <charset val="134"/>
      </rPr>
      <t xml:space="preserve">个数 </t>
    </r>
    <r>
      <rPr>
        <sz val="11"/>
        <color theme="1"/>
        <rFont val="Calibri"/>
        <charset val="1"/>
      </rPr>
      <t xml:space="preserve">+ WILD </t>
    </r>
    <r>
      <rPr>
        <sz val="11"/>
        <color theme="1"/>
        <rFont val="Noto Sans SC"/>
        <charset val="134"/>
      </rPr>
      <t>个数（</t>
    </r>
    <r>
      <rPr>
        <sz val="11"/>
        <color theme="1"/>
        <rFont val="Calibri"/>
        <charset val="1"/>
      </rPr>
      <t xml:space="preserve">WILD </t>
    </r>
    <r>
      <rPr>
        <sz val="11"/>
        <color theme="1"/>
        <rFont val="Noto Sans SC"/>
        <charset val="134"/>
      </rPr>
      <t xml:space="preserve">可替代 </t>
    </r>
    <r>
      <rPr>
        <sz val="11"/>
        <color theme="1"/>
        <rFont val="Calibri"/>
        <charset val="1"/>
      </rPr>
      <t>S</t>
    </r>
    <r>
      <rPr>
        <sz val="11"/>
        <color theme="1"/>
        <rFont val="Noto Sans SC"/>
        <charset val="134"/>
      </rPr>
      <t>），</t>
    </r>
  </si>
  <si>
    <r>
      <rPr>
        <sz val="11"/>
        <color theme="1"/>
        <rFont val="Calibri"/>
        <charset val="1"/>
      </rPr>
      <t xml:space="preserve">  Xᵢ = Nᵢ − mᵢ</t>
    </r>
    <r>
      <rPr>
        <sz val="11"/>
        <color theme="1"/>
        <rFont val="Noto Sans SC"/>
        <charset val="134"/>
      </rPr>
      <t>（</t>
    </r>
    <r>
      <rPr>
        <sz val="11"/>
        <color theme="1"/>
        <rFont val="Calibri"/>
        <charset val="1"/>
      </rPr>
      <t xml:space="preserve">Nᵢ = </t>
    </r>
    <r>
      <rPr>
        <sz val="11"/>
        <color theme="1"/>
        <rFont val="Noto Sans SC"/>
        <charset val="134"/>
      </rPr>
      <t>该列格数），则：</t>
    </r>
  </si>
  <si>
    <r>
      <rPr>
        <sz val="11"/>
        <color theme="1"/>
        <rFont val="Calibri"/>
        <charset val="1"/>
      </rPr>
      <t xml:space="preserve">    5 </t>
    </r>
    <r>
      <rPr>
        <sz val="11"/>
        <color theme="1"/>
        <rFont val="Noto Sans SC"/>
        <charset val="134"/>
      </rPr>
      <t xml:space="preserve">连出现次数 </t>
    </r>
    <r>
      <rPr>
        <sz val="11"/>
        <color theme="1"/>
        <rFont val="Calibri"/>
        <charset val="1"/>
      </rPr>
      <t>= m₁·m₂·m₃·m₄·m₅</t>
    </r>
  </si>
  <si>
    <r>
      <rPr>
        <sz val="11"/>
        <color theme="1"/>
        <rFont val="Calibri"/>
        <charset val="1"/>
      </rPr>
      <t xml:space="preserve">    4 </t>
    </r>
    <r>
      <rPr>
        <sz val="11"/>
        <color theme="1"/>
        <rFont val="Noto Sans SC"/>
        <charset val="134"/>
      </rPr>
      <t xml:space="preserve">连出现次数 </t>
    </r>
    <r>
      <rPr>
        <sz val="11"/>
        <color theme="1"/>
        <rFont val="Calibri"/>
        <charset val="1"/>
      </rPr>
      <t>= m₁·m₂·m₃·m₄·X₅</t>
    </r>
  </si>
  <si>
    <r>
      <rPr>
        <sz val="11"/>
        <color theme="1"/>
        <rFont val="Calibri"/>
        <charset val="1"/>
      </rPr>
      <t xml:space="preserve">    3 </t>
    </r>
    <r>
      <rPr>
        <sz val="11"/>
        <color theme="1"/>
        <rFont val="Noto Sans SC"/>
        <charset val="134"/>
      </rPr>
      <t xml:space="preserve">连出现次数 </t>
    </r>
    <r>
      <rPr>
        <sz val="11"/>
        <color theme="1"/>
        <rFont val="Calibri"/>
        <charset val="1"/>
      </rPr>
      <t>= m₁·m₂·m₃·X₄·N₅</t>
    </r>
  </si>
  <si>
    <r>
      <rPr>
        <sz val="11"/>
        <color theme="1"/>
        <rFont val="Calibri"/>
        <charset val="1"/>
      </rPr>
      <t xml:space="preserve">    RTP </t>
    </r>
    <r>
      <rPr>
        <sz val="11"/>
        <color theme="1"/>
        <rFont val="Noto Sans SC"/>
        <charset val="134"/>
      </rPr>
      <t xml:space="preserve">贡献   </t>
    </r>
    <r>
      <rPr>
        <sz val="11"/>
        <color theme="1"/>
        <rFont val="Calibri"/>
        <charset val="1"/>
      </rPr>
      <t>= (5</t>
    </r>
    <r>
      <rPr>
        <sz val="11"/>
        <color theme="1"/>
        <rFont val="Noto Sans SC"/>
        <charset val="134"/>
      </rPr>
      <t>连</t>
    </r>
    <r>
      <rPr>
        <sz val="11"/>
        <color theme="1"/>
        <rFont val="Calibri"/>
        <charset val="1"/>
      </rPr>
      <t>×</t>
    </r>
    <r>
      <rPr>
        <sz val="11"/>
        <color theme="1"/>
        <rFont val="Noto Sans SC"/>
        <charset val="134"/>
      </rPr>
      <t>赔</t>
    </r>
    <r>
      <rPr>
        <sz val="11"/>
        <color theme="1"/>
        <rFont val="Calibri"/>
        <charset val="1"/>
      </rPr>
      <t>5 + 4</t>
    </r>
    <r>
      <rPr>
        <sz val="11"/>
        <color theme="1"/>
        <rFont val="Noto Sans SC"/>
        <charset val="134"/>
      </rPr>
      <t>连</t>
    </r>
    <r>
      <rPr>
        <sz val="11"/>
        <color theme="1"/>
        <rFont val="Calibri"/>
        <charset val="1"/>
      </rPr>
      <t>×</t>
    </r>
    <r>
      <rPr>
        <sz val="11"/>
        <color theme="1"/>
        <rFont val="Noto Sans SC"/>
        <charset val="134"/>
      </rPr>
      <t>赔</t>
    </r>
    <r>
      <rPr>
        <sz val="11"/>
        <color theme="1"/>
        <rFont val="Calibri"/>
        <charset val="1"/>
      </rPr>
      <t>4 + 3</t>
    </r>
    <r>
      <rPr>
        <sz val="11"/>
        <color theme="1"/>
        <rFont val="Noto Sans SC"/>
        <charset val="134"/>
      </rPr>
      <t>连</t>
    </r>
    <r>
      <rPr>
        <sz val="11"/>
        <color theme="1"/>
        <rFont val="Calibri"/>
        <charset val="1"/>
      </rPr>
      <t>×</t>
    </r>
    <r>
      <rPr>
        <sz val="11"/>
        <color theme="1"/>
        <rFont val="Noto Sans SC"/>
        <charset val="134"/>
      </rPr>
      <t>赔</t>
    </r>
    <r>
      <rPr>
        <sz val="11"/>
        <color theme="1"/>
        <rFont val="Calibri"/>
        <charset val="1"/>
      </rPr>
      <t xml:space="preserve">3) ÷ </t>
    </r>
    <r>
      <rPr>
        <sz val="11"/>
        <color theme="1"/>
        <rFont val="Noto Sans SC"/>
        <charset val="134"/>
      </rPr>
      <t>所有可能数</t>
    </r>
  </si>
  <si>
    <r>
      <rPr>
        <sz val="11"/>
        <color theme="1"/>
        <rFont val="Noto Sans SC"/>
        <charset val="134"/>
      </rPr>
      <t xml:space="preserve">  所有可能数 </t>
    </r>
    <r>
      <rPr>
        <sz val="11"/>
        <color theme="1"/>
        <rFont val="Calibri"/>
        <charset val="1"/>
      </rPr>
      <t>= Π Nᵢ = 20⁵ = 3,200,000</t>
    </r>
    <r>
      <rPr>
        <sz val="11"/>
        <color theme="1"/>
        <rFont val="Noto Sans SC"/>
        <charset val="134"/>
      </rPr>
      <t>。</t>
    </r>
  </si>
  <si>
    <t>五、抓取说明</t>
  </si>
  <si>
    <r>
      <rPr>
        <sz val="11"/>
        <color theme="1"/>
        <rFont val="Noto Sans SC"/>
        <charset val="134"/>
      </rPr>
      <t>原文摘要：本文将系统性地拆解以下基础设计要素 —— 滚轴线数规则（包括满线、有线、</t>
    </r>
    <r>
      <rPr>
        <sz val="11"/>
        <color theme="1"/>
        <rFont val="Calibri"/>
        <charset val="1"/>
      </rPr>
      <t xml:space="preserve">ways </t>
    </r>
    <r>
      <rPr>
        <sz val="11"/>
        <color theme="1"/>
        <rFont val="Noto Sans SC"/>
        <charset val="134"/>
      </rPr>
      <t>等不同模式）、</t>
    </r>
  </si>
  <si>
    <r>
      <rPr>
        <sz val="11"/>
        <color theme="1"/>
        <rFont val="Calibri"/>
        <charset val="1"/>
      </rPr>
      <t xml:space="preserve">WILD </t>
    </r>
    <r>
      <rPr>
        <sz val="11"/>
        <color theme="1"/>
        <rFont val="Noto Sans SC"/>
        <charset val="134"/>
      </rPr>
      <t>百搭机制的特殊规则、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>触发机制的实现原理，以及滚轴配置的基础方法；</t>
    </r>
  </si>
  <si>
    <r>
      <rPr>
        <sz val="11"/>
        <color theme="1"/>
        <rFont val="Noto Sans SC"/>
        <charset val="134"/>
      </rPr>
      <t xml:space="preserve">通过对这些核心要素的逐步解析，完整展现它们如何共同影响 </t>
    </r>
    <r>
      <rPr>
        <sz val="11"/>
        <color theme="1"/>
        <rFont val="Calibri"/>
        <charset val="1"/>
      </rPr>
      <t xml:space="preserve">Slots </t>
    </r>
    <r>
      <rPr>
        <sz val="11"/>
        <color theme="1"/>
        <rFont val="Noto Sans SC"/>
        <charset val="134"/>
      </rPr>
      <t xml:space="preserve">的 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>，</t>
    </r>
  </si>
  <si>
    <t>并最终通过具体的数值计算表格来验证设计的合理性。</t>
  </si>
  <si>
    <r>
      <rPr>
        <sz val="11"/>
        <color theme="1"/>
        <rFont val="Noto Sans SC"/>
        <charset val="134"/>
      </rPr>
      <t xml:space="preserve">原文目录：一、滚轴线数的规则（有线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Noto Sans SC"/>
        <charset val="134"/>
      </rPr>
      <t xml:space="preserve">满线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Noto Sans SC"/>
        <charset val="134"/>
      </rPr>
      <t>可选线）；二、赔付表；</t>
    </r>
    <r>
      <rPr>
        <sz val="11"/>
        <color theme="1"/>
        <rFont val="Calibri"/>
        <charset val="1"/>
      </rPr>
      <t xml:space="preserve">WILD </t>
    </r>
    <r>
      <rPr>
        <sz val="11"/>
        <color theme="1"/>
        <rFont val="Noto Sans SC"/>
        <charset val="134"/>
      </rPr>
      <t>百搭机制；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 xml:space="preserve">触发机制；最后用数值表算滚轴 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>。</t>
    </r>
  </si>
  <si>
    <r>
      <rPr>
        <sz val="11"/>
        <color theme="1"/>
        <rFont val="Noto Sans SC"/>
        <charset val="134"/>
      </rPr>
      <t xml:space="preserve">原文配图（示例游戏 </t>
    </r>
    <r>
      <rPr>
        <sz val="11"/>
        <color theme="1"/>
        <rFont val="Calibri"/>
        <charset val="1"/>
      </rPr>
      <t xml:space="preserve">GOP3 </t>
    </r>
    <r>
      <rPr>
        <sz val="11"/>
        <color theme="1"/>
        <rFont val="Noto Sans SC"/>
        <charset val="134"/>
      </rPr>
      <t xml:space="preserve">的 </t>
    </r>
    <r>
      <rPr>
        <sz val="11"/>
        <color theme="1"/>
        <rFont val="Calibri"/>
        <charset val="1"/>
      </rPr>
      <t xml:space="preserve">3×5 </t>
    </r>
    <r>
      <rPr>
        <sz val="11"/>
        <color theme="1"/>
        <rFont val="Noto Sans SC"/>
        <charset val="134"/>
      </rPr>
      <t xml:space="preserve">滚轴截图等）未能读取，滚轴与赔付表沿用同目录 </t>
    </r>
    <r>
      <rPr>
        <sz val="11"/>
        <color theme="1"/>
        <rFont val="Calibri"/>
        <charset val="1"/>
      </rPr>
      <t xml:space="preserve">Part II </t>
    </r>
    <r>
      <rPr>
        <sz val="11"/>
        <color theme="1"/>
        <rFont val="Noto Sans SC"/>
        <charset val="134"/>
      </rPr>
      <t>的示例数值。</t>
    </r>
  </si>
  <si>
    <r>
      <rPr>
        <sz val="11"/>
        <color theme="1"/>
        <rFont val="Noto Sans SC"/>
        <charset val="134"/>
      </rPr>
      <t xml:space="preserve">蓝色 </t>
    </r>
    <r>
      <rPr>
        <sz val="11"/>
        <color theme="1"/>
        <rFont val="Calibri"/>
        <charset val="1"/>
      </rPr>
      <t xml:space="preserve">= </t>
    </r>
    <r>
      <rPr>
        <sz val="11"/>
        <color theme="1"/>
        <rFont val="Noto Sans SC"/>
        <charset val="134"/>
      </rPr>
      <t xml:space="preserve">可改输入；黑色 </t>
    </r>
    <r>
      <rPr>
        <sz val="11"/>
        <color theme="1"/>
        <rFont val="Calibri"/>
        <charset val="1"/>
      </rPr>
      <t xml:space="preserve">= </t>
    </r>
    <r>
      <rPr>
        <sz val="11"/>
        <color theme="1"/>
        <rFont val="Noto Sans SC"/>
        <charset val="134"/>
      </rPr>
      <t xml:space="preserve">公式；黄底 </t>
    </r>
    <r>
      <rPr>
        <sz val="11"/>
        <color theme="1"/>
        <rFont val="Calibri"/>
        <charset val="1"/>
      </rPr>
      <t xml:space="preserve">= </t>
    </r>
    <r>
      <rPr>
        <sz val="11"/>
        <color theme="1"/>
        <rFont val="Noto Sans SC"/>
        <charset val="134"/>
      </rPr>
      <t>关键结果。</t>
    </r>
  </si>
  <si>
    <r>
      <t xml:space="preserve">3 </t>
    </r>
    <r>
      <rPr>
        <b/>
        <sz val="14"/>
        <color rgb="FF1F4E79"/>
        <rFont val="宋体"/>
        <charset val="1"/>
      </rPr>
      <t>行</t>
    </r>
    <r>
      <rPr>
        <b/>
        <sz val="14"/>
        <color rgb="FF1F4E79"/>
        <rFont val="Cambria"/>
        <charset val="1"/>
      </rPr>
      <t xml:space="preserve"> × 5 </t>
    </r>
    <r>
      <rPr>
        <b/>
        <sz val="14"/>
        <color rgb="FF1F4E79"/>
        <rFont val="宋体"/>
        <charset val="1"/>
      </rPr>
      <t>列</t>
    </r>
    <r>
      <rPr>
        <b/>
        <sz val="14"/>
        <color rgb="FF1F4E79"/>
        <rFont val="Cambria"/>
        <charset val="1"/>
      </rPr>
      <t xml:space="preserve"> </t>
    </r>
    <r>
      <rPr>
        <b/>
        <sz val="14"/>
        <color rgb="FF1F4E79"/>
        <rFont val="宋体"/>
        <charset val="1"/>
      </rPr>
      <t>示例滚轴</t>
    </r>
    <r>
      <rPr>
        <b/>
        <sz val="14"/>
        <color rgb="FF1F4E79"/>
        <rFont val="Cambria"/>
        <charset val="1"/>
      </rPr>
      <t xml:space="preserve"> / </t>
    </r>
    <r>
      <rPr>
        <b/>
        <sz val="14"/>
        <color rgb="FF1F4E79"/>
        <rFont val="宋体"/>
        <charset val="1"/>
      </rPr>
      <t>图案次数</t>
    </r>
    <r>
      <rPr>
        <b/>
        <sz val="14"/>
        <color rgb="FF1F4E79"/>
        <rFont val="Cambria"/>
        <charset val="1"/>
      </rPr>
      <t xml:space="preserve"> / </t>
    </r>
    <r>
      <rPr>
        <b/>
        <sz val="14"/>
        <color rgb="FF1F4E79"/>
        <rFont val="宋体"/>
        <charset val="1"/>
      </rPr>
      <t>赔付表</t>
    </r>
    <r>
      <rPr>
        <b/>
        <sz val="14"/>
        <color rgb="FF1F4E79"/>
        <rFont val="Cambria"/>
        <charset val="1"/>
      </rPr>
      <t xml:space="preserve"> / </t>
    </r>
    <r>
      <rPr>
        <b/>
        <sz val="14"/>
        <color rgb="FF1F4E79"/>
        <rFont val="宋体"/>
        <charset val="1"/>
      </rPr>
      <t>线型定义</t>
    </r>
    <r>
      <rPr>
        <b/>
        <sz val="14"/>
        <color rgb="FF1F4E79"/>
        <rFont val="Cambria"/>
        <charset val="1"/>
      </rPr>
      <t xml:space="preserve"> </t>
    </r>
  </si>
  <si>
    <t xml:space="preserve">【转轮表】每列 20 停（环绕带）—— 蓝字可改
 </t>
  </si>
  <si>
    <t>位置</t>
  </si>
  <si>
    <r>
      <rPr>
        <b/>
        <sz val="11"/>
        <color rgb="FF1F4E79"/>
        <rFont val="Noto Sans SC"/>
        <charset val="134"/>
      </rPr>
      <t>轮</t>
    </r>
    <r>
      <rPr>
        <b/>
        <sz val="11"/>
        <color rgb="FF1F4E79"/>
        <rFont val="Cambria"/>
        <charset val="1"/>
      </rPr>
      <t>1</t>
    </r>
  </si>
  <si>
    <r>
      <rPr>
        <b/>
        <sz val="11"/>
        <color rgb="FF1F4E79"/>
        <rFont val="Noto Sans SC"/>
        <charset val="134"/>
      </rPr>
      <t>轮</t>
    </r>
    <r>
      <rPr>
        <b/>
        <sz val="11"/>
        <color rgb="FF1F4E79"/>
        <rFont val="Cambria"/>
        <charset val="1"/>
      </rPr>
      <t>2</t>
    </r>
  </si>
  <si>
    <r>
      <rPr>
        <b/>
        <sz val="11"/>
        <color rgb="FF1F4E79"/>
        <rFont val="Noto Sans SC"/>
        <charset val="134"/>
      </rPr>
      <t>轮</t>
    </r>
    <r>
      <rPr>
        <b/>
        <sz val="11"/>
        <color rgb="FF1F4E79"/>
        <rFont val="Cambria"/>
        <charset val="1"/>
      </rPr>
      <t>3</t>
    </r>
  </si>
  <si>
    <r>
      <rPr>
        <b/>
        <sz val="11"/>
        <color rgb="FF1F4E79"/>
        <rFont val="Noto Sans SC"/>
        <charset val="134"/>
      </rPr>
      <t>轮</t>
    </r>
    <r>
      <rPr>
        <b/>
        <sz val="11"/>
        <color rgb="FF1F4E79"/>
        <rFont val="Cambria"/>
        <charset val="1"/>
      </rPr>
      <t>4</t>
    </r>
  </si>
  <si>
    <r>
      <rPr>
        <b/>
        <sz val="11"/>
        <color rgb="FF1F4E79"/>
        <rFont val="Noto Sans SC"/>
        <charset val="134"/>
      </rPr>
      <t>轮</t>
    </r>
    <r>
      <rPr>
        <b/>
        <sz val="11"/>
        <color rgb="FF1F4E79"/>
        <rFont val="Cambria"/>
        <charset val="1"/>
      </rPr>
      <t>5</t>
    </r>
  </si>
  <si>
    <t>K</t>
  </si>
  <si>
    <t>Q</t>
  </si>
  <si>
    <t>W</t>
  </si>
  <si>
    <t>J</t>
  </si>
  <si>
    <t>10</t>
  </si>
  <si>
    <t>9</t>
  </si>
  <si>
    <t>S</t>
  </si>
  <si>
    <t>每轮格数</t>
  </si>
  <si>
    <t>所有可能数</t>
  </si>
  <si>
    <t>【图案次数统计】</t>
  </si>
  <si>
    <t>图案</t>
  </si>
  <si>
    <t>any</t>
  </si>
  <si>
    <r>
      <rPr>
        <b/>
        <sz val="11"/>
        <rFont val="Cambria"/>
        <charset val="1"/>
      </rPr>
      <t>3S</t>
    </r>
    <r>
      <rPr>
        <b/>
        <sz val="11"/>
        <rFont val="Noto Sans SC"/>
        <charset val="134"/>
      </rPr>
      <t>（</t>
    </r>
    <r>
      <rPr>
        <b/>
        <sz val="11"/>
        <rFont val="Cambria"/>
        <charset val="1"/>
      </rPr>
      <t xml:space="preserve">3 </t>
    </r>
    <r>
      <rPr>
        <b/>
        <sz val="11"/>
        <rFont val="Noto Sans SC"/>
        <charset val="134"/>
      </rPr>
      <t xml:space="preserve">行视窗 </t>
    </r>
    <r>
      <rPr>
        <b/>
        <sz val="11"/>
        <rFont val="Cambria"/>
        <charset val="1"/>
      </rPr>
      <t xml:space="preserve">× Scatter </t>
    </r>
    <r>
      <rPr>
        <b/>
        <sz val="11"/>
        <rFont val="Noto Sans SC"/>
        <charset val="134"/>
      </rPr>
      <t>个数）</t>
    </r>
  </si>
  <si>
    <t xml:space="preserve">【赔付表】列 = 连线数；S 行为「每个 Scatter」的得分
 </t>
  </si>
  <si>
    <t>3</t>
  </si>
  <si>
    <t>4</t>
  </si>
  <si>
    <t>5</t>
  </si>
  <si>
    <r>
      <rPr>
        <sz val="11"/>
        <color theme="1"/>
        <rFont val="Calibri"/>
        <charset val="1"/>
      </rPr>
      <t>S</t>
    </r>
    <r>
      <rPr>
        <sz val="11"/>
        <color theme="1"/>
        <rFont val="Noto Sans SC"/>
        <charset val="134"/>
      </rPr>
      <t xml:space="preserve">（每个 </t>
    </r>
    <r>
      <rPr>
        <sz val="11"/>
        <color theme="1"/>
        <rFont val="Calibri"/>
        <charset val="1"/>
      </rPr>
      <t>Scatter</t>
    </r>
    <r>
      <rPr>
        <sz val="11"/>
        <color theme="1"/>
        <rFont val="Noto Sans SC"/>
        <charset val="134"/>
      </rPr>
      <t>）</t>
    </r>
  </si>
  <si>
    <t xml:space="preserve">【线型定义】数字 = 该条线在第 i 列走第几行（1=上 / 2=中 / 3=下）
 </t>
  </si>
  <si>
    <t>线</t>
  </si>
  <si>
    <t>线型</t>
  </si>
  <si>
    <t>Line1</t>
  </si>
  <si>
    <t>上横线</t>
  </si>
  <si>
    <t>Line2</t>
  </si>
  <si>
    <t>中横线</t>
  </si>
  <si>
    <t>Line3</t>
  </si>
  <si>
    <t>下横线</t>
  </si>
  <si>
    <t>Line4</t>
  </si>
  <si>
    <r>
      <rPr>
        <sz val="11"/>
        <color theme="1"/>
        <rFont val="Noto Sans SC"/>
        <charset val="134"/>
      </rPr>
      <t>下斜线（</t>
    </r>
    <r>
      <rPr>
        <sz val="11"/>
        <color theme="1"/>
        <rFont val="Calibri"/>
        <charset val="1"/>
      </rPr>
      <t xml:space="preserve">V </t>
    </r>
    <r>
      <rPr>
        <sz val="11"/>
        <color theme="1"/>
        <rFont val="Noto Sans SC"/>
        <charset val="134"/>
      </rPr>
      <t>形）</t>
    </r>
  </si>
  <si>
    <t>Line5</t>
  </si>
  <si>
    <r>
      <rPr>
        <sz val="11"/>
        <color theme="1"/>
        <rFont val="Noto Sans SC"/>
        <charset val="134"/>
      </rPr>
      <t>上斜线（</t>
    </r>
    <r>
      <rPr>
        <sz val="11"/>
        <color theme="1"/>
        <rFont val="Calibri"/>
        <charset val="1"/>
      </rPr>
      <t xml:space="preserve">Λ </t>
    </r>
    <r>
      <rPr>
        <sz val="11"/>
        <color theme="1"/>
        <rFont val="Noto Sans SC"/>
        <charset val="134"/>
      </rPr>
      <t>形）</t>
    </r>
  </si>
  <si>
    <t xml:space="preserve">注：滚轴为环绕带，窗口可停在该列的 N 个位置；因此每条线「按列」看到的格子分布，与该列整条带的分布完全一致（见「易错点-窗口环绕」页）。
 </t>
  </si>
  <si>
    <t xml:space="preserve">单线 RTP = Σ 逐符号(5连 / 4连 / 3连 出现次数 × 赔率) ÷ 所有可能数
 </t>
  </si>
  <si>
    <t>【逐符号计算】mᵢ = 第 i 列该符号数 + WILD 数；Xᵢ = Nᵢ − mᵢ</t>
  </si>
  <si>
    <t>符号</t>
  </si>
  <si>
    <t>m1</t>
  </si>
  <si>
    <t>m2</t>
  </si>
  <si>
    <t>m3</t>
  </si>
  <si>
    <t>m4</t>
  </si>
  <si>
    <t>m5</t>
  </si>
  <si>
    <t>X4</t>
  </si>
  <si>
    <t>X5</t>
  </si>
  <si>
    <t>N5</t>
  </si>
  <si>
    <r>
      <rPr>
        <b/>
        <sz val="11"/>
        <color rgb="FF1F4E79"/>
        <rFont val="Cambria"/>
        <charset val="1"/>
      </rPr>
      <t>5</t>
    </r>
    <r>
      <rPr>
        <b/>
        <sz val="11"/>
        <color rgb="FF1F4E79"/>
        <rFont val="Noto Sans SC"/>
        <charset val="134"/>
      </rPr>
      <t>连次数</t>
    </r>
  </si>
  <si>
    <r>
      <rPr>
        <b/>
        <sz val="11"/>
        <color rgb="FF1F4E79"/>
        <rFont val="Cambria"/>
        <charset val="1"/>
      </rPr>
      <t>4</t>
    </r>
    <r>
      <rPr>
        <b/>
        <sz val="11"/>
        <color rgb="FF1F4E79"/>
        <rFont val="Noto Sans SC"/>
        <charset val="134"/>
      </rPr>
      <t>连次数</t>
    </r>
  </si>
  <si>
    <r>
      <rPr>
        <b/>
        <sz val="11"/>
        <color rgb="FF1F4E79"/>
        <rFont val="Cambria"/>
        <charset val="1"/>
      </rPr>
      <t>3</t>
    </r>
    <r>
      <rPr>
        <b/>
        <sz val="11"/>
        <color rgb="FF1F4E79"/>
        <rFont val="Noto Sans SC"/>
        <charset val="134"/>
      </rPr>
      <t>连次数</t>
    </r>
  </si>
  <si>
    <r>
      <rPr>
        <b/>
        <sz val="11"/>
        <color rgb="FF1F4E79"/>
        <rFont val="Noto Sans SC"/>
        <charset val="134"/>
      </rPr>
      <t>赔</t>
    </r>
    <r>
      <rPr>
        <b/>
        <sz val="11"/>
        <color rgb="FF1F4E79"/>
        <rFont val="Cambria"/>
        <charset val="1"/>
      </rPr>
      <t>5</t>
    </r>
  </si>
  <si>
    <r>
      <rPr>
        <b/>
        <sz val="11"/>
        <color rgb="FF1F4E79"/>
        <rFont val="Noto Sans SC"/>
        <charset val="134"/>
      </rPr>
      <t>赔</t>
    </r>
    <r>
      <rPr>
        <b/>
        <sz val="11"/>
        <color rgb="FF1F4E79"/>
        <rFont val="Cambria"/>
        <charset val="1"/>
      </rPr>
      <t>4</t>
    </r>
  </si>
  <si>
    <r>
      <rPr>
        <b/>
        <sz val="11"/>
        <color rgb="FF1F4E79"/>
        <rFont val="Noto Sans SC"/>
        <charset val="134"/>
      </rPr>
      <t>赔</t>
    </r>
    <r>
      <rPr>
        <b/>
        <sz val="11"/>
        <color rgb="FF1F4E79"/>
        <rFont val="Cambria"/>
        <charset val="1"/>
      </rPr>
      <t>3</t>
    </r>
  </si>
  <si>
    <r>
      <rPr>
        <b/>
        <sz val="11"/>
        <color rgb="FF1F4E79"/>
        <rFont val="Cambria"/>
        <charset val="1"/>
      </rPr>
      <t>RTP</t>
    </r>
    <r>
      <rPr>
        <b/>
        <sz val="11"/>
        <color rgb="FF1F4E79"/>
        <rFont val="Noto Sans SC"/>
        <charset val="134"/>
      </rPr>
      <t>贡献</t>
    </r>
  </si>
  <si>
    <t>备注</t>
  </si>
  <si>
    <t>合计</t>
  </si>
  <si>
    <r>
      <rPr>
        <b/>
        <sz val="11"/>
        <rFont val="Noto Sans SC"/>
        <charset val="134"/>
      </rPr>
      <t xml:space="preserve">→ 单线 </t>
    </r>
    <r>
      <rPr>
        <b/>
        <sz val="11"/>
        <rFont val="Cambria"/>
        <charset val="1"/>
      </rPr>
      <t>RTP</t>
    </r>
  </si>
  <si>
    <t>【由单线结果读出的指标】</t>
  </si>
  <si>
    <r>
      <rPr>
        <sz val="11"/>
        <color theme="1"/>
        <rFont val="Noto Sans SC"/>
        <charset val="134"/>
      </rPr>
      <t xml:space="preserve">单线中奖率（至少一条 </t>
    </r>
    <r>
      <rPr>
        <sz val="11"/>
        <color theme="1"/>
        <rFont val="Calibri"/>
        <charset val="1"/>
      </rPr>
      <t xml:space="preserve">3 </t>
    </r>
    <r>
      <rPr>
        <sz val="11"/>
        <color theme="1"/>
        <rFont val="Noto Sans SC"/>
        <charset val="134"/>
      </rPr>
      <t>连及以上）</t>
    </r>
  </si>
  <si>
    <r>
      <rPr>
        <sz val="11"/>
        <color theme="1"/>
        <rFont val="Calibri"/>
        <charset val="1"/>
      </rPr>
      <t xml:space="preserve">← 5 </t>
    </r>
    <r>
      <rPr>
        <sz val="11"/>
        <color theme="1"/>
        <rFont val="Noto Sans SC"/>
        <charset val="134"/>
      </rPr>
      <t>条线各自的概率，见下页「可选线」</t>
    </r>
  </si>
  <si>
    <r>
      <rPr>
        <sz val="11"/>
        <color theme="1"/>
        <rFont val="Noto Sans SC"/>
        <charset val="134"/>
      </rPr>
      <t xml:space="preserve">单线 </t>
    </r>
    <r>
      <rPr>
        <sz val="11"/>
        <color theme="1"/>
        <rFont val="Calibri"/>
        <charset val="1"/>
      </rPr>
      <t>RTP</t>
    </r>
  </si>
  <si>
    <r>
      <rPr>
        <sz val="11"/>
        <color theme="1"/>
        <rFont val="Noto Sans SC"/>
        <charset val="134"/>
      </rPr>
      <t>单线平均中奖金额（倍注）</t>
    </r>
    <r>
      <rPr>
        <sz val="11"/>
        <color theme="1"/>
        <rFont val="Calibri"/>
        <charset val="1"/>
      </rPr>
      <t xml:space="preserve">= RTP ÷ </t>
    </r>
    <r>
      <rPr>
        <sz val="11"/>
        <color theme="1"/>
        <rFont val="Noto Sans SC"/>
        <charset val="134"/>
      </rPr>
      <t>中奖率</t>
    </r>
  </si>
  <si>
    <r>
      <rPr>
        <sz val="11"/>
        <color theme="1"/>
        <rFont val="Noto Sans SC"/>
        <charset val="134"/>
      </rPr>
      <t xml:space="preserve">其中 </t>
    </r>
    <r>
      <rPr>
        <sz val="11"/>
        <color theme="1"/>
        <rFont val="Calibri"/>
        <charset val="1"/>
      </rPr>
      <t xml:space="preserve">Scatter </t>
    </r>
    <r>
      <rPr>
        <sz val="11"/>
        <color theme="1"/>
        <rFont val="Noto Sans SC"/>
        <charset val="134"/>
      </rPr>
      <t xml:space="preserve">赔付另计（见免费篇 </t>
    </r>
    <r>
      <rPr>
        <sz val="11"/>
        <color theme="1"/>
        <rFont val="Calibri"/>
        <charset val="1"/>
      </rPr>
      <t>/ Part II</t>
    </r>
    <r>
      <rPr>
        <sz val="11"/>
        <color theme="1"/>
        <rFont val="Noto Sans SC"/>
        <charset val="134"/>
      </rPr>
      <t>），此处只算图案连线</t>
    </r>
  </si>
  <si>
    <r>
      <rPr>
        <sz val="11"/>
        <color rgb="FF808080"/>
        <rFont val="Noto Sans SC"/>
        <charset val="134"/>
      </rPr>
      <t xml:space="preserve">示例：单线 </t>
    </r>
    <r>
      <rPr>
        <sz val="11"/>
        <color rgb="FF808080"/>
        <rFont val="Cambria"/>
        <charset val="1"/>
      </rPr>
      <t>RTP 59.68%</t>
    </r>
    <r>
      <rPr>
        <sz val="11"/>
        <color rgb="FF808080"/>
        <rFont val="Noto Sans SC"/>
        <charset val="134"/>
      </rPr>
      <t>，与《</t>
    </r>
    <r>
      <rPr>
        <sz val="11"/>
        <color rgb="FF808080"/>
        <rFont val="Cambria"/>
        <charset val="1"/>
      </rPr>
      <t>Part II</t>
    </r>
    <r>
      <rPr>
        <sz val="11"/>
        <color rgb="FF808080"/>
        <rFont val="Noto Sans SC"/>
        <charset val="134"/>
      </rPr>
      <t xml:space="preserve">》主游戏连线 </t>
    </r>
    <r>
      <rPr>
        <sz val="11"/>
        <color rgb="FF808080"/>
        <rFont val="Cambria"/>
        <charset val="1"/>
      </rPr>
      <t xml:space="preserve">RTP </t>
    </r>
    <r>
      <rPr>
        <sz val="11"/>
        <color rgb="FF808080"/>
        <rFont val="Noto Sans SC"/>
        <charset val="134"/>
      </rPr>
      <t>完全一致</t>
    </r>
  </si>
  <si>
    <r>
      <rPr>
        <b/>
        <sz val="11"/>
        <color rgb="FF1F4E79"/>
        <rFont val="Noto Sans SC"/>
        <charset val="134"/>
      </rPr>
      <t>【</t>
    </r>
    <r>
      <rPr>
        <b/>
        <sz val="11"/>
        <color rgb="FF1F4E79"/>
        <rFont val="Cambria"/>
        <charset val="1"/>
      </rPr>
      <t xml:space="preserve">5 </t>
    </r>
    <r>
      <rPr>
        <b/>
        <sz val="11"/>
        <color rgb="FF1F4E79"/>
        <rFont val="Noto Sans SC"/>
        <charset val="134"/>
      </rPr>
      <t xml:space="preserve">条线的 </t>
    </r>
    <r>
      <rPr>
        <b/>
        <sz val="11"/>
        <color rgb="FF1F4E79"/>
        <rFont val="Cambria"/>
        <charset val="1"/>
      </rPr>
      <t xml:space="preserve">RTP </t>
    </r>
    <r>
      <rPr>
        <b/>
        <sz val="11"/>
        <color rgb="FF1F4E79"/>
        <rFont val="Noto Sans SC"/>
        <charset val="134"/>
      </rPr>
      <t>汇总】对称滚轴下各线统计相同</t>
    </r>
  </si>
  <si>
    <r>
      <rPr>
        <b/>
        <sz val="11"/>
        <color rgb="FF1F4E79"/>
        <rFont val="Noto Sans SC"/>
        <charset val="134"/>
      </rPr>
      <t xml:space="preserve">单线 </t>
    </r>
    <r>
      <rPr>
        <b/>
        <sz val="11"/>
        <color rgb="FF1F4E79"/>
        <rFont val="Cambria"/>
        <charset val="1"/>
      </rPr>
      <t>RTP</t>
    </r>
  </si>
  <si>
    <r>
      <rPr>
        <b/>
        <sz val="11"/>
        <color rgb="FF1F4E79"/>
        <rFont val="Noto Sans SC"/>
        <charset val="134"/>
      </rPr>
      <t>投注</t>
    </r>
    <r>
      <rPr>
        <b/>
        <sz val="11"/>
        <color rgb="FF1F4E79"/>
        <rFont val="Cambria"/>
        <charset val="1"/>
      </rPr>
      <t>(</t>
    </r>
    <r>
      <rPr>
        <b/>
        <sz val="11"/>
        <color rgb="FF1F4E79"/>
        <rFont val="Noto Sans SC"/>
        <charset val="134"/>
      </rPr>
      <t>倍线注</t>
    </r>
    <r>
      <rPr>
        <b/>
        <sz val="11"/>
        <color rgb="FF1F4E79"/>
        <rFont val="Cambria"/>
        <charset val="1"/>
      </rPr>
      <t>)</t>
    </r>
  </si>
  <si>
    <r>
      <rPr>
        <b/>
        <sz val="11"/>
        <color rgb="FF1F4E79"/>
        <rFont val="Noto Sans SC"/>
        <charset val="134"/>
      </rPr>
      <t>返还</t>
    </r>
    <r>
      <rPr>
        <b/>
        <sz val="11"/>
        <color rgb="FF1F4E79"/>
        <rFont val="Cambria"/>
        <charset val="1"/>
      </rPr>
      <t>(</t>
    </r>
    <r>
      <rPr>
        <b/>
        <sz val="11"/>
        <color rgb="FF1F4E79"/>
        <rFont val="Noto Sans SC"/>
        <charset val="134"/>
      </rPr>
      <t>倍线注</t>
    </r>
    <r>
      <rPr>
        <b/>
        <sz val="11"/>
        <color rgb="FF1F4E79"/>
        <rFont val="Cambria"/>
        <charset val="1"/>
      </rPr>
      <t>)</t>
    </r>
  </si>
  <si>
    <r>
      <rPr>
        <b/>
        <sz val="11"/>
        <color rgb="FF1F4E79"/>
        <rFont val="Noto Sans SC"/>
        <charset val="134"/>
      </rPr>
      <t xml:space="preserve">总 </t>
    </r>
    <r>
      <rPr>
        <b/>
        <sz val="11"/>
        <color rgb="FF1F4E79"/>
        <rFont val="Cambria"/>
        <charset val="1"/>
      </rPr>
      <t>RTP</t>
    </r>
  </si>
  <si>
    <t xml:space="preserve">结论：只要每列的滚轴分布不随「行」变化（环绕带就是如此），每条线的单线 RTP 完全相同。
 </t>
  </si>
  <si>
    <t xml:space="preserve">因此——加线不会改变 RTP，只会改变「单次旋转总投注」与「中奖率 / 波动」。这正是有线段位 / 可选线段位的数值基础。 </t>
  </si>
  <si>
    <r>
      <rPr>
        <b/>
        <sz val="14"/>
        <color rgb="FF1F4E79"/>
        <rFont val="Noto Sans SC"/>
        <charset val="134"/>
      </rPr>
      <t xml:space="preserve">线注换算 与「可选线」对中奖率 </t>
    </r>
    <r>
      <rPr>
        <b/>
        <sz val="14"/>
        <color rgb="FF1F4E79"/>
        <rFont val="Cambria"/>
        <charset val="1"/>
      </rPr>
      <t xml:space="preserve">/ RTP </t>
    </r>
    <r>
      <rPr>
        <b/>
        <sz val="14"/>
        <color rgb="FF1F4E79"/>
        <rFont val="Noto Sans SC"/>
        <charset val="134"/>
      </rPr>
      <t>的影响</t>
    </r>
  </si>
  <si>
    <t>【线注换算】</t>
  </si>
  <si>
    <r>
      <rPr>
        <sz val="11"/>
        <color theme="1"/>
        <rFont val="Noto Sans SC"/>
        <charset val="134"/>
      </rPr>
      <t xml:space="preserve">线数 </t>
    </r>
    <r>
      <rPr>
        <sz val="11"/>
        <color theme="1"/>
        <rFont val="Calibri"/>
        <charset val="1"/>
      </rPr>
      <t>L</t>
    </r>
  </si>
  <si>
    <t>单次旋转总投注（线注计）</t>
  </si>
  <si>
    <t>→ 每条线投注（线注）</t>
  </si>
  <si>
    <r>
      <rPr>
        <sz val="11"/>
        <color theme="1"/>
        <rFont val="Noto Sans SC"/>
        <charset val="134"/>
      </rPr>
      <t xml:space="preserve">记账比例 </t>
    </r>
    <r>
      <rPr>
        <sz val="11"/>
        <color theme="1"/>
        <rFont val="Calibri"/>
        <charset val="1"/>
      </rPr>
      <t>P</t>
    </r>
    <r>
      <rPr>
        <sz val="11"/>
        <color theme="1"/>
        <rFont val="Noto Sans SC"/>
        <charset val="134"/>
      </rPr>
      <t>（</t>
    </r>
    <r>
      <rPr>
        <sz val="11"/>
        <color theme="1"/>
        <rFont val="Calibri"/>
        <charset val="1"/>
      </rPr>
      <t xml:space="preserve">1 </t>
    </r>
    <r>
      <rPr>
        <sz val="11"/>
        <color theme="1"/>
        <rFont val="Noto Sans SC"/>
        <charset val="134"/>
      </rPr>
      <t xml:space="preserve">个线注 </t>
    </r>
    <r>
      <rPr>
        <sz val="11"/>
        <color theme="1"/>
        <rFont val="Calibri"/>
        <charset val="1"/>
      </rPr>
      <t xml:space="preserve">= P </t>
    </r>
    <r>
      <rPr>
        <sz val="11"/>
        <color theme="1"/>
        <rFont val="Noto Sans SC"/>
        <charset val="134"/>
      </rPr>
      <t>个记账单位）</t>
    </r>
  </si>
  <si>
    <t>→ 单次旋转记账总投注</t>
  </si>
  <si>
    <t>→ 每条线记账投注</t>
  </si>
  <si>
    <r>
      <rPr>
        <sz val="11"/>
        <color rgb="FF808080"/>
        <rFont val="Noto Sans SC"/>
        <charset val="134"/>
      </rPr>
      <t xml:space="preserve">原文：设计者会设定一个固定比例以避免出现除不尽的小数 —— 将比例设为 </t>
    </r>
    <r>
      <rPr>
        <sz val="11"/>
        <color rgb="FF808080"/>
        <rFont val="Cambria"/>
        <charset val="1"/>
      </rPr>
      <t xml:space="preserve">10000 </t>
    </r>
    <r>
      <rPr>
        <sz val="11"/>
        <color rgb="FF808080"/>
        <rFont val="Noto Sans SC"/>
        <charset val="134"/>
      </rPr>
      <t>时，</t>
    </r>
    <r>
      <rPr>
        <sz val="11"/>
        <color rgb="FF808080"/>
        <rFont val="Cambria"/>
        <charset val="1"/>
      </rPr>
      <t xml:space="preserve">10000 </t>
    </r>
    <r>
      <rPr>
        <sz val="11"/>
        <color rgb="FF808080"/>
        <rFont val="Noto Sans SC"/>
        <charset val="134"/>
      </rPr>
      <t xml:space="preserve">总投注对应的线注就是 </t>
    </r>
    <r>
      <rPr>
        <sz val="11"/>
        <color rgb="FF808080"/>
        <rFont val="Cambria"/>
        <charset val="1"/>
      </rPr>
      <t>1</t>
    </r>
    <r>
      <rPr>
        <sz val="11"/>
        <color rgb="FF808080"/>
        <rFont val="Noto Sans SC"/>
        <charset val="134"/>
      </rPr>
      <t>。</t>
    </r>
  </si>
  <si>
    <r>
      <rPr>
        <b/>
        <sz val="11"/>
        <color rgb="FF1F4E79"/>
        <rFont val="Noto Sans SC"/>
        <charset val="134"/>
      </rPr>
      <t xml:space="preserve">【可选线：玩家只买 </t>
    </r>
    <r>
      <rPr>
        <b/>
        <sz val="11"/>
        <color rgb="FF1F4E79"/>
        <rFont val="Cambria"/>
        <charset val="1"/>
      </rPr>
      <t xml:space="preserve">n </t>
    </r>
    <r>
      <rPr>
        <b/>
        <sz val="11"/>
        <color rgb="FF1F4E79"/>
        <rFont val="Noto Sans SC"/>
        <charset val="134"/>
      </rPr>
      <t>条线】</t>
    </r>
  </si>
  <si>
    <r>
      <rPr>
        <b/>
        <sz val="11"/>
        <color rgb="FF1F4E79"/>
        <rFont val="Noto Sans SC"/>
        <charset val="134"/>
      </rPr>
      <t xml:space="preserve">购买线数 </t>
    </r>
    <r>
      <rPr>
        <b/>
        <sz val="11"/>
        <color rgb="FF1F4E79"/>
        <rFont val="Cambria"/>
        <charset val="1"/>
      </rPr>
      <t>n</t>
    </r>
  </si>
  <si>
    <r>
      <rPr>
        <b/>
        <sz val="11"/>
        <color rgb="FF1F4E79"/>
        <rFont val="Noto Sans SC"/>
        <charset val="134"/>
      </rPr>
      <t>单次总投注</t>
    </r>
    <r>
      <rPr>
        <b/>
        <sz val="11"/>
        <color rgb="FF1F4E79"/>
        <rFont val="Cambria"/>
        <charset val="1"/>
      </rPr>
      <t>(</t>
    </r>
    <r>
      <rPr>
        <b/>
        <sz val="11"/>
        <color rgb="FF1F4E79"/>
        <rFont val="Noto Sans SC"/>
        <charset val="134"/>
      </rPr>
      <t>线注</t>
    </r>
    <r>
      <rPr>
        <b/>
        <sz val="11"/>
        <color rgb="FF1F4E79"/>
        <rFont val="Cambria"/>
        <charset val="1"/>
      </rPr>
      <t>)</t>
    </r>
  </si>
  <si>
    <r>
      <rPr>
        <b/>
        <sz val="11"/>
        <color rgb="FF1F4E79"/>
        <rFont val="Noto Sans SC"/>
        <charset val="134"/>
      </rPr>
      <t xml:space="preserve">单线中奖率 </t>
    </r>
    <r>
      <rPr>
        <b/>
        <sz val="11"/>
        <color rgb="FF1F4E79"/>
        <rFont val="Cambria"/>
        <charset val="1"/>
      </rPr>
      <t>p1</t>
    </r>
  </si>
  <si>
    <t>至少中一条线的概率</t>
  </si>
  <si>
    <r>
      <rPr>
        <b/>
        <sz val="11"/>
        <color rgb="FF1F4E79"/>
        <rFont val="Noto Sans SC"/>
        <charset val="134"/>
      </rPr>
      <t>单次总返还</t>
    </r>
    <r>
      <rPr>
        <b/>
        <sz val="11"/>
        <color rgb="FF1F4E79"/>
        <rFont val="Cambria"/>
        <charset val="1"/>
      </rPr>
      <t>(</t>
    </r>
    <r>
      <rPr>
        <b/>
        <sz val="11"/>
        <color rgb="FF1F4E79"/>
        <rFont val="Noto Sans SC"/>
        <charset val="134"/>
      </rPr>
      <t>线注</t>
    </r>
    <r>
      <rPr>
        <b/>
        <sz val="11"/>
        <color rgb="FF1F4E79"/>
        <rFont val="Cambria"/>
        <charset val="1"/>
      </rPr>
      <t>)</t>
    </r>
  </si>
  <si>
    <t>每转期望返还</t>
  </si>
  <si>
    <r>
      <rPr>
        <sz val="11"/>
        <color rgb="FF808080"/>
        <rFont val="Noto Sans SC"/>
        <charset val="134"/>
      </rPr>
      <t xml:space="preserve">注：总返还 </t>
    </r>
    <r>
      <rPr>
        <sz val="11"/>
        <color rgb="FF808080"/>
        <rFont val="Cambria"/>
        <charset val="1"/>
      </rPr>
      <t xml:space="preserve">= </t>
    </r>
    <r>
      <rPr>
        <sz val="11"/>
        <color rgb="FF808080"/>
        <rFont val="Noto Sans SC"/>
        <charset val="134"/>
      </rPr>
      <t xml:space="preserve">总投注 </t>
    </r>
    <r>
      <rPr>
        <sz val="11"/>
        <color rgb="FF808080"/>
        <rFont val="Cambria"/>
        <charset val="1"/>
      </rPr>
      <t xml:space="preserve">× </t>
    </r>
    <r>
      <rPr>
        <sz val="11"/>
        <color rgb="FF808080"/>
        <rFont val="Noto Sans SC"/>
        <charset val="134"/>
      </rPr>
      <t xml:space="preserve">单线 </t>
    </r>
    <r>
      <rPr>
        <sz val="11"/>
        <color rgb="FF808080"/>
        <rFont val="Cambria"/>
        <charset val="1"/>
      </rPr>
      <t>RTP</t>
    </r>
    <r>
      <rPr>
        <sz val="11"/>
        <color rgb="FF808080"/>
        <rFont val="Noto Sans SC"/>
        <charset val="134"/>
      </rPr>
      <t xml:space="preserve">（因为每条线的期望完全一样），故 </t>
    </r>
    <r>
      <rPr>
        <sz val="11"/>
        <color rgb="FF808080"/>
        <rFont val="Cambria"/>
        <charset val="1"/>
      </rPr>
      <t xml:space="preserve">RTP </t>
    </r>
    <r>
      <rPr>
        <sz val="11"/>
        <color rgb="FF808080"/>
        <rFont val="Noto Sans SC"/>
        <charset val="134"/>
      </rPr>
      <t xml:space="preserve">恒等于单线 </t>
    </r>
    <r>
      <rPr>
        <sz val="11"/>
        <color rgb="FF808080"/>
        <rFont val="Cambria"/>
        <charset val="1"/>
      </rPr>
      <t>RTP</t>
    </r>
    <r>
      <rPr>
        <sz val="11"/>
        <color rgb="FF808080"/>
        <rFont val="Noto Sans SC"/>
        <charset val="134"/>
      </rPr>
      <t>。</t>
    </r>
  </si>
  <si>
    <r>
      <rPr>
        <sz val="11"/>
        <color rgb="FF808080"/>
        <rFont val="Noto Sans SC"/>
        <charset val="134"/>
      </rPr>
      <t>选线越少 → 单次下注越少、中奖率越低；选线越多 → 中奖更频繁但单次下注更大。</t>
    </r>
    <r>
      <rPr>
        <sz val="11"/>
        <color rgb="FF808080"/>
        <rFont val="Cambria"/>
        <charset val="1"/>
      </rPr>
      <t xml:space="preserve">RTP </t>
    </r>
    <r>
      <rPr>
        <sz val="11"/>
        <color rgb="FF808080"/>
        <rFont val="Noto Sans SC"/>
        <charset val="134"/>
      </rPr>
      <t>不变。</t>
    </r>
  </si>
  <si>
    <r>
      <rPr>
        <b/>
        <sz val="14"/>
        <color rgb="FF1F4E79"/>
        <rFont val="Noto Sans SC"/>
        <charset val="134"/>
      </rPr>
      <t>满线（</t>
    </r>
    <r>
      <rPr>
        <b/>
        <sz val="14"/>
        <color rgb="FF1F4E79"/>
        <rFont val="Cambria"/>
        <charset val="1"/>
      </rPr>
      <t>Ways</t>
    </r>
    <r>
      <rPr>
        <b/>
        <sz val="14"/>
        <color rgb="FF1F4E79"/>
        <rFont val="Noto Sans SC"/>
        <charset val="134"/>
      </rPr>
      <t>）与有线（</t>
    </r>
    <r>
      <rPr>
        <b/>
        <sz val="14"/>
        <color rgb="FF1F4E79"/>
        <rFont val="Cambria"/>
        <charset val="1"/>
      </rPr>
      <t>Lines</t>
    </r>
    <r>
      <rPr>
        <b/>
        <sz val="14"/>
        <color rgb="FF1F4E79"/>
        <rFont val="Noto Sans SC"/>
        <charset val="134"/>
      </rPr>
      <t>）的关系</t>
    </r>
  </si>
  <si>
    <r>
      <rPr>
        <b/>
        <sz val="11"/>
        <color rgb="FF1F4E79"/>
        <rFont val="Noto Sans SC"/>
        <charset val="134"/>
      </rPr>
      <t>【</t>
    </r>
    <r>
      <rPr>
        <b/>
        <sz val="11"/>
        <color rgb="FF1F4E79"/>
        <rFont val="Cambria"/>
        <charset val="1"/>
      </rPr>
      <t xml:space="preserve">ways </t>
    </r>
    <r>
      <rPr>
        <b/>
        <sz val="11"/>
        <color rgb="FF1F4E79"/>
        <rFont val="Noto Sans SC"/>
        <charset val="134"/>
      </rPr>
      <t>数与滚轴结构】</t>
    </r>
  </si>
  <si>
    <t>规格</t>
  </si>
  <si>
    <t>每列可见格</t>
  </si>
  <si>
    <t>列数</t>
  </si>
  <si>
    <r>
      <rPr>
        <b/>
        <sz val="11"/>
        <color rgb="FF1F4E79"/>
        <rFont val="Cambria"/>
        <charset val="1"/>
      </rPr>
      <t xml:space="preserve">ways </t>
    </r>
    <r>
      <rPr>
        <b/>
        <sz val="11"/>
        <color rgb="FF1F4E79"/>
        <rFont val="Noto Sans SC"/>
        <charset val="134"/>
      </rPr>
      <t xml:space="preserve">数 </t>
    </r>
    <r>
      <rPr>
        <b/>
        <sz val="11"/>
        <color rgb="FF1F4E79"/>
        <rFont val="Cambria"/>
        <charset val="1"/>
      </rPr>
      <t xml:space="preserve">= </t>
    </r>
    <r>
      <rPr>
        <b/>
        <sz val="11"/>
        <color rgb="FF1F4E79"/>
        <rFont val="Noto Sans SC"/>
        <charset val="134"/>
      </rPr>
      <t>可见格</t>
    </r>
    <r>
      <rPr>
        <b/>
        <sz val="11"/>
        <color rgb="FF1F4E79"/>
        <rFont val="Cambria"/>
        <charset val="1"/>
      </rPr>
      <t>^</t>
    </r>
    <r>
      <rPr>
        <b/>
        <sz val="11"/>
        <color rgb="FF1F4E79"/>
        <rFont val="Noto Sans SC"/>
        <charset val="134"/>
      </rPr>
      <t>列数</t>
    </r>
  </si>
  <si>
    <t>说明</t>
  </si>
  <si>
    <r>
      <rPr>
        <sz val="11"/>
        <color theme="1"/>
        <rFont val="Calibri"/>
        <charset val="1"/>
      </rPr>
      <t xml:space="preserve">3 </t>
    </r>
    <r>
      <rPr>
        <sz val="11"/>
        <color theme="1"/>
        <rFont val="Noto Sans SC"/>
        <charset val="134"/>
      </rPr>
      <t xml:space="preserve">行 </t>
    </r>
    <r>
      <rPr>
        <sz val="11"/>
        <color theme="1"/>
        <rFont val="Calibri"/>
        <charset val="1"/>
      </rPr>
      <t xml:space="preserve">× 5 </t>
    </r>
    <r>
      <rPr>
        <sz val="11"/>
        <color theme="1"/>
        <rFont val="Noto Sans SC"/>
        <charset val="134"/>
      </rPr>
      <t>列</t>
    </r>
  </si>
  <si>
    <t>最经典的满线规格</t>
  </si>
  <si>
    <r>
      <rPr>
        <sz val="11"/>
        <color theme="1"/>
        <rFont val="Calibri"/>
        <charset val="1"/>
      </rPr>
      <t xml:space="preserve">4 </t>
    </r>
    <r>
      <rPr>
        <sz val="11"/>
        <color theme="1"/>
        <rFont val="Noto Sans SC"/>
        <charset val="134"/>
      </rPr>
      <t xml:space="preserve">行 </t>
    </r>
    <r>
      <rPr>
        <sz val="11"/>
        <color theme="1"/>
        <rFont val="Calibri"/>
        <charset val="1"/>
      </rPr>
      <t xml:space="preserve">× 5 </t>
    </r>
    <r>
      <rPr>
        <sz val="11"/>
        <color theme="1"/>
        <rFont val="Noto Sans SC"/>
        <charset val="134"/>
      </rPr>
      <t>列</t>
    </r>
  </si>
  <si>
    <r>
      <rPr>
        <sz val="11"/>
        <color theme="1"/>
        <rFont val="Calibri"/>
        <charset val="1"/>
      </rPr>
      <t xml:space="preserve">5 </t>
    </r>
    <r>
      <rPr>
        <sz val="11"/>
        <color theme="1"/>
        <rFont val="Noto Sans SC"/>
        <charset val="134"/>
      </rPr>
      <t xml:space="preserve">行 </t>
    </r>
    <r>
      <rPr>
        <sz val="11"/>
        <color theme="1"/>
        <rFont val="Calibri"/>
        <charset val="1"/>
      </rPr>
      <t xml:space="preserve">× 5 </t>
    </r>
    <r>
      <rPr>
        <sz val="11"/>
        <color theme="1"/>
        <rFont val="Noto Sans SC"/>
        <charset val="134"/>
      </rPr>
      <t>列</t>
    </r>
  </si>
  <si>
    <r>
      <rPr>
        <sz val="11"/>
        <color theme="1"/>
        <rFont val="Calibri"/>
        <charset val="1"/>
      </rPr>
      <t xml:space="preserve">3 </t>
    </r>
    <r>
      <rPr>
        <sz val="11"/>
        <color theme="1"/>
        <rFont val="Noto Sans SC"/>
        <charset val="134"/>
      </rPr>
      <t xml:space="preserve">行 </t>
    </r>
    <r>
      <rPr>
        <sz val="11"/>
        <color theme="1"/>
        <rFont val="Calibri"/>
        <charset val="1"/>
      </rPr>
      <t xml:space="preserve">× 3 </t>
    </r>
    <r>
      <rPr>
        <sz val="11"/>
        <color theme="1"/>
        <rFont val="Noto Sans SC"/>
        <charset val="134"/>
      </rPr>
      <t>列</t>
    </r>
  </si>
  <si>
    <r>
      <rPr>
        <sz val="11"/>
        <color theme="1"/>
        <rFont val="Calibri"/>
        <charset val="1"/>
      </rPr>
      <t xml:space="preserve">4 </t>
    </r>
    <r>
      <rPr>
        <sz val="11"/>
        <color theme="1"/>
        <rFont val="Noto Sans SC"/>
        <charset val="134"/>
      </rPr>
      <t xml:space="preserve">行 </t>
    </r>
    <r>
      <rPr>
        <sz val="11"/>
        <color theme="1"/>
        <rFont val="Calibri"/>
        <charset val="1"/>
      </rPr>
      <t xml:space="preserve">× 3 </t>
    </r>
    <r>
      <rPr>
        <sz val="11"/>
        <color theme="1"/>
        <rFont val="Noto Sans SC"/>
        <charset val="134"/>
      </rPr>
      <t>列</t>
    </r>
  </si>
  <si>
    <r>
      <rPr>
        <b/>
        <sz val="11"/>
        <color rgb="FF1F4E79"/>
        <rFont val="Noto Sans SC"/>
        <charset val="134"/>
      </rPr>
      <t xml:space="preserve">【每列可见匹配格数 → </t>
    </r>
    <r>
      <rPr>
        <b/>
        <sz val="11"/>
        <color rgb="FF1F4E79"/>
        <rFont val="Cambria"/>
        <charset val="1"/>
      </rPr>
      <t>ways</t>
    </r>
    <r>
      <rPr>
        <b/>
        <sz val="11"/>
        <color rgb="FF1F4E79"/>
        <rFont val="Noto Sans SC"/>
        <charset val="134"/>
      </rPr>
      <t>】</t>
    </r>
  </si>
  <si>
    <r>
      <rPr>
        <sz val="11"/>
        <color theme="1"/>
        <rFont val="Noto Sans SC"/>
        <charset val="134"/>
      </rPr>
      <t xml:space="preserve">举例：某符号在某列 </t>
    </r>
    <r>
      <rPr>
        <sz val="11"/>
        <color theme="1"/>
        <rFont val="Calibri"/>
        <charset val="1"/>
      </rPr>
      <t xml:space="preserve">20 </t>
    </r>
    <r>
      <rPr>
        <sz val="11"/>
        <color theme="1"/>
        <rFont val="Noto Sans SC"/>
        <charset val="134"/>
      </rPr>
      <t xml:space="preserve">停转轮里出现 </t>
    </r>
    <r>
      <rPr>
        <sz val="11"/>
        <color theme="1"/>
        <rFont val="Calibri"/>
        <charset val="1"/>
      </rPr>
      <t xml:space="preserve">c </t>
    </r>
    <r>
      <rPr>
        <sz val="11"/>
        <color theme="1"/>
        <rFont val="Noto Sans SC"/>
        <charset val="134"/>
      </rPr>
      <t>次、</t>
    </r>
    <r>
      <rPr>
        <sz val="11"/>
        <color theme="1"/>
        <rFont val="Calibri"/>
        <charset val="1"/>
      </rPr>
      <t xml:space="preserve">WILD </t>
    </r>
    <r>
      <rPr>
        <sz val="11"/>
        <color theme="1"/>
        <rFont val="Noto Sans SC"/>
        <charset val="134"/>
      </rPr>
      <t xml:space="preserve">出现 </t>
    </r>
    <r>
      <rPr>
        <sz val="11"/>
        <color theme="1"/>
        <rFont val="Calibri"/>
        <charset val="1"/>
      </rPr>
      <t xml:space="preserve">w </t>
    </r>
    <r>
      <rPr>
        <sz val="11"/>
        <color theme="1"/>
        <rFont val="Noto Sans SC"/>
        <charset val="134"/>
      </rPr>
      <t xml:space="preserve">次；窗口 </t>
    </r>
    <r>
      <rPr>
        <sz val="11"/>
        <color theme="1"/>
        <rFont val="Calibri"/>
        <charset val="1"/>
      </rPr>
      <t xml:space="preserve">3 </t>
    </r>
    <r>
      <rPr>
        <sz val="11"/>
        <color theme="1"/>
        <rFont val="Noto Sans SC"/>
        <charset val="134"/>
      </rPr>
      <t>格</t>
    </r>
  </si>
  <si>
    <r>
      <rPr>
        <sz val="11"/>
        <color theme="1"/>
        <rFont val="Noto Sans SC"/>
        <charset val="134"/>
      </rPr>
      <t xml:space="preserve">每列期望匹配格数 </t>
    </r>
    <r>
      <rPr>
        <sz val="11"/>
        <color theme="1"/>
        <rFont val="Calibri"/>
        <charset val="1"/>
      </rPr>
      <t>e = 3 × (c + w) ÷ N</t>
    </r>
  </si>
  <si>
    <r>
      <rPr>
        <sz val="11"/>
        <color theme="1"/>
        <rFont val="Calibri"/>
        <charset val="1"/>
      </rPr>
      <t xml:space="preserve">5 </t>
    </r>
    <r>
      <rPr>
        <sz val="11"/>
        <color theme="1"/>
        <rFont val="Noto Sans SC"/>
        <charset val="134"/>
      </rPr>
      <t xml:space="preserve">列全部匹配的 </t>
    </r>
    <r>
      <rPr>
        <sz val="11"/>
        <color theme="1"/>
        <rFont val="Calibri"/>
        <charset val="1"/>
      </rPr>
      <t xml:space="preserve">ways </t>
    </r>
    <r>
      <rPr>
        <sz val="11"/>
        <color theme="1"/>
        <rFont val="Noto Sans SC"/>
        <charset val="134"/>
      </rPr>
      <t xml:space="preserve">期望 </t>
    </r>
    <r>
      <rPr>
        <sz val="11"/>
        <color theme="1"/>
        <rFont val="Calibri"/>
        <charset val="1"/>
      </rPr>
      <t>= Π eᵢ</t>
    </r>
  </si>
  <si>
    <r>
      <rPr>
        <sz val="11"/>
        <color rgb="FF808080"/>
        <rFont val="Noto Sans SC"/>
        <charset val="134"/>
      </rPr>
      <t xml:space="preserve">说明：满线的命中条件放宽为「每列至少有 </t>
    </r>
    <r>
      <rPr>
        <sz val="11"/>
        <color rgb="FF808080"/>
        <rFont val="Cambria"/>
        <charset val="1"/>
      </rPr>
      <t xml:space="preserve">1 </t>
    </r>
    <r>
      <rPr>
        <sz val="11"/>
        <color rgb="FF808080"/>
        <rFont val="Noto Sans SC"/>
        <charset val="134"/>
      </rPr>
      <t xml:space="preserve">格是目标符号（或 </t>
    </r>
    <r>
      <rPr>
        <sz val="11"/>
        <color rgb="FF808080"/>
        <rFont val="Cambria"/>
        <charset val="1"/>
      </rPr>
      <t>WILD</t>
    </r>
    <r>
      <rPr>
        <sz val="11"/>
        <color rgb="FF808080"/>
        <rFont val="Noto Sans SC"/>
        <charset val="134"/>
      </rPr>
      <t>）」，</t>
    </r>
    <r>
      <rPr>
        <sz val="11"/>
        <color rgb="FF808080"/>
        <rFont val="Cambria"/>
        <charset val="1"/>
      </rPr>
      <t xml:space="preserve">ways </t>
    </r>
    <r>
      <rPr>
        <sz val="11"/>
        <color rgb="FF808080"/>
        <rFont val="Noto Sans SC"/>
        <charset val="134"/>
      </rPr>
      <t xml:space="preserve">数 </t>
    </r>
    <r>
      <rPr>
        <sz val="11"/>
        <color rgb="FF808080"/>
        <rFont val="Cambria"/>
        <charset val="1"/>
      </rPr>
      <t xml:space="preserve">= </t>
    </r>
    <r>
      <rPr>
        <sz val="11"/>
        <color rgb="FF808080"/>
        <rFont val="Noto Sans SC"/>
        <charset val="134"/>
      </rPr>
      <t xml:space="preserve">各列匹配格数的乘积。因此满线中奖率远高于有线，波动更低，但每条 </t>
    </r>
    <r>
      <rPr>
        <sz val="11"/>
        <color rgb="FF808080"/>
        <rFont val="Cambria"/>
        <charset val="1"/>
      </rPr>
      <t xml:space="preserve">ways </t>
    </r>
    <r>
      <rPr>
        <sz val="11"/>
        <color rgb="FF808080"/>
        <rFont val="Noto Sans SC"/>
        <charset val="134"/>
      </rPr>
      <t>的赔付倍数要相应下调，</t>
    </r>
    <r>
      <rPr>
        <sz val="11"/>
        <color rgb="FF808080"/>
        <rFont val="Cambria"/>
        <charset val="1"/>
      </rPr>
      <t xml:space="preserve">RTP </t>
    </r>
    <r>
      <rPr>
        <sz val="11"/>
        <color rgb="FF808080"/>
        <rFont val="Noto Sans SC"/>
        <charset val="134"/>
      </rPr>
      <t>才守得住。</t>
    </r>
  </si>
  <si>
    <r>
      <rPr>
        <b/>
        <sz val="11"/>
        <color rgb="FF1F4E79"/>
        <rFont val="Noto Sans SC"/>
        <charset val="134"/>
      </rPr>
      <t xml:space="preserve">【有线 </t>
    </r>
    <r>
      <rPr>
        <b/>
        <sz val="11"/>
        <color rgb="FF1F4E79"/>
        <rFont val="Cambria"/>
        <charset val="1"/>
      </rPr>
      <t xml:space="preserve">vs </t>
    </r>
    <r>
      <rPr>
        <b/>
        <sz val="11"/>
        <color rgb="FF1F4E79"/>
        <rFont val="Noto Sans SC"/>
        <charset val="134"/>
      </rPr>
      <t>满线 的对比】</t>
    </r>
  </si>
  <si>
    <t>对比项</t>
  </si>
  <si>
    <r>
      <rPr>
        <b/>
        <sz val="11"/>
        <color rgb="FF1F4E79"/>
        <rFont val="Noto Sans SC"/>
        <charset val="134"/>
      </rPr>
      <t>有线（</t>
    </r>
    <r>
      <rPr>
        <b/>
        <sz val="11"/>
        <color rgb="FF1F4E79"/>
        <rFont val="Cambria"/>
        <charset val="1"/>
      </rPr>
      <t>Lines</t>
    </r>
    <r>
      <rPr>
        <b/>
        <sz val="11"/>
        <color rgb="FF1F4E79"/>
        <rFont val="Noto Sans SC"/>
        <charset val="134"/>
      </rPr>
      <t>）</t>
    </r>
  </si>
  <si>
    <r>
      <rPr>
        <b/>
        <sz val="11"/>
        <color rgb="FF1F4E79"/>
        <rFont val="Noto Sans SC"/>
        <charset val="134"/>
      </rPr>
      <t>满线（</t>
    </r>
    <r>
      <rPr>
        <b/>
        <sz val="11"/>
        <color rgb="FF1F4E79"/>
        <rFont val="Cambria"/>
        <charset val="1"/>
      </rPr>
      <t>Ways</t>
    </r>
    <r>
      <rPr>
        <b/>
        <sz val="11"/>
        <color rgb="FF1F4E79"/>
        <rFont val="Noto Sans SC"/>
        <charset val="134"/>
      </rPr>
      <t>）</t>
    </r>
  </si>
  <si>
    <t>中奖判定</t>
  </si>
  <si>
    <r>
      <rPr>
        <sz val="11"/>
        <color theme="1"/>
        <rFont val="Noto Sans SC"/>
        <charset val="134"/>
      </rPr>
      <t xml:space="preserve">同图案自第 </t>
    </r>
    <r>
      <rPr>
        <sz val="11"/>
        <color theme="1"/>
        <rFont val="Calibri"/>
        <charset val="1"/>
      </rPr>
      <t xml:space="preserve">1 </t>
    </r>
    <r>
      <rPr>
        <sz val="11"/>
        <color theme="1"/>
        <rFont val="Noto Sans SC"/>
        <charset val="134"/>
      </rPr>
      <t xml:space="preserve">轴起，沿固定 </t>
    </r>
    <r>
      <rPr>
        <sz val="11"/>
        <color theme="1"/>
        <rFont val="Calibri"/>
        <charset val="1"/>
      </rPr>
      <t xml:space="preserve">payline </t>
    </r>
    <r>
      <rPr>
        <sz val="11"/>
        <color theme="1"/>
        <rFont val="Noto Sans SC"/>
        <charset val="134"/>
      </rPr>
      <t>连续</t>
    </r>
  </si>
  <si>
    <r>
      <rPr>
        <sz val="11"/>
        <color theme="1"/>
        <rFont val="Noto Sans SC"/>
        <charset val="134"/>
      </rPr>
      <t xml:space="preserve">同图案自第 </t>
    </r>
    <r>
      <rPr>
        <sz val="11"/>
        <color theme="1"/>
        <rFont val="Calibri"/>
        <charset val="1"/>
      </rPr>
      <t xml:space="preserve">1 </t>
    </r>
    <r>
      <rPr>
        <sz val="11"/>
        <color theme="1"/>
        <rFont val="Noto Sans SC"/>
        <charset val="134"/>
      </rPr>
      <t>轴起，每列任一格命中即算</t>
    </r>
  </si>
  <si>
    <t>组合数量</t>
  </si>
  <si>
    <r>
      <rPr>
        <sz val="11"/>
        <color theme="1"/>
        <rFont val="Noto Sans SC"/>
        <charset val="134"/>
      </rPr>
      <t xml:space="preserve">等于线数（本簿示例 </t>
    </r>
    <r>
      <rPr>
        <sz val="11"/>
        <color theme="1"/>
        <rFont val="Calibri"/>
        <charset val="1"/>
      </rPr>
      <t xml:space="preserve">5 </t>
    </r>
    <r>
      <rPr>
        <sz val="11"/>
        <color theme="1"/>
        <rFont val="Noto Sans SC"/>
        <charset val="134"/>
      </rPr>
      <t>条）</t>
    </r>
  </si>
  <si>
    <r>
      <rPr>
        <sz val="11"/>
        <color theme="1"/>
        <rFont val="Noto Sans SC"/>
        <charset val="134"/>
      </rPr>
      <t xml:space="preserve">等于 </t>
    </r>
    <r>
      <rPr>
        <sz val="11"/>
        <color theme="1"/>
        <rFont val="Calibri"/>
        <charset val="1"/>
      </rPr>
      <t xml:space="preserve">Π </t>
    </r>
    <r>
      <rPr>
        <sz val="11"/>
        <color theme="1"/>
        <rFont val="Noto Sans SC"/>
        <charset val="134"/>
      </rPr>
      <t>每列可见格数（</t>
    </r>
    <r>
      <rPr>
        <sz val="11"/>
        <color theme="1"/>
        <rFont val="Calibri"/>
        <charset val="1"/>
      </rPr>
      <t>3×5 → 243</t>
    </r>
    <r>
      <rPr>
        <sz val="11"/>
        <color theme="1"/>
        <rFont val="Noto Sans SC"/>
        <charset val="134"/>
      </rPr>
      <t>）</t>
    </r>
  </si>
  <si>
    <r>
      <rPr>
        <sz val="11"/>
        <color theme="1"/>
        <rFont val="Noto Sans SC"/>
        <charset val="134"/>
      </rPr>
      <t xml:space="preserve">线数是否影响 </t>
    </r>
    <r>
      <rPr>
        <sz val="11"/>
        <color theme="1"/>
        <rFont val="Calibri"/>
        <charset val="1"/>
      </rPr>
      <t>RTP</t>
    </r>
  </si>
  <si>
    <t>不影响（每条线期望相同）</t>
  </si>
  <si>
    <r>
      <rPr>
        <sz val="11"/>
        <color theme="1"/>
        <rFont val="Noto Sans SC"/>
        <charset val="134"/>
      </rPr>
      <t>不影响（</t>
    </r>
    <r>
      <rPr>
        <sz val="11"/>
        <color theme="1"/>
        <rFont val="Calibri"/>
        <charset val="1"/>
      </rPr>
      <t xml:space="preserve">ways </t>
    </r>
    <r>
      <rPr>
        <sz val="11"/>
        <color theme="1"/>
        <rFont val="Noto Sans SC"/>
        <charset val="134"/>
      </rPr>
      <t>数只放大投注结构）</t>
    </r>
  </si>
  <si>
    <t>中奖率</t>
  </si>
  <si>
    <r>
      <rPr>
        <sz val="11"/>
        <color theme="1"/>
        <rFont val="Noto Sans SC"/>
        <charset val="134"/>
      </rPr>
      <t xml:space="preserve">较低（本簿单线 </t>
    </r>
    <r>
      <rPr>
        <sz val="11"/>
        <color theme="1"/>
        <rFont val="Calibri"/>
        <charset val="1"/>
      </rPr>
      <t>5.43%</t>
    </r>
    <r>
      <rPr>
        <sz val="11"/>
        <color theme="1"/>
        <rFont val="Noto Sans SC"/>
        <charset val="134"/>
      </rPr>
      <t>）</t>
    </r>
  </si>
  <si>
    <r>
      <rPr>
        <sz val="11"/>
        <color theme="1"/>
        <rFont val="Noto Sans SC"/>
        <charset val="134"/>
      </rPr>
      <t xml:space="preserve">较高（每列 </t>
    </r>
    <r>
      <rPr>
        <sz val="11"/>
        <color theme="1"/>
        <rFont val="Calibri"/>
        <charset val="1"/>
      </rPr>
      <t xml:space="preserve">3 </t>
    </r>
    <r>
      <rPr>
        <sz val="11"/>
        <color theme="1"/>
        <rFont val="Noto Sans SC"/>
        <charset val="134"/>
      </rPr>
      <t>格任一匹配）</t>
    </r>
  </si>
  <si>
    <t>波动</t>
  </si>
  <si>
    <t>较高</t>
  </si>
  <si>
    <r>
      <rPr>
        <sz val="11"/>
        <color theme="1"/>
        <rFont val="Noto Sans SC"/>
        <charset val="134"/>
      </rPr>
      <t xml:space="preserve">较低，需要下调单条 </t>
    </r>
    <r>
      <rPr>
        <sz val="11"/>
        <color theme="1"/>
        <rFont val="Calibri"/>
        <charset val="1"/>
      </rPr>
      <t xml:space="preserve">ways </t>
    </r>
    <r>
      <rPr>
        <sz val="11"/>
        <color theme="1"/>
        <rFont val="Noto Sans SC"/>
        <charset val="134"/>
      </rPr>
      <t>的赔付倍数</t>
    </r>
  </si>
  <si>
    <t>界面呈现</t>
  </si>
  <si>
    <t>常展示具体中奖线路图</t>
  </si>
  <si>
    <t>因组合太多，不展示路径图，只声明线数</t>
  </si>
  <si>
    <t>原文：满线在游戏规则内不会展示中奖线路图，但会声明线数；看到线数与滚轴一算能对应，就是满线。</t>
  </si>
  <si>
    <r>
      <rPr>
        <b/>
        <sz val="14"/>
        <color rgb="FF1F4E79"/>
        <rFont val="Noto Sans SC"/>
        <charset val="134"/>
      </rPr>
      <t xml:space="preserve">易错点：滚轴是「环绕带」，把窗口限制在 </t>
    </r>
    <r>
      <rPr>
        <b/>
        <sz val="14"/>
        <color rgb="FF1F4E79"/>
        <rFont val="Cambria"/>
        <charset val="1"/>
      </rPr>
      <t xml:space="preserve">1..N−2 </t>
    </r>
    <r>
      <rPr>
        <b/>
        <sz val="14"/>
        <color rgb="FF1F4E79"/>
        <rFont val="Noto Sans SC"/>
        <charset val="134"/>
      </rPr>
      <t>会造成边缘差</t>
    </r>
  </si>
  <si>
    <t>【正确口径】环绕带</t>
  </si>
  <si>
    <r>
      <rPr>
        <sz val="11"/>
        <color theme="1"/>
        <rFont val="Noto Sans SC"/>
        <charset val="134"/>
      </rPr>
      <t xml:space="preserve">窗口可停在该列的 </t>
    </r>
    <r>
      <rPr>
        <sz val="11"/>
        <color theme="1"/>
        <rFont val="Calibri"/>
        <charset val="1"/>
      </rPr>
      <t xml:space="preserve">N </t>
    </r>
    <r>
      <rPr>
        <sz val="11"/>
        <color theme="1"/>
        <rFont val="Noto Sans SC"/>
        <charset val="134"/>
      </rPr>
      <t>个位置（含跨过末尾回卷）</t>
    </r>
  </si>
  <si>
    <r>
      <rPr>
        <sz val="11"/>
        <color theme="1"/>
        <rFont val="Noto Sans SC"/>
        <charset val="134"/>
      </rPr>
      <t xml:space="preserve">于是「行 </t>
    </r>
    <r>
      <rPr>
        <sz val="11"/>
        <color theme="1"/>
        <rFont val="Calibri"/>
        <charset val="1"/>
      </rPr>
      <t>1</t>
    </r>
    <r>
      <rPr>
        <sz val="11"/>
        <color theme="1"/>
        <rFont val="Noto Sans SC"/>
        <charset val="134"/>
      </rPr>
      <t xml:space="preserve">」「行 </t>
    </r>
    <r>
      <rPr>
        <sz val="11"/>
        <color theme="1"/>
        <rFont val="Calibri"/>
        <charset val="1"/>
      </rPr>
      <t>2</t>
    </r>
    <r>
      <rPr>
        <sz val="11"/>
        <color theme="1"/>
        <rFont val="Noto Sans SC"/>
        <charset val="134"/>
      </rPr>
      <t xml:space="preserve">」「行 </t>
    </r>
    <r>
      <rPr>
        <sz val="11"/>
        <color theme="1"/>
        <rFont val="Calibri"/>
        <charset val="1"/>
      </rPr>
      <t>3</t>
    </r>
    <r>
      <rPr>
        <sz val="11"/>
        <color theme="1"/>
        <rFont val="Noto Sans SC"/>
        <charset val="134"/>
      </rPr>
      <t>」看到的格子都遍历整条带</t>
    </r>
  </si>
  <si>
    <r>
      <rPr>
        <sz val="11"/>
        <color theme="1"/>
        <rFont val="Noto Sans SC"/>
        <charset val="134"/>
      </rPr>
      <t xml:space="preserve">⇒ 行 </t>
    </r>
    <r>
      <rPr>
        <sz val="11"/>
        <color theme="1"/>
        <rFont val="Calibri"/>
        <charset val="1"/>
      </rPr>
      <t xml:space="preserve">1 / </t>
    </r>
    <r>
      <rPr>
        <sz val="11"/>
        <color theme="1"/>
        <rFont val="Noto Sans SC"/>
        <charset val="134"/>
      </rPr>
      <t xml:space="preserve">行 </t>
    </r>
    <r>
      <rPr>
        <sz val="11"/>
        <color theme="1"/>
        <rFont val="Calibri"/>
        <charset val="1"/>
      </rPr>
      <t xml:space="preserve">2 / </t>
    </r>
    <r>
      <rPr>
        <sz val="11"/>
        <color theme="1"/>
        <rFont val="Noto Sans SC"/>
        <charset val="134"/>
      </rPr>
      <t xml:space="preserve">行 </t>
    </r>
    <r>
      <rPr>
        <sz val="11"/>
        <color theme="1"/>
        <rFont val="Calibri"/>
        <charset val="1"/>
      </rPr>
      <t xml:space="preserve">3 </t>
    </r>
    <r>
      <rPr>
        <sz val="11"/>
        <color theme="1"/>
        <rFont val="Noto Sans SC"/>
        <charset val="134"/>
      </rPr>
      <t xml:space="preserve">的符号计数 </t>
    </r>
    <r>
      <rPr>
        <sz val="11"/>
        <color theme="1"/>
        <rFont val="Calibri"/>
        <charset val="1"/>
      </rPr>
      <t xml:space="preserve">= </t>
    </r>
    <r>
      <rPr>
        <sz val="11"/>
        <color theme="1"/>
        <rFont val="Noto Sans SC"/>
        <charset val="134"/>
      </rPr>
      <t>该列整体计数（完全相同）</t>
    </r>
  </si>
  <si>
    <r>
      <rPr>
        <b/>
        <sz val="11"/>
        <color rgb="FF1F4E79"/>
        <rFont val="Noto Sans SC"/>
        <charset val="134"/>
      </rPr>
      <t>【以轮</t>
    </r>
    <r>
      <rPr>
        <b/>
        <sz val="11"/>
        <color rgb="FF1F4E79"/>
        <rFont val="Cambria"/>
        <charset val="1"/>
      </rPr>
      <t xml:space="preserve">1 </t>
    </r>
    <r>
      <rPr>
        <b/>
        <sz val="11"/>
        <color rgb="FF1F4E79"/>
        <rFont val="Noto Sans SC"/>
        <charset val="134"/>
      </rPr>
      <t>为例：两种口径的计数对照】</t>
    </r>
  </si>
  <si>
    <r>
      <rPr>
        <b/>
        <sz val="11"/>
        <color rgb="FF1F4E79"/>
        <rFont val="Noto Sans SC"/>
        <charset val="134"/>
      </rPr>
      <t>环绕（行</t>
    </r>
    <r>
      <rPr>
        <b/>
        <sz val="11"/>
        <color rgb="FF1F4E79"/>
        <rFont val="Cambria"/>
        <charset val="1"/>
      </rPr>
      <t>1=</t>
    </r>
    <r>
      <rPr>
        <b/>
        <sz val="11"/>
        <color rgb="FF1F4E79"/>
        <rFont val="Noto Sans SC"/>
        <charset val="134"/>
      </rPr>
      <t>行</t>
    </r>
    <r>
      <rPr>
        <b/>
        <sz val="11"/>
        <color rgb="FF1F4E79"/>
        <rFont val="Cambria"/>
        <charset val="1"/>
      </rPr>
      <t>2=</t>
    </r>
    <r>
      <rPr>
        <b/>
        <sz val="11"/>
        <color rgb="FF1F4E79"/>
        <rFont val="Noto Sans SC"/>
        <charset val="134"/>
      </rPr>
      <t>行</t>
    </r>
    <r>
      <rPr>
        <b/>
        <sz val="11"/>
        <color rgb="FF1F4E79"/>
        <rFont val="Cambria"/>
        <charset val="1"/>
      </rPr>
      <t>3</t>
    </r>
    <r>
      <rPr>
        <b/>
        <sz val="11"/>
        <color rgb="FF1F4E79"/>
        <rFont val="Noto Sans SC"/>
        <charset val="134"/>
      </rPr>
      <t>）</t>
    </r>
  </si>
  <si>
    <r>
      <rPr>
        <b/>
        <sz val="11"/>
        <color rgb="FF1F4E79"/>
        <rFont val="Noto Sans SC"/>
        <charset val="134"/>
      </rPr>
      <t>不环绕</t>
    </r>
    <r>
      <rPr>
        <b/>
        <sz val="11"/>
        <color rgb="FF1F4E79"/>
        <rFont val="Cambria"/>
        <charset val="1"/>
      </rPr>
      <t>·</t>
    </r>
    <r>
      <rPr>
        <b/>
        <sz val="11"/>
        <color rgb="FF1F4E79"/>
        <rFont val="Noto Sans SC"/>
        <charset val="134"/>
      </rPr>
      <t>行</t>
    </r>
    <r>
      <rPr>
        <b/>
        <sz val="11"/>
        <color rgb="FF1F4E79"/>
        <rFont val="Cambria"/>
        <charset val="1"/>
      </rPr>
      <t>1</t>
    </r>
  </si>
  <si>
    <r>
      <rPr>
        <b/>
        <sz val="11"/>
        <color rgb="FF1F4E79"/>
        <rFont val="Noto Sans SC"/>
        <charset val="134"/>
      </rPr>
      <t>不环绕</t>
    </r>
    <r>
      <rPr>
        <b/>
        <sz val="11"/>
        <color rgb="FF1F4E79"/>
        <rFont val="Cambria"/>
        <charset val="1"/>
      </rPr>
      <t>·</t>
    </r>
    <r>
      <rPr>
        <b/>
        <sz val="11"/>
        <color rgb="FF1F4E79"/>
        <rFont val="Noto Sans SC"/>
        <charset val="134"/>
      </rPr>
      <t>行</t>
    </r>
    <r>
      <rPr>
        <b/>
        <sz val="11"/>
        <color rgb="FF1F4E79"/>
        <rFont val="Cambria"/>
        <charset val="1"/>
      </rPr>
      <t>2</t>
    </r>
  </si>
  <si>
    <r>
      <rPr>
        <b/>
        <sz val="11"/>
        <color rgb="FF1F4E79"/>
        <rFont val="Noto Sans SC"/>
        <charset val="134"/>
      </rPr>
      <t>不环绕</t>
    </r>
    <r>
      <rPr>
        <b/>
        <sz val="11"/>
        <color rgb="FF1F4E79"/>
        <rFont val="Cambria"/>
        <charset val="1"/>
      </rPr>
      <t>·</t>
    </r>
    <r>
      <rPr>
        <b/>
        <sz val="11"/>
        <color rgb="FF1F4E79"/>
        <rFont val="Noto Sans SC"/>
        <charset val="134"/>
      </rPr>
      <t>行</t>
    </r>
    <r>
      <rPr>
        <b/>
        <sz val="11"/>
        <color rgb="FF1F4E79"/>
        <rFont val="Cambria"/>
        <charset val="1"/>
      </rPr>
      <t>3</t>
    </r>
  </si>
  <si>
    <r>
      <rPr>
        <sz val="11"/>
        <color rgb="FF808080"/>
        <rFont val="Noto Sans SC"/>
        <charset val="134"/>
      </rPr>
      <t xml:space="preserve">不环绕口径下，行 </t>
    </r>
    <r>
      <rPr>
        <sz val="11"/>
        <color rgb="FF808080"/>
        <rFont val="Cambria"/>
        <charset val="1"/>
      </rPr>
      <t xml:space="preserve">1 </t>
    </r>
    <r>
      <rPr>
        <sz val="11"/>
        <color rgb="FF808080"/>
        <rFont val="Noto Sans SC"/>
        <charset val="134"/>
      </rPr>
      <t xml:space="preserve">只能看到位置 </t>
    </r>
    <r>
      <rPr>
        <sz val="11"/>
        <color rgb="FF808080"/>
        <rFont val="Cambria"/>
        <charset val="1"/>
      </rPr>
      <t>1..18</t>
    </r>
    <r>
      <rPr>
        <sz val="11"/>
        <color rgb="FF808080"/>
        <rFont val="Noto Sans SC"/>
        <charset val="134"/>
      </rPr>
      <t xml:space="preserve">，行 </t>
    </r>
    <r>
      <rPr>
        <sz val="11"/>
        <color rgb="FF808080"/>
        <rFont val="Cambria"/>
        <charset val="1"/>
      </rPr>
      <t xml:space="preserve">2 </t>
    </r>
    <r>
      <rPr>
        <sz val="11"/>
        <color rgb="FF808080"/>
        <rFont val="Noto Sans SC"/>
        <charset val="134"/>
      </rPr>
      <t xml:space="preserve">只能看到 </t>
    </r>
    <r>
      <rPr>
        <sz val="11"/>
        <color rgb="FF808080"/>
        <rFont val="Cambria"/>
        <charset val="1"/>
      </rPr>
      <t>2..19</t>
    </r>
    <r>
      <rPr>
        <sz val="11"/>
        <color rgb="FF808080"/>
        <rFont val="Noto Sans SC"/>
        <charset val="134"/>
      </rPr>
      <t xml:space="preserve">，行 </t>
    </r>
    <r>
      <rPr>
        <sz val="11"/>
        <color rgb="FF808080"/>
        <rFont val="Cambria"/>
        <charset val="1"/>
      </rPr>
      <t xml:space="preserve">3 </t>
    </r>
    <r>
      <rPr>
        <sz val="11"/>
        <color rgb="FF808080"/>
        <rFont val="Noto Sans SC"/>
        <charset val="134"/>
      </rPr>
      <t xml:space="preserve">只能看到 </t>
    </r>
    <r>
      <rPr>
        <sz val="11"/>
        <color rgb="FF808080"/>
        <rFont val="Cambria"/>
        <charset val="1"/>
      </rPr>
      <t>3..20</t>
    </r>
    <r>
      <rPr>
        <sz val="11"/>
        <color rgb="FF808080"/>
        <rFont val="Noto Sans SC"/>
        <charset val="134"/>
      </rPr>
      <t>，于是三个行的计数出现边缘差；这会让「上</t>
    </r>
    <r>
      <rPr>
        <sz val="11"/>
        <color rgb="FF808080"/>
        <rFont val="Cambria"/>
        <charset val="1"/>
      </rPr>
      <t>/</t>
    </r>
    <r>
      <rPr>
        <sz val="11"/>
        <color rgb="FF808080"/>
        <rFont val="Noto Sans SC"/>
        <charset val="134"/>
      </rPr>
      <t>中</t>
    </r>
    <r>
      <rPr>
        <sz val="11"/>
        <color rgb="FF808080"/>
        <rFont val="Cambria"/>
        <charset val="1"/>
      </rPr>
      <t>/</t>
    </r>
    <r>
      <rPr>
        <sz val="11"/>
        <color rgb="FF808080"/>
        <rFont val="Noto Sans SC"/>
        <charset val="134"/>
      </rPr>
      <t xml:space="preserve">下」三条线的 </t>
    </r>
    <r>
      <rPr>
        <sz val="11"/>
        <color rgb="FF808080"/>
        <rFont val="Cambria"/>
        <charset val="1"/>
      </rPr>
      <t xml:space="preserve">RTP </t>
    </r>
    <r>
      <rPr>
        <sz val="11"/>
        <color rgb="FF808080"/>
        <rFont val="Noto Sans SC"/>
        <charset val="134"/>
      </rPr>
      <t>不再相等，从而把一个对称游戏算成不对称。</t>
    </r>
  </si>
  <si>
    <r>
      <rPr>
        <b/>
        <sz val="11"/>
        <color rgb="FF1F4E79"/>
        <rFont val="Noto Sans SC"/>
        <charset val="134"/>
      </rPr>
      <t>【另一个常见坑：</t>
    </r>
    <r>
      <rPr>
        <b/>
        <sz val="11"/>
        <color rgb="FF1F4E79"/>
        <rFont val="Cambria"/>
        <charset val="1"/>
      </rPr>
      <t xml:space="preserve">WILD </t>
    </r>
    <r>
      <rPr>
        <b/>
        <sz val="11"/>
        <color rgb="FF1F4E79"/>
        <rFont val="Noto Sans SC"/>
        <charset val="134"/>
      </rPr>
      <t>的行计数】</t>
    </r>
  </si>
  <si>
    <r>
      <rPr>
        <sz val="11"/>
        <color theme="1"/>
        <rFont val="Calibri"/>
        <charset val="1"/>
      </rPr>
      <t xml:space="preserve">WILD </t>
    </r>
    <r>
      <rPr>
        <sz val="11"/>
        <color theme="1"/>
        <rFont val="Noto Sans SC"/>
        <charset val="134"/>
      </rPr>
      <t xml:space="preserve">也必须按「该列整体计数」进入 </t>
    </r>
    <r>
      <rPr>
        <sz val="11"/>
        <color theme="1"/>
        <rFont val="Calibri"/>
        <charset val="1"/>
      </rPr>
      <t>mᵢ</t>
    </r>
    <r>
      <rPr>
        <sz val="11"/>
        <color theme="1"/>
        <rFont val="Noto Sans SC"/>
        <charset val="134"/>
      </rPr>
      <t>，而不是只算某一行</t>
    </r>
  </si>
  <si>
    <r>
      <rPr>
        <sz val="11"/>
        <color theme="1"/>
        <rFont val="Noto Sans SC"/>
        <charset val="134"/>
      </rPr>
      <t xml:space="preserve">若漏算 </t>
    </r>
    <r>
      <rPr>
        <sz val="11"/>
        <color theme="1"/>
        <rFont val="Calibri"/>
        <charset val="1"/>
      </rPr>
      <t>WILD</t>
    </r>
    <r>
      <rPr>
        <sz val="11"/>
        <color theme="1"/>
        <rFont val="Noto Sans SC"/>
        <charset val="134"/>
      </rPr>
      <t xml:space="preserve">，单线 </t>
    </r>
    <r>
      <rPr>
        <sz val="11"/>
        <color theme="1"/>
        <rFont val="Calibri"/>
        <charset val="1"/>
      </rPr>
      <t xml:space="preserve">RTP </t>
    </r>
    <r>
      <rPr>
        <sz val="11"/>
        <color theme="1"/>
        <rFont val="Noto Sans SC"/>
        <charset val="134"/>
      </rPr>
      <t>会明显偏低（见下）</t>
    </r>
  </si>
  <si>
    <r>
      <rPr>
        <sz val="11"/>
        <color theme="1"/>
        <rFont val="Noto Sans SC"/>
        <charset val="134"/>
      </rPr>
      <t xml:space="preserve">含 </t>
    </r>
    <r>
      <rPr>
        <sz val="11"/>
        <color theme="1"/>
        <rFont val="Calibri"/>
        <charset val="1"/>
      </rPr>
      <t>WILD</t>
    </r>
    <r>
      <rPr>
        <sz val="11"/>
        <color theme="1"/>
        <rFont val="Noto Sans SC"/>
        <charset val="134"/>
      </rPr>
      <t xml:space="preserve">（本簿口径）单线 </t>
    </r>
    <r>
      <rPr>
        <sz val="11"/>
        <color theme="1"/>
        <rFont val="Calibri"/>
        <charset val="1"/>
      </rPr>
      <t>RTP</t>
    </r>
  </si>
  <si>
    <r>
      <rPr>
        <sz val="11"/>
        <color theme="1"/>
        <rFont val="Noto Sans SC"/>
        <charset val="134"/>
      </rPr>
      <t xml:space="preserve">不含 </t>
    </r>
    <r>
      <rPr>
        <sz val="11"/>
        <color theme="1"/>
        <rFont val="Calibri"/>
        <charset val="1"/>
      </rPr>
      <t xml:space="preserve">WILD </t>
    </r>
    <r>
      <rPr>
        <sz val="11"/>
        <color theme="1"/>
        <rFont val="Noto Sans SC"/>
        <charset val="134"/>
      </rPr>
      <t xml:space="preserve">的单线 </t>
    </r>
    <r>
      <rPr>
        <sz val="11"/>
        <color theme="1"/>
        <rFont val="Calibri"/>
        <charset val="1"/>
      </rPr>
      <t>RTP</t>
    </r>
    <r>
      <rPr>
        <sz val="11"/>
        <color theme="1"/>
        <rFont val="Noto Sans SC"/>
        <charset val="134"/>
      </rPr>
      <t>（对照）</t>
    </r>
  </si>
  <si>
    <r>
      <rPr>
        <sz val="11"/>
        <color theme="1"/>
        <rFont val="Noto Sans SC"/>
        <charset val="134"/>
      </rPr>
      <t>差额（</t>
    </r>
    <r>
      <rPr>
        <sz val="11"/>
        <color theme="1"/>
        <rFont val="Calibri"/>
        <charset val="1"/>
      </rPr>
      <t xml:space="preserve">WILD </t>
    </r>
    <r>
      <rPr>
        <sz val="11"/>
        <color theme="1"/>
        <rFont val="Noto Sans SC"/>
        <charset val="134"/>
      </rPr>
      <t>带来的连线收益）</t>
    </r>
  </si>
  <si>
    <r>
      <rPr>
        <sz val="11"/>
        <color rgb="FF808080"/>
        <rFont val="Noto Sans SC"/>
        <charset val="134"/>
      </rPr>
      <t xml:space="preserve">对照值 </t>
    </r>
    <r>
      <rPr>
        <sz val="11"/>
        <color rgb="FF808080"/>
        <rFont val="Cambria"/>
        <charset val="1"/>
      </rPr>
      <t xml:space="preserve">31.40% </t>
    </r>
    <r>
      <rPr>
        <sz val="11"/>
        <color rgb="FF808080"/>
        <rFont val="Noto Sans SC"/>
        <charset val="134"/>
      </rPr>
      <t xml:space="preserve">的算法：把每个符号的 </t>
    </r>
    <r>
      <rPr>
        <sz val="11"/>
        <color rgb="FF808080"/>
        <rFont val="Cambria"/>
        <charset val="1"/>
      </rPr>
      <t xml:space="preserve">mᵢ </t>
    </r>
    <r>
      <rPr>
        <sz val="11"/>
        <color rgb="FF808080"/>
        <rFont val="Noto Sans SC"/>
        <charset val="134"/>
      </rPr>
      <t>只取「该符号自身计数」（</t>
    </r>
    <r>
      <rPr>
        <sz val="11"/>
        <color rgb="FF808080"/>
        <rFont val="Cambria"/>
        <charset val="1"/>
      </rPr>
      <t>W=0</t>
    </r>
    <r>
      <rPr>
        <sz val="11"/>
        <color rgb="FF808080"/>
        <rFont val="Noto Sans SC"/>
        <charset val="134"/>
      </rPr>
      <t>），其余步骤与「线型与</t>
    </r>
    <r>
      <rPr>
        <sz val="11"/>
        <color rgb="FF808080"/>
        <rFont val="Cambria"/>
        <charset val="1"/>
      </rPr>
      <t>RTP</t>
    </r>
    <r>
      <rPr>
        <sz val="11"/>
        <color rgb="FF808080"/>
        <rFont val="Noto Sans SC"/>
        <charset val="134"/>
      </rPr>
      <t xml:space="preserve">」页完全相同。该口径也可在 </t>
    </r>
    <r>
      <rPr>
        <sz val="11"/>
        <color rgb="FF808080"/>
        <rFont val="Cambria"/>
        <charset val="1"/>
      </rPr>
      <t xml:space="preserve">WILD </t>
    </r>
    <r>
      <rPr>
        <sz val="11"/>
        <color rgb="FF808080"/>
        <rFont val="Noto Sans SC"/>
        <charset val="134"/>
      </rPr>
      <t>篇中直接调用。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</si>
</sst>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000"/>
    <numFmt numFmtId="178" formatCode="0.0000000000%"/>
  </numFmts>
  <fonts count="34">
    <font>
      <sz val="11"/>
      <color theme="1"/>
      <name val="Noto Sans SC"/>
      <charset val="134"/>
    </font>
    <font>
      <b/>
      <sz val="14"/>
      <color rgb="FF1F4E79"/>
      <name val="Noto Sans SC"/>
      <charset val="134"/>
    </font>
    <font>
      <b/>
      <sz val="11"/>
      <color rgb="FF1F4E79"/>
      <name val="Noto Sans SC"/>
      <charset val="134"/>
    </font>
    <font>
      <sz val="11"/>
      <color theme="1"/>
      <name val="Calibri"/>
      <charset val="1"/>
    </font>
    <font>
      <sz val="11"/>
      <color rgb="FF000000"/>
      <name val="Cambria"/>
      <charset val="1"/>
    </font>
    <font>
      <sz val="11"/>
      <color rgb="FF808080"/>
      <name val="Noto Sans SC"/>
      <charset val="134"/>
    </font>
    <font>
      <b/>
      <sz val="11"/>
      <color rgb="FF1F4E79"/>
      <name val="Cambria"/>
      <charset val="1"/>
    </font>
    <font>
      <sz val="11"/>
      <color rgb="FF0000FF"/>
      <name val="Cambria"/>
      <charset val="1"/>
    </font>
    <font>
      <b/>
      <sz val="11"/>
      <name val="Cambria"/>
      <charset val="1"/>
    </font>
    <font>
      <b/>
      <sz val="11"/>
      <name val="Noto Sans SC"/>
      <charset val="134"/>
    </font>
    <font>
      <b/>
      <sz val="14"/>
      <color rgb="FF1F4E79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808080"/>
      <name val="Cambria"/>
      <charset val="1"/>
    </font>
    <font>
      <b/>
      <sz val="14"/>
      <color rgb="FF1F4E79"/>
      <name val="宋体"/>
      <charset val="1"/>
    </font>
  </fonts>
  <fills count="37">
    <fill>
      <patternFill patternType="none"/>
    </fill>
    <fill>
      <patternFill patternType="gray125"/>
    </fill>
    <fill>
      <patternFill patternType="solid">
        <fgColor rgb="FFB4C7E7"/>
        <bgColor rgb="FF99CCFF"/>
      </patternFill>
    </fill>
    <fill>
      <patternFill patternType="solid">
        <fgColor rgb="FFDEEBF7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E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Border="0" applyAlignment="0" applyProtection="0"/>
    <xf numFmtId="44" fontId="11" fillId="0" borderId="0" applyBorder="0" applyAlignment="0" applyProtection="0"/>
    <xf numFmtId="9" fontId="11" fillId="0" borderId="0" applyBorder="0" applyAlignment="0" applyProtection="0"/>
    <xf numFmtId="41" fontId="11" fillId="0" borderId="0" applyBorder="0" applyAlignment="0" applyProtection="0"/>
    <xf numFmtId="42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8" borderId="4" applyNumberFormat="0" applyAlignment="0" applyProtection="0">
      <alignment vertical="center"/>
    </xf>
    <xf numFmtId="0" fontId="24" fillId="9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3" fontId="4" fillId="0" borderId="0" xfId="0" applyNumberFormat="1" applyFont="1"/>
    <xf numFmtId="0" fontId="5" fillId="0" borderId="0" xfId="0" applyFont="1"/>
    <xf numFmtId="176" fontId="4" fillId="0" borderId="0" xfId="0" applyNumberFormat="1" applyFont="1"/>
    <xf numFmtId="0" fontId="6" fillId="3" borderId="0" xfId="0" applyFont="1" applyFill="1" applyAlignment="1">
      <alignment horizontal="center" vertical="center"/>
    </xf>
    <xf numFmtId="3" fontId="7" fillId="0" borderId="0" xfId="0" applyNumberFormat="1" applyFont="1"/>
    <xf numFmtId="177" fontId="4" fillId="0" borderId="0" xfId="0" applyNumberFormat="1" applyFont="1"/>
    <xf numFmtId="0" fontId="0" fillId="0" borderId="0" xfId="0" applyFont="1" applyAlignment="1">
      <alignment vertical="top" wrapText="1"/>
    </xf>
    <xf numFmtId="177" fontId="7" fillId="0" borderId="0" xfId="0" applyNumberFormat="1" applyFont="1"/>
    <xf numFmtId="177" fontId="8" fillId="4" borderId="0" xfId="0" applyNumberFormat="1" applyFont="1" applyFill="1"/>
    <xf numFmtId="176" fontId="8" fillId="4" borderId="0" xfId="0" applyNumberFormat="1" applyFont="1" applyFill="1"/>
    <xf numFmtId="0" fontId="1" fillId="0" borderId="0" xfId="0" applyFont="1" applyAlignment="1">
      <alignment wrapText="1"/>
    </xf>
    <xf numFmtId="0" fontId="1" fillId="0" borderId="0" xfId="0" applyFont="1" applyFill="1"/>
    <xf numFmtId="0" fontId="2" fillId="2" borderId="0" xfId="0" applyFont="1" applyFill="1" applyAlignment="1">
      <alignment wrapText="1"/>
    </xf>
    <xf numFmtId="0" fontId="9" fillId="5" borderId="0" xfId="0" applyFont="1" applyFill="1"/>
    <xf numFmtId="3" fontId="4" fillId="5" borderId="0" xfId="0" applyNumberFormat="1" applyFont="1" applyFill="1"/>
    <xf numFmtId="0" fontId="5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Fill="1"/>
    <xf numFmtId="3" fontId="8" fillId="4" borderId="0" xfId="0" applyNumberFormat="1" applyFont="1" applyFill="1"/>
    <xf numFmtId="0" fontId="10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10" fillId="0" borderId="0" xfId="0" applyFont="1" applyAlignment="1">
      <alignment wrapText="1"/>
    </xf>
    <xf numFmtId="0" fontId="7" fillId="0" borderId="0" xfId="0" applyFont="1"/>
    <xf numFmtId="0" fontId="3" fillId="0" borderId="0" xfId="0" applyFont="1"/>
    <xf numFmtId="0" fontId="6" fillId="3" borderId="0" xfId="0" applyFont="1" applyFill="1" applyAlignment="1">
      <alignment horizontal="center" vertical="center"/>
    </xf>
    <xf numFmtId="178" applyNumberFormat="1" fontId="4" fillId="0" borderId="0" xfId="0" applyFont="1"/>
    <xf numFmtId="178" applyNumberFormat="1" fontId="8" fillId="4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4C7E7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2"/>
  <sheetViews>
    <sheetView workbookViewId="0">
      <selection activeCell="A1" sqref="A1"/>
    </sheetView>
  </sheetViews>
  <sheetFormatPr defaultColWidth="7.69166666666667" defaultRowHeight="18.5"/>
  <cols>
    <col min="1" max="1" width="107.358333333333" customWidth="1"/>
  </cols>
  <sheetData>
    <row r="1" ht="22.5" spans="1:1">
      <c r="A1" s="1" t="s">
        <v>0</v>
      </c>
    </row>
    <row r="2" ht="22.5" spans="1:1">
      <c r="A2" s="1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1</v>
      </c>
    </row>
    <row r="6" spans="1:1">
      <c r="A6" s="28" t="s">
        <v>4</v>
      </c>
    </row>
    <row r="7" spans="1:1">
      <c r="A7" s="29" t="s">
        <v>5</v>
      </c>
    </row>
    <row r="8" spans="1:1">
      <c r="A8" s="29" t="s">
        <v>6</v>
      </c>
    </row>
    <row r="9" spans="1:1">
      <c r="A9" s="29" t="s">
        <v>7</v>
      </c>
    </row>
    <row r="10" spans="1:1">
      <c r="A10" s="29" t="s">
        <v>8</v>
      </c>
    </row>
    <row r="11" spans="1:1">
      <c r="A11" s="29" t="s">
        <v>9</v>
      </c>
    </row>
    <row r="12" spans="1:1">
      <c r="A12" s="29" t="s">
        <v>1</v>
      </c>
    </row>
    <row r="13" spans="1:1">
      <c r="A13" s="28" t="s">
        <v>10</v>
      </c>
    </row>
    <row r="14" spans="1:1">
      <c r="A14" s="29" t="s">
        <v>11</v>
      </c>
    </row>
    <row r="15" spans="1:1">
      <c r="A15" s="12" t="s">
        <v>12</v>
      </c>
    </row>
    <row r="16" spans="1:1">
      <c r="A16" s="12" t="s">
        <v>13</v>
      </c>
    </row>
    <row r="17" spans="1:1">
      <c r="A17" s="29" t="s">
        <v>14</v>
      </c>
    </row>
    <row r="18" spans="1:1">
      <c r="A18" s="12" t="s">
        <v>15</v>
      </c>
    </row>
    <row r="19" spans="1:1">
      <c r="A19" s="12" t="s">
        <v>16</v>
      </c>
    </row>
    <row r="20" spans="1:1">
      <c r="A20" s="29" t="s">
        <v>17</v>
      </c>
    </row>
    <row r="21" spans="1:1">
      <c r="A21" s="12" t="s">
        <v>18</v>
      </c>
    </row>
    <row r="22" spans="1:1">
      <c r="A22" s="12" t="s">
        <v>1</v>
      </c>
    </row>
    <row r="23" spans="1:1">
      <c r="A23" s="28" t="s">
        <v>19</v>
      </c>
    </row>
    <row r="24" spans="1:1">
      <c r="A24" s="12" t="s">
        <v>20</v>
      </c>
    </row>
    <row r="25" spans="1:1">
      <c r="A25" s="12" t="s">
        <v>21</v>
      </c>
    </row>
    <row r="26" spans="1:1">
      <c r="A26" s="12" t="s">
        <v>22</v>
      </c>
    </row>
    <row r="27" spans="1:1">
      <c r="A27" s="12" t="s">
        <v>1</v>
      </c>
    </row>
    <row r="28" spans="1:1">
      <c r="A28" s="28" t="s">
        <v>23</v>
      </c>
    </row>
    <row r="29" spans="1:1">
      <c r="A29" s="12" t="s">
        <v>24</v>
      </c>
    </row>
    <row r="30" spans="1:1">
      <c r="A30" s="12" t="s">
        <v>25</v>
      </c>
    </row>
    <row r="31" spans="1:1">
      <c r="A31" s="12" t="s">
        <v>26</v>
      </c>
    </row>
    <row r="32" spans="1:1">
      <c r="A32" s="12" t="s">
        <v>1</v>
      </c>
    </row>
    <row r="33" spans="1:1">
      <c r="A33" s="28" t="s">
        <v>27</v>
      </c>
    </row>
    <row r="34" spans="1:1">
      <c r="A34" s="29" t="s">
        <v>28</v>
      </c>
    </row>
    <row r="35" spans="1:1">
      <c r="A35" s="12" t="s">
        <v>29</v>
      </c>
    </row>
    <row r="36" spans="1:1">
      <c r="A36" s="12" t="s">
        <v>30</v>
      </c>
    </row>
    <row r="37" spans="1:1">
      <c r="A37" s="29" t="s">
        <v>31</v>
      </c>
    </row>
    <row r="38" spans="1:1">
      <c r="A38" s="29" t="s">
        <v>32</v>
      </c>
    </row>
    <row r="39" spans="1:1">
      <c r="A39" s="31">
        <v>5</v>
      </c>
    </row>
    <row r="40" spans="1:1">
      <c r="A40" s="31">
        <v>4</v>
      </c>
    </row>
    <row r="41" spans="1:1">
      <c r="A41" s="31">
        <v>3</v>
      </c>
    </row>
    <row r="42" spans="1:1">
      <c r="A42" s="29" t="s">
        <v>36</v>
      </c>
    </row>
    <row r="43" spans="1:1">
      <c r="A43" s="12" t="s">
        <v>37</v>
      </c>
    </row>
    <row r="44" spans="1:1">
      <c r="A44" s="12" t="s">
        <v>1</v>
      </c>
    </row>
    <row r="45" spans="1:1">
      <c r="A45" s="28" t="s">
        <v>38</v>
      </c>
    </row>
    <row r="46" spans="1:1">
      <c r="A46" s="12" t="s">
        <v>39</v>
      </c>
    </row>
    <row r="47" spans="1:1">
      <c r="A47" s="29" t="s">
        <v>40</v>
      </c>
    </row>
    <row r="48" spans="1:1">
      <c r="A48" s="12" t="s">
        <v>41</v>
      </c>
    </row>
    <row r="49" spans="1:1">
      <c r="A49" s="12" t="s">
        <v>42</v>
      </c>
    </row>
    <row r="50" spans="1:1">
      <c r="A50" s="30" t="s">
        <v>43</v>
      </c>
    </row>
    <row r="51" spans="1:1">
      <c r="A51" s="12" t="s">
        <v>44</v>
      </c>
    </row>
    <row r="52" spans="1:1">
      <c r="A52" s="12" t="s">
        <v>45</v>
      </c>
    </row>
  </sheetData>
  <pageMargins left="0.75" right="0.75" top="1" bottom="1" header="0.511811023622047" footer="0.511811023622047"/>
  <pageSetup paperSize="9" orientation="portrait" horizontalDpi="300" verticalDpi="300"/>
  <headerFooter/>
  <ignoredErrors>
    <ignoredError sqref="A1:F72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topLeftCell="A7" workbookViewId="0">
      <selection activeCell="D10" sqref="D10"/>
    </sheetView>
  </sheetViews>
  <sheetFormatPr defaultColWidth="7.69166666666667" defaultRowHeight="18.5" outlineLevelCol="7"/>
  <cols>
    <col min="1" max="1" width="14.5583333333333" customWidth="1"/>
    <col min="2" max="6" width="20.0083333333333" customWidth="1"/>
    <col min="7" max="8" width="16.3833333333333" customWidth="1"/>
  </cols>
  <sheetData>
    <row r="1" spans="1:8">
      <c r="A1" s="32">
        <v>3</v>
      </c>
      <c r="B1" s="23"/>
      <c r="C1" s="23"/>
      <c r="D1" s="23"/>
      <c r="E1" s="23"/>
      <c r="F1" s="23"/>
      <c r="G1" s="19" t="s">
        <v>1</v>
      </c>
      <c r="H1" s="24" t="s">
        <v>1</v>
      </c>
    </row>
    <row r="2" spans="1:8">
      <c r="A2" s="25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19" t="s">
        <v>1</v>
      </c>
      <c r="H2" s="24" t="s">
        <v>1</v>
      </c>
    </row>
    <row r="3" spans="1:8">
      <c r="A3" s="18" t="s">
        <v>47</v>
      </c>
      <c r="B3" s="3"/>
      <c r="C3" s="3"/>
      <c r="D3" s="3"/>
      <c r="E3" s="3"/>
      <c r="F3" s="3"/>
      <c r="G3" s="19" t="s">
        <v>1</v>
      </c>
      <c r="H3" s="24" t="s">
        <v>1</v>
      </c>
    </row>
    <row r="4" spans="1:8">
      <c r="A4" s="4" t="s">
        <v>48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53</v>
      </c>
      <c r="G4" s="19" t="s">
        <v>1</v>
      </c>
      <c r="H4" s="24" t="s">
        <v>1</v>
      </c>
    </row>
    <row r="5" spans="1:8">
      <c r="A5">
        <v>1</v>
      </c>
      <c r="B5" s="26" t="s">
        <v>54</v>
      </c>
      <c r="C5" s="26" t="s">
        <v>54</v>
      </c>
      <c r="D5" s="26" t="s">
        <v>54</v>
      </c>
      <c r="E5" s="26" t="s">
        <v>54</v>
      </c>
      <c r="F5" s="26" t="s">
        <v>54</v>
      </c>
      <c r="G5" s="19" t="s">
        <v>1</v>
      </c>
      <c r="H5" s="24" t="s">
        <v>1</v>
      </c>
    </row>
    <row r="6" spans="1:8">
      <c r="A6">
        <v>2</v>
      </c>
      <c r="B6" s="26" t="s">
        <v>55</v>
      </c>
      <c r="C6" s="26" t="s">
        <v>54</v>
      </c>
      <c r="D6" s="26" t="s">
        <v>54</v>
      </c>
      <c r="E6" s="26" t="s">
        <v>54</v>
      </c>
      <c r="F6" s="26" t="s">
        <v>54</v>
      </c>
      <c r="G6" s="19" t="s">
        <v>1</v>
      </c>
      <c r="H6" s="24" t="s">
        <v>1</v>
      </c>
    </row>
    <row r="7" spans="1:8">
      <c r="A7">
        <v>3</v>
      </c>
      <c r="B7" s="26" t="s">
        <v>55</v>
      </c>
      <c r="C7" s="26" t="s">
        <v>54</v>
      </c>
      <c r="D7" s="26" t="s">
        <v>54</v>
      </c>
      <c r="E7" s="26" t="s">
        <v>54</v>
      </c>
      <c r="F7" s="26" t="s">
        <v>54</v>
      </c>
      <c r="G7" s="19" t="s">
        <v>1</v>
      </c>
      <c r="H7" s="24" t="s">
        <v>1</v>
      </c>
    </row>
    <row r="8" spans="1:8">
      <c r="A8">
        <v>4</v>
      </c>
      <c r="B8" s="26" t="s">
        <v>55</v>
      </c>
      <c r="C8" s="26" t="s">
        <v>56</v>
      </c>
      <c r="D8" s="26" t="s">
        <v>56</v>
      </c>
      <c r="E8" s="26" t="s">
        <v>56</v>
      </c>
      <c r="F8" s="26" t="s">
        <v>56</v>
      </c>
      <c r="G8" s="19" t="s">
        <v>1</v>
      </c>
      <c r="H8" s="24" t="s">
        <v>1</v>
      </c>
    </row>
    <row r="9" spans="1:8">
      <c r="A9">
        <v>5</v>
      </c>
      <c r="B9" s="26" t="s">
        <v>57</v>
      </c>
      <c r="C9" s="26" t="s">
        <v>55</v>
      </c>
      <c r="D9" s="26" t="s">
        <v>55</v>
      </c>
      <c r="E9" s="26" t="s">
        <v>55</v>
      </c>
      <c r="F9" s="26" t="s">
        <v>55</v>
      </c>
      <c r="G9" s="19" t="s">
        <v>1</v>
      </c>
      <c r="H9" s="24" t="s">
        <v>1</v>
      </c>
    </row>
    <row r="10" spans="1:8">
      <c r="A10">
        <v>6</v>
      </c>
      <c r="B10" s="26" t="s">
        <v>57</v>
      </c>
      <c r="C10" s="26" t="s">
        <v>55</v>
      </c>
      <c r="D10" s="26" t="s">
        <v>55</v>
      </c>
      <c r="E10" s="26" t="s">
        <v>55</v>
      </c>
      <c r="F10" s="26" t="s">
        <v>55</v>
      </c>
      <c r="G10" s="19" t="s">
        <v>1</v>
      </c>
      <c r="H10" s="24" t="s">
        <v>1</v>
      </c>
    </row>
    <row r="11" spans="1:8">
      <c r="A11">
        <v>7</v>
      </c>
      <c r="B11" s="26" t="s">
        <v>57</v>
      </c>
      <c r="C11" s="26" t="s">
        <v>55</v>
      </c>
      <c r="D11" s="26" t="s">
        <v>55</v>
      </c>
      <c r="E11" s="26" t="s">
        <v>55</v>
      </c>
      <c r="F11" s="26" t="s">
        <v>55</v>
      </c>
      <c r="G11" s="19" t="s">
        <v>1</v>
      </c>
      <c r="H11" s="24" t="s">
        <v>1</v>
      </c>
    </row>
    <row r="12" spans="1:8">
      <c r="A12">
        <v>8</v>
      </c>
      <c r="B12" s="26" t="s">
        <v>57</v>
      </c>
      <c r="C12" s="26" t="s">
        <v>57</v>
      </c>
      <c r="D12" s="26" t="s">
        <v>57</v>
      </c>
      <c r="E12" s="26" t="s">
        <v>57</v>
      </c>
      <c r="F12" s="26" t="s">
        <v>57</v>
      </c>
      <c r="G12" s="19" t="s">
        <v>1</v>
      </c>
      <c r="H12" s="24" t="s">
        <v>1</v>
      </c>
    </row>
    <row r="13" spans="1:8">
      <c r="A13">
        <v>9</v>
      </c>
      <c r="B13" s="33">
        <v>10</v>
      </c>
      <c r="C13" s="26" t="s">
        <v>57</v>
      </c>
      <c r="D13" s="26" t="s">
        <v>57</v>
      </c>
      <c r="E13" s="26" t="s">
        <v>57</v>
      </c>
      <c r="F13" s="26" t="s">
        <v>57</v>
      </c>
      <c r="G13" s="19" t="s">
        <v>1</v>
      </c>
      <c r="H13" s="24" t="s">
        <v>1</v>
      </c>
    </row>
    <row r="14" spans="1:8">
      <c r="A14">
        <v>10</v>
      </c>
      <c r="B14" s="33">
        <v>10</v>
      </c>
      <c r="C14" s="26" t="s">
        <v>57</v>
      </c>
      <c r="D14" s="26" t="s">
        <v>57</v>
      </c>
      <c r="E14" s="26" t="s">
        <v>57</v>
      </c>
      <c r="F14" s="26" t="s">
        <v>57</v>
      </c>
      <c r="G14" s="19" t="s">
        <v>1</v>
      </c>
      <c r="H14" s="24" t="s">
        <v>1</v>
      </c>
    </row>
    <row r="15" spans="1:8">
      <c r="A15">
        <v>11</v>
      </c>
      <c r="B15" s="33">
        <v>10</v>
      </c>
      <c r="C15" s="26" t="s">
        <v>57</v>
      </c>
      <c r="D15" s="26" t="s">
        <v>57</v>
      </c>
      <c r="E15" s="26" t="s">
        <v>57</v>
      </c>
      <c r="F15" s="26" t="s">
        <v>57</v>
      </c>
      <c r="G15" s="19" t="s">
        <v>1</v>
      </c>
      <c r="H15" s="24" t="s">
        <v>1</v>
      </c>
    </row>
    <row r="16" spans="1:8">
      <c r="A16">
        <v>12</v>
      </c>
      <c r="B16" s="33">
        <v>10</v>
      </c>
      <c r="C16" s="26" t="s">
        <v>57</v>
      </c>
      <c r="D16" s="33">
        <v>10</v>
      </c>
      <c r="E16" s="33">
        <v>10</v>
      </c>
      <c r="F16" s="33">
        <v>10</v>
      </c>
      <c r="G16" s="19" t="s">
        <v>1</v>
      </c>
      <c r="H16" s="24" t="s">
        <v>1</v>
      </c>
    </row>
    <row r="17" spans="1:8">
      <c r="A17">
        <v>13</v>
      </c>
      <c r="B17" s="33">
        <v>10</v>
      </c>
      <c r="C17" s="33">
        <v>10</v>
      </c>
      <c r="D17" s="33">
        <v>10</v>
      </c>
      <c r="E17" s="33">
        <v>10</v>
      </c>
      <c r="F17" s="33">
        <v>10</v>
      </c>
      <c r="G17" s="19" t="s">
        <v>1</v>
      </c>
      <c r="H17" s="24" t="s">
        <v>1</v>
      </c>
    </row>
    <row r="18" spans="1:8">
      <c r="A18">
        <v>14</v>
      </c>
      <c r="B18" s="33">
        <v>9</v>
      </c>
      <c r="C18" s="33">
        <v>10</v>
      </c>
      <c r="D18" s="33">
        <v>10</v>
      </c>
      <c r="E18" s="33">
        <v>10</v>
      </c>
      <c r="F18" s="33">
        <v>10</v>
      </c>
      <c r="G18" s="19" t="s">
        <v>1</v>
      </c>
      <c r="H18" s="24" t="s">
        <v>1</v>
      </c>
    </row>
    <row r="19" spans="1:8">
      <c r="A19">
        <v>15</v>
      </c>
      <c r="B19" s="33">
        <v>9</v>
      </c>
      <c r="C19" s="33">
        <v>10</v>
      </c>
      <c r="D19" s="33">
        <v>10</v>
      </c>
      <c r="E19" s="33">
        <v>10</v>
      </c>
      <c r="F19" s="33">
        <v>10</v>
      </c>
      <c r="G19" s="19" t="s">
        <v>1</v>
      </c>
      <c r="H19" s="24" t="s">
        <v>1</v>
      </c>
    </row>
    <row r="20" spans="1:8">
      <c r="A20">
        <v>16</v>
      </c>
      <c r="B20" s="33">
        <v>9</v>
      </c>
      <c r="C20" s="33">
        <v>9</v>
      </c>
      <c r="D20" s="33">
        <v>9</v>
      </c>
      <c r="E20" s="33">
        <v>9</v>
      </c>
      <c r="F20" s="33">
        <v>9</v>
      </c>
      <c r="G20" s="19" t="s">
        <v>1</v>
      </c>
      <c r="H20" s="24" t="s">
        <v>1</v>
      </c>
    </row>
    <row r="21" spans="1:8">
      <c r="A21">
        <v>17</v>
      </c>
      <c r="B21" s="33">
        <v>9</v>
      </c>
      <c r="C21" s="33">
        <v>9</v>
      </c>
      <c r="D21" s="33">
        <v>9</v>
      </c>
      <c r="E21" s="33">
        <v>9</v>
      </c>
      <c r="F21" s="33">
        <v>9</v>
      </c>
      <c r="G21" s="19" t="s">
        <v>1</v>
      </c>
      <c r="H21" s="24" t="s">
        <v>1</v>
      </c>
    </row>
    <row r="22" spans="1:8">
      <c r="A22">
        <v>18</v>
      </c>
      <c r="B22" s="33">
        <v>9</v>
      </c>
      <c r="C22" s="33">
        <v>9</v>
      </c>
      <c r="D22" s="33">
        <v>9</v>
      </c>
      <c r="E22" s="33">
        <v>9</v>
      </c>
      <c r="F22" s="33">
        <v>9</v>
      </c>
      <c r="G22" s="19" t="s">
        <v>1</v>
      </c>
      <c r="H22" s="24" t="s">
        <v>1</v>
      </c>
    </row>
    <row r="23" spans="1:8">
      <c r="A23">
        <v>19</v>
      </c>
      <c r="B23" s="33">
        <v>9</v>
      </c>
      <c r="C23" s="33">
        <v>9</v>
      </c>
      <c r="D23" s="33">
        <v>9</v>
      </c>
      <c r="E23" s="33">
        <v>9</v>
      </c>
      <c r="F23" s="33">
        <v>9</v>
      </c>
      <c r="G23" s="19" t="s">
        <v>1</v>
      </c>
      <c r="H23" s="24" t="s">
        <v>1</v>
      </c>
    </row>
    <row r="24" spans="1:8">
      <c r="A24">
        <v>20</v>
      </c>
      <c r="B24" s="26" t="s">
        <v>60</v>
      </c>
      <c r="C24" s="26" t="s">
        <v>60</v>
      </c>
      <c r="D24" s="26" t="s">
        <v>60</v>
      </c>
      <c r="E24" s="26" t="s">
        <v>60</v>
      </c>
      <c r="F24" s="26" t="s">
        <v>60</v>
      </c>
      <c r="G24" s="19" t="s">
        <v>1</v>
      </c>
      <c r="H24" s="24" t="s">
        <v>1</v>
      </c>
    </row>
    <row r="25" spans="1:8">
      <c r="A25" s="19" t="s">
        <v>61</v>
      </c>
      <c r="B25" s="20">
        <f>COUNTA(B5:B24)</f>
        <v>20</v>
      </c>
      <c r="C25" s="20">
        <f>COUNTA(C5:C24)</f>
        <v>20</v>
      </c>
      <c r="D25" s="20">
        <f>COUNTA(D5:D24)</f>
        <v>20</v>
      </c>
      <c r="E25" s="20">
        <f>COUNTA(E5:E24)</f>
        <v>20</v>
      </c>
      <c r="F25" s="20">
        <f>COUNTA(F5:F24)</f>
        <v>20</v>
      </c>
      <c r="G25" s="19" t="s">
        <v>62</v>
      </c>
      <c r="H25" s="24">
        <f>PRODUCT(B25:F25)</f>
        <v>3200000</v>
      </c>
    </row>
    <row r="26" spans="1:8">
      <c r="A26" s="19" t="s">
        <v>1</v>
      </c>
      <c r="B26" s="20" t="s">
        <v>1</v>
      </c>
      <c r="C26" s="20" t="s">
        <v>1</v>
      </c>
      <c r="D26" s="20" t="s">
        <v>1</v>
      </c>
      <c r="E26" s="20" t="s">
        <v>1</v>
      </c>
      <c r="F26" s="20" t="s">
        <v>1</v>
      </c>
      <c r="G26" s="19" t="s">
        <v>1</v>
      </c>
      <c r="H26" s="24" t="s">
        <v>1</v>
      </c>
    </row>
    <row r="27" spans="1:8">
      <c r="A27" s="3" t="s">
        <v>63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19" t="s">
        <v>1</v>
      </c>
      <c r="H27" s="24" t="s">
        <v>1</v>
      </c>
    </row>
    <row r="28" spans="1:8">
      <c r="A28" s="4" t="s">
        <v>64</v>
      </c>
      <c r="B28" s="4" t="s">
        <v>49</v>
      </c>
      <c r="C28" s="4" t="s">
        <v>50</v>
      </c>
      <c r="D28" s="4" t="s">
        <v>51</v>
      </c>
      <c r="E28" s="4" t="s">
        <v>52</v>
      </c>
      <c r="F28" s="4" t="s">
        <v>53</v>
      </c>
      <c r="G28" s="19" t="s">
        <v>1</v>
      </c>
      <c r="H28" s="24" t="s">
        <v>1</v>
      </c>
    </row>
    <row r="29" spans="1:8">
      <c r="A29" s="5" t="s">
        <v>65</v>
      </c>
      <c r="B29" s="6">
        <f>B$25</f>
        <v>20</v>
      </c>
      <c r="C29" s="6">
        <f>C$25</f>
        <v>20</v>
      </c>
      <c r="D29" s="6">
        <f>D$25</f>
        <v>20</v>
      </c>
      <c r="E29" s="6">
        <f>E$25</f>
        <v>20</v>
      </c>
      <c r="F29" s="6">
        <f>F$25</f>
        <v>20</v>
      </c>
      <c r="G29" s="19" t="s">
        <v>1</v>
      </c>
      <c r="H29" s="24" t="s">
        <v>1</v>
      </c>
    </row>
    <row r="30" spans="1:8">
      <c r="A30" s="5" t="s">
        <v>56</v>
      </c>
      <c r="B30" s="6">
        <f t="shared" ref="B30:B36" si="0">COUNTIF(B$5:B$24,$A30)</f>
        <v>0</v>
      </c>
      <c r="C30" s="6">
        <f t="shared" ref="C30:C36" si="1">COUNTIF(C$5:C$24,$A30)</f>
        <v>1</v>
      </c>
      <c r="D30" s="6">
        <f t="shared" ref="D30:D36" si="2">COUNTIF(D$5:D$24,$A30)</f>
        <v>1</v>
      </c>
      <c r="E30" s="6">
        <f t="shared" ref="E30:E36" si="3">COUNTIF(E$5:E$24,$A30)</f>
        <v>1</v>
      </c>
      <c r="F30" s="6">
        <f t="shared" ref="F30:F36" si="4">COUNTIF(F$5:F$24,$A30)</f>
        <v>1</v>
      </c>
      <c r="G30" s="19" t="s">
        <v>1</v>
      </c>
      <c r="H30" s="24" t="s">
        <v>1</v>
      </c>
    </row>
    <row r="31" spans="1:8">
      <c r="A31" s="5" t="s">
        <v>54</v>
      </c>
      <c r="B31" s="6">
        <f t="shared" si="0"/>
        <v>1</v>
      </c>
      <c r="C31" s="6">
        <f t="shared" si="1"/>
        <v>3</v>
      </c>
      <c r="D31" s="6">
        <f t="shared" si="2"/>
        <v>3</v>
      </c>
      <c r="E31" s="6">
        <f t="shared" si="3"/>
        <v>3</v>
      </c>
      <c r="F31" s="6">
        <f t="shared" si="4"/>
        <v>3</v>
      </c>
      <c r="G31" s="19" t="s">
        <v>1</v>
      </c>
      <c r="H31" s="24" t="s">
        <v>1</v>
      </c>
    </row>
    <row r="32" spans="1:8">
      <c r="A32" s="5" t="s">
        <v>55</v>
      </c>
      <c r="B32" s="6">
        <f t="shared" si="0"/>
        <v>3</v>
      </c>
      <c r="C32" s="6">
        <f t="shared" si="1"/>
        <v>3</v>
      </c>
      <c r="D32" s="6">
        <f t="shared" si="2"/>
        <v>3</v>
      </c>
      <c r="E32" s="6">
        <f t="shared" si="3"/>
        <v>3</v>
      </c>
      <c r="F32" s="6">
        <f t="shared" si="4"/>
        <v>3</v>
      </c>
      <c r="G32" s="19" t="s">
        <v>1</v>
      </c>
      <c r="H32" s="24" t="s">
        <v>1</v>
      </c>
    </row>
    <row r="33" spans="1:8">
      <c r="A33" s="5" t="s">
        <v>57</v>
      </c>
      <c r="B33" s="6">
        <f t="shared" si="0"/>
        <v>4</v>
      </c>
      <c r="C33" s="6">
        <f t="shared" si="1"/>
        <v>5</v>
      </c>
      <c r="D33" s="6">
        <f t="shared" si="2"/>
        <v>4</v>
      </c>
      <c r="E33" s="6">
        <f t="shared" si="3"/>
        <v>4</v>
      </c>
      <c r="F33" s="6">
        <f t="shared" si="4"/>
        <v>4</v>
      </c>
      <c r="G33" s="19" t="s">
        <v>1</v>
      </c>
      <c r="H33" s="24" t="s">
        <v>1</v>
      </c>
    </row>
    <row r="34" spans="1:8">
      <c r="A34" s="34">
        <v>10</v>
      </c>
      <c r="B34" s="6">
        <f t="shared" si="0"/>
        <v>5</v>
      </c>
      <c r="C34" s="6">
        <f t="shared" si="1"/>
        <v>3</v>
      </c>
      <c r="D34" s="6">
        <f t="shared" si="2"/>
        <v>4</v>
      </c>
      <c r="E34" s="6">
        <f t="shared" si="3"/>
        <v>4</v>
      </c>
      <c r="F34" s="6">
        <f t="shared" si="4"/>
        <v>4</v>
      </c>
      <c r="G34" s="19" t="s">
        <v>1</v>
      </c>
      <c r="H34" s="24" t="s">
        <v>1</v>
      </c>
    </row>
    <row r="35" spans="1:8">
      <c r="A35" s="34">
        <v>9</v>
      </c>
      <c r="B35" s="6">
        <f t="shared" si="0"/>
        <v>6</v>
      </c>
      <c r="C35" s="6">
        <f t="shared" si="1"/>
        <v>4</v>
      </c>
      <c r="D35" s="6">
        <f t="shared" si="2"/>
        <v>4</v>
      </c>
      <c r="E35" s="6">
        <f t="shared" si="3"/>
        <v>4</v>
      </c>
      <c r="F35" s="6">
        <f t="shared" si="4"/>
        <v>4</v>
      </c>
      <c r="G35" s="19" t="s">
        <v>1</v>
      </c>
      <c r="H35" s="24" t="s">
        <v>1</v>
      </c>
    </row>
    <row r="36" spans="1:8">
      <c r="A36" s="5" t="s">
        <v>60</v>
      </c>
      <c r="B36" s="6">
        <f t="shared" si="0"/>
        <v>1</v>
      </c>
      <c r="C36" s="6">
        <f t="shared" si="1"/>
        <v>1</v>
      </c>
      <c r="D36" s="6">
        <f t="shared" si="2"/>
        <v>1</v>
      </c>
      <c r="E36" s="6">
        <f t="shared" si="3"/>
        <v>1</v>
      </c>
      <c r="F36" s="6">
        <f t="shared" si="4"/>
        <v>1</v>
      </c>
      <c r="G36" s="19" t="s">
        <v>1</v>
      </c>
      <c r="H36" s="24" t="s">
        <v>1</v>
      </c>
    </row>
    <row r="37" spans="1:8">
      <c r="A37" s="27" t="s">
        <v>66</v>
      </c>
      <c r="B37" s="6">
        <f>3*B36</f>
        <v>3</v>
      </c>
      <c r="C37" s="6">
        <f>3*C36</f>
        <v>3</v>
      </c>
      <c r="D37" s="6">
        <f>3*D36</f>
        <v>3</v>
      </c>
      <c r="E37" s="6">
        <f>3*E36</f>
        <v>3</v>
      </c>
      <c r="F37" s="6">
        <f>3*F36</f>
        <v>3</v>
      </c>
      <c r="G37" s="19" t="s">
        <v>1</v>
      </c>
      <c r="H37" s="24" t="s">
        <v>1</v>
      </c>
    </row>
    <row r="38" spans="1:8">
      <c r="A38" s="27" t="s">
        <v>1</v>
      </c>
      <c r="B38" s="6" t="s">
        <v>1</v>
      </c>
      <c r="C38" s="6" t="s">
        <v>1</v>
      </c>
      <c r="D38" s="6" t="s">
        <v>1</v>
      </c>
      <c r="E38" s="6" t="s">
        <v>1</v>
      </c>
      <c r="F38" s="6" t="s">
        <v>1</v>
      </c>
      <c r="G38" s="19" t="s">
        <v>1</v>
      </c>
      <c r="H38" s="24" t="s">
        <v>1</v>
      </c>
    </row>
    <row r="39" spans="1:8">
      <c r="A39" s="18" t="s">
        <v>67</v>
      </c>
      <c r="B39" s="3"/>
      <c r="C39" s="3"/>
      <c r="D39" s="3"/>
      <c r="E39" s="3"/>
      <c r="F39" s="3"/>
      <c r="G39" s="19" t="s">
        <v>1</v>
      </c>
      <c r="H39" s="24" t="s">
        <v>1</v>
      </c>
    </row>
    <row r="40" spans="1:8">
      <c r="A40" s="4" t="s">
        <v>64</v>
      </c>
      <c r="B40" s="35">
        <v>3</v>
      </c>
      <c r="C40" s="35">
        <v>4</v>
      </c>
      <c r="D40" s="35">
        <v>5</v>
      </c>
      <c r="E40" s="6" t="s">
        <v>1</v>
      </c>
      <c r="F40" s="6" t="s">
        <v>1</v>
      </c>
      <c r="G40" s="19" t="s">
        <v>1</v>
      </c>
      <c r="H40" s="24" t="s">
        <v>1</v>
      </c>
    </row>
    <row r="41" spans="1:8">
      <c r="A41" s="5" t="s">
        <v>54</v>
      </c>
      <c r="B41" s="10">
        <v>5</v>
      </c>
      <c r="C41" s="10">
        <v>30</v>
      </c>
      <c r="D41" s="10">
        <v>100</v>
      </c>
      <c r="E41" s="6" t="s">
        <v>1</v>
      </c>
      <c r="F41" s="6" t="s">
        <v>1</v>
      </c>
      <c r="G41" s="19" t="s">
        <v>1</v>
      </c>
      <c r="H41" s="24" t="s">
        <v>1</v>
      </c>
    </row>
    <row r="42" spans="1:8">
      <c r="A42" s="5" t="s">
        <v>55</v>
      </c>
      <c r="B42" s="10">
        <v>5</v>
      </c>
      <c r="C42" s="10">
        <v>25</v>
      </c>
      <c r="D42" s="10">
        <v>100</v>
      </c>
      <c r="E42" s="6" t="s">
        <v>1</v>
      </c>
      <c r="F42" s="6" t="s">
        <v>1</v>
      </c>
      <c r="G42" s="19" t="s">
        <v>1</v>
      </c>
      <c r="H42" s="24" t="s">
        <v>1</v>
      </c>
    </row>
    <row r="43" spans="1:8">
      <c r="A43" s="5" t="s">
        <v>57</v>
      </c>
      <c r="B43" s="10">
        <v>5</v>
      </c>
      <c r="C43" s="10">
        <v>20</v>
      </c>
      <c r="D43" s="10">
        <v>75</v>
      </c>
      <c r="E43" s="6" t="s">
        <v>1</v>
      </c>
      <c r="F43" s="6" t="s">
        <v>1</v>
      </c>
      <c r="G43" s="19" t="s">
        <v>1</v>
      </c>
      <c r="H43" s="24" t="s">
        <v>1</v>
      </c>
    </row>
    <row r="44" spans="1:8">
      <c r="A44" s="34">
        <v>10</v>
      </c>
      <c r="B44" s="10">
        <v>5</v>
      </c>
      <c r="C44" s="10">
        <v>20</v>
      </c>
      <c r="D44" s="10">
        <v>75</v>
      </c>
      <c r="E44" s="6" t="s">
        <v>1</v>
      </c>
      <c r="F44" s="6" t="s">
        <v>1</v>
      </c>
      <c r="G44" s="19" t="s">
        <v>1</v>
      </c>
      <c r="H44" s="24" t="s">
        <v>1</v>
      </c>
    </row>
    <row r="45" spans="1:8">
      <c r="A45" s="34">
        <v>9</v>
      </c>
      <c r="B45" s="10">
        <v>5</v>
      </c>
      <c r="C45" s="10">
        <v>10</v>
      </c>
      <c r="D45" s="10">
        <v>50</v>
      </c>
      <c r="E45" s="6" t="s">
        <v>1</v>
      </c>
      <c r="F45" s="6" t="s">
        <v>1</v>
      </c>
      <c r="G45" s="19" t="s">
        <v>1</v>
      </c>
      <c r="H45" s="24" t="s">
        <v>1</v>
      </c>
    </row>
    <row r="46" spans="1:8">
      <c r="A46" s="5" t="s">
        <v>71</v>
      </c>
      <c r="B46" s="10">
        <v>2</v>
      </c>
      <c r="C46" s="10">
        <v>2</v>
      </c>
      <c r="D46" s="10">
        <v>2</v>
      </c>
      <c r="E46" s="6" t="s">
        <v>1</v>
      </c>
      <c r="F46" s="6" t="s">
        <v>1</v>
      </c>
      <c r="G46" s="19" t="s">
        <v>1</v>
      </c>
      <c r="H46" s="24" t="s">
        <v>1</v>
      </c>
    </row>
    <row r="47" spans="1:8">
      <c r="A47" s="5" t="s">
        <v>1</v>
      </c>
      <c r="B47" s="10" t="s">
        <v>1</v>
      </c>
      <c r="C47" s="10" t="s">
        <v>1</v>
      </c>
      <c r="D47" s="10" t="s">
        <v>1</v>
      </c>
      <c r="E47" s="6" t="s">
        <v>1</v>
      </c>
      <c r="F47" s="6" t="s">
        <v>1</v>
      </c>
      <c r="G47" s="19" t="s">
        <v>1</v>
      </c>
      <c r="H47" s="24" t="s">
        <v>1</v>
      </c>
    </row>
    <row r="48" spans="1:8">
      <c r="A48" s="18" t="s">
        <v>72</v>
      </c>
      <c r="B48" s="3"/>
      <c r="C48" s="3"/>
      <c r="D48" s="3"/>
      <c r="E48" s="3"/>
      <c r="F48" s="3"/>
      <c r="G48" s="2" t="s">
        <v>1</v>
      </c>
      <c r="H48" s="24" t="s">
        <v>1</v>
      </c>
    </row>
    <row r="49" spans="1:8">
      <c r="A49" s="4" t="s">
        <v>73</v>
      </c>
      <c r="B49" s="4" t="s">
        <v>49</v>
      </c>
      <c r="C49" s="4" t="s">
        <v>50</v>
      </c>
      <c r="D49" s="4" t="s">
        <v>51</v>
      </c>
      <c r="E49" s="4" t="s">
        <v>52</v>
      </c>
      <c r="F49" s="4" t="s">
        <v>53</v>
      </c>
      <c r="G49" s="4" t="s">
        <v>74</v>
      </c>
      <c r="H49" s="24" t="s">
        <v>1</v>
      </c>
    </row>
    <row r="50" spans="1:8">
      <c r="A50" s="5" t="s">
        <v>75</v>
      </c>
      <c r="B50" s="10">
        <v>1</v>
      </c>
      <c r="C50" s="10">
        <v>1</v>
      </c>
      <c r="D50" s="10">
        <v>1</v>
      </c>
      <c r="E50" s="10">
        <v>1</v>
      </c>
      <c r="F50" s="10">
        <v>1</v>
      </c>
      <c r="G50" t="s">
        <v>76</v>
      </c>
      <c r="H50" s="24" t="s">
        <v>1</v>
      </c>
    </row>
    <row r="51" spans="1:8">
      <c r="A51" s="5" t="s">
        <v>77</v>
      </c>
      <c r="B51" s="10">
        <v>2</v>
      </c>
      <c r="C51" s="10">
        <v>2</v>
      </c>
      <c r="D51" s="10">
        <v>2</v>
      </c>
      <c r="E51" s="10">
        <v>2</v>
      </c>
      <c r="F51" s="10">
        <v>2</v>
      </c>
      <c r="G51" t="s">
        <v>78</v>
      </c>
      <c r="H51" s="24" t="s">
        <v>1</v>
      </c>
    </row>
    <row r="52" spans="1:8">
      <c r="A52" s="5" t="s">
        <v>79</v>
      </c>
      <c r="B52" s="10">
        <v>3</v>
      </c>
      <c r="C52" s="10">
        <v>3</v>
      </c>
      <c r="D52" s="10">
        <v>3</v>
      </c>
      <c r="E52" s="10">
        <v>3</v>
      </c>
      <c r="F52" s="10">
        <v>3</v>
      </c>
      <c r="G52" t="s">
        <v>80</v>
      </c>
      <c r="H52" s="24" t="s">
        <v>1</v>
      </c>
    </row>
    <row r="53" spans="1:8">
      <c r="A53" s="5" t="s">
        <v>81</v>
      </c>
      <c r="B53" s="10">
        <v>1</v>
      </c>
      <c r="C53" s="10">
        <v>2</v>
      </c>
      <c r="D53" s="10">
        <v>3</v>
      </c>
      <c r="E53" s="10">
        <v>2</v>
      </c>
      <c r="F53" s="10">
        <v>1</v>
      </c>
      <c r="G53" t="s">
        <v>82</v>
      </c>
      <c r="H53" s="24" t="s">
        <v>1</v>
      </c>
    </row>
    <row r="54" spans="1:8">
      <c r="A54" s="5" t="s">
        <v>83</v>
      </c>
      <c r="B54" s="10">
        <v>3</v>
      </c>
      <c r="C54" s="10">
        <v>2</v>
      </c>
      <c r="D54" s="10">
        <v>1</v>
      </c>
      <c r="E54" s="10">
        <v>2</v>
      </c>
      <c r="F54" s="10">
        <v>3</v>
      </c>
      <c r="G54" t="s">
        <v>84</v>
      </c>
      <c r="H54" s="24" t="s">
        <v>1</v>
      </c>
    </row>
    <row r="55" spans="1:8">
      <c r="A55" s="5" t="s">
        <v>1</v>
      </c>
      <c r="B55" s="10" t="s">
        <v>1</v>
      </c>
      <c r="C55" s="10" t="s">
        <v>1</v>
      </c>
      <c r="D55" s="10" t="s">
        <v>1</v>
      </c>
      <c r="E55" s="10" t="s">
        <v>1</v>
      </c>
      <c r="F55" s="10" t="s">
        <v>1</v>
      </c>
      <c r="G55" t="s">
        <v>1</v>
      </c>
      <c r="H55" s="24" t="s">
        <v>1</v>
      </c>
    </row>
    <row r="56" spans="1:8">
      <c r="A56" s="21" t="s">
        <v>85</v>
      </c>
      <c r="B56" s="7"/>
      <c r="C56" s="7"/>
      <c r="D56" s="7"/>
      <c r="E56" s="7"/>
      <c r="F56" s="7"/>
      <c r="G56" t="s">
        <v>1</v>
      </c>
      <c r="H56" s="24" t="s">
        <v>1</v>
      </c>
    </row>
    <row r="57" spans="1:8">
      <c r="A57" s="7"/>
      <c r="B57" s="7"/>
      <c r="C57" s="7"/>
      <c r="D57" s="7"/>
      <c r="E57" s="7"/>
      <c r="F57" s="7"/>
    </row>
  </sheetData>
  <mergeCells count="5">
    <mergeCell ref="A1:F1"/>
    <mergeCell ref="A3:F3"/>
    <mergeCell ref="A39:F39"/>
    <mergeCell ref="A48:F48"/>
    <mergeCell ref="A56:F57"/>
  </mergeCells>
  <pageMargins left="0.75" right="0.75" top="1" bottom="1" header="0.511811023622047" footer="0.511811023622047"/>
  <pageSetup paperSize="9" orientation="portrait" horizontalDpi="300" verticalDpi="300"/>
  <headerFooter/>
  <ignoredErrors>
    <ignoredError sqref="A1:M77" evalError="1" twoDigitTextYear="1" numberStoredAsText="1" formula="1" formulaRange="1" unlockedFormula="1" emptyCellReference="1" listDataValidation="1" calculatedColum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tabSelected="1" workbookViewId="0">
      <selection activeCell="K38" sqref="K38"/>
    </sheetView>
  </sheetViews>
  <sheetFormatPr defaultColWidth="7.69166666666667" defaultRowHeight="18.5"/>
  <cols>
    <col min="1" max="1" width="18.0833333333333" customWidth="1"/>
    <col min="2" max="3" width="8.19166666666667" customWidth="1"/>
    <col min="4" max="4" width="13.9166666666667" customWidth="1"/>
    <col min="5" max="5" width="14.5" customWidth="1"/>
    <col min="6" max="6" width="14.9166666666667" customWidth="1"/>
    <col min="7" max="7" width="11.3333333333333" customWidth="1"/>
    <col min="8" max="8" width="8.19166666666667" customWidth="1"/>
    <col min="9" max="9" width="12.25" customWidth="1"/>
    <col min="10" max="12" width="11.8333333333333" customWidth="1"/>
    <col min="13" max="15" width="7.28333333333333" customWidth="1"/>
    <col min="16" max="16" width="12.7416666666667" customWidth="1"/>
    <col min="17" max="17" width="41.85" customWidth="1"/>
  </cols>
  <sheetData>
    <row r="1" ht="22.5" spans="1:17">
      <c r="A1" s="16" t="s">
        <v>86</v>
      </c>
      <c r="B1" s="17"/>
      <c r="C1" s="17"/>
      <c r="D1" s="17"/>
      <c r="E1" s="17"/>
      <c r="F1" s="17"/>
      <c r="G1" s="17"/>
      <c r="H1" s="17"/>
      <c r="I1" s="17"/>
      <c r="J1" s="17"/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</row>
    <row r="2" ht="22.5" spans="1:17">
      <c r="A2" s="1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</row>
    <row r="3" spans="1:17">
      <c r="A3" s="18" t="s">
        <v>87</v>
      </c>
      <c r="B3" s="3"/>
      <c r="C3" s="3"/>
      <c r="D3" s="3"/>
      <c r="E3" s="3"/>
      <c r="F3" s="3"/>
      <c r="G3" s="3"/>
      <c r="H3" s="3"/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</row>
    <row r="4" spans="1:17">
      <c r="A4" s="4" t="s">
        <v>88</v>
      </c>
      <c r="B4" s="9" t="s">
        <v>89</v>
      </c>
      <c r="C4" s="9" t="s">
        <v>90</v>
      </c>
      <c r="D4" s="9" t="s">
        <v>91</v>
      </c>
      <c r="E4" s="9" t="s">
        <v>92</v>
      </c>
      <c r="F4" s="9" t="s">
        <v>93</v>
      </c>
      <c r="G4" s="9" t="s">
        <v>94</v>
      </c>
      <c r="H4" s="9" t="s">
        <v>95</v>
      </c>
      <c r="I4" s="9" t="s">
        <v>96</v>
      </c>
      <c r="J4" s="35">
        <v>5</v>
      </c>
      <c r="K4" s="35">
        <v>4</v>
      </c>
      <c r="L4" s="35">
        <v>3</v>
      </c>
      <c r="M4" s="4" t="s">
        <v>100</v>
      </c>
      <c r="N4" s="4" t="s">
        <v>101</v>
      </c>
      <c r="O4" s="4" t="s">
        <v>102</v>
      </c>
      <c r="P4" s="9" t="s">
        <v>103</v>
      </c>
      <c r="Q4" s="4" t="s">
        <v>104</v>
      </c>
    </row>
    <row r="5" spans="1:17">
      <c r="A5" s="5" t="s">
        <v>54</v>
      </c>
      <c r="B5" s="6">
        <f>滚轴与赔付!B31+滚轴与赔付!B$30</f>
        <v>1</v>
      </c>
      <c r="C5" s="6">
        <f>滚轴与赔付!C31+滚轴与赔付!C$30</f>
        <v>4</v>
      </c>
      <c r="D5" s="6">
        <f>滚轴与赔付!D31+滚轴与赔付!D$30</f>
        <v>4</v>
      </c>
      <c r="E5" s="6">
        <f>滚轴与赔付!E31+滚轴与赔付!E$30</f>
        <v>4</v>
      </c>
      <c r="F5" s="6">
        <f>滚轴与赔付!F31+滚轴与赔付!F$30</f>
        <v>4</v>
      </c>
      <c r="G5" s="6">
        <f>滚轴与赔付!$E$25-E5</f>
        <v>16</v>
      </c>
      <c r="H5" s="6">
        <f>滚轴与赔付!$F$25-F5</f>
        <v>16</v>
      </c>
      <c r="I5" s="6">
        <f>滚轴与赔付!$F$25</f>
        <v>20</v>
      </c>
      <c r="J5" s="6">
        <f>B5*C5*D5*E5*F5</f>
        <v>256</v>
      </c>
      <c r="K5" s="6">
        <f>B5*C5*D5*E5*H5</f>
        <v>1024</v>
      </c>
      <c r="L5" s="6">
        <f>B5*C5*D5*G5*I5</f>
        <v>5120</v>
      </c>
      <c r="M5" s="6">
        <f>VLOOKUP($A5,滚轴与赔付!$A$41:$D$45,4,FALSE())</f>
        <v>100</v>
      </c>
      <c r="N5" s="6">
        <f>VLOOKUP($A5,滚轴与赔付!$A$41:$D$45,3,FALSE())</f>
        <v>30</v>
      </c>
      <c r="O5" s="6">
        <f>VLOOKUP($A5,滚轴与赔付!$A$41:$D$45,2,FALSE())</f>
        <v>5</v>
      </c>
      <c r="P5" s="36">
        <f>(J5*M5+K5*N5+L5*O5)/滚轴与赔付!$H$25</f>
        <v>0.0256</v>
      </c>
      <c r="Q5" s="4" t="s">
        <v>1</v>
      </c>
    </row>
    <row r="6" spans="1:17">
      <c r="A6" s="5" t="s">
        <v>55</v>
      </c>
      <c r="B6" s="6">
        <f>滚轴与赔付!B32+滚轴与赔付!B$30</f>
        <v>3</v>
      </c>
      <c r="C6" s="6">
        <f>滚轴与赔付!C32+滚轴与赔付!C$30</f>
        <v>4</v>
      </c>
      <c r="D6" s="6">
        <f>滚轴与赔付!D32+滚轴与赔付!D$30</f>
        <v>4</v>
      </c>
      <c r="E6" s="6">
        <f>滚轴与赔付!E32+滚轴与赔付!E$30</f>
        <v>4</v>
      </c>
      <c r="F6" s="6">
        <f>滚轴与赔付!F32+滚轴与赔付!F$30</f>
        <v>4</v>
      </c>
      <c r="G6" s="6">
        <f>滚轴与赔付!$E$25-E6</f>
        <v>16</v>
      </c>
      <c r="H6" s="6">
        <f>滚轴与赔付!$F$25-F6</f>
        <v>16</v>
      </c>
      <c r="I6" s="6">
        <f>滚轴与赔付!$F$25</f>
        <v>20</v>
      </c>
      <c r="J6" s="6">
        <f>B6*C6*D6*E6*F6</f>
        <v>768</v>
      </c>
      <c r="K6" s="6">
        <f>B6*C6*D6*E6*H6</f>
        <v>3072</v>
      </c>
      <c r="L6" s="6">
        <f>B6*C6*D6*G6*I6</f>
        <v>15360</v>
      </c>
      <c r="M6" s="6">
        <f>VLOOKUP($A6,滚轴与赔付!$A$41:$D$45,4,FALSE())</f>
        <v>100</v>
      </c>
      <c r="N6" s="6">
        <f>VLOOKUP($A6,滚轴与赔付!$A$41:$D$45,3,FALSE())</f>
        <v>25</v>
      </c>
      <c r="O6" s="6">
        <f>VLOOKUP($A6,滚轴与赔付!$A$41:$D$45,2,FALSE())</f>
        <v>5</v>
      </c>
      <c r="P6" s="36">
        <f>(J6*M6+K6*N6+L6*O6)/滚轴与赔付!$H$25</f>
        <v>0.072</v>
      </c>
      <c r="Q6" s="4" t="s">
        <v>1</v>
      </c>
    </row>
    <row r="7" spans="1:17">
      <c r="A7" s="5" t="s">
        <v>57</v>
      </c>
      <c r="B7" s="6">
        <f>滚轴与赔付!B33+滚轴与赔付!B$30</f>
        <v>4</v>
      </c>
      <c r="C7" s="6">
        <f>滚轴与赔付!C33+滚轴与赔付!C$30</f>
        <v>6</v>
      </c>
      <c r="D7" s="6">
        <f>滚轴与赔付!D33+滚轴与赔付!D$30</f>
        <v>5</v>
      </c>
      <c r="E7" s="6">
        <f>滚轴与赔付!E33+滚轴与赔付!E$30</f>
        <v>5</v>
      </c>
      <c r="F7" s="6">
        <f>滚轴与赔付!F33+滚轴与赔付!F$30</f>
        <v>5</v>
      </c>
      <c r="G7" s="6">
        <f>滚轴与赔付!$E$25-E7</f>
        <v>15</v>
      </c>
      <c r="H7" s="6">
        <f>滚轴与赔付!$F$25-F7</f>
        <v>15</v>
      </c>
      <c r="I7" s="6">
        <f>滚轴与赔付!$F$25</f>
        <v>20</v>
      </c>
      <c r="J7" s="6">
        <f>B7*C7*D7*E7*F7</f>
        <v>3000</v>
      </c>
      <c r="K7" s="6">
        <f>B7*C7*D7*E7*H7</f>
        <v>9000</v>
      </c>
      <c r="L7" s="6">
        <f>B7*C7*D7*G7*I7</f>
        <v>36000</v>
      </c>
      <c r="M7" s="6">
        <f>VLOOKUP($A7,滚轴与赔付!$A$41:$D$45,4,FALSE())</f>
        <v>75</v>
      </c>
      <c r="N7" s="6">
        <f>VLOOKUP($A7,滚轴与赔付!$A$41:$D$45,3,FALSE())</f>
        <v>20</v>
      </c>
      <c r="O7" s="6">
        <f>VLOOKUP($A7,滚轴与赔付!$A$41:$D$45,2,FALSE())</f>
        <v>5</v>
      </c>
      <c r="P7" s="36">
        <f>(J7*M7+K7*N7+L7*O7)/滚轴与赔付!$H$25</f>
        <v>0.1828125</v>
      </c>
      <c r="Q7" s="4" t="s">
        <v>1</v>
      </c>
    </row>
    <row r="8" spans="1:17">
      <c r="A8" s="34">
        <v>10</v>
      </c>
      <c r="B8" s="6">
        <f>滚轴与赔付!B34+滚轴与赔付!B$30</f>
        <v>5</v>
      </c>
      <c r="C8" s="6">
        <f>滚轴与赔付!C34+滚轴与赔付!C$30</f>
        <v>4</v>
      </c>
      <c r="D8" s="6">
        <f>滚轴与赔付!D34+滚轴与赔付!D$30</f>
        <v>5</v>
      </c>
      <c r="E8" s="6">
        <f>滚轴与赔付!E34+滚轴与赔付!E$30</f>
        <v>5</v>
      </c>
      <c r="F8" s="6">
        <f>滚轴与赔付!F34+滚轴与赔付!F$30</f>
        <v>5</v>
      </c>
      <c r="G8" s="6">
        <f>滚轴与赔付!$E$25-E8</f>
        <v>15</v>
      </c>
      <c r="H8" s="6">
        <f>滚轴与赔付!$F$25-F8</f>
        <v>15</v>
      </c>
      <c r="I8" s="6">
        <f>滚轴与赔付!$F$25</f>
        <v>20</v>
      </c>
      <c r="J8" s="6">
        <f>B8*C8*D8*E8*F8</f>
        <v>2500</v>
      </c>
      <c r="K8" s="6">
        <f>B8*C8*D8*E8*H8</f>
        <v>7500</v>
      </c>
      <c r="L8" s="6">
        <f>B8*C8*D8*G8*I8</f>
        <v>30000</v>
      </c>
      <c r="M8" s="6">
        <f>VLOOKUP($A8,滚轴与赔付!$A$41:$D$45,4,FALSE())</f>
        <v>75</v>
      </c>
      <c r="N8" s="6">
        <f>VLOOKUP($A8,滚轴与赔付!$A$41:$D$45,3,FALSE())</f>
        <v>20</v>
      </c>
      <c r="O8" s="6">
        <f>VLOOKUP($A8,滚轴与赔付!$A$41:$D$45,2,FALSE())</f>
        <v>5</v>
      </c>
      <c r="P8" s="36">
        <f>(J8*M8+K8*N8+L8*O8)/滚轴与赔付!$H$25</f>
        <v>0.15234375</v>
      </c>
      <c r="Q8" s="4" t="s">
        <v>1</v>
      </c>
    </row>
    <row r="9" spans="1:17">
      <c r="A9" s="34">
        <v>9</v>
      </c>
      <c r="B9" s="6">
        <f>滚轴与赔付!B35+滚轴与赔付!B$30</f>
        <v>6</v>
      </c>
      <c r="C9" s="6">
        <f>滚轴与赔付!C35+滚轴与赔付!C$30</f>
        <v>5</v>
      </c>
      <c r="D9" s="6">
        <f>滚轴与赔付!D35+滚轴与赔付!D$30</f>
        <v>5</v>
      </c>
      <c r="E9" s="6">
        <f>滚轴与赔付!E35+滚轴与赔付!E$30</f>
        <v>5</v>
      </c>
      <c r="F9" s="6">
        <f>滚轴与赔付!F35+滚轴与赔付!F$30</f>
        <v>5</v>
      </c>
      <c r="G9" s="6">
        <f>滚轴与赔付!$E$25-E9</f>
        <v>15</v>
      </c>
      <c r="H9" s="6">
        <f>滚轴与赔付!$F$25-F9</f>
        <v>15</v>
      </c>
      <c r="I9" s="6">
        <f>滚轴与赔付!$F$25</f>
        <v>20</v>
      </c>
      <c r="J9" s="6">
        <f>B9*C9*D9*E9*F9</f>
        <v>3750</v>
      </c>
      <c r="K9" s="6">
        <f>B9*C9*D9*E9*H9</f>
        <v>11250</v>
      </c>
      <c r="L9" s="6">
        <f>B9*C9*D9*G9*I9</f>
        <v>45000</v>
      </c>
      <c r="M9" s="6">
        <f>VLOOKUP($A9,滚轴与赔付!$A$41:$D$45,4,FALSE())</f>
        <v>50</v>
      </c>
      <c r="N9" s="6">
        <f>VLOOKUP($A9,滚轴与赔付!$A$41:$D$45,3,FALSE())</f>
        <v>10</v>
      </c>
      <c r="O9" s="6">
        <f>VLOOKUP($A9,滚轴与赔付!$A$41:$D$45,2,FALSE())</f>
        <v>5</v>
      </c>
      <c r="P9" s="36">
        <f>(J9*M9+K9*N9+L9*O9)/滚轴与赔付!$H$25</f>
        <v>0.1640625</v>
      </c>
      <c r="Q9" s="4" t="s">
        <v>1</v>
      </c>
    </row>
    <row r="10" spans="1:17">
      <c r="A10" s="19" t="s">
        <v>105</v>
      </c>
      <c r="B10" s="19" t="s">
        <v>1</v>
      </c>
      <c r="C10" s="19" t="s">
        <v>1</v>
      </c>
      <c r="D10" s="19" t="s">
        <v>1</v>
      </c>
      <c r="E10" s="19" t="s">
        <v>1</v>
      </c>
      <c r="F10" s="19" t="s">
        <v>1</v>
      </c>
      <c r="G10" s="19" t="s">
        <v>1</v>
      </c>
      <c r="H10" s="19" t="s">
        <v>1</v>
      </c>
      <c r="I10" s="19" t="s">
        <v>1</v>
      </c>
      <c r="J10" s="20">
        <f>SUM(J5:J9)</f>
        <v>10274</v>
      </c>
      <c r="K10" s="20">
        <f>SUM(K5:K9)</f>
        <v>31846</v>
      </c>
      <c r="L10" s="20">
        <f>SUM(L5:L9)</f>
        <v>131480</v>
      </c>
      <c r="M10" s="19" t="s">
        <v>106</v>
      </c>
      <c r="N10" s="19" t="s">
        <v>1</v>
      </c>
      <c r="O10" s="19" t="s">
        <v>1</v>
      </c>
      <c r="P10" s="37">
        <f>SUM(P5:P9)</f>
        <v>0.59681875</v>
      </c>
      <c r="Q10" s="4" t="s">
        <v>1</v>
      </c>
    </row>
    <row r="11" spans="1:17">
      <c r="A11" s="19" t="s">
        <v>1</v>
      </c>
      <c r="B11" s="19" t="s">
        <v>1</v>
      </c>
      <c r="C11" s="19" t="s">
        <v>1</v>
      </c>
      <c r="D11" s="19" t="s">
        <v>1</v>
      </c>
      <c r="E11" s="19" t="s">
        <v>1</v>
      </c>
      <c r="F11" s="19" t="s">
        <v>1</v>
      </c>
      <c r="G11" s="19" t="s">
        <v>1</v>
      </c>
      <c r="H11" s="19" t="s">
        <v>1</v>
      </c>
      <c r="I11" s="19" t="s">
        <v>1</v>
      </c>
      <c r="J11" s="20" t="s">
        <v>1</v>
      </c>
      <c r="K11" s="20" t="s">
        <v>1</v>
      </c>
      <c r="L11" s="20" t="s">
        <v>1</v>
      </c>
      <c r="M11" s="19" t="s">
        <v>1</v>
      </c>
      <c r="N11" s="19" t="s">
        <v>1</v>
      </c>
      <c r="O11" s="19" t="s">
        <v>1</v>
      </c>
      <c r="P11" s="15" t="s">
        <v>1</v>
      </c>
      <c r="Q11" s="4" t="s">
        <v>1</v>
      </c>
    </row>
    <row r="12" spans="1:17">
      <c r="A12" s="3" t="s">
        <v>107</v>
      </c>
      <c r="B12" s="2" t="s">
        <v>1</v>
      </c>
      <c r="C12" s="2" t="s">
        <v>1</v>
      </c>
      <c r="D12" s="2" t="s">
        <v>1</v>
      </c>
      <c r="E12" s="2" t="s">
        <v>1</v>
      </c>
      <c r="F12" s="19" t="s">
        <v>1</v>
      </c>
      <c r="G12" s="19" t="s">
        <v>1</v>
      </c>
      <c r="H12" s="19" t="s">
        <v>1</v>
      </c>
      <c r="I12" s="19" t="s">
        <v>1</v>
      </c>
      <c r="J12" s="20" t="s">
        <v>1</v>
      </c>
      <c r="K12" s="20" t="s">
        <v>1</v>
      </c>
      <c r="L12" s="20" t="s">
        <v>1</v>
      </c>
      <c r="M12" s="19" t="s">
        <v>1</v>
      </c>
      <c r="N12" s="19" t="s">
        <v>1</v>
      </c>
      <c r="O12" s="19" t="s">
        <v>1</v>
      </c>
      <c r="P12" s="15" t="s">
        <v>1</v>
      </c>
      <c r="Q12" s="4" t="s">
        <v>1</v>
      </c>
    </row>
    <row r="13" spans="1:17">
      <c r="A13" t="s">
        <v>108</v>
      </c>
      <c r="B13" s="2" t="s">
        <v>1</v>
      </c>
      <c r="C13" s="2" t="s">
        <v>1</v>
      </c>
      <c r="D13" s="36">
        <f>(J10+K10+L10)/滚轴与赔付!$H$25</f>
        <v>0.05425</v>
      </c>
      <c r="E13" s="5" t="s">
        <v>109</v>
      </c>
      <c r="F13" s="19" t="s">
        <v>1</v>
      </c>
      <c r="G13" s="19" t="s">
        <v>1</v>
      </c>
      <c r="H13" s="19" t="s">
        <v>1</v>
      </c>
      <c r="I13" s="19" t="s">
        <v>1</v>
      </c>
      <c r="J13" s="20" t="s">
        <v>1</v>
      </c>
      <c r="K13" s="20" t="s">
        <v>1</v>
      </c>
      <c r="L13" s="20" t="s">
        <v>1</v>
      </c>
      <c r="M13" s="19" t="s">
        <v>1</v>
      </c>
      <c r="N13" s="19" t="s">
        <v>1</v>
      </c>
      <c r="O13" s="19" t="s">
        <v>1</v>
      </c>
      <c r="P13" s="15" t="s">
        <v>1</v>
      </c>
      <c r="Q13" s="4" t="s">
        <v>1</v>
      </c>
    </row>
    <row r="14" spans="1:17">
      <c r="A14" t="s">
        <v>110</v>
      </c>
      <c r="B14" s="2" t="s">
        <v>1</v>
      </c>
      <c r="C14" s="2" t="s">
        <v>1</v>
      </c>
      <c r="D14" s="36">
        <f>P10</f>
        <v>0.59681875</v>
      </c>
      <c r="E14" s="5" t="s">
        <v>1</v>
      </c>
      <c r="F14" s="19" t="s">
        <v>1</v>
      </c>
      <c r="G14" s="19" t="s">
        <v>1</v>
      </c>
      <c r="H14" s="19" t="s">
        <v>1</v>
      </c>
      <c r="I14" s="19" t="s">
        <v>1</v>
      </c>
      <c r="J14" s="20" t="s">
        <v>1</v>
      </c>
      <c r="K14" s="20" t="s">
        <v>1</v>
      </c>
      <c r="L14" s="20" t="s">
        <v>1</v>
      </c>
      <c r="M14" s="19" t="s">
        <v>1</v>
      </c>
      <c r="N14" s="19" t="s">
        <v>1</v>
      </c>
      <c r="O14" s="19" t="s">
        <v>1</v>
      </c>
      <c r="P14" s="15" t="s">
        <v>1</v>
      </c>
      <c r="Q14" s="4" t="s">
        <v>1</v>
      </c>
    </row>
    <row r="15" spans="1:17">
      <c r="A15" t="s">
        <v>111</v>
      </c>
      <c r="B15" s="2" t="s">
        <v>1</v>
      </c>
      <c r="C15" s="2" t="s">
        <v>1</v>
      </c>
      <c r="D15" s="14">
        <f>P10/D13</f>
        <v>11.001267281106</v>
      </c>
      <c r="E15" s="5" t="s">
        <v>1</v>
      </c>
      <c r="F15" s="19" t="s">
        <v>1</v>
      </c>
      <c r="G15" s="19" t="s">
        <v>1</v>
      </c>
      <c r="H15" s="19" t="s">
        <v>1</v>
      </c>
      <c r="I15" s="19" t="s">
        <v>1</v>
      </c>
      <c r="J15" s="20" t="s">
        <v>1</v>
      </c>
      <c r="K15" s="20" t="s">
        <v>1</v>
      </c>
      <c r="L15" s="20" t="s">
        <v>1</v>
      </c>
      <c r="M15" s="19" t="s">
        <v>1</v>
      </c>
      <c r="N15" s="19" t="s">
        <v>1</v>
      </c>
      <c r="O15" s="19" t="s">
        <v>1</v>
      </c>
      <c r="P15" s="15" t="s">
        <v>1</v>
      </c>
      <c r="Q15" s="4" t="s">
        <v>1</v>
      </c>
    </row>
    <row r="16" spans="1:17">
      <c r="A16" t="s">
        <v>112</v>
      </c>
      <c r="B16" s="2" t="s">
        <v>1</v>
      </c>
      <c r="C16" s="2" t="s">
        <v>1</v>
      </c>
      <c r="D16" s="7" t="s">
        <v>113</v>
      </c>
      <c r="E16" s="5" t="s">
        <v>1</v>
      </c>
      <c r="F16" s="19" t="s">
        <v>1</v>
      </c>
      <c r="G16" s="19" t="s">
        <v>1</v>
      </c>
      <c r="H16" s="19" t="s">
        <v>1</v>
      </c>
      <c r="I16" s="19" t="s">
        <v>1</v>
      </c>
      <c r="J16" s="20" t="s">
        <v>1</v>
      </c>
      <c r="K16" s="20" t="s">
        <v>1</v>
      </c>
      <c r="L16" s="20" t="s">
        <v>1</v>
      </c>
      <c r="M16" s="19" t="s">
        <v>1</v>
      </c>
      <c r="N16" s="19" t="s">
        <v>1</v>
      </c>
      <c r="O16" s="19" t="s">
        <v>1</v>
      </c>
      <c r="P16" s="15" t="s">
        <v>1</v>
      </c>
      <c r="Q16" s="4" t="s">
        <v>1</v>
      </c>
    </row>
    <row r="17" spans="1:17">
      <c r="A17" t="s">
        <v>1</v>
      </c>
      <c r="B17" s="2" t="s">
        <v>1</v>
      </c>
      <c r="C17" s="2" t="s">
        <v>1</v>
      </c>
      <c r="D17" s="7" t="s">
        <v>1</v>
      </c>
      <c r="E17" s="5" t="s">
        <v>1</v>
      </c>
      <c r="F17" s="19" t="s">
        <v>1</v>
      </c>
      <c r="G17" s="19" t="s">
        <v>1</v>
      </c>
      <c r="H17" s="19" t="s">
        <v>1</v>
      </c>
      <c r="I17" s="19" t="s">
        <v>1</v>
      </c>
      <c r="J17" s="20" t="s">
        <v>1</v>
      </c>
      <c r="K17" s="20" t="s">
        <v>1</v>
      </c>
      <c r="L17" s="20" t="s">
        <v>1</v>
      </c>
      <c r="M17" s="19" t="s">
        <v>1</v>
      </c>
      <c r="N17" s="19" t="s">
        <v>1</v>
      </c>
      <c r="O17" s="19" t="s">
        <v>1</v>
      </c>
      <c r="P17" s="15" t="s">
        <v>1</v>
      </c>
      <c r="Q17" s="4" t="s">
        <v>1</v>
      </c>
    </row>
    <row r="18" spans="1:17">
      <c r="A18" s="3" t="s">
        <v>114</v>
      </c>
      <c r="B18" s="2" t="s">
        <v>1</v>
      </c>
      <c r="C18" s="2" t="s">
        <v>1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0" t="s">
        <v>1</v>
      </c>
      <c r="L18" s="20" t="s">
        <v>1</v>
      </c>
      <c r="M18" s="19" t="s">
        <v>1</v>
      </c>
      <c r="N18" s="19" t="s">
        <v>1</v>
      </c>
      <c r="O18" s="19" t="s">
        <v>1</v>
      </c>
      <c r="P18" s="15" t="s">
        <v>1</v>
      </c>
      <c r="Q18" s="4" t="s">
        <v>1</v>
      </c>
    </row>
    <row r="19" spans="1:17">
      <c r="A19" s="4" t="s">
        <v>73</v>
      </c>
      <c r="B19" s="4" t="s">
        <v>49</v>
      </c>
      <c r="C19" s="4" t="s">
        <v>50</v>
      </c>
      <c r="D19" s="4" t="s">
        <v>51</v>
      </c>
      <c r="E19" s="4" t="s">
        <v>52</v>
      </c>
      <c r="F19" s="4" t="s">
        <v>53</v>
      </c>
      <c r="G19" s="4" t="s">
        <v>115</v>
      </c>
      <c r="H19" s="4" t="s">
        <v>116</v>
      </c>
      <c r="I19" s="4" t="s">
        <v>117</v>
      </c>
      <c r="J19" s="4" t="s">
        <v>118</v>
      </c>
      <c r="K19" s="20" t="s">
        <v>1</v>
      </c>
      <c r="L19" s="20" t="s">
        <v>1</v>
      </c>
      <c r="M19" s="19" t="s">
        <v>1</v>
      </c>
      <c r="N19" s="19" t="s">
        <v>1</v>
      </c>
      <c r="O19" s="19" t="s">
        <v>1</v>
      </c>
      <c r="P19" s="15" t="s">
        <v>1</v>
      </c>
      <c r="Q19" s="4" t="s">
        <v>1</v>
      </c>
    </row>
    <row r="20" spans="1:17">
      <c r="A20" s="5" t="s">
        <v>75</v>
      </c>
      <c r="B20" s="6">
        <f>滚轴与赔付!B50</f>
        <v>1</v>
      </c>
      <c r="C20" s="6">
        <f>滚轴与赔付!C50</f>
        <v>1</v>
      </c>
      <c r="D20" s="6">
        <f>滚轴与赔付!D50</f>
        <v>1</v>
      </c>
      <c r="E20" s="6">
        <f>滚轴与赔付!E50</f>
        <v>1</v>
      </c>
      <c r="F20" s="6">
        <f>滚轴与赔付!F50</f>
        <v>1</v>
      </c>
      <c r="G20" s="36">
        <f>$P$10</f>
        <v>0.59681875</v>
      </c>
      <c r="H20" s="11">
        <f>1</f>
        <v>1</v>
      </c>
      <c r="I20" s="36">
        <f>G20*H20</f>
        <v>0.59681875</v>
      </c>
      <c r="J20" s="37">
        <f>I20/H20</f>
        <v>0.59681875</v>
      </c>
      <c r="K20" s="20" t="s">
        <v>1</v>
      </c>
      <c r="L20" s="20" t="s">
        <v>1</v>
      </c>
      <c r="M20" s="19" t="s">
        <v>1</v>
      </c>
      <c r="N20" s="19" t="s">
        <v>1</v>
      </c>
      <c r="O20" s="19" t="s">
        <v>1</v>
      </c>
      <c r="P20" s="15" t="s">
        <v>1</v>
      </c>
      <c r="Q20" s="4" t="s">
        <v>1</v>
      </c>
    </row>
    <row r="21" spans="1:17">
      <c r="A21" s="5" t="s">
        <v>77</v>
      </c>
      <c r="B21" s="6">
        <f>滚轴与赔付!B51</f>
        <v>2</v>
      </c>
      <c r="C21" s="6">
        <f>滚轴与赔付!C51</f>
        <v>2</v>
      </c>
      <c r="D21" s="6">
        <f>滚轴与赔付!D51</f>
        <v>2</v>
      </c>
      <c r="E21" s="6">
        <f>滚轴与赔付!E51</f>
        <v>2</v>
      </c>
      <c r="F21" s="6">
        <f>滚轴与赔付!F51</f>
        <v>2</v>
      </c>
      <c r="G21" s="36">
        <f>$P$10</f>
        <v>0.59681875</v>
      </c>
      <c r="H21" s="11">
        <f>1</f>
        <v>1</v>
      </c>
      <c r="I21" s="36">
        <f>G21*H21</f>
        <v>0.59681875</v>
      </c>
      <c r="J21" s="37">
        <f>I21/H21</f>
        <v>0.59681875</v>
      </c>
      <c r="K21" s="20" t="s">
        <v>1</v>
      </c>
      <c r="L21" s="20" t="s">
        <v>1</v>
      </c>
      <c r="M21" s="19" t="s">
        <v>1</v>
      </c>
      <c r="N21" s="19" t="s">
        <v>1</v>
      </c>
      <c r="O21" s="19" t="s">
        <v>1</v>
      </c>
      <c r="P21" s="15" t="s">
        <v>1</v>
      </c>
      <c r="Q21" s="4" t="s">
        <v>1</v>
      </c>
    </row>
    <row r="22" spans="1:17">
      <c r="A22" s="5" t="s">
        <v>79</v>
      </c>
      <c r="B22" s="6">
        <f>滚轴与赔付!B52</f>
        <v>3</v>
      </c>
      <c r="C22" s="6">
        <f>滚轴与赔付!C52</f>
        <v>3</v>
      </c>
      <c r="D22" s="6">
        <f>滚轴与赔付!D52</f>
        <v>3</v>
      </c>
      <c r="E22" s="6">
        <f>滚轴与赔付!E52</f>
        <v>3</v>
      </c>
      <c r="F22" s="6">
        <f>滚轴与赔付!F52</f>
        <v>3</v>
      </c>
      <c r="G22" s="36">
        <f>$P$10</f>
        <v>0.59681875</v>
      </c>
      <c r="H22" s="11">
        <f>1</f>
        <v>1</v>
      </c>
      <c r="I22" s="36">
        <f>G22*H22</f>
        <v>0.59681875</v>
      </c>
      <c r="J22" s="37">
        <f>I22/H22</f>
        <v>0.59681875</v>
      </c>
      <c r="K22" s="20" t="s">
        <v>1</v>
      </c>
      <c r="L22" s="20" t="s">
        <v>1</v>
      </c>
      <c r="M22" s="19" t="s">
        <v>1</v>
      </c>
      <c r="N22" s="19" t="s">
        <v>1</v>
      </c>
      <c r="O22" s="19" t="s">
        <v>1</v>
      </c>
      <c r="P22" s="15" t="s">
        <v>1</v>
      </c>
      <c r="Q22" s="4" t="s">
        <v>1</v>
      </c>
    </row>
    <row r="23" spans="1:17">
      <c r="A23" s="5" t="s">
        <v>81</v>
      </c>
      <c r="B23" s="6">
        <f>滚轴与赔付!B53</f>
        <v>1</v>
      </c>
      <c r="C23" s="6">
        <f>滚轴与赔付!C53</f>
        <v>2</v>
      </c>
      <c r="D23" s="6">
        <f>滚轴与赔付!D53</f>
        <v>3</v>
      </c>
      <c r="E23" s="6">
        <f>滚轴与赔付!E53</f>
        <v>2</v>
      </c>
      <c r="F23" s="6">
        <f>滚轴与赔付!F53</f>
        <v>1</v>
      </c>
      <c r="G23" s="36">
        <f>$P$10</f>
        <v>0.59681875</v>
      </c>
      <c r="H23" s="11">
        <f>1</f>
        <v>1</v>
      </c>
      <c r="I23" s="36">
        <f>G23*H23</f>
        <v>0.59681875</v>
      </c>
      <c r="J23" s="37">
        <f>I23/H23</f>
        <v>0.59681875</v>
      </c>
      <c r="K23" s="20" t="s">
        <v>1</v>
      </c>
      <c r="L23" s="20" t="s">
        <v>1</v>
      </c>
      <c r="M23" s="19" t="s">
        <v>1</v>
      </c>
      <c r="N23" s="19" t="s">
        <v>1</v>
      </c>
      <c r="O23" s="19" t="s">
        <v>1</v>
      </c>
      <c r="P23" s="15" t="s">
        <v>1</v>
      </c>
      <c r="Q23" s="4" t="s">
        <v>1</v>
      </c>
    </row>
    <row r="24" spans="1:17">
      <c r="A24" s="5" t="s">
        <v>83</v>
      </c>
      <c r="B24" s="6">
        <f>滚轴与赔付!B54</f>
        <v>3</v>
      </c>
      <c r="C24" s="6">
        <f>滚轴与赔付!C54</f>
        <v>2</v>
      </c>
      <c r="D24" s="6">
        <f>滚轴与赔付!D54</f>
        <v>1</v>
      </c>
      <c r="E24" s="6">
        <f>滚轴与赔付!E54</f>
        <v>2</v>
      </c>
      <c r="F24" s="6">
        <f>滚轴与赔付!F54</f>
        <v>3</v>
      </c>
      <c r="G24" s="36">
        <f>$P$10</f>
        <v>0.59681875</v>
      </c>
      <c r="H24" s="11">
        <f>1</f>
        <v>1</v>
      </c>
      <c r="I24" s="36">
        <f>G24*H24</f>
        <v>0.59681875</v>
      </c>
      <c r="J24" s="37">
        <f>I24/H24</f>
        <v>0.59681875</v>
      </c>
      <c r="K24" s="20" t="s">
        <v>1</v>
      </c>
      <c r="L24" s="20" t="s">
        <v>1</v>
      </c>
      <c r="M24" s="19" t="s">
        <v>1</v>
      </c>
      <c r="N24" s="19" t="s">
        <v>1</v>
      </c>
      <c r="O24" s="19" t="s">
        <v>1</v>
      </c>
      <c r="P24" s="15" t="s">
        <v>1</v>
      </c>
      <c r="Q24" s="4" t="s">
        <v>1</v>
      </c>
    </row>
    <row r="25" spans="1:17">
      <c r="A25" s="5" t="s">
        <v>1</v>
      </c>
      <c r="B25" s="6" t="s">
        <v>1</v>
      </c>
      <c r="C25" s="6" t="s">
        <v>1</v>
      </c>
      <c r="D25" s="6" t="s">
        <v>1</v>
      </c>
      <c r="E25" s="6" t="s">
        <v>1</v>
      </c>
      <c r="F25" s="6" t="s">
        <v>1</v>
      </c>
      <c r="G25" s="8" t="s">
        <v>1</v>
      </c>
      <c r="H25" s="11" t="s">
        <v>1</v>
      </c>
      <c r="I25" s="8" t="s">
        <v>1</v>
      </c>
      <c r="J25" s="15" t="s">
        <v>1</v>
      </c>
      <c r="K25" s="20" t="s">
        <v>1</v>
      </c>
      <c r="L25" s="20" t="s">
        <v>1</v>
      </c>
      <c r="M25" s="19" t="s">
        <v>1</v>
      </c>
      <c r="N25" s="19" t="s">
        <v>1</v>
      </c>
      <c r="O25" s="19" t="s">
        <v>1</v>
      </c>
      <c r="P25" s="15" t="s">
        <v>1</v>
      </c>
      <c r="Q25" s="4" t="s">
        <v>1</v>
      </c>
    </row>
    <row r="26" spans="1:17">
      <c r="A26" s="21" t="s">
        <v>119</v>
      </c>
      <c r="B26" s="7"/>
      <c r="C26" s="7"/>
      <c r="D26" s="7"/>
      <c r="E26" s="7"/>
      <c r="F26" s="7"/>
      <c r="G26" s="7"/>
      <c r="H26" s="7"/>
      <c r="I26" s="8" t="s">
        <v>1</v>
      </c>
      <c r="J26" s="15" t="s">
        <v>1</v>
      </c>
      <c r="K26" s="20" t="s">
        <v>1</v>
      </c>
      <c r="L26" s="20" t="s">
        <v>1</v>
      </c>
      <c r="M26" s="19" t="s">
        <v>1</v>
      </c>
      <c r="N26" s="19" t="s">
        <v>1</v>
      </c>
      <c r="O26" s="19" t="s">
        <v>1</v>
      </c>
      <c r="P26" s="15" t="s">
        <v>1</v>
      </c>
      <c r="Q26" s="4" t="s">
        <v>1</v>
      </c>
    </row>
    <row r="27" spans="1:17">
      <c r="A27" s="21" t="s">
        <v>120</v>
      </c>
      <c r="B27" s="7"/>
      <c r="C27" s="7"/>
      <c r="D27" s="7"/>
      <c r="E27" s="7"/>
      <c r="F27" s="7"/>
      <c r="G27" s="7"/>
      <c r="H27" s="7"/>
      <c r="I27" s="7"/>
      <c r="J27" s="15" t="s">
        <v>1</v>
      </c>
      <c r="K27" s="20" t="s">
        <v>1</v>
      </c>
      <c r="L27" s="20" t="s">
        <v>1</v>
      </c>
      <c r="M27" s="19" t="s">
        <v>1</v>
      </c>
      <c r="N27" s="19" t="s">
        <v>1</v>
      </c>
      <c r="O27" s="19" t="s">
        <v>1</v>
      </c>
      <c r="P27" s="15" t="s">
        <v>1</v>
      </c>
      <c r="Q27" s="4" t="s">
        <v>1</v>
      </c>
    </row>
  </sheetData>
  <mergeCells count="4">
    <mergeCell ref="A1:J1"/>
    <mergeCell ref="A3:H3"/>
    <mergeCell ref="A26:H26"/>
    <mergeCell ref="A27:I27"/>
  </mergeCells>
  <pageMargins left="0.75" right="0.75" top="1" bottom="1" header="0.511811023622047" footer="0.511811023622047"/>
  <pageSetup paperSize="9" orientation="portrait" horizontalDpi="300" verticalDpi="300"/>
  <headerFooter/>
  <ignoredErrors>
    <ignoredError sqref="A1:V47" evalError="1" twoDigitTextYear="1" numberStoredAsText="1" formula="1" formulaRange="1" unlockedFormula="1" emptyCellReference="1" listDataValidation="1" calculatedColumn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"/>
    </sheetView>
  </sheetViews>
  <sheetFormatPr defaultColWidth="7.69166666666667" defaultRowHeight="18.5" outlineLevelCol="6"/>
  <cols>
    <col min="1" max="1" width="36.3916666666667" customWidth="1"/>
    <col min="2" max="2" width="14.5583333333333" customWidth="1"/>
    <col min="3" max="3" width="18.2" customWidth="1"/>
    <col min="4" max="4" width="20.0083333333333" customWidth="1"/>
    <col min="5" max="5" width="18.2" customWidth="1"/>
    <col min="6" max="6" width="20.0083333333333" customWidth="1"/>
    <col min="7" max="7" width="36.3916666666667" customWidth="1"/>
  </cols>
  <sheetData>
    <row r="1" ht="22.5" spans="1:7">
      <c r="A1" s="1" t="s">
        <v>121</v>
      </c>
      <c r="B1" s="10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</row>
    <row r="2" ht="22.5" spans="1:7">
      <c r="A2" s="1" t="s">
        <v>1</v>
      </c>
      <c r="B2" s="10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</row>
    <row r="3" spans="1:7">
      <c r="A3" s="3" t="s">
        <v>122</v>
      </c>
      <c r="B3" s="10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</row>
    <row r="4" spans="1:7">
      <c r="A4" t="s">
        <v>123</v>
      </c>
      <c r="B4" s="10">
        <v>5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</row>
    <row r="5" spans="1:7">
      <c r="A5" t="s">
        <v>124</v>
      </c>
      <c r="B5" s="13">
        <v>5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</row>
    <row r="6" spans="1:7">
      <c r="A6" t="s">
        <v>125</v>
      </c>
      <c r="B6" s="14">
        <f>B5/B4</f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</row>
    <row r="7" spans="1:7">
      <c r="A7" t="s">
        <v>126</v>
      </c>
      <c r="B7" s="10">
        <v>10000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</row>
    <row r="8" spans="1:7">
      <c r="A8" t="s">
        <v>127</v>
      </c>
      <c r="B8" s="6">
        <f>B5*B7</f>
        <v>50000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</row>
    <row r="9" spans="1:7">
      <c r="A9" t="s">
        <v>128</v>
      </c>
      <c r="B9" s="6">
        <f>B8/B4</f>
        <v>10000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</row>
    <row r="10" spans="1:7">
      <c r="A10" s="7" t="s">
        <v>129</v>
      </c>
      <c r="B10" s="6" t="s">
        <v>1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</row>
    <row r="11" spans="1:7">
      <c r="A11" s="7" t="s">
        <v>1</v>
      </c>
      <c r="B11" s="6" t="s">
        <v>1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</row>
    <row r="12" spans="1:7">
      <c r="A12" s="3" t="s">
        <v>130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</row>
    <row r="13" spans="1:7">
      <c r="A13" s="4" t="s">
        <v>131</v>
      </c>
      <c r="B13" s="4" t="s">
        <v>132</v>
      </c>
      <c r="C13" s="4" t="s">
        <v>133</v>
      </c>
      <c r="D13" s="4" t="s">
        <v>134</v>
      </c>
      <c r="E13" s="4" t="s">
        <v>135</v>
      </c>
      <c r="F13" s="4" t="s">
        <v>118</v>
      </c>
      <c r="G13" s="4" t="s">
        <v>136</v>
      </c>
    </row>
    <row r="14" spans="1:7">
      <c r="A14" s="10">
        <v>1</v>
      </c>
      <c r="B14" s="11">
        <f>A14*$B$6</f>
        <v>1</v>
      </c>
      <c r="C14" s="36">
        <f>线型与RTP!$D$13</f>
        <v>0.05425</v>
      </c>
      <c r="D14" s="36">
        <f>1-(1-C14)^A14</f>
        <v>0.05425</v>
      </c>
      <c r="E14" s="11">
        <f>B14*线型与RTP!$P$10</f>
        <v>0.59681875</v>
      </c>
      <c r="F14" s="37">
        <f>线型与RTP!$P$10</f>
        <v>0.59681875</v>
      </c>
      <c r="G14" s="11">
        <f>B14*F14</f>
        <v>0.59681875</v>
      </c>
    </row>
    <row r="15" spans="1:7">
      <c r="A15" s="10">
        <v>2</v>
      </c>
      <c r="B15" s="11">
        <f>A15*$B$6</f>
        <v>2</v>
      </c>
      <c r="C15" s="36">
        <f>线型与RTP!$D$13</f>
        <v>0.05425</v>
      </c>
      <c r="D15" s="36">
        <f>1-(1-C15)^A15</f>
        <v>0.1055569375</v>
      </c>
      <c r="E15" s="11">
        <f>B15*线型与RTP!$P$10</f>
        <v>1.1936375</v>
      </c>
      <c r="F15" s="37">
        <f>线型与RTP!$P$10</f>
        <v>0.59681875</v>
      </c>
      <c r="G15" s="11">
        <f>B15*F15</f>
        <v>1.1936375</v>
      </c>
    </row>
    <row r="16" spans="1:7">
      <c r="A16" s="10">
        <v>3</v>
      </c>
      <c r="B16" s="11">
        <f>A16*$B$6</f>
        <v>3</v>
      </c>
      <c r="C16" s="36">
        <f>线型与RTP!$D$13</f>
        <v>0.05425</v>
      </c>
      <c r="D16" s="36">
        <f>1-(1-C16)^A16</f>
        <v>0.154080473640625</v>
      </c>
      <c r="E16" s="11">
        <f>B16*线型与RTP!$P$10</f>
        <v>1.79045625</v>
      </c>
      <c r="F16" s="37">
        <f>线型与RTP!$P$10</f>
        <v>0.59681875</v>
      </c>
      <c r="G16" s="11">
        <f>B16*F16</f>
        <v>1.79045625</v>
      </c>
    </row>
    <row r="17" spans="1:7">
      <c r="A17" s="10">
        <v>4</v>
      </c>
      <c r="B17" s="11">
        <f>A17*$B$6</f>
        <v>4</v>
      </c>
      <c r="C17" s="36">
        <f>线型与RTP!$D$13</f>
        <v>0.05425</v>
      </c>
      <c r="D17" s="36">
        <f>1-(1-C17)^A17</f>
        <v>0.199971607945621</v>
      </c>
      <c r="E17" s="11">
        <f>B17*线型与RTP!$P$10</f>
        <v>2.387275</v>
      </c>
      <c r="F17" s="37">
        <f>线型与RTP!$P$10</f>
        <v>0.59681875</v>
      </c>
      <c r="G17" s="11">
        <f>B17*F17</f>
        <v>2.387275</v>
      </c>
    </row>
    <row r="18" spans="1:7">
      <c r="A18" s="10">
        <v>5</v>
      </c>
      <c r="B18" s="11">
        <f>A18*$B$6</f>
        <v>5</v>
      </c>
      <c r="C18" s="36">
        <f>线型与RTP!$D$13</f>
        <v>0.05425</v>
      </c>
      <c r="D18" s="36">
        <f>1-(1-C18)^A18</f>
        <v>0.243373148214571</v>
      </c>
      <c r="E18" s="11">
        <f>B18*线型与RTP!$P$10</f>
        <v>2.98409375</v>
      </c>
      <c r="F18" s="37">
        <f>线型与RTP!$P$10</f>
        <v>0.59681875</v>
      </c>
      <c r="G18" s="11">
        <f>B18*F18</f>
        <v>2.98409375</v>
      </c>
    </row>
    <row r="19" spans="1:7">
      <c r="A19" s="10" t="s">
        <v>1</v>
      </c>
      <c r="B19" s="11" t="s">
        <v>1</v>
      </c>
      <c r="C19" s="8" t="s">
        <v>1</v>
      </c>
      <c r="D19" s="8" t="s">
        <v>1</v>
      </c>
      <c r="E19" s="11" t="s">
        <v>1</v>
      </c>
      <c r="F19" s="15" t="s">
        <v>1</v>
      </c>
      <c r="G19" s="11" t="s">
        <v>1</v>
      </c>
    </row>
    <row r="20" spans="1:7">
      <c r="A20" s="7" t="s">
        <v>137</v>
      </c>
      <c r="B20" s="11" t="s">
        <v>1</v>
      </c>
      <c r="C20" s="8" t="s">
        <v>1</v>
      </c>
      <c r="D20" s="8" t="s">
        <v>1</v>
      </c>
      <c r="E20" s="11" t="s">
        <v>1</v>
      </c>
      <c r="F20" s="15" t="s">
        <v>1</v>
      </c>
      <c r="G20" s="11" t="s">
        <v>1</v>
      </c>
    </row>
    <row r="21" spans="1:7">
      <c r="A21" s="7" t="s">
        <v>138</v>
      </c>
      <c r="B21" s="11" t="s">
        <v>1</v>
      </c>
      <c r="C21" s="8" t="s">
        <v>1</v>
      </c>
      <c r="D21" s="8" t="s">
        <v>1</v>
      </c>
      <c r="E21" s="11" t="s">
        <v>1</v>
      </c>
      <c r="F21" s="15" t="s">
        <v>1</v>
      </c>
      <c r="G21" s="11" t="s">
        <v>1</v>
      </c>
    </row>
  </sheetData>
  <pageMargins left="0.75" right="0.75" top="1" bottom="1" header="0.511811023622047" footer="0.511811023622047"/>
  <pageSetup paperSize="9" orientation="portrait" horizontalDpi="300" verticalDpi="300"/>
  <headerFooter/>
  <ignoredErrors>
    <ignoredError sqref="A1:L41" evalError="1" twoDigitTextYear="1" numberStoredAsText="1" formula="1" formulaRange="1" unlockedFormula="1" emptyCellReference="1" listDataValidation="1" calculatedColumn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A1"/>
    </sheetView>
  </sheetViews>
  <sheetFormatPr defaultColWidth="7.69166666666667" defaultRowHeight="18.5" outlineLevelCol="4"/>
  <cols>
    <col min="1" max="1" width="36.3916666666667" customWidth="1"/>
    <col min="2" max="4" width="14.5583333333333" customWidth="1"/>
    <col min="5" max="5" width="41.85" customWidth="1"/>
  </cols>
  <sheetData>
    <row r="1" ht="22.5" spans="1:5">
      <c r="A1" s="1" t="s">
        <v>139</v>
      </c>
      <c r="B1" s="2" t="s">
        <v>1</v>
      </c>
      <c r="C1" s="2" t="s">
        <v>1</v>
      </c>
      <c r="D1" s="2" t="s">
        <v>1</v>
      </c>
      <c r="E1" s="4" t="s">
        <v>1</v>
      </c>
    </row>
    <row r="2" ht="22.5" spans="1:5">
      <c r="A2" s="1" t="s">
        <v>1</v>
      </c>
      <c r="B2" s="2" t="s">
        <v>1</v>
      </c>
      <c r="C2" s="2" t="s">
        <v>1</v>
      </c>
      <c r="D2" s="2" t="s">
        <v>1</v>
      </c>
      <c r="E2" s="4" t="s">
        <v>1</v>
      </c>
    </row>
    <row r="3" spans="1:5">
      <c r="A3" s="3" t="s">
        <v>140</v>
      </c>
      <c r="B3" s="2" t="s">
        <v>1</v>
      </c>
      <c r="C3" s="2" t="s">
        <v>1</v>
      </c>
      <c r="D3" s="2" t="s">
        <v>1</v>
      </c>
      <c r="E3" s="4" t="s">
        <v>1</v>
      </c>
    </row>
    <row r="4" spans="1:5">
      <c r="A4" s="4" t="s">
        <v>141</v>
      </c>
      <c r="B4" s="4" t="s">
        <v>142</v>
      </c>
      <c r="C4" s="4" t="s">
        <v>143</v>
      </c>
      <c r="D4" s="9" t="s">
        <v>144</v>
      </c>
      <c r="E4" s="4" t="s">
        <v>145</v>
      </c>
    </row>
    <row r="5" spans="1:5">
      <c r="A5" s="34">
        <v>3</v>
      </c>
      <c r="B5" s="10">
        <v>3</v>
      </c>
      <c r="C5" s="10">
        <v>5</v>
      </c>
      <c r="D5" s="6">
        <f>B5^C5</f>
        <v>243</v>
      </c>
      <c r="E5" t="s">
        <v>147</v>
      </c>
    </row>
    <row r="6" spans="1:5">
      <c r="A6" s="34">
        <v>4</v>
      </c>
      <c r="B6" s="10">
        <v>4</v>
      </c>
      <c r="C6" s="10">
        <v>5</v>
      </c>
      <c r="D6" s="6">
        <f>B6^C6</f>
        <v>1024</v>
      </c>
      <c r="E6" t="s">
        <v>1</v>
      </c>
    </row>
    <row r="7" spans="1:5">
      <c r="A7" s="34">
        <v>5</v>
      </c>
      <c r="B7" s="10">
        <v>5</v>
      </c>
      <c r="C7" s="10">
        <v>5</v>
      </c>
      <c r="D7" s="6">
        <f>B7^C7</f>
        <v>3125</v>
      </c>
      <c r="E7" t="s">
        <v>1</v>
      </c>
    </row>
    <row r="8" spans="1:5">
      <c r="A8" s="34">
        <v>3</v>
      </c>
      <c r="B8" s="10">
        <v>3</v>
      </c>
      <c r="C8" s="10">
        <v>3</v>
      </c>
      <c r="D8" s="6">
        <f>B8^C8</f>
        <v>27</v>
      </c>
      <c r="E8" t="s">
        <v>1</v>
      </c>
    </row>
    <row r="9" spans="1:5">
      <c r="A9" s="34">
        <v>4</v>
      </c>
      <c r="B9" s="10">
        <v>4</v>
      </c>
      <c r="C9" s="10">
        <v>3</v>
      </c>
      <c r="D9" s="6">
        <f>B9^C9</f>
        <v>64</v>
      </c>
      <c r="E9" t="s">
        <v>1</v>
      </c>
    </row>
    <row r="10" spans="1:5">
      <c r="A10" s="5" t="s">
        <v>1</v>
      </c>
      <c r="B10" s="10" t="s">
        <v>1</v>
      </c>
      <c r="C10" s="10" t="s">
        <v>1</v>
      </c>
      <c r="D10" s="6" t="s">
        <v>1</v>
      </c>
      <c r="E10" t="s">
        <v>1</v>
      </c>
    </row>
    <row r="11" spans="1:5">
      <c r="A11" s="3" t="s">
        <v>152</v>
      </c>
      <c r="B11" s="2" t="s">
        <v>1</v>
      </c>
      <c r="C11" s="2" t="s">
        <v>1</v>
      </c>
      <c r="D11" s="2" t="s">
        <v>1</v>
      </c>
      <c r="E11" t="s">
        <v>1</v>
      </c>
    </row>
    <row r="12" spans="1:5">
      <c r="A12" t="s">
        <v>153</v>
      </c>
      <c r="B12" s="2" t="s">
        <v>1</v>
      </c>
      <c r="C12" s="2" t="s">
        <v>1</v>
      </c>
      <c r="D12" s="2" t="s">
        <v>1</v>
      </c>
      <c r="E12" t="s">
        <v>1</v>
      </c>
    </row>
    <row r="13" spans="1:5">
      <c r="A13" t="s">
        <v>154</v>
      </c>
      <c r="B13" s="2" t="s">
        <v>1</v>
      </c>
      <c r="C13" s="2" t="s">
        <v>1</v>
      </c>
      <c r="D13" s="11">
        <f>3*(1+1)/20</f>
        <v>0.3</v>
      </c>
      <c r="E13" t="s">
        <v>1</v>
      </c>
    </row>
    <row r="14" spans="1:5">
      <c r="A14" s="34">
        <v>5</v>
      </c>
      <c r="B14" s="2" t="s">
        <v>1</v>
      </c>
      <c r="C14" s="2" t="s">
        <v>1</v>
      </c>
      <c r="D14" s="11">
        <f>D13^5</f>
        <v>0.00243</v>
      </c>
      <c r="E14" t="s">
        <v>1</v>
      </c>
    </row>
    <row r="15" spans="1:5">
      <c r="A15" s="7" t="s">
        <v>156</v>
      </c>
      <c r="B15" s="2" t="s">
        <v>1</v>
      </c>
      <c r="C15" s="2" t="s">
        <v>1</v>
      </c>
      <c r="D15" s="11" t="s">
        <v>1</v>
      </c>
      <c r="E15" t="s">
        <v>1</v>
      </c>
    </row>
    <row r="16" spans="1:5">
      <c r="A16" s="7" t="s">
        <v>1</v>
      </c>
      <c r="B16" s="2" t="s">
        <v>1</v>
      </c>
      <c r="C16" s="2" t="s">
        <v>1</v>
      </c>
      <c r="D16" s="11" t="s">
        <v>1</v>
      </c>
      <c r="E16" t="s">
        <v>1</v>
      </c>
    </row>
    <row r="17" spans="1:5">
      <c r="A17" s="3" t="s">
        <v>157</v>
      </c>
      <c r="B17" s="2" t="s">
        <v>1</v>
      </c>
      <c r="C17" s="2" t="s">
        <v>1</v>
      </c>
      <c r="D17" s="11" t="s">
        <v>1</v>
      </c>
      <c r="E17" t="s">
        <v>1</v>
      </c>
    </row>
    <row r="18" spans="1:5">
      <c r="A18" s="4" t="s">
        <v>158</v>
      </c>
      <c r="B18" s="4" t="s">
        <v>159</v>
      </c>
      <c r="C18" s="4" t="s">
        <v>160</v>
      </c>
      <c r="D18" s="11" t="s">
        <v>1</v>
      </c>
      <c r="E18" t="s">
        <v>1</v>
      </c>
    </row>
    <row r="19" ht="55.5" spans="1:5">
      <c r="A19" t="s">
        <v>161</v>
      </c>
      <c r="B19" s="12" t="s">
        <v>162</v>
      </c>
      <c r="C19" s="12" t="s">
        <v>163</v>
      </c>
      <c r="D19" s="11" t="s">
        <v>1</v>
      </c>
      <c r="E19" t="s">
        <v>1</v>
      </c>
    </row>
    <row r="20" ht="55.5" spans="1:5">
      <c r="A20" t="s">
        <v>164</v>
      </c>
      <c r="B20" s="12" t="s">
        <v>165</v>
      </c>
      <c r="C20" s="12" t="s">
        <v>166</v>
      </c>
      <c r="D20" s="11" t="s">
        <v>1</v>
      </c>
      <c r="E20" t="s">
        <v>1</v>
      </c>
    </row>
    <row r="21" ht="55.5" spans="1:5">
      <c r="A21" t="s">
        <v>167</v>
      </c>
      <c r="B21" s="12" t="s">
        <v>168</v>
      </c>
      <c r="C21" s="12" t="s">
        <v>169</v>
      </c>
      <c r="D21" s="11" t="s">
        <v>1</v>
      </c>
      <c r="E21" t="s">
        <v>1</v>
      </c>
    </row>
    <row r="22" ht="37" spans="1:5">
      <c r="A22" t="s">
        <v>170</v>
      </c>
      <c r="B22" s="12" t="s">
        <v>171</v>
      </c>
      <c r="C22" s="12" t="s">
        <v>172</v>
      </c>
      <c r="D22" s="11" t="s">
        <v>1</v>
      </c>
      <c r="E22" t="s">
        <v>1</v>
      </c>
    </row>
    <row r="23" ht="55.5" spans="1:5">
      <c r="A23" t="s">
        <v>173</v>
      </c>
      <c r="B23" s="12" t="s">
        <v>174</v>
      </c>
      <c r="C23" s="12" t="s">
        <v>175</v>
      </c>
      <c r="D23" s="11" t="s">
        <v>1</v>
      </c>
      <c r="E23" t="s">
        <v>1</v>
      </c>
    </row>
    <row r="24" ht="55.5" spans="1:5">
      <c r="A24" t="s">
        <v>176</v>
      </c>
      <c r="B24" s="12" t="s">
        <v>177</v>
      </c>
      <c r="C24" s="12" t="s">
        <v>178</v>
      </c>
      <c r="D24" s="11" t="s">
        <v>1</v>
      </c>
      <c r="E24" t="s">
        <v>1</v>
      </c>
    </row>
    <row r="25" spans="1:5">
      <c r="A25" t="s">
        <v>1</v>
      </c>
      <c r="B25" s="12" t="s">
        <v>1</v>
      </c>
      <c r="C25" s="12" t="s">
        <v>1</v>
      </c>
      <c r="D25" s="11" t="s">
        <v>1</v>
      </c>
      <c r="E25" t="s">
        <v>1</v>
      </c>
    </row>
    <row r="26" spans="1:5">
      <c r="A26" s="7" t="s">
        <v>179</v>
      </c>
      <c r="B26" s="12" t="s">
        <v>1</v>
      </c>
      <c r="C26" s="12" t="s">
        <v>1</v>
      </c>
      <c r="D26" s="11" t="s">
        <v>1</v>
      </c>
      <c r="E26" t="s">
        <v>1</v>
      </c>
    </row>
  </sheetData>
  <pageMargins left="0.75" right="0.75" top="1" bottom="1" header="0.511811023622047" footer="0.511811023622047"/>
  <pageSetup paperSize="9" orientation="portrait" horizontalDpi="300" verticalDpi="300"/>
  <headerFooter/>
  <ignoredErrors>
    <ignoredError sqref="A1:J46" evalError="1" twoDigitTextYear="1" numberStoredAsText="1" formula="1" formulaRange="1" unlockedFormula="1" emptyCellReference="1" listDataValidation="1" calculatedColumn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1" sqref="A1"/>
    </sheetView>
  </sheetViews>
  <sheetFormatPr defaultColWidth="7.69166666666667" defaultRowHeight="18.5" outlineLevelCol="5"/>
  <cols>
    <col min="1" max="1" width="30.9333333333333" customWidth="1"/>
    <col min="2" max="2" width="18.2" customWidth="1"/>
    <col min="3" max="5" width="14.5583333333333" customWidth="1"/>
    <col min="6" max="6" width="47.3083333333333" customWidth="1"/>
  </cols>
  <sheetData>
    <row r="1" ht="22.5" spans="1:6">
      <c r="A1" s="1" t="s">
        <v>180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</row>
    <row r="2" ht="22.5" spans="1:6">
      <c r="A2" s="1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</row>
    <row r="3" spans="1:6">
      <c r="A3" s="3" t="s">
        <v>181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</row>
    <row r="4" spans="1:6">
      <c r="A4" t="s">
        <v>182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</row>
    <row r="5" spans="1:6">
      <c r="A5" t="s">
        <v>183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</row>
    <row r="6" spans="1:6">
      <c r="A6" t="s">
        <v>184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</row>
    <row r="7" spans="1:6">
      <c r="A7" t="s">
        <v>1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</row>
    <row r="8" spans="1:6">
      <c r="A8" s="3" t="s">
        <v>185</v>
      </c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</row>
    <row r="9" spans="1:6">
      <c r="A9" s="4" t="s">
        <v>88</v>
      </c>
      <c r="B9" s="4" t="s">
        <v>186</v>
      </c>
      <c r="C9" s="4" t="s">
        <v>187</v>
      </c>
      <c r="D9" s="4" t="s">
        <v>188</v>
      </c>
      <c r="E9" s="4" t="s">
        <v>189</v>
      </c>
      <c r="F9" s="4" t="s">
        <v>145</v>
      </c>
    </row>
    <row r="10" spans="1:6">
      <c r="A10" s="5" t="s">
        <v>54</v>
      </c>
      <c r="B10" s="6">
        <f>COUNTIF(滚轴与赔付!$B$5:$B$24,$A10)</f>
        <v>1</v>
      </c>
      <c r="C10" s="6">
        <f>COUNTIF(滚轴与赔付!$B$5:$B$22,$A10)</f>
        <v>1</v>
      </c>
      <c r="D10" s="6">
        <f>COUNTIF(滚轴与赔付!$B$6:$B$23,$A10)</f>
        <v>0</v>
      </c>
      <c r="E10" s="6">
        <f>COUNTIF(滚轴与赔付!$B$7:$B$24,$A10)</f>
        <v>0</v>
      </c>
      <c r="F10" s="4" t="s">
        <v>1</v>
      </c>
    </row>
    <row r="11" spans="1:6">
      <c r="A11" s="5" t="s">
        <v>55</v>
      </c>
      <c r="B11" s="6">
        <f>COUNTIF(滚轴与赔付!$B$5:$B$24,$A11)</f>
        <v>3</v>
      </c>
      <c r="C11" s="6">
        <f>COUNTIF(滚轴与赔付!$B$5:$B$22,$A11)</f>
        <v>3</v>
      </c>
      <c r="D11" s="6">
        <f>COUNTIF(滚轴与赔付!$B$6:$B$23,$A11)</f>
        <v>3</v>
      </c>
      <c r="E11" s="6">
        <f>COUNTIF(滚轴与赔付!$B$7:$B$24,$A11)</f>
        <v>2</v>
      </c>
      <c r="F11" s="4" t="s">
        <v>1</v>
      </c>
    </row>
    <row r="12" spans="1:6">
      <c r="A12" s="5" t="s">
        <v>57</v>
      </c>
      <c r="B12" s="6">
        <f>COUNTIF(滚轴与赔付!$B$5:$B$24,$A12)</f>
        <v>4</v>
      </c>
      <c r="C12" s="6">
        <f>COUNTIF(滚轴与赔付!$B$5:$B$22,$A12)</f>
        <v>4</v>
      </c>
      <c r="D12" s="6">
        <f>COUNTIF(滚轴与赔付!$B$6:$B$23,$A12)</f>
        <v>4</v>
      </c>
      <c r="E12" s="6">
        <f>COUNTIF(滚轴与赔付!$B$7:$B$24,$A12)</f>
        <v>4</v>
      </c>
      <c r="F12" s="4" t="s">
        <v>1</v>
      </c>
    </row>
    <row r="13" spans="1:6">
      <c r="A13" s="34">
        <v>10</v>
      </c>
      <c r="B13" s="6">
        <f>COUNTIF(滚轴与赔付!$B$5:$B$24,$A13)</f>
        <v>5</v>
      </c>
      <c r="C13" s="6">
        <f>COUNTIF(滚轴与赔付!$B$5:$B$22,$A13)</f>
        <v>5</v>
      </c>
      <c r="D13" s="6">
        <f>COUNTIF(滚轴与赔付!$B$6:$B$23,$A13)</f>
        <v>5</v>
      </c>
      <c r="E13" s="6">
        <f>COUNTIF(滚轴与赔付!$B$7:$B$24,$A13)</f>
        <v>5</v>
      </c>
      <c r="F13" s="4" t="s">
        <v>1</v>
      </c>
    </row>
    <row r="14" spans="1:6">
      <c r="A14" s="34">
        <v>9</v>
      </c>
      <c r="B14" s="6">
        <f>COUNTIF(滚轴与赔付!$B$5:$B$24,$A14)</f>
        <v>6</v>
      </c>
      <c r="C14" s="6">
        <f>COUNTIF(滚轴与赔付!$B$5:$B$22,$A14)</f>
        <v>5</v>
      </c>
      <c r="D14" s="6">
        <f>COUNTIF(滚轴与赔付!$B$6:$B$23,$A14)</f>
        <v>6</v>
      </c>
      <c r="E14" s="6">
        <f>COUNTIF(滚轴与赔付!$B$7:$B$24,$A14)</f>
        <v>6</v>
      </c>
      <c r="F14" s="4" t="s">
        <v>1</v>
      </c>
    </row>
    <row r="15" spans="1:6">
      <c r="A15" s="7" t="s">
        <v>190</v>
      </c>
      <c r="B15" s="6" t="s">
        <v>1</v>
      </c>
      <c r="C15" s="6" t="s">
        <v>1</v>
      </c>
      <c r="D15" s="6" t="s">
        <v>1</v>
      </c>
      <c r="E15" s="6" t="s">
        <v>1</v>
      </c>
      <c r="F15" s="4" t="s">
        <v>1</v>
      </c>
    </row>
    <row r="16" spans="1:6">
      <c r="A16" s="7" t="s">
        <v>1</v>
      </c>
      <c r="B16" s="6" t="s">
        <v>1</v>
      </c>
      <c r="C16" s="6" t="s">
        <v>1</v>
      </c>
      <c r="D16" s="6" t="s">
        <v>1</v>
      </c>
      <c r="E16" s="6" t="s">
        <v>1</v>
      </c>
      <c r="F16" s="4" t="s">
        <v>1</v>
      </c>
    </row>
    <row r="17" spans="1:6">
      <c r="A17" s="3" t="s">
        <v>191</v>
      </c>
      <c r="B17" s="2" t="s">
        <v>1</v>
      </c>
      <c r="C17" s="2" t="s">
        <v>1</v>
      </c>
      <c r="D17" s="2" t="s">
        <v>1</v>
      </c>
      <c r="E17" s="2" t="s">
        <v>1</v>
      </c>
      <c r="F17" s="2" t="s">
        <v>1</v>
      </c>
    </row>
    <row r="18" spans="1:6">
      <c r="A18" s="5" t="s">
        <v>192</v>
      </c>
      <c r="B18" s="2" t="s">
        <v>1</v>
      </c>
      <c r="C18" s="2" t="s">
        <v>1</v>
      </c>
      <c r="D18" s="2" t="s">
        <v>1</v>
      </c>
      <c r="E18" s="2" t="s">
        <v>1</v>
      </c>
      <c r="F18" s="2" t="s">
        <v>1</v>
      </c>
    </row>
    <row r="19" spans="1:6">
      <c r="A19" t="s">
        <v>193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</row>
    <row r="20" spans="1:6">
      <c r="A20" t="s">
        <v>194</v>
      </c>
      <c r="B20" s="36">
        <f>线型与RTP!$P$10</f>
        <v>0.59681875</v>
      </c>
      <c r="C20" s="2" t="s">
        <v>1</v>
      </c>
      <c r="D20" s="2" t="s">
        <v>1</v>
      </c>
      <c r="E20" s="2" t="s">
        <v>1</v>
      </c>
      <c r="F20" s="2" t="s">
        <v>1</v>
      </c>
    </row>
    <row r="21" spans="1:6">
      <c r="A21" t="s">
        <v>195</v>
      </c>
      <c r="B21" s="36">
        <f>0.3140109375</f>
        <v>0.3140109375</v>
      </c>
      <c r="C21" s="2" t="s">
        <v>1</v>
      </c>
      <c r="D21" s="2" t="s">
        <v>1</v>
      </c>
      <c r="E21" s="2" t="s">
        <v>1</v>
      </c>
      <c r="F21" s="2" t="s">
        <v>1</v>
      </c>
    </row>
    <row r="22" spans="1:6">
      <c r="A22" t="s">
        <v>196</v>
      </c>
      <c r="B22" s="36">
        <f>B20-B21</f>
        <v>0.2828078125</v>
      </c>
      <c r="C22" s="2" t="s">
        <v>1</v>
      </c>
      <c r="D22" s="2" t="s">
        <v>1</v>
      </c>
      <c r="E22" s="2" t="s">
        <v>1</v>
      </c>
      <c r="F22" s="2" t="s">
        <v>1</v>
      </c>
    </row>
    <row r="23" spans="1:6">
      <c r="A23" t="s">
        <v>1</v>
      </c>
      <c r="B23" s="8" t="s">
        <v>1</v>
      </c>
      <c r="C23" s="2" t="s">
        <v>1</v>
      </c>
      <c r="D23" s="2" t="s">
        <v>1</v>
      </c>
      <c r="E23" s="2" t="s">
        <v>1</v>
      </c>
      <c r="F23" s="2" t="s">
        <v>1</v>
      </c>
    </row>
    <row r="24" spans="1:6">
      <c r="A24" s="7" t="s">
        <v>197</v>
      </c>
      <c r="B24" s="8" t="s">
        <v>1</v>
      </c>
      <c r="C24" s="2" t="s">
        <v>1</v>
      </c>
      <c r="D24" s="2" t="s">
        <v>1</v>
      </c>
      <c r="E24" s="2" t="s">
        <v>1</v>
      </c>
      <c r="F24" s="2" t="s">
        <v>1</v>
      </c>
    </row>
  </sheetData>
  <pageMargins left="0.75" right="0.75" top="1" bottom="1" header="0.511811023622047" footer="0.511811023622047"/>
  <pageSetup paperSize="9" orientation="portrait" horizontalDpi="300" verticalDpi="300"/>
  <headerFooter/>
  <ignoredErrors>
    <ignoredError sqref="A1:K44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LibreOffice/26.2.2.2$Windows_X86_64 LibreOffice_project/1f77d10d6938fd34972958f64b2bcfa54f8b1ba5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滚轴与赔付</vt:lpstr>
      <vt:lpstr>线型与RTP</vt:lpstr>
      <vt:lpstr>线注与可选线</vt:lpstr>
      <vt:lpstr>满线Ways</vt:lpstr>
      <vt:lpstr>易错点-窗口环绕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cp:revision>0</cp:revision>
  <dcterms:created xsi:type="dcterms:W3CDTF">2026-09-29T05:39:00Z</dcterms:created>
  <dcterms:modified xsi:type="dcterms:W3CDTF">2026-09-29T16:05:25Z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E01D9AC38B6A4E819B7D269BB3E0B69C_12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