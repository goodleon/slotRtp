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activeTab="4"/>
  </bookViews>
  <sheets>
    <sheet name="说明" sheetId="1" r:id="rId1"/>
    <sheet name="滚轴与赔付" sheetId="2" r:id="rId2"/>
    <sheet name="RTP分解" sheetId="3" r:id="rId3"/>
    <sheet name="首列WILD" sheetId="4" r:id="rId4"/>
    <sheet name="四类WIL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<sst xmlns="http://schemas.openxmlformats.org/spreadsheetml/2006/main" count="2326" uniqueCount="219">
  <si>
    <t>运气工程 ⑤ —— Slots 游戏 RTP 计算规则 · ④WILD篇</t>
  </si>
  <si>
    <t xml:space="preserve"> </t>
  </si>
  <si>
    <t>来源：知乎《Slots 游戏 RTP 计算规则 - ④WILD篇》 https://zhuanlan.zhihu.com/p/1941187040885585474</t>
  </si>
  <si>
    <t>专栏：运气工程：Slots 数值研究所  https://zhuanlan.zhihu.com/c_1918334633642287500</t>
  </si>
  <si>
    <t>页签</t>
  </si>
  <si>
    <t>· 滚轴与赔付：3 行 × 5 列 示例滚轴 / 图案次数 / 赔付表</t>
  </si>
  <si>
    <t>· RTP分解：把主游戏 RTP 拆成「普通符号 RTP + WILD 介入 RTP + WILD 图案 RTP」</t>
  </si>
  <si>
    <t>· 首列WILD：第 1 轴 WILD 覆盖率 w → 主游戏连线 RTP 的敏感性</t>
  </si>
  <si>
    <t>· 四类WILD：倍率 / 扩展 / 黏性 WILD 的计算模型（原文四类清单）</t>
  </si>
  <si>
    <t>一、本篇目标</t>
  </si>
  <si>
    <t>给出四类 WILD 的可落地计算方法（含公式 / Excel 思路）+ 易错点。</t>
  </si>
  <si>
    <t>本篇会介绍一种 WILD 特殊出现规则，和三种特殊玩法 WILD 的 RTP 计算方式。</t>
  </si>
  <si>
    <t>（原文提示：首列 WILD 实际不属于「特殊 WILD 图案」的范畴）</t>
  </si>
  <si>
    <t>一之补、四类 WILD 清单（原文）</t>
  </si>
  <si>
    <t>1) 首列 WILD —— 一种「特殊出现规则」：第 1 轴为万能起手，修复起始断线。</t>
  </si>
  <si>
    <t>2) 倍率 WILD —— 含 WILD 的连线按倍率相乘（×2 / ×3 … 或区间倍率）。</t>
  </si>
  <si>
    <t>3) 扩展 WILD —— 命中即整列变 WILD（常在轴 2 / 3 / 4）。</t>
  </si>
  <si>
    <t>4) 黏性 WILD —— Free Game 内命中后停留多局，逐局累积提升连线概率。</t>
  </si>
  <si>
    <t>即「1 种特殊出现规则 + 3 种特殊玩法 WILD」。</t>
  </si>
  <si>
    <t>二、WILD 的核心性质与计算难点</t>
  </si>
  <si>
    <t>· WILD 可以替代任何图案（Scatter 除外）。</t>
  </si>
  <si>
    <t>· 因此 WILD 连线理论只会被 Scatter 或其他不能被替换的图案中断连线</t>
  </si>
  <si>
    <t xml:space="preserve">  （在本簿的设定中只有 Scatter 能中断）。</t>
  </si>
  <si>
    <t>· 计算难点：同一格既可能是「符号 S」也可能是「WILD 替代 S」，两者必须合并计数，</t>
  </si>
  <si>
    <t xml:space="preserve">  否则会漏掉大量连线组合。本簿口径：</t>
  </si>
  <si>
    <t xml:space="preserve">    mᵢ = 第 i 列的 S 个数 + WILD 个数（WILD 可替代 S）</t>
  </si>
  <si>
    <t>· 但 WILD 自己作为「图案」时又要单独算一份赔付 —— 这就是「WILD 图案 RTP」。</t>
  </si>
  <si>
    <t>三、主游戏 RTP 的 WILD 三分法（原文口径）</t>
  </si>
  <si>
    <t>主游戏 RTP = 普通符号 RTP + WILD 介入 RTP + WILD 图案 RTP</t>
  </si>
  <si>
    <t>· 普通符号 RTP：把 WILD 完全剔除后，仅按各符号自身计数算出的连线 RTP。</t>
  </si>
  <si>
    <t>· WILD 介入 RTP：因为 WILD 替代而「多出来」的连线 RTP = 含 WILD 口径 − 不含 WILD 口径。</t>
  </si>
  <si>
    <t>· WILD 图案 RTP：WILD 作为独立图案参与连线（如 WWW 三连）的赔付。</t>
  </si>
  <si>
    <t>原文示例（原文档的示例转轮）：普通符号 RTP 30% + WILD 介入 RTP 111% + WILD 图案 RTP 0.97%</t>
  </si>
  <si>
    <t xml:space="preserve">  ≈ 141.97% —— 原文自述「随便定的图案所以 RTP 有点（高）」，属教学示例。</t>
  </si>
  <si>
    <t>本簿用另一套示例转轮得到：普通符号 31.40% + WILD 介入 28.28% + WILD 图案 0.00% = 59.68%（连线），</t>
  </si>
  <si>
    <t>再加 Scatter 5.32% → 主游戏 65.00%，可与《Part II》逐格核对。</t>
  </si>
  <si>
    <t>四、首列 WILD（一种 WILD 特殊出现规则）</t>
  </si>
  <si>
    <t>· 规则：第 1 轴为万能起手轴 —— 第 1 列出现 WILD（极端情形是整列都是 WILD）。</t>
  </si>
  <si>
    <t>· 效果：第 1 轴的匹配数 m₁ 直接抬高，所有符号的 3 连都变得极容易命中，RTP 迅速膨胀。</t>
  </si>
  <si>
    <t>· 本簿用「覆盖率 w」量化：w = 第 1 列里 WILD 的格数（0~20），其余符号按 (20−w)/20 等比压缩，</t>
  </si>
  <si>
    <t xml:space="preserve">  m₁(w) = 第 1 列原符号数 × (1 − w/20) + w。</t>
  </si>
  <si>
    <t xml:space="preserve">  w = 0 复现无首列 WILD 的基准；w = 20 即整列 WILD。</t>
  </si>
  <si>
    <t>五、四类 WILD 的 RTP 计算要点</t>
  </si>
  <si>
    <t>1) 首列 WILD（规则变化，非特殊图案）：抬高第 1 轴的 m₁ —— 见「首列WILD」页。</t>
  </si>
  <si>
    <t>2) 倍率 WILD：该连线赔付 × E[倍率]（倍率按权重加权平均）—— 见「四类WILD」页。</t>
  </si>
  <si>
    <t>3) 扩展 WILD：命中后该列 mᵢ 直接等于 Nᵢ（整列变 WILD），按发生概率与基准做混合。</t>
  </si>
  <si>
    <t>4) 黏性 WILD：免费游戏逐局累积，用「期望黏住数 k_n → 覆盖率 w」把每局 RTP 算出来再平均。</t>
  </si>
  <si>
    <t>六、WILD 图案中奖 RTP 计算（原文第 4 节）</t>
  </si>
  <si>
    <t>由于 WILD 可以替代任何图案（除 Scatter），WILD 连线理论上只会被 Scatter</t>
  </si>
  <si>
    <t>或其他不能被替换的图案中断连线（本簿设定中只有 Scatter 能中断）。</t>
  </si>
  <si>
    <t>因此：含 WILD 口径 − 不含 WILD 口径 = WILD 介入 RTP；</t>
  </si>
  <si>
    <t>而 WILD 自己作为图案（WWW / WWWW / WWWWW）的赔付单独算一份 = WILD 图案 RTP。</t>
  </si>
  <si>
    <t>七、抓取说明</t>
  </si>
  <si>
    <t>四类 WILD 清单、「三、首列 WILD（规则变化）」、「4. WILD 图案中奖 RTP 计算」、</t>
  </si>
  <si>
    <t>「5. 最终 RTP 计算」等章节片段）整理；原文配图未能读取，</t>
  </si>
  <si>
    <t>转轮与赔付表沿用同目录 Part II 的示例数值，便于交叉核对。</t>
  </si>
  <si>
    <t>蓝色 = 可改输入；黑色 = 公式；黄底 = 关键结果。</t>
  </si>
  <si>
    <t>本簿依据该文正文摘要（「本篇目标：给出四类 WILD 的可落地计算方法（含公式/Excel 思路）+ 易错点」、</t>
  </si>
  <si>
    <t>3 行 × 5 列 示例滚轴 / 图案次数 / 赔付表</t>
  </si>
  <si>
    <t>【转轮表】每列 20 停（环绕带）—— 蓝字可改</t>
  </si>
  <si>
    <t>位置</t>
  </si>
  <si>
    <t>轮1</t>
  </si>
  <si>
    <t>轮2</t>
  </si>
  <si>
    <t>轮3</t>
  </si>
  <si>
    <t>轮4</t>
  </si>
  <si>
    <t>轮5</t>
  </si>
  <si>
    <t>K</t>
  </si>
  <si>
    <t>Q</t>
  </si>
  <si>
    <t>W</t>
  </si>
  <si>
    <t>J</t>
  </si>
  <si>
    <t>S</t>
  </si>
  <si>
    <t>每轮格数</t>
  </si>
  <si>
    <t>所有可能数</t>
  </si>
  <si>
    <t>【图案次数统计】</t>
  </si>
  <si>
    <t>图案</t>
  </si>
  <si>
    <t>any</t>
  </si>
  <si>
    <t>3S（3 行视窗 × Scatter 个数）</t>
  </si>
  <si>
    <t>【赔付表】列 = 连线数</t>
  </si>
  <si>
    <t>← WILD 自己作为图案的赔付表（口径 C 用）</t>
  </si>
  <si>
    <t>S（每个 Scatter）</t>
  </si>
  <si>
    <t>主游戏 RTP 的 WILD 三分法：普通符号 RTP + WILD 介入 RTP + WILD 图案 RTP</t>
  </si>
  <si>
    <t>【口径 A：不含 WILD】把 WILD 从转轮里剔除，仅按符号自身计数</t>
  </si>
  <si>
    <t>符号</t>
  </si>
  <si>
    <t>m1</t>
  </si>
  <si>
    <t>m2</t>
  </si>
  <si>
    <t>m3</t>
  </si>
  <si>
    <t>m4</t>
  </si>
  <si>
    <t>m5</t>
  </si>
  <si>
    <t>X4</t>
  </si>
  <si>
    <t>X5</t>
  </si>
  <si>
    <t>N5</t>
  </si>
  <si>
    <t>5连次数</t>
  </si>
  <si>
    <t>4连次数</t>
  </si>
  <si>
    <t>3连次数</t>
  </si>
  <si>
    <t>赔5</t>
  </si>
  <si>
    <t>赔4</t>
  </si>
  <si>
    <t>赔3</t>
  </si>
  <si>
    <t>RTP贡献</t>
  </si>
  <si>
    <t>备注</t>
  </si>
  <si>
    <t>合计</t>
  </si>
  <si>
    <t>→ RTP</t>
  </si>
  <si>
    <t>→ 普通符号 RTP</t>
  </si>
  <si>
    <t>【口径 B：含 WILD】mᵢ = 该列符号数 + 该列 WILD 数（WILD 可替代该符号）</t>
  </si>
  <si>
    <t>→ 普通符号 + WILD 介入 RTP</t>
  </si>
  <si>
    <t>【口径 C：WILD 自己作为图案】按 WILD 的赔付表计算 WWW / WWWW / WWWWW</t>
  </si>
  <si>
    <t>→ WILD 图案 RTP</t>
  </si>
  <si>
    <t>【汇总】</t>
  </si>
  <si>
    <t>普通符号 RTP</t>
  </si>
  <si>
    <t>WILD 介入 RTP = 口径 B − 口径 A</t>
  </si>
  <si>
    <t>WILD 图案 RTP</t>
  </si>
  <si>
    <t>主游戏连线 RTP = 三者之和</t>
  </si>
  <si>
    <t>主游戏 Scatter 赔付 RTP</t>
  </si>
  <si>
    <t>主游戏总 RTP（连线 + Scatter）</t>
  </si>
  <si>
    <t>← 与《Part II》主游戏 65.00% 一致</t>
  </si>
  <si>
    <t>【原文示例对照】</t>
  </si>
  <si>
    <t>普通符号 RTP（原文示例）</t>
  </si>
  <si>
    <t>WILD 介入 RTP（原文示例）</t>
  </si>
  <si>
    <t>WILD 图案 RTP（原文示例）</t>
  </si>
  <si>
    <t>原文示例主游戏 RTP 合计</t>
  </si>
  <si>
    <t>原文自述「随便定的图案所以 RTP 有点（高）」，141.97% 属教学示例，不是商业目标值。</t>
  </si>
  <si>
    <t>结构一致、数值不同：三个分项的含义与算法相同，只是转轮与赔付表不同。</t>
  </si>
  <si>
    <t>首列 WILD：第 1 轴 WILD 覆盖率 w → 主游戏连线 RTP</t>
  </si>
  <si>
    <t>【规则与模型】</t>
  </si>
  <si>
    <t>规则：第 1 轴为万能起手轴（第 1 列出现 WILD；极端情形整列都是 WILD）</t>
  </si>
  <si>
    <t>源码提示：原文指出「首列 WILD 实际不属于特殊 WILD 图案」</t>
  </si>
  <si>
    <t>量化：w = 第 1 列里 WILD 的格数（0~20），其余符号按 (20−w)/20 等比压缩</t>
  </si>
  <si>
    <t>m₁(w) = 第 1 列原符号数 × (1 − w/20) + w</t>
  </si>
  <si>
    <t>【逐符号「尾因子」T_S（与 w 无关的常数）】</t>
  </si>
  <si>
    <t>轮1 原符号数</t>
  </si>
  <si>
    <t>m2·m3</t>
  </si>
  <si>
    <t>m2·m3·m4</t>
  </si>
  <si>
    <t>T_S</t>
  </si>
  <si>
    <t>T_S = Πm₂..m₅ × 赔5 + (m₂·m₃·m₄) × X₅ × 赔4 + (m₂·m₃) × X₄ × N₅ × 赔3</t>
  </si>
  <si>
    <t>于是 主游戏连线 RTP(w) = Σ_S [ m₁_S(w) × T_S ] ÷ 所有可能数，其中 m₁_S(w) = B_S × (1 − w/20) + w。</t>
  </si>
  <si>
    <t>【敏感性：w → 主游戏连线 RTP】</t>
  </si>
  <si>
    <t>w（轮1 WILD 格数）</t>
  </si>
  <si>
    <t>Σ m₁·T_S</t>
  </si>
  <si>
    <t>主游戏连线 RTP</t>
  </si>
  <si>
    <t>相对 w=0 的倍数</t>
  </si>
  <si>
    <t>说明</t>
  </si>
  <si>
    <t>基准：首列无 WILD（= 口径 B 的连线 RTP）</t>
  </si>
  <si>
    <t>极端：第 1 列整列 WILD</t>
  </si>
  <si>
    <t>【两个关键场景】</t>
  </si>
  <si>
    <t>w = 0（首列无 WILD）主游戏连线 RTP</t>
  </si>
  <si>
    <t>w = 20（首列整列 WILD）主游戏连线 RTP</t>
  </si>
  <si>
    <t>膨胀倍数</t>
  </si>
  <si>
    <t>工程含义：首列 WILD 会让「所有符号的 3 连」几乎必中，RTP 迅速越过 100%。</t>
  </si>
  <si>
    <t>因此这类规则必须配合：① 首列 WILD 的覆盖率上限；② 该轴专属的低赔付表；③ 3 连的高门槛过滤（如仅 4 连起赔）。</t>
  </si>
  <si>
    <t>原文对照：原文示例的主游戏 RTP = 30% + 111% + 0.97% ≈ 141.97%，同样出在教学示例区间。</t>
  </si>
  <si>
    <t>四类 WILD 的 RTP 计算方法（一种特殊出现规则 + 三种特殊玩法）</t>
  </si>
  <si>
    <t>【四类 WILD 概览（原文）】</t>
  </si>
  <si>
    <t>#</t>
  </si>
  <si>
    <t>类型</t>
  </si>
  <si>
    <t>出现 / 触发规则</t>
  </si>
  <si>
    <t>RTP 计算要点</t>
  </si>
  <si>
    <t>常见轴位</t>
  </si>
  <si>
    <t>首列 WILD（规则变化）</t>
  </si>
  <si>
    <t>第 1 轴为万能起手，修复起始断线</t>
  </si>
  <si>
    <t>抬高第 1 轴的 m₁（覆盖率 w）→ 见「首列WILD」页</t>
  </si>
  <si>
    <t>轴 1</t>
  </si>
  <si>
    <t>倍率 WILD</t>
  </si>
  <si>
    <t>含 WILD 的连线按倍率相乘（×2 / ×3 … 或区间倍率）</t>
  </si>
  <si>
    <t>该连线赔付 × E[倍率]，见下方「一、倍率 WILD」</t>
  </si>
  <si>
    <t>任意轴</t>
  </si>
  <si>
    <t>扩展 WILD</t>
  </si>
  <si>
    <t>命中即整列变 WILD</t>
  </si>
  <si>
    <t>命中后该列 mᵢ = Nᵢ（整列变 W），按发生概率与基准做混合，见下方「二」</t>
  </si>
  <si>
    <t>常在轴 2 / 3 / 4</t>
  </si>
  <si>
    <t>黏性 WILD</t>
  </si>
  <si>
    <t>Free Game 内命中后停留多局，逐局累积提升连线概率</t>
  </si>
  <si>
    <t>状态机：局序 n 的期望黏住数 k_n → 覆盖率 w → 该局 RTP，见下方「三」</t>
  </si>
  <si>
    <t>原文提示：首列 WILD 实际不属于「特殊 WILD 图案」—— 它改变的是一条规则，而不是一种符号形态。</t>
  </si>
  <si>
    <t>四种 WILD 的共同计算前提：WILD 可替代任何图案（除 Scatter），所以 WILD 连线只会被 Scatter 或其他不可替换图案中断。</t>
  </si>
  <si>
    <t>【一、倍率 WILD：含 WILD 的连线按倍率相乘】</t>
  </si>
  <si>
    <t>倍率档</t>
  </si>
  <si>
    <t>倍率</t>
  </si>
  <si>
    <t>权重</t>
  </si>
  <si>
    <t>加权贡献</t>
  </si>
  <si>
    <t>×2</t>
  </si>
  <si>
    <t>最常见档位</t>
  </si>
  <si>
    <t>×3</t>
  </si>
  <si>
    <t>×5</t>
  </si>
  <si>
    <t>区间倍率可拆成多档</t>
  </si>
  <si>
    <t>E[倍率] = Σ(倍率 × 权重) ÷ Σ权重</t>
  </si>
  <si>
    <t>WILD 介入 RTP（基准，不含倍率）</t>
  </si>
  <si>
    <t>倍率后 WILD 介入 RTP = 基准 × E[倍率]</t>
  </si>
  <si>
    <t>主游戏连线 RTP（含倍率 WILD）</t>
  </si>
  <si>
    <t>相对基准的膨胀倍数</t>
  </si>
  <si>
    <t>要点：倍率只乘在「含 WILD 的那条连线」上，因此在 RTP 上表现为对「WILD 介入 RTP」这一分项的放大，而不会放大普通符号 RTP。</t>
  </si>
  <si>
    <t>【二、扩展 WILD：命中即整列变 WILD】</t>
  </si>
  <si>
    <t>扩展轴（2~5）</t>
  </si>
  <si>
    <t>该轴出现 WILD 的概率 q（≈ 3 × 该轴 W 数 ÷ 该轴格数）</t>
  </si>
  <si>
    <t>m1′</t>
  </si>
  <si>
    <t>m2′</t>
  </si>
  <si>
    <t>m3′</t>
  </si>
  <si>
    <t>m4′</t>
  </si>
  <si>
    <t>m5′</t>
  </si>
  <si>
    <t>X4′</t>
  </si>
  <si>
    <t>X5′</t>
  </si>
  <si>
    <t>5连</t>
  </si>
  <si>
    <t>4连</t>
  </si>
  <si>
    <t>3连</t>
  </si>
  <si>
    <t>扩展前 RTP</t>
  </si>
  <si>
    <t>扩展后 RTP</t>
  </si>
  <si>
    <t>混合 RTP</t>
  </si>
  <si>
    <t>相对基准（扩展前）的倍数</t>
  </si>
  <si>
    <t>要点：整列变 WILD 时，该列对所有符号的匹配数 mᵢ 都等于 Nᵢ（必然命中），因此对 RTP 的拉动非常猛；实际项目通常只让扩展发生在轴 2/3/4，并压低触发率。</t>
  </si>
  <si>
    <t>【三、黏性 WILD：Free Game 内逐局累积】</t>
  </si>
  <si>
    <t>每局触发黏性的概率 p</t>
  </si>
  <si>
    <t>黏住上限 k_max（格数）</t>
  </si>
  <si>
    <t>免费局数 N</t>
  </si>
  <si>
    <t>免费局 n</t>
  </si>
  <si>
    <t>期望黏住 WILD 数 k_n</t>
  </si>
  <si>
    <t>覆盖率 w = k_n</t>
  </si>
  <si>
    <t>该局主游戏连线 RTP</t>
  </si>
  <si>
    <t>相对基准倍数</t>
  </si>
  <si>
    <t>平均（免费游戏内单把）</t>
  </si>
  <si>
    <t>要点：黏性 WILD 的 RTP 增益来自「局序越靠后、场上 WILD 越多」的累积效应，所以必须按局平均，不能只算单把；免费局数越长，平均倍数越接近上限。</t>
  </si>
  <si>
    <t>本页用「期望黏住数 k_n = k_max × (1 − (1−p)ⁿ)」近似，并复用「首列WILD」页的 T_S 因子把 k_n 换算成该局连线 RTP。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</si>
</sst>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64" formatCode="0.0000000000%"/>
  </numFmts>
  <fonts count="33">
    <font>
      <sz val="11"/>
      <color theme="1"/>
      <name val="宋体"/>
      <charset val="134"/>
      <scheme val="minor"/>
    </font>
    <font>
      <b/>
      <sz val="14"/>
      <color rgb="FF1F4E79"/>
      <name val="Noto Sans SC"/>
      <charset val="134"/>
    </font>
    <font>
      <sz val="11"/>
      <name val="Noto Sans SC"/>
      <charset val="134"/>
    </font>
    <font>
      <b/>
      <sz val="11"/>
      <color rgb="FF1F4E79"/>
      <name val="Noto Sans SC"/>
      <charset val="134"/>
    </font>
    <font>
      <b/>
      <sz val="11"/>
      <color rgb="FF1F4E79"/>
      <name val="Cambria"/>
      <charset val="134"/>
    </font>
    <font>
      <sz val="11"/>
      <name val="Calibri"/>
      <charset val="134"/>
    </font>
    <font>
      <sz val="11"/>
      <color rgb="FF808080"/>
      <name val="Noto Sans SC"/>
      <charset val="134"/>
    </font>
    <font>
      <sz val="11"/>
      <color rgb="FF0000FF"/>
      <name val="Cambria"/>
      <charset val="134"/>
    </font>
    <font>
      <sz val="11"/>
      <color rgb="FF000000"/>
      <name val="Cambria"/>
      <charset val="134"/>
    </font>
    <font>
      <b/>
      <sz val="11"/>
      <name val="Noto Sans SC"/>
      <charset val="134"/>
    </font>
    <font>
      <b/>
      <sz val="11"/>
      <name val="Cambria"/>
      <charset val="134"/>
    </font>
    <font>
      <sz val="11"/>
      <color rgb="FF808080"/>
      <name val="Cambria"/>
      <charset val="134"/>
    </font>
    <font>
      <b/>
      <sz val="14"/>
      <color rgb="FF1F4E79"/>
      <name val="Cambri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6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4" applyNumberFormat="0" applyAlignment="0" applyProtection="0">
      <alignment vertical="center"/>
    </xf>
    <xf numFmtId="0" fontId="23" fillId="8" borderId="5" applyNumberFormat="0" applyAlignment="0" applyProtection="0">
      <alignment vertical="center"/>
    </xf>
    <xf numFmtId="0" fontId="24" fillId="8" borderId="4" applyNumberFormat="0" applyAlignment="0" applyProtection="0">
      <alignment vertical="center"/>
    </xf>
    <xf numFmtId="0" fontId="25" fillId="9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0" xfId="0" applyFont="1" applyAlignment="1"/>
    <xf numFmtId="0" fontId="2" fillId="2" borderId="0" xfId="0" applyFont="1" applyFill="1" applyAlignment="1"/>
    <xf numFmtId="0" fontId="3" fillId="2" borderId="0" xfId="0" applyFont="1" applyFill="1" applyAlignment="1"/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/>
    <xf numFmtId="0" fontId="7" fillId="0" borderId="0" xfId="0" applyFont="1" applyAlignment="1"/>
    <xf numFmtId="4" fontId="7" fillId="0" borderId="0" xfId="0" applyNumberFormat="1" applyFont="1" applyAlignment="1"/>
    <xf numFmtId="4" fontId="8" fillId="0" borderId="0" xfId="0" applyNumberFormat="1" applyFont="1" applyAlignment="1"/>
    <xf numFmtId="0" fontId="9" fillId="4" borderId="0" xfId="0" applyFont="1" applyFill="1" applyAlignment="1"/>
    <xf numFmtId="4" fontId="8" fillId="4" borderId="0" xfId="0" applyNumberFormat="1" applyFont="1" applyFill="1" applyAlignment="1"/>
    <xf numFmtId="0" fontId="10" fillId="0" borderId="0" xfId="0" applyFont="1" applyAlignment="1"/>
    <xf numFmtId="2" fontId="10" fillId="5" borderId="0" xfId="0" applyNumberFormat="1" applyFont="1" applyFill="1" applyAlignment="1"/>
    <xf numFmtId="0" fontId="5" fillId="0" borderId="0" xfId="0" applyFont="1" applyAlignment="1"/>
    <xf numFmtId="10" fontId="8" fillId="0" borderId="0" xfId="0" applyNumberFormat="1" applyFont="1" applyAlignment="1"/>
    <xf numFmtId="10" fontId="10" fillId="5" borderId="0" xfId="0" applyNumberFormat="1" applyFont="1" applyFill="1" applyAlignment="1"/>
    <xf numFmtId="2" fontId="8" fillId="0" borderId="0" xfId="0" applyNumberFormat="1" applyFont="1" applyAlignment="1"/>
    <xf numFmtId="10" fontId="7" fillId="0" borderId="0" xfId="0" applyNumberFormat="1" applyFont="1" applyAlignment="1"/>
    <xf numFmtId="10" fontId="8" fillId="4" borderId="0" xfId="0" applyNumberFormat="1" applyFont="1" applyFill="1" applyAlignment="1"/>
    <xf numFmtId="0" fontId="9" fillId="0" borderId="0" xfId="0" applyFont="1" applyAlignment="1"/>
    <xf numFmtId="2" fontId="8" fillId="4" borderId="0" xfId="0" applyNumberFormat="1" applyFont="1" applyFill="1" applyAlignment="1"/>
    <xf numFmtId="0" fontId="10" fillId="4" borderId="0" xfId="0" applyFont="1" applyFill="1" applyAlignment="1"/>
    <xf numFmtId="0" fontId="11" fillId="0" borderId="0" xfId="0" applyFont="1" applyAlignment="1"/>
    <xf numFmtId="0" fontId="12" fillId="0" borderId="0" xfId="0" applyFont="1" applyAlignment="1"/>
    <xf numFmtId="4" fontId="10" fillId="5" borderId="0" xfId="0" applyNumberFormat="1" applyFont="1" applyFill="1" applyAlignment="1"/>
    <xf numFmtId="0" fontId="9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4" applyNumberFormat="1" fontId="8" fillId="0" borderId="0" xfId="0" applyFont="1" applyAlignment="1"/>
    <xf numFmtId="164" applyNumberFormat="1" fontId="10" fillId="5" borderId="0" xfId="0" applyFont="1" applyFill="1" applyAlignment="1"/>
    <xf numFmtId="164" applyNumberFormat="1" fontId="7" fillId="0" borderId="0" xfId="0" applyFont="1" applyAlignment="1"/>
    <xf numFmtId="164" applyNumberFormat="1" fontId="8" fillId="4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7"/>
  <sheetViews>
    <sheetView workbookViewId="0">
      <selection activeCell="A1" sqref="A1"/>
    </sheetView>
  </sheetViews>
  <sheetFormatPr defaultColWidth="9" defaultRowHeight="14" outlineLevelCol="4"/>
  <cols>
    <col min="1" max="1" width="42.1454545454545" customWidth="1"/>
    <col min="2" max="24" width="13.5727272727273" customWidth="1"/>
  </cols>
  <sheetData>
    <row r="1" ht="18.75" customHeight="1" spans="1:1">
      <c r="A1" s="1" t="s">
        <v>0</v>
      </c>
    </row>
    <row r="2" ht="22.5" spans="1:1">
      <c r="A2" s="1" t="s">
        <v>1</v>
      </c>
    </row>
    <row r="3" ht="15.75" customHeight="1" spans="1:1">
      <c r="A3" s="8" t="s">
        <v>2</v>
      </c>
    </row>
    <row r="4" ht="15.75" customHeight="1" spans="1:1">
      <c r="A4" s="8" t="s">
        <v>3</v>
      </c>
    </row>
    <row r="5" ht="18.5" spans="1:1">
      <c r="A5" s="8" t="s">
        <v>1</v>
      </c>
    </row>
    <row r="6" ht="15" customHeight="1" spans="1:1">
      <c r="A6" s="28" t="s">
        <v>4</v>
      </c>
    </row>
    <row r="7" ht="15" customHeight="1" spans="1:1">
      <c r="A7" s="29" t="s">
        <v>5</v>
      </c>
    </row>
    <row r="8" ht="15" customHeight="1" spans="1:1">
      <c r="A8" s="29" t="s">
        <v>6</v>
      </c>
    </row>
    <row r="9" ht="15" customHeight="1" spans="1:1">
      <c r="A9" s="29" t="s">
        <v>7</v>
      </c>
    </row>
    <row r="10" ht="15" customHeight="1" spans="1:1">
      <c r="A10" s="29" t="s">
        <v>8</v>
      </c>
    </row>
    <row r="11" ht="15" customHeight="1" spans="1:1">
      <c r="A11" s="7" t="s">
        <v>1</v>
      </c>
    </row>
    <row r="12" ht="15" customHeight="1" spans="1:1">
      <c r="A12" s="28" t="s">
        <v>9</v>
      </c>
    </row>
    <row r="13" ht="15" customHeight="1" spans="1:1">
      <c r="A13" s="30" t="s">
        <v>10</v>
      </c>
    </row>
    <row r="14" ht="15" customHeight="1" spans="1:1">
      <c r="A14" s="30" t="s">
        <v>11</v>
      </c>
    </row>
    <row r="15" ht="15" customHeight="1" spans="1:1">
      <c r="A15" s="30" t="s">
        <v>12</v>
      </c>
    </row>
    <row r="16" ht="15" customHeight="1" spans="1:1">
      <c r="A16" s="6" t="s">
        <v>1</v>
      </c>
    </row>
    <row r="17" ht="15.75" customHeight="1" spans="1:1">
      <c r="A17" s="28" t="s">
        <v>13</v>
      </c>
    </row>
    <row r="18" ht="15" customHeight="1" spans="1:1">
      <c r="A18" s="29" t="s">
        <v>14</v>
      </c>
    </row>
    <row r="19" ht="15" customHeight="1" spans="1:1">
      <c r="A19" s="29" t="s">
        <v>15</v>
      </c>
    </row>
    <row r="20" ht="15" customHeight="1" spans="1:1">
      <c r="A20" s="29" t="s">
        <v>16</v>
      </c>
    </row>
    <row r="21" ht="15" customHeight="1" spans="1:1">
      <c r="A21" s="29" t="s">
        <v>17</v>
      </c>
    </row>
    <row r="22" ht="15" customHeight="1" spans="1:1">
      <c r="A22" s="30" t="s">
        <v>18</v>
      </c>
    </row>
    <row r="23" ht="15" customHeight="1" spans="1:1">
      <c r="A23" s="6" t="s">
        <v>1</v>
      </c>
    </row>
    <row r="24" ht="15.75" customHeight="1" spans="1:1">
      <c r="A24" s="28" t="s">
        <v>19</v>
      </c>
    </row>
    <row r="25" ht="15.75" customHeight="1" spans="1:1">
      <c r="A25" s="7" t="s">
        <v>20</v>
      </c>
    </row>
    <row r="26" ht="15" customHeight="1" spans="1:1">
      <c r="A26" s="29" t="s">
        <v>21</v>
      </c>
    </row>
    <row r="27" ht="15.75" customHeight="1" spans="1:1">
      <c r="A27" s="6" t="s">
        <v>22</v>
      </c>
    </row>
    <row r="28" ht="15" customHeight="1" spans="1:1">
      <c r="A28" s="29" t="s">
        <v>23</v>
      </c>
    </row>
    <row r="29" ht="15" customHeight="1" spans="1:1">
      <c r="A29" s="6" t="s">
        <v>24</v>
      </c>
    </row>
    <row r="30" ht="15" customHeight="1" spans="1:1">
      <c r="A30" s="29" t="s">
        <v>25</v>
      </c>
    </row>
    <row r="31" ht="15" customHeight="1" spans="1:1">
      <c r="A31" s="29" t="s">
        <v>26</v>
      </c>
    </row>
    <row r="32" ht="15" customHeight="1" spans="1:1">
      <c r="A32" s="6" t="s">
        <v>1</v>
      </c>
    </row>
    <row r="33" ht="15.75" customHeight="1" spans="1:5">
      <c r="A33" s="28" t="s">
        <v>27</v>
      </c>
    </row>
    <row r="34" ht="15" customHeight="1" spans="1:5">
      <c r="A34" s="30" t="s">
        <v>28</v>
      </c>
    </row>
    <row r="35" ht="15" customHeight="1" spans="1:5">
      <c r="A35" s="29" t="s">
        <v>29</v>
      </c>
    </row>
    <row r="36" ht="15" customHeight="1" spans="1:5">
      <c r="A36" s="29" t="s">
        <v>30</v>
      </c>
    </row>
    <row r="37" ht="15" customHeight="1" spans="1:5">
      <c r="A37" s="29" t="s">
        <v>31</v>
      </c>
    </row>
    <row r="38" ht="15" customHeight="1" spans="1:5">
      <c r="A38" s="30" t="s">
        <v>32</v>
      </c>
    </row>
    <row r="39" ht="15" customHeight="1" spans="1:5">
      <c r="A39" s="29" t="s">
        <v>33</v>
      </c>
    </row>
    <row r="40" ht="15" customHeight="1" spans="1:5">
      <c r="A40" s="30" t="s">
        <v>34</v>
      </c>
    </row>
    <row r="41" ht="15" customHeight="1" spans="1:5">
      <c r="A41" s="30" t="s">
        <v>35</v>
      </c>
    </row>
    <row r="42" ht="15" customHeight="1" spans="1:5">
      <c r="A42" s="6" t="s">
        <v>1</v>
      </c>
    </row>
    <row r="43" ht="15.75" customHeight="1" spans="1:5">
      <c r="A43" s="28" t="s">
        <v>36</v>
      </c>
    </row>
    <row r="44" ht="15.75" customHeight="1" spans="1:5">
      <c r="A44" s="7" t="s">
        <v>37</v>
      </c>
      <c r="B44" s="7"/>
      <c r="C44" s="7"/>
      <c r="D44" s="7"/>
      <c r="E44" s="7"/>
    </row>
    <row r="45" ht="15" customHeight="1" spans="1:5">
      <c r="A45" s="29" t="s">
        <v>38</v>
      </c>
    </row>
    <row r="46" ht="15" customHeight="1" spans="1:5">
      <c r="A46" s="29" t="s">
        <v>39</v>
      </c>
    </row>
    <row r="47" ht="15" customHeight="1" spans="1:5">
      <c r="A47" s="29" t="s">
        <v>40</v>
      </c>
    </row>
    <row r="48" ht="15" customHeight="1" spans="1:5">
      <c r="A48" s="29" t="s">
        <v>41</v>
      </c>
    </row>
    <row r="49" ht="15" customHeight="1" spans="1:1">
      <c r="A49" s="6" t="s">
        <v>1</v>
      </c>
    </row>
    <row r="50" ht="15.75" customHeight="1" spans="1:1">
      <c r="A50" s="28" t="s">
        <v>42</v>
      </c>
    </row>
    <row r="51" ht="15" customHeight="1" spans="1:1">
      <c r="A51" s="29" t="s">
        <v>43</v>
      </c>
    </row>
    <row r="52" ht="15" customHeight="1" spans="1:1">
      <c r="A52" s="29" t="s">
        <v>44</v>
      </c>
    </row>
    <row r="53" ht="15" customHeight="1" spans="1:1">
      <c r="A53" s="29" t="s">
        <v>45</v>
      </c>
    </row>
    <row r="54" ht="15" customHeight="1" spans="1:1">
      <c r="A54" s="29" t="s">
        <v>46</v>
      </c>
    </row>
    <row r="55" ht="15" customHeight="1" spans="1:1">
      <c r="A55" s="6" t="s">
        <v>1</v>
      </c>
    </row>
    <row r="56" ht="15.75" customHeight="1" spans="1:1">
      <c r="A56" s="28" t="s">
        <v>47</v>
      </c>
    </row>
    <row r="57" ht="15" customHeight="1" spans="1:1">
      <c r="A57" s="30" t="s">
        <v>48</v>
      </c>
    </row>
    <row r="58" ht="15" customHeight="1" spans="1:1">
      <c r="A58" s="30" t="s">
        <v>49</v>
      </c>
    </row>
    <row r="59" ht="15" customHeight="1" spans="1:1">
      <c r="A59" s="30" t="s">
        <v>50</v>
      </c>
    </row>
    <row r="60" ht="15" customHeight="1" spans="1:1">
      <c r="A60" s="30" t="s">
        <v>51</v>
      </c>
    </row>
    <row r="61" ht="15" customHeight="1" spans="1:1">
      <c r="A61" s="6" t="s">
        <v>1</v>
      </c>
    </row>
    <row r="62" ht="15" customHeight="1" spans="1:1">
      <c r="A62" s="28" t="s">
        <v>52</v>
      </c>
    </row>
    <row r="63" ht="15" customHeight="1" spans="1:1">
      <c r="A63" s="30" t="s">
        <v>53</v>
      </c>
    </row>
    <row r="64" ht="15" customHeight="1" spans="1:1">
      <c r="A64" s="30" t="s">
        <v>54</v>
      </c>
    </row>
    <row r="65" ht="15" customHeight="1" spans="1:1">
      <c r="A65" s="30" t="s">
        <v>55</v>
      </c>
    </row>
    <row r="66" ht="15" customHeight="1" spans="1:1">
      <c r="A66" s="30" t="s">
        <v>56</v>
      </c>
    </row>
    <row r="67" ht="15" customHeight="1" spans="1:1">
      <c r="A67" s="30" t="s">
        <v>57</v>
      </c>
    </row>
  </sheetData>
  <mergeCells count="1">
    <mergeCell ref="A44:E44"/>
  </mergeCells>
  <pageMargins left="0.7" right="0.7" top="0.75" bottom="0.75" header="0.3" footer="0.3"/>
  <pageSetup paperSize="1" orientation="portrait"/>
  <headerFooter/>
  <ignoredErrors>
    <ignoredError sqref="A1:J87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"/>
  <sheetViews>
    <sheetView workbookViewId="0">
      <selection activeCell="A1" sqref="A1"/>
    </sheetView>
  </sheetViews>
  <sheetFormatPr defaultColWidth="9" defaultRowHeight="14" outlineLevelCol="7"/>
  <cols>
    <col min="1" max="1" width="14.5727272727273" customWidth="1"/>
    <col min="2" max="6" width="20" customWidth="1"/>
    <col min="7" max="8" width="16.4272727272727" customWidth="1"/>
    <col min="9" max="24" width="13.5727272727273" customWidth="1"/>
  </cols>
  <sheetData>
    <row r="1" ht="18.75" customHeight="1" spans="1:8">
      <c r="A1" s="26" t="s">
        <v>58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12" t="s">
        <v>1</v>
      </c>
      <c r="H1" s="27" t="s">
        <v>1</v>
      </c>
    </row>
    <row r="2" ht="18.5" spans="1:8">
      <c r="A2" s="26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12" t="s">
        <v>1</v>
      </c>
      <c r="H2" s="27" t="s">
        <v>1</v>
      </c>
    </row>
    <row r="3" ht="15.75" customHeight="1" spans="1:8">
      <c r="A3" s="3" t="s">
        <v>59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12" t="s">
        <v>1</v>
      </c>
      <c r="H3" s="27" t="s">
        <v>1</v>
      </c>
    </row>
    <row r="4" ht="15.75" customHeight="1" spans="1:8">
      <c r="A4" s="5" t="s">
        <v>60</v>
      </c>
      <c r="B4" s="5" t="s">
        <v>61</v>
      </c>
      <c r="C4" s="5" t="s">
        <v>62</v>
      </c>
      <c r="D4" s="5" t="s">
        <v>63</v>
      </c>
      <c r="E4" s="5" t="s">
        <v>64</v>
      </c>
      <c r="F4" s="5" t="s">
        <v>65</v>
      </c>
      <c r="G4" s="12" t="s">
        <v>1</v>
      </c>
      <c r="H4" s="27" t="s">
        <v>1</v>
      </c>
    </row>
    <row r="5" ht="15" customHeight="1" spans="1:8">
      <c r="A5">
        <v>1</v>
      </c>
      <c r="B5" s="9" t="s">
        <v>66</v>
      </c>
      <c r="C5" s="9" t="s">
        <v>66</v>
      </c>
      <c r="D5" s="9" t="s">
        <v>66</v>
      </c>
      <c r="E5" s="9" t="s">
        <v>66</v>
      </c>
      <c r="F5" s="9" t="s">
        <v>66</v>
      </c>
      <c r="G5" s="12" t="s">
        <v>1</v>
      </c>
      <c r="H5" s="27" t="s">
        <v>1</v>
      </c>
    </row>
    <row r="6" ht="15" customHeight="1" spans="1:8">
      <c r="A6">
        <v>2</v>
      </c>
      <c r="B6" s="9" t="s">
        <v>67</v>
      </c>
      <c r="C6" s="9" t="s">
        <v>66</v>
      </c>
      <c r="D6" s="9" t="s">
        <v>66</v>
      </c>
      <c r="E6" s="9" t="s">
        <v>66</v>
      </c>
      <c r="F6" s="9" t="s">
        <v>66</v>
      </c>
      <c r="G6" s="12" t="s">
        <v>1</v>
      </c>
      <c r="H6" s="27" t="s">
        <v>1</v>
      </c>
    </row>
    <row r="7" ht="15" customHeight="1" spans="1:8">
      <c r="A7">
        <v>3</v>
      </c>
      <c r="B7" s="9" t="s">
        <v>67</v>
      </c>
      <c r="C7" s="9" t="s">
        <v>66</v>
      </c>
      <c r="D7" s="9" t="s">
        <v>66</v>
      </c>
      <c r="E7" s="9" t="s">
        <v>66</v>
      </c>
      <c r="F7" s="9" t="s">
        <v>66</v>
      </c>
      <c r="G7" s="12" t="s">
        <v>1</v>
      </c>
      <c r="H7" s="27" t="s">
        <v>1</v>
      </c>
    </row>
    <row r="8" ht="15" customHeight="1" spans="1:8">
      <c r="A8">
        <v>4</v>
      </c>
      <c r="B8" s="9" t="s">
        <v>67</v>
      </c>
      <c r="C8" s="9" t="s">
        <v>68</v>
      </c>
      <c r="D8" s="9" t="s">
        <v>68</v>
      </c>
      <c r="E8" s="9" t="s">
        <v>68</v>
      </c>
      <c r="F8" s="9" t="s">
        <v>68</v>
      </c>
      <c r="G8" s="12" t="s">
        <v>1</v>
      </c>
      <c r="H8" s="27" t="s">
        <v>1</v>
      </c>
    </row>
    <row r="9" ht="15" customHeight="1" spans="1:8">
      <c r="A9">
        <v>5</v>
      </c>
      <c r="B9" s="9" t="s">
        <v>69</v>
      </c>
      <c r="C9" s="9" t="s">
        <v>67</v>
      </c>
      <c r="D9" s="9" t="s">
        <v>67</v>
      </c>
      <c r="E9" s="9" t="s">
        <v>67</v>
      </c>
      <c r="F9" s="9" t="s">
        <v>67</v>
      </c>
      <c r="G9" s="12" t="s">
        <v>1</v>
      </c>
      <c r="H9" s="27" t="s">
        <v>1</v>
      </c>
    </row>
    <row r="10" ht="15" customHeight="1" spans="1:8">
      <c r="A10">
        <v>6</v>
      </c>
      <c r="B10" s="9" t="s">
        <v>69</v>
      </c>
      <c r="C10" s="9" t="s">
        <v>67</v>
      </c>
      <c r="D10" s="9" t="s">
        <v>67</v>
      </c>
      <c r="E10" s="9" t="s">
        <v>67</v>
      </c>
      <c r="F10" s="9" t="s">
        <v>67</v>
      </c>
      <c r="G10" s="12" t="s">
        <v>1</v>
      </c>
      <c r="H10" s="27" t="s">
        <v>1</v>
      </c>
    </row>
    <row r="11" ht="15" customHeight="1" spans="1:8">
      <c r="A11">
        <v>7</v>
      </c>
      <c r="B11" s="9" t="s">
        <v>69</v>
      </c>
      <c r="C11" s="9" t="s">
        <v>67</v>
      </c>
      <c r="D11" s="9" t="s">
        <v>67</v>
      </c>
      <c r="E11" s="9" t="s">
        <v>67</v>
      </c>
      <c r="F11" s="9" t="s">
        <v>67</v>
      </c>
      <c r="G11" s="12" t="s">
        <v>1</v>
      </c>
      <c r="H11" s="27" t="s">
        <v>1</v>
      </c>
    </row>
    <row r="12" ht="15" customHeight="1" spans="1:8">
      <c r="A12">
        <v>8</v>
      </c>
      <c r="B12" s="9" t="s">
        <v>69</v>
      </c>
      <c r="C12" s="9" t="s">
        <v>69</v>
      </c>
      <c r="D12" s="9" t="s">
        <v>69</v>
      </c>
      <c r="E12" s="9" t="s">
        <v>69</v>
      </c>
      <c r="F12" s="9" t="s">
        <v>69</v>
      </c>
      <c r="G12" s="12" t="s">
        <v>1</v>
      </c>
      <c r="H12" s="27" t="s">
        <v>1</v>
      </c>
    </row>
    <row r="13" ht="15" customHeight="1" spans="1:8">
      <c r="A13">
        <v>9</v>
      </c>
      <c r="B13" s="9">
        <v>10</v>
      </c>
      <c r="C13" s="9" t="s">
        <v>69</v>
      </c>
      <c r="D13" s="9" t="s">
        <v>69</v>
      </c>
      <c r="E13" s="9" t="s">
        <v>69</v>
      </c>
      <c r="F13" s="9" t="s">
        <v>69</v>
      </c>
      <c r="G13" s="12" t="s">
        <v>1</v>
      </c>
      <c r="H13" s="27" t="s">
        <v>1</v>
      </c>
    </row>
    <row r="14" ht="15" customHeight="1" spans="1:8">
      <c r="A14">
        <v>10</v>
      </c>
      <c r="B14" s="9">
        <v>10</v>
      </c>
      <c r="C14" s="9" t="s">
        <v>69</v>
      </c>
      <c r="D14" s="9" t="s">
        <v>69</v>
      </c>
      <c r="E14" s="9" t="s">
        <v>69</v>
      </c>
      <c r="F14" s="9" t="s">
        <v>69</v>
      </c>
      <c r="G14" s="12" t="s">
        <v>1</v>
      </c>
      <c r="H14" s="27" t="s">
        <v>1</v>
      </c>
    </row>
    <row r="15" ht="15" customHeight="1" spans="1:8">
      <c r="A15">
        <v>11</v>
      </c>
      <c r="B15" s="9">
        <v>10</v>
      </c>
      <c r="C15" s="9" t="s">
        <v>69</v>
      </c>
      <c r="D15" s="9" t="s">
        <v>69</v>
      </c>
      <c r="E15" s="9" t="s">
        <v>69</v>
      </c>
      <c r="F15" s="9" t="s">
        <v>69</v>
      </c>
      <c r="G15" s="12" t="s">
        <v>1</v>
      </c>
      <c r="H15" s="27" t="s">
        <v>1</v>
      </c>
    </row>
    <row r="16" ht="15" customHeight="1" spans="1:8">
      <c r="A16">
        <v>12</v>
      </c>
      <c r="B16" s="9">
        <v>10</v>
      </c>
      <c r="C16" s="9" t="s">
        <v>69</v>
      </c>
      <c r="D16" s="9">
        <v>10</v>
      </c>
      <c r="E16" s="9">
        <v>10</v>
      </c>
      <c r="F16" s="9">
        <v>10</v>
      </c>
      <c r="G16" s="12" t="s">
        <v>1</v>
      </c>
      <c r="H16" s="27" t="s">
        <v>1</v>
      </c>
    </row>
    <row r="17" ht="15" customHeight="1" spans="1:8">
      <c r="A17">
        <v>13</v>
      </c>
      <c r="B17" s="9">
        <v>10</v>
      </c>
      <c r="C17" s="9">
        <v>10</v>
      </c>
      <c r="D17" s="9">
        <v>10</v>
      </c>
      <c r="E17" s="9">
        <v>10</v>
      </c>
      <c r="F17" s="9">
        <v>10</v>
      </c>
      <c r="G17" s="12" t="s">
        <v>1</v>
      </c>
      <c r="H17" s="27" t="s">
        <v>1</v>
      </c>
    </row>
    <row r="18" ht="15" customHeight="1" spans="1:8">
      <c r="A18">
        <v>14</v>
      </c>
      <c r="B18" s="9">
        <v>9</v>
      </c>
      <c r="C18" s="9">
        <v>10</v>
      </c>
      <c r="D18" s="9">
        <v>10</v>
      </c>
      <c r="E18" s="9">
        <v>10</v>
      </c>
      <c r="F18" s="9">
        <v>10</v>
      </c>
      <c r="G18" s="12" t="s">
        <v>1</v>
      </c>
      <c r="H18" s="27" t="s">
        <v>1</v>
      </c>
    </row>
    <row r="19" ht="15" customHeight="1" spans="1:8">
      <c r="A19">
        <v>15</v>
      </c>
      <c r="B19" s="9">
        <v>9</v>
      </c>
      <c r="C19" s="9">
        <v>10</v>
      </c>
      <c r="D19" s="9">
        <v>10</v>
      </c>
      <c r="E19" s="9">
        <v>10</v>
      </c>
      <c r="F19" s="9">
        <v>10</v>
      </c>
      <c r="G19" s="12" t="s">
        <v>1</v>
      </c>
      <c r="H19" s="27" t="s">
        <v>1</v>
      </c>
    </row>
    <row r="20" ht="15" customHeight="1" spans="1:8">
      <c r="A20">
        <v>16</v>
      </c>
      <c r="B20" s="9">
        <v>9</v>
      </c>
      <c r="C20" s="9">
        <v>9</v>
      </c>
      <c r="D20" s="9">
        <v>9</v>
      </c>
      <c r="E20" s="9">
        <v>9</v>
      </c>
      <c r="F20" s="9">
        <v>9</v>
      </c>
      <c r="G20" s="12" t="s">
        <v>1</v>
      </c>
      <c r="H20" s="27" t="s">
        <v>1</v>
      </c>
    </row>
    <row r="21" ht="15" customHeight="1" spans="1:8">
      <c r="A21">
        <v>17</v>
      </c>
      <c r="B21" s="9">
        <v>9</v>
      </c>
      <c r="C21" s="9">
        <v>9</v>
      </c>
      <c r="D21" s="9">
        <v>9</v>
      </c>
      <c r="E21" s="9">
        <v>9</v>
      </c>
      <c r="F21" s="9">
        <v>9</v>
      </c>
      <c r="G21" s="12" t="s">
        <v>1</v>
      </c>
      <c r="H21" s="27" t="s">
        <v>1</v>
      </c>
    </row>
    <row r="22" ht="15" customHeight="1" spans="1:8">
      <c r="A22">
        <v>18</v>
      </c>
      <c r="B22" s="9">
        <v>9</v>
      </c>
      <c r="C22" s="9">
        <v>9</v>
      </c>
      <c r="D22" s="9">
        <v>9</v>
      </c>
      <c r="E22" s="9">
        <v>9</v>
      </c>
      <c r="F22" s="9">
        <v>9</v>
      </c>
      <c r="G22" s="12" t="s">
        <v>1</v>
      </c>
      <c r="H22" s="27" t="s">
        <v>1</v>
      </c>
    </row>
    <row r="23" ht="15" customHeight="1" spans="1:8">
      <c r="A23">
        <v>19</v>
      </c>
      <c r="B23" s="9">
        <v>9</v>
      </c>
      <c r="C23" s="9">
        <v>9</v>
      </c>
      <c r="D23" s="9">
        <v>9</v>
      </c>
      <c r="E23" s="9">
        <v>9</v>
      </c>
      <c r="F23" s="9">
        <v>9</v>
      </c>
      <c r="G23" s="12" t="s">
        <v>1</v>
      </c>
      <c r="H23" s="27" t="s">
        <v>1</v>
      </c>
    </row>
    <row r="24" ht="15" customHeight="1" spans="1:8">
      <c r="A24">
        <v>20</v>
      </c>
      <c r="B24" s="9" t="s">
        <v>70</v>
      </c>
      <c r="C24" s="9" t="s">
        <v>70</v>
      </c>
      <c r="D24" s="9" t="s">
        <v>70</v>
      </c>
      <c r="E24" s="9" t="s">
        <v>70</v>
      </c>
      <c r="F24" s="9" t="s">
        <v>70</v>
      </c>
      <c r="G24" s="12" t="s">
        <v>1</v>
      </c>
      <c r="H24" s="27" t="s">
        <v>1</v>
      </c>
    </row>
    <row r="25" ht="15" customHeight="1" spans="1:8">
      <c r="A25" s="12" t="s">
        <v>71</v>
      </c>
      <c r="B25" s="13">
        <f>COUNTA(B5:B24)</f>
        <v>20</v>
      </c>
      <c r="C25" s="13">
        <f>COUNTA(C5:C24)</f>
        <v>20</v>
      </c>
      <c r="D25" s="13">
        <f>COUNTA(D5:D24)</f>
        <v>20</v>
      </c>
      <c r="E25" s="13">
        <f>COUNTA(E5:E24)</f>
        <v>20</v>
      </c>
      <c r="F25" s="13">
        <f>COUNTA(F5:F24)</f>
        <v>20</v>
      </c>
      <c r="G25" s="12" t="s">
        <v>72</v>
      </c>
      <c r="H25" s="27">
        <f>PRODUCT(B25:F25)</f>
        <v>3200000</v>
      </c>
    </row>
    <row r="26" ht="18.5" spans="1:8">
      <c r="A26" s="12" t="s">
        <v>1</v>
      </c>
      <c r="B26" s="13" t="s">
        <v>1</v>
      </c>
      <c r="C26" s="13" t="s">
        <v>1</v>
      </c>
      <c r="D26" s="13" t="s">
        <v>1</v>
      </c>
      <c r="E26" s="13" t="s">
        <v>1</v>
      </c>
      <c r="F26" s="13" t="s">
        <v>1</v>
      </c>
      <c r="G26" s="12" t="s">
        <v>1</v>
      </c>
      <c r="H26" s="27" t="s">
        <v>1</v>
      </c>
    </row>
    <row r="27" ht="15" customHeight="1" spans="1:8">
      <c r="A27" s="3" t="s">
        <v>73</v>
      </c>
      <c r="B27" s="2" t="s">
        <v>1</v>
      </c>
      <c r="C27" s="2" t="s">
        <v>1</v>
      </c>
      <c r="D27" s="2" t="s">
        <v>1</v>
      </c>
      <c r="E27" s="2" t="s">
        <v>1</v>
      </c>
      <c r="F27" s="2" t="s">
        <v>1</v>
      </c>
      <c r="G27" s="12" t="s">
        <v>1</v>
      </c>
      <c r="H27" s="27" t="s">
        <v>1</v>
      </c>
    </row>
    <row r="28" ht="15.75" customHeight="1" spans="1:8">
      <c r="A28" s="5" t="s">
        <v>74</v>
      </c>
      <c r="B28" s="5" t="s">
        <v>61</v>
      </c>
      <c r="C28" s="5" t="s">
        <v>62</v>
      </c>
      <c r="D28" s="5" t="s">
        <v>63</v>
      </c>
      <c r="E28" s="5" t="s">
        <v>64</v>
      </c>
      <c r="F28" s="5" t="s">
        <v>65</v>
      </c>
      <c r="G28" s="12" t="s">
        <v>1</v>
      </c>
      <c r="H28" s="27" t="s">
        <v>1</v>
      </c>
    </row>
    <row r="29" ht="15" customHeight="1" spans="1:8">
      <c r="A29" s="16" t="s">
        <v>75</v>
      </c>
      <c r="B29" s="11">
        <f>B$25</f>
        <v>20</v>
      </c>
      <c r="C29" s="11">
        <f>C$25</f>
        <v>20</v>
      </c>
      <c r="D29" s="11">
        <f>D$25</f>
        <v>20</v>
      </c>
      <c r="E29" s="11">
        <f>E$25</f>
        <v>20</v>
      </c>
      <c r="F29" s="11">
        <f>F$25</f>
        <v>20</v>
      </c>
      <c r="G29" s="12" t="s">
        <v>1</v>
      </c>
      <c r="H29" s="27" t="s">
        <v>1</v>
      </c>
    </row>
    <row r="30" ht="15" customHeight="1" spans="1:8">
      <c r="A30" s="16" t="s">
        <v>68</v>
      </c>
      <c r="B30" s="11">
        <f t="shared" ref="B30:B36" si="0">COUNTIF(B$5:B$24,$A30)</f>
        <v>0</v>
      </c>
      <c r="C30" s="11">
        <f t="shared" ref="C30:C36" si="1">COUNTIF(C$5:C$24,$A30)</f>
        <v>1</v>
      </c>
      <c r="D30" s="11">
        <f t="shared" ref="D30:D36" si="2">COUNTIF(D$5:D$24,$A30)</f>
        <v>1</v>
      </c>
      <c r="E30" s="11">
        <f t="shared" ref="E30:E36" si="3">COUNTIF(E$5:E$24,$A30)</f>
        <v>1</v>
      </c>
      <c r="F30" s="11">
        <f t="shared" ref="F30:F36" si="4">COUNTIF(F$5:F$24,$A30)</f>
        <v>1</v>
      </c>
      <c r="G30" s="12" t="s">
        <v>1</v>
      </c>
      <c r="H30" s="27" t="s">
        <v>1</v>
      </c>
    </row>
    <row r="31" ht="15" customHeight="1" spans="1:8">
      <c r="A31" s="16" t="s">
        <v>66</v>
      </c>
      <c r="B31" s="11">
        <f t="shared" si="0"/>
        <v>1</v>
      </c>
      <c r="C31" s="11">
        <f t="shared" si="1"/>
        <v>3</v>
      </c>
      <c r="D31" s="11">
        <f t="shared" si="2"/>
        <v>3</v>
      </c>
      <c r="E31" s="11">
        <f t="shared" si="3"/>
        <v>3</v>
      </c>
      <c r="F31" s="11">
        <f t="shared" si="4"/>
        <v>3</v>
      </c>
      <c r="G31" s="12" t="s">
        <v>1</v>
      </c>
      <c r="H31" s="27" t="s">
        <v>1</v>
      </c>
    </row>
    <row r="32" ht="15" customHeight="1" spans="1:8">
      <c r="A32" s="16" t="s">
        <v>67</v>
      </c>
      <c r="B32" s="11">
        <f t="shared" si="0"/>
        <v>3</v>
      </c>
      <c r="C32" s="11">
        <f t="shared" si="1"/>
        <v>3</v>
      </c>
      <c r="D32" s="11">
        <f t="shared" si="2"/>
        <v>3</v>
      </c>
      <c r="E32" s="11">
        <f t="shared" si="3"/>
        <v>3</v>
      </c>
      <c r="F32" s="11">
        <f t="shared" si="4"/>
        <v>3</v>
      </c>
      <c r="G32" s="12" t="s">
        <v>1</v>
      </c>
      <c r="H32" s="27" t="s">
        <v>1</v>
      </c>
    </row>
    <row r="33" ht="15" customHeight="1" spans="1:8">
      <c r="A33" s="16" t="s">
        <v>69</v>
      </c>
      <c r="B33" s="11">
        <f t="shared" si="0"/>
        <v>4</v>
      </c>
      <c r="C33" s="11">
        <f t="shared" si="1"/>
        <v>5</v>
      </c>
      <c r="D33" s="11">
        <f t="shared" si="2"/>
        <v>4</v>
      </c>
      <c r="E33" s="11">
        <f t="shared" si="3"/>
        <v>4</v>
      </c>
      <c r="F33" s="11">
        <f t="shared" si="4"/>
        <v>4</v>
      </c>
      <c r="G33" s="12" t="s">
        <v>1</v>
      </c>
      <c r="H33" s="27" t="s">
        <v>1</v>
      </c>
    </row>
    <row r="34" ht="15" customHeight="1" spans="1:8">
      <c r="A34" s="16">
        <v>10</v>
      </c>
      <c r="B34" s="11">
        <f t="shared" si="0"/>
        <v>5</v>
      </c>
      <c r="C34" s="11">
        <f t="shared" si="1"/>
        <v>3</v>
      </c>
      <c r="D34" s="11">
        <f t="shared" si="2"/>
        <v>4</v>
      </c>
      <c r="E34" s="11">
        <f t="shared" si="3"/>
        <v>4</v>
      </c>
      <c r="F34" s="11">
        <f t="shared" si="4"/>
        <v>4</v>
      </c>
      <c r="G34" s="12" t="s">
        <v>1</v>
      </c>
      <c r="H34" s="27" t="s">
        <v>1</v>
      </c>
    </row>
    <row r="35" ht="15" customHeight="1" spans="1:8">
      <c r="A35" s="16">
        <v>9</v>
      </c>
      <c r="B35" s="11">
        <f t="shared" si="0"/>
        <v>6</v>
      </c>
      <c r="C35" s="11">
        <f t="shared" si="1"/>
        <v>4</v>
      </c>
      <c r="D35" s="11">
        <f t="shared" si="2"/>
        <v>4</v>
      </c>
      <c r="E35" s="11">
        <f t="shared" si="3"/>
        <v>4</v>
      </c>
      <c r="F35" s="11">
        <f t="shared" si="4"/>
        <v>4</v>
      </c>
      <c r="G35" s="12" t="s">
        <v>1</v>
      </c>
      <c r="H35" s="27" t="s">
        <v>1</v>
      </c>
    </row>
    <row r="36" ht="15" customHeight="1" spans="1:8">
      <c r="A36" s="16" t="s">
        <v>70</v>
      </c>
      <c r="B36" s="11">
        <f t="shared" si="0"/>
        <v>1</v>
      </c>
      <c r="C36" s="11">
        <f t="shared" si="1"/>
        <v>1</v>
      </c>
      <c r="D36" s="11">
        <f t="shared" si="2"/>
        <v>1</v>
      </c>
      <c r="E36" s="11">
        <f t="shared" si="3"/>
        <v>1</v>
      </c>
      <c r="F36" s="11">
        <f t="shared" si="4"/>
        <v>1</v>
      </c>
      <c r="G36" s="12" t="s">
        <v>1</v>
      </c>
      <c r="H36" s="27" t="s">
        <v>1</v>
      </c>
    </row>
    <row r="37" ht="15.75" customHeight="1" spans="1:8">
      <c r="A37" s="14" t="s">
        <v>76</v>
      </c>
      <c r="B37" s="11">
        <f>3*B36</f>
        <v>3</v>
      </c>
      <c r="C37" s="11">
        <f>3*C36</f>
        <v>3</v>
      </c>
      <c r="D37" s="11">
        <f>3*D36</f>
        <v>3</v>
      </c>
      <c r="E37" s="11">
        <f>3*E36</f>
        <v>3</v>
      </c>
      <c r="F37" s="11">
        <f>3*F36</f>
        <v>3</v>
      </c>
      <c r="G37" s="12" t="s">
        <v>1</v>
      </c>
      <c r="H37" s="27" t="s">
        <v>1</v>
      </c>
    </row>
    <row r="38" ht="18.5" spans="1:8">
      <c r="A38" s="14" t="s">
        <v>1</v>
      </c>
      <c r="B38" s="11" t="s">
        <v>1</v>
      </c>
      <c r="C38" s="11" t="s">
        <v>1</v>
      </c>
      <c r="D38" s="11" t="s">
        <v>1</v>
      </c>
      <c r="E38" s="11" t="s">
        <v>1</v>
      </c>
      <c r="F38" s="11" t="s">
        <v>1</v>
      </c>
      <c r="G38" s="12" t="s">
        <v>1</v>
      </c>
      <c r="H38" s="27" t="s">
        <v>1</v>
      </c>
    </row>
    <row r="39" ht="15.75" customHeight="1" spans="1:8">
      <c r="A39" s="3" t="s">
        <v>77</v>
      </c>
      <c r="B39" s="2" t="s">
        <v>1</v>
      </c>
      <c r="C39" s="2" t="s">
        <v>1</v>
      </c>
      <c r="D39" s="2" t="s">
        <v>1</v>
      </c>
      <c r="E39" s="2" t="s">
        <v>1</v>
      </c>
      <c r="F39" s="11" t="s">
        <v>1</v>
      </c>
      <c r="G39" s="12" t="s">
        <v>1</v>
      </c>
      <c r="H39" s="27" t="s">
        <v>1</v>
      </c>
    </row>
    <row r="40" ht="15" customHeight="1" spans="1:8">
      <c r="A40" s="5" t="s">
        <v>74</v>
      </c>
      <c r="B40" s="4">
        <v>3</v>
      </c>
      <c r="C40" s="4">
        <v>4</v>
      </c>
      <c r="D40" s="4">
        <v>5</v>
      </c>
      <c r="E40" s="2" t="s">
        <v>1</v>
      </c>
      <c r="F40" s="11" t="s">
        <v>1</v>
      </c>
      <c r="G40" s="12" t="s">
        <v>1</v>
      </c>
      <c r="H40" s="27" t="s">
        <v>1</v>
      </c>
    </row>
    <row r="41" ht="15" customHeight="1" spans="1:8">
      <c r="A41" s="16" t="s">
        <v>66</v>
      </c>
      <c r="B41" s="10">
        <v>5</v>
      </c>
      <c r="C41" s="10">
        <v>30</v>
      </c>
      <c r="D41" s="10">
        <v>100</v>
      </c>
      <c r="E41" s="2" t="s">
        <v>1</v>
      </c>
      <c r="F41" s="11" t="s">
        <v>1</v>
      </c>
      <c r="G41" s="12" t="s">
        <v>1</v>
      </c>
      <c r="H41" s="27" t="s">
        <v>1</v>
      </c>
    </row>
    <row r="42" ht="15" customHeight="1" spans="1:8">
      <c r="A42" s="16" t="s">
        <v>67</v>
      </c>
      <c r="B42" s="10">
        <v>5</v>
      </c>
      <c r="C42" s="10">
        <v>25</v>
      </c>
      <c r="D42" s="10">
        <v>100</v>
      </c>
      <c r="E42" s="2" t="s">
        <v>1</v>
      </c>
      <c r="F42" s="11" t="s">
        <v>1</v>
      </c>
      <c r="G42" s="12" t="s">
        <v>1</v>
      </c>
      <c r="H42" s="27" t="s">
        <v>1</v>
      </c>
    </row>
    <row r="43" ht="15" customHeight="1" spans="1:8">
      <c r="A43" s="16" t="s">
        <v>69</v>
      </c>
      <c r="B43" s="10">
        <v>5</v>
      </c>
      <c r="C43" s="10">
        <v>20</v>
      </c>
      <c r="D43" s="10">
        <v>75</v>
      </c>
      <c r="E43" s="2" t="s">
        <v>1</v>
      </c>
      <c r="F43" s="11" t="s">
        <v>1</v>
      </c>
      <c r="G43" s="12" t="s">
        <v>1</v>
      </c>
      <c r="H43" s="27" t="s">
        <v>1</v>
      </c>
    </row>
    <row r="44" ht="15" customHeight="1" spans="1:8">
      <c r="A44" s="16">
        <v>10</v>
      </c>
      <c r="B44" s="10">
        <v>5</v>
      </c>
      <c r="C44" s="10">
        <v>20</v>
      </c>
      <c r="D44" s="10">
        <v>75</v>
      </c>
      <c r="E44" s="2" t="s">
        <v>1</v>
      </c>
      <c r="F44" s="11" t="s">
        <v>1</v>
      </c>
      <c r="G44" s="12" t="s">
        <v>1</v>
      </c>
      <c r="H44" s="27" t="s">
        <v>1</v>
      </c>
    </row>
    <row r="45" ht="15" customHeight="1" spans="1:8">
      <c r="A45" s="16">
        <v>9</v>
      </c>
      <c r="B45" s="10">
        <v>5</v>
      </c>
      <c r="C45" s="10">
        <v>10</v>
      </c>
      <c r="D45" s="10">
        <v>50</v>
      </c>
      <c r="E45" s="2" t="s">
        <v>1</v>
      </c>
      <c r="F45" s="11" t="s">
        <v>1</v>
      </c>
      <c r="G45" s="12" t="s">
        <v>1</v>
      </c>
      <c r="H45" s="27" t="s">
        <v>1</v>
      </c>
    </row>
    <row r="46" ht="15.75" customHeight="1" spans="1:8">
      <c r="A46" s="16" t="s">
        <v>68</v>
      </c>
      <c r="B46" s="10">
        <v>5</v>
      </c>
      <c r="C46" s="10">
        <v>30</v>
      </c>
      <c r="D46" s="10">
        <v>100</v>
      </c>
      <c r="E46" s="25" t="s">
        <v>78</v>
      </c>
      <c r="F46" s="11" t="s">
        <v>1</v>
      </c>
      <c r="G46" s="12" t="s">
        <v>1</v>
      </c>
      <c r="H46" s="27" t="s">
        <v>1</v>
      </c>
    </row>
    <row r="47" ht="15.75" customHeight="1" spans="1:8">
      <c r="A47" s="16" t="s">
        <v>79</v>
      </c>
      <c r="B47" s="10">
        <v>2</v>
      </c>
      <c r="C47" s="10">
        <v>2</v>
      </c>
      <c r="D47" s="10">
        <v>2</v>
      </c>
      <c r="E47" s="25" t="s">
        <v>1</v>
      </c>
      <c r="F47" s="11" t="s">
        <v>1</v>
      </c>
      <c r="G47" s="12" t="s">
        <v>1</v>
      </c>
      <c r="H47" s="27" t="s">
        <v>1</v>
      </c>
    </row>
  </sheetData>
  <pageMargins left="0.7" right="0.7" top="0.75" bottom="0.75" header="0.3" footer="0.3"/>
  <pageSetup paperSize="1" orientation="portrait"/>
  <headerFooter/>
  <ignoredErrors>
    <ignoredError sqref="A1:M67" evalError="1" twoDigitTextYear="1" numberStoredAsText="1" formula="1" formulaRange="1" unlockedFormula="1" emptyCellReference="1" listDataValidation="1" calculatedColumn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0"/>
  <sheetViews>
    <sheetView workbookViewId="0">
      <selection activeCell="A1" sqref="A1"/>
    </sheetView>
  </sheetViews>
  <sheetFormatPr defaultColWidth="9" defaultRowHeight="14"/>
  <cols>
    <col min="1" max="9" width="9.28181818181818" customWidth="1"/>
    <col min="10" max="12" width="10.8545454545455" customWidth="1"/>
    <col min="13" max="15" width="9.28181818181818" customWidth="1"/>
    <col min="16" max="16" width="11.8545454545455" customWidth="1"/>
    <col min="17" max="17" width="36.4272727272727" customWidth="1"/>
    <col min="18" max="24" width="13.5727272727273" customWidth="1"/>
  </cols>
  <sheetData>
    <row r="1" ht="18.75" customHeight="1" spans="1:17">
      <c r="A1" s="1" t="s">
        <v>80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</row>
    <row r="2" ht="22.5" spans="1:17">
      <c r="A2" s="1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</row>
    <row r="3" ht="15.75" customHeight="1" spans="1:17">
      <c r="A3" s="3" t="s">
        <v>81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1</v>
      </c>
    </row>
    <row r="4" ht="15.75" customHeight="1" spans="1:17">
      <c r="A4" s="5" t="s">
        <v>82</v>
      </c>
      <c r="B4" s="4" t="s">
        <v>83</v>
      </c>
      <c r="C4" s="4" t="s">
        <v>84</v>
      </c>
      <c r="D4" s="4" t="s">
        <v>85</v>
      </c>
      <c r="E4" s="4" t="s">
        <v>86</v>
      </c>
      <c r="F4" s="4" t="s">
        <v>87</v>
      </c>
      <c r="G4" s="4" t="s">
        <v>88</v>
      </c>
      <c r="H4" s="4" t="s">
        <v>89</v>
      </c>
      <c r="I4" s="4" t="s">
        <v>90</v>
      </c>
      <c r="J4" s="4" t="s">
        <v>91</v>
      </c>
      <c r="K4" s="4" t="s">
        <v>92</v>
      </c>
      <c r="L4" s="4" t="s">
        <v>93</v>
      </c>
      <c r="M4" s="5" t="s">
        <v>94</v>
      </c>
      <c r="N4" s="5" t="s">
        <v>95</v>
      </c>
      <c r="O4" s="5" t="s">
        <v>96</v>
      </c>
      <c r="P4" s="4" t="s">
        <v>97</v>
      </c>
      <c r="Q4" s="5" t="s">
        <v>98</v>
      </c>
    </row>
    <row r="5" ht="15" customHeight="1" spans="1:17">
      <c r="A5" s="16" t="s">
        <v>66</v>
      </c>
      <c r="B5" s="11">
        <f>滚轴与赔付!B$31</f>
        <v>1</v>
      </c>
      <c r="C5" s="11">
        <f>滚轴与赔付!C$31</f>
        <v>3</v>
      </c>
      <c r="D5" s="11">
        <f>滚轴与赔付!D$31</f>
        <v>3</v>
      </c>
      <c r="E5" s="11">
        <f>滚轴与赔付!E$31</f>
        <v>3</v>
      </c>
      <c r="F5" s="11">
        <f>滚轴与赔付!F$31</f>
        <v>3</v>
      </c>
      <c r="G5" s="11">
        <f>滚轴与赔付!$E$25-E5</f>
        <v>17</v>
      </c>
      <c r="H5" s="11">
        <f>滚轴与赔付!$F$25-F5</f>
        <v>17</v>
      </c>
      <c r="I5" s="11">
        <f>滚轴与赔付!$F$25</f>
        <v>20</v>
      </c>
      <c r="J5" s="11">
        <f>B5*C5*D5*E5*F5</f>
        <v>81</v>
      </c>
      <c r="K5" s="11">
        <f>B5*C5*D5*E5*H5</f>
        <v>459</v>
      </c>
      <c r="L5" s="11">
        <f>B5*C5*D5*G5*I5</f>
        <v>3060</v>
      </c>
      <c r="M5" s="11">
        <f>VLOOKUP($A5,滚轴与赔付!$A$41:$D$45,4,FALSE())</f>
        <v>100</v>
      </c>
      <c r="N5" s="11">
        <f>VLOOKUP($A5,滚轴与赔付!$A$41:$D$45,3,FALSE())</f>
        <v>30</v>
      </c>
      <c r="O5" s="11">
        <f>VLOOKUP($A5,滚轴与赔付!$A$41:$D$45,2,FALSE())</f>
        <v>5</v>
      </c>
      <c r="P5" s="31">
        <f>(J5*M5+K5*N5+L5*O5)/滚轴与赔付!$H$25</f>
        <v>0.011615625</v>
      </c>
      <c r="Q5" s="5" t="s">
        <v>1</v>
      </c>
    </row>
    <row r="6" ht="15" customHeight="1" spans="1:17">
      <c r="A6" s="16" t="s">
        <v>67</v>
      </c>
      <c r="B6" s="11">
        <f>滚轴与赔付!B$32</f>
        <v>3</v>
      </c>
      <c r="C6" s="11">
        <f>滚轴与赔付!C$32</f>
        <v>3</v>
      </c>
      <c r="D6" s="11">
        <f>滚轴与赔付!D$32</f>
        <v>3</v>
      </c>
      <c r="E6" s="11">
        <f>滚轴与赔付!E$32</f>
        <v>3</v>
      </c>
      <c r="F6" s="11">
        <f>滚轴与赔付!F$32</f>
        <v>3</v>
      </c>
      <c r="G6" s="11">
        <f>滚轴与赔付!$E$25-E6</f>
        <v>17</v>
      </c>
      <c r="H6" s="11">
        <f>滚轴与赔付!$F$25-F6</f>
        <v>17</v>
      </c>
      <c r="I6" s="11">
        <f>滚轴与赔付!$F$25</f>
        <v>20</v>
      </c>
      <c r="J6" s="11">
        <f>B6*C6*D6*E6*F6</f>
        <v>243</v>
      </c>
      <c r="K6" s="11">
        <f>B6*C6*D6*E6*H6</f>
        <v>1377</v>
      </c>
      <c r="L6" s="11">
        <f>B6*C6*D6*G6*I6</f>
        <v>9180</v>
      </c>
      <c r="M6" s="11">
        <f>VLOOKUP($A6,滚轴与赔付!$A$41:$D$45,4,FALSE())</f>
        <v>100</v>
      </c>
      <c r="N6" s="11">
        <f>VLOOKUP($A6,滚轴与赔付!$A$41:$D$45,3,FALSE())</f>
        <v>25</v>
      </c>
      <c r="O6" s="11">
        <f>VLOOKUP($A6,滚轴与赔付!$A$41:$D$45,2,FALSE())</f>
        <v>5</v>
      </c>
      <c r="P6" s="31">
        <f>(J6*M6+K6*N6+L6*O6)/滚轴与赔付!$H$25</f>
        <v>0.0326953125</v>
      </c>
      <c r="Q6" s="5" t="s">
        <v>1</v>
      </c>
    </row>
    <row r="7" ht="15" customHeight="1" spans="1:17">
      <c r="A7" s="16" t="s">
        <v>69</v>
      </c>
      <c r="B7" s="11">
        <f>滚轴与赔付!B$33</f>
        <v>4</v>
      </c>
      <c r="C7" s="11">
        <f>滚轴与赔付!C$33</f>
        <v>5</v>
      </c>
      <c r="D7" s="11">
        <f>滚轴与赔付!D$33</f>
        <v>4</v>
      </c>
      <c r="E7" s="11">
        <f>滚轴与赔付!E$33</f>
        <v>4</v>
      </c>
      <c r="F7" s="11">
        <f>滚轴与赔付!F$33</f>
        <v>4</v>
      </c>
      <c r="G7" s="11">
        <f>滚轴与赔付!$E$25-E7</f>
        <v>16</v>
      </c>
      <c r="H7" s="11">
        <f>滚轴与赔付!$F$25-F7</f>
        <v>16</v>
      </c>
      <c r="I7" s="11">
        <f>滚轴与赔付!$F$25</f>
        <v>20</v>
      </c>
      <c r="J7" s="11">
        <f>B7*C7*D7*E7*F7</f>
        <v>1280</v>
      </c>
      <c r="K7" s="11">
        <f>B7*C7*D7*E7*H7</f>
        <v>5120</v>
      </c>
      <c r="L7" s="11">
        <f>B7*C7*D7*G7*I7</f>
        <v>25600</v>
      </c>
      <c r="M7" s="11">
        <f>VLOOKUP($A7,滚轴与赔付!$A$41:$D$45,4,FALSE())</f>
        <v>75</v>
      </c>
      <c r="N7" s="11">
        <f>VLOOKUP($A7,滚轴与赔付!$A$41:$D$45,3,FALSE())</f>
        <v>20</v>
      </c>
      <c r="O7" s="11">
        <f>VLOOKUP($A7,滚轴与赔付!$A$41:$D$45,2,FALSE())</f>
        <v>5</v>
      </c>
      <c r="P7" s="31">
        <f>(J7*M7+K7*N7+L7*O7)/滚轴与赔付!$H$25</f>
        <v>0.102</v>
      </c>
      <c r="Q7" s="5" t="s">
        <v>1</v>
      </c>
    </row>
    <row r="8" ht="15" customHeight="1" spans="1:17">
      <c r="A8" s="16">
        <v>10</v>
      </c>
      <c r="B8" s="11">
        <f>滚轴与赔付!B$34</f>
        <v>5</v>
      </c>
      <c r="C8" s="11">
        <f>滚轴与赔付!C$34</f>
        <v>3</v>
      </c>
      <c r="D8" s="11">
        <f>滚轴与赔付!D$34</f>
        <v>4</v>
      </c>
      <c r="E8" s="11">
        <f>滚轴与赔付!E$34</f>
        <v>4</v>
      </c>
      <c r="F8" s="11">
        <f>滚轴与赔付!F$34</f>
        <v>4</v>
      </c>
      <c r="G8" s="11">
        <f>滚轴与赔付!$E$25-E8</f>
        <v>16</v>
      </c>
      <c r="H8" s="11">
        <f>滚轴与赔付!$F$25-F8</f>
        <v>16</v>
      </c>
      <c r="I8" s="11">
        <f>滚轴与赔付!$F$25</f>
        <v>20</v>
      </c>
      <c r="J8" s="11">
        <f>B8*C8*D8*E8*F8</f>
        <v>960</v>
      </c>
      <c r="K8" s="11">
        <f>B8*C8*D8*E8*H8</f>
        <v>3840</v>
      </c>
      <c r="L8" s="11">
        <f>B8*C8*D8*G8*I8</f>
        <v>19200</v>
      </c>
      <c r="M8" s="11">
        <f>VLOOKUP($A8,滚轴与赔付!$A$41:$D$45,4,FALSE())</f>
        <v>75</v>
      </c>
      <c r="N8" s="11">
        <f>VLOOKUP($A8,滚轴与赔付!$A$41:$D$45,3,FALSE())</f>
        <v>20</v>
      </c>
      <c r="O8" s="11">
        <f>VLOOKUP($A8,滚轴与赔付!$A$41:$D$45,2,FALSE())</f>
        <v>5</v>
      </c>
      <c r="P8" s="31">
        <f>(J8*M8+K8*N8+L8*O8)/滚轴与赔付!$H$25</f>
        <v>0.0765</v>
      </c>
      <c r="Q8" s="5" t="s">
        <v>1</v>
      </c>
    </row>
    <row r="9" ht="15" customHeight="1" spans="1:17">
      <c r="A9" s="16">
        <v>9</v>
      </c>
      <c r="B9" s="11">
        <f>滚轴与赔付!B$35</f>
        <v>6</v>
      </c>
      <c r="C9" s="11">
        <f>滚轴与赔付!C$35</f>
        <v>4</v>
      </c>
      <c r="D9" s="11">
        <f>滚轴与赔付!D$35</f>
        <v>4</v>
      </c>
      <c r="E9" s="11">
        <f>滚轴与赔付!E$35</f>
        <v>4</v>
      </c>
      <c r="F9" s="11">
        <f>滚轴与赔付!F$35</f>
        <v>4</v>
      </c>
      <c r="G9" s="11">
        <f>滚轴与赔付!$E$25-E9</f>
        <v>16</v>
      </c>
      <c r="H9" s="11">
        <f>滚轴与赔付!$F$25-F9</f>
        <v>16</v>
      </c>
      <c r="I9" s="11">
        <f>滚轴与赔付!$F$25</f>
        <v>20</v>
      </c>
      <c r="J9" s="11">
        <f>B9*C9*D9*E9*F9</f>
        <v>1536</v>
      </c>
      <c r="K9" s="11">
        <f>B9*C9*D9*E9*H9</f>
        <v>6144</v>
      </c>
      <c r="L9" s="11">
        <f>B9*C9*D9*G9*I9</f>
        <v>30720</v>
      </c>
      <c r="M9" s="11">
        <f>VLOOKUP($A9,滚轴与赔付!$A$41:$D$45,4,FALSE())</f>
        <v>50</v>
      </c>
      <c r="N9" s="11">
        <f>VLOOKUP($A9,滚轴与赔付!$A$41:$D$45,3,FALSE())</f>
        <v>10</v>
      </c>
      <c r="O9" s="11">
        <f>VLOOKUP($A9,滚轴与赔付!$A$41:$D$45,2,FALSE())</f>
        <v>5</v>
      </c>
      <c r="P9" s="31">
        <f>(J9*M9+K9*N9+L9*O9)/滚轴与赔付!$H$25</f>
        <v>0.0912</v>
      </c>
      <c r="Q9" s="5" t="s">
        <v>1</v>
      </c>
    </row>
    <row r="10" ht="15.75" customHeight="1" spans="1:17">
      <c r="A10" s="12" t="s">
        <v>99</v>
      </c>
      <c r="B10" s="12" t="s">
        <v>1</v>
      </c>
      <c r="C10" s="12" t="s">
        <v>1</v>
      </c>
      <c r="D10" s="12" t="s">
        <v>1</v>
      </c>
      <c r="E10" s="12" t="s">
        <v>1</v>
      </c>
      <c r="F10" s="12" t="s">
        <v>1</v>
      </c>
      <c r="G10" s="12" t="s">
        <v>1</v>
      </c>
      <c r="H10" s="12" t="s">
        <v>1</v>
      </c>
      <c r="I10" s="12" t="s">
        <v>1</v>
      </c>
      <c r="J10" s="13">
        <f>SUM(J5:J9)</f>
        <v>4100</v>
      </c>
      <c r="K10" s="13">
        <f>SUM(K5:K9)</f>
        <v>16940</v>
      </c>
      <c r="L10" s="13">
        <f>SUM(L5:L9)</f>
        <v>87760</v>
      </c>
      <c r="M10" s="24" t="s">
        <v>100</v>
      </c>
      <c r="N10" s="12" t="s">
        <v>1</v>
      </c>
      <c r="O10" s="12" t="s">
        <v>1</v>
      </c>
      <c r="P10" s="32">
        <f>SUM(P5:P9)</f>
        <v>0.3140109375</v>
      </c>
      <c r="Q10" s="8" t="s">
        <v>101</v>
      </c>
    </row>
    <row r="11" ht="18.5" spans="1:17">
      <c r="A11" s="12" t="s">
        <v>1</v>
      </c>
      <c r="B11" s="12" t="s">
        <v>1</v>
      </c>
      <c r="C11" s="12" t="s">
        <v>1</v>
      </c>
      <c r="D11" s="12" t="s">
        <v>1</v>
      </c>
      <c r="E11" s="12" t="s">
        <v>1</v>
      </c>
      <c r="F11" s="12" t="s">
        <v>1</v>
      </c>
      <c r="G11" s="12" t="s">
        <v>1</v>
      </c>
      <c r="H11" s="12" t="s">
        <v>1</v>
      </c>
      <c r="I11" s="12" t="s">
        <v>1</v>
      </c>
      <c r="J11" s="13" t="s">
        <v>1</v>
      </c>
      <c r="K11" s="13" t="s">
        <v>1</v>
      </c>
      <c r="L11" s="13" t="s">
        <v>1</v>
      </c>
      <c r="M11" s="24" t="s">
        <v>1</v>
      </c>
      <c r="N11" s="12" t="s">
        <v>1</v>
      </c>
      <c r="O11" s="12" t="s">
        <v>1</v>
      </c>
      <c r="P11" s="18" t="s">
        <v>1</v>
      </c>
      <c r="Q11" s="8" t="s">
        <v>1</v>
      </c>
    </row>
    <row r="12" ht="15.75" customHeight="1" spans="1:17">
      <c r="A12" s="3" t="s">
        <v>102</v>
      </c>
      <c r="B12" s="2" t="s">
        <v>1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2" t="s">
        <v>1</v>
      </c>
      <c r="M12" s="2" t="s">
        <v>1</v>
      </c>
      <c r="N12" s="2" t="s">
        <v>1</v>
      </c>
      <c r="O12" s="2" t="s">
        <v>1</v>
      </c>
      <c r="P12" s="2" t="s">
        <v>1</v>
      </c>
      <c r="Q12" s="2" t="s">
        <v>1</v>
      </c>
    </row>
    <row r="13" ht="15.75" customHeight="1" spans="1:17">
      <c r="A13" s="5" t="s">
        <v>82</v>
      </c>
      <c r="B13" s="4" t="s">
        <v>83</v>
      </c>
      <c r="C13" s="4" t="s">
        <v>84</v>
      </c>
      <c r="D13" s="4" t="s">
        <v>85</v>
      </c>
      <c r="E13" s="4" t="s">
        <v>86</v>
      </c>
      <c r="F13" s="4" t="s">
        <v>87</v>
      </c>
      <c r="G13" s="4" t="s">
        <v>88</v>
      </c>
      <c r="H13" s="4" t="s">
        <v>89</v>
      </c>
      <c r="I13" s="4" t="s">
        <v>90</v>
      </c>
      <c r="J13" s="4" t="s">
        <v>91</v>
      </c>
      <c r="K13" s="4" t="s">
        <v>92</v>
      </c>
      <c r="L13" s="4" t="s">
        <v>93</v>
      </c>
      <c r="M13" s="5" t="s">
        <v>94</v>
      </c>
      <c r="N13" s="5" t="s">
        <v>95</v>
      </c>
      <c r="O13" s="5" t="s">
        <v>96</v>
      </c>
      <c r="P13" s="4" t="s">
        <v>97</v>
      </c>
      <c r="Q13" s="5" t="s">
        <v>98</v>
      </c>
    </row>
    <row r="14" ht="15" customHeight="1" spans="1:17">
      <c r="A14" s="16" t="s">
        <v>66</v>
      </c>
      <c r="B14" s="11">
        <f>滚轴与赔付!B$31+滚轴与赔付!B$30</f>
        <v>1</v>
      </c>
      <c r="C14" s="11">
        <f>滚轴与赔付!C$31+滚轴与赔付!C$30</f>
        <v>4</v>
      </c>
      <c r="D14" s="11">
        <f>滚轴与赔付!D$31+滚轴与赔付!D$30</f>
        <v>4</v>
      </c>
      <c r="E14" s="11">
        <f>滚轴与赔付!E$31+滚轴与赔付!E$30</f>
        <v>4</v>
      </c>
      <c r="F14" s="11">
        <f>滚轴与赔付!F$31+滚轴与赔付!F$30</f>
        <v>4</v>
      </c>
      <c r="G14" s="11">
        <f>滚轴与赔付!$E$25-E14</f>
        <v>16</v>
      </c>
      <c r="H14" s="11">
        <f>滚轴与赔付!$F$25-F14</f>
        <v>16</v>
      </c>
      <c r="I14" s="11">
        <f>滚轴与赔付!$F$25</f>
        <v>20</v>
      </c>
      <c r="J14" s="11">
        <f>B14*C14*D14*E14*F14</f>
        <v>256</v>
      </c>
      <c r="K14" s="11">
        <f>B14*C14*D14*E14*H14</f>
        <v>1024</v>
      </c>
      <c r="L14" s="11">
        <f>B14*C14*D14*G14*I14</f>
        <v>5120</v>
      </c>
      <c r="M14" s="11">
        <f>VLOOKUP($A14,滚轴与赔付!$A$41:$D$45,4,FALSE())</f>
        <v>100</v>
      </c>
      <c r="N14" s="11">
        <f>VLOOKUP($A14,滚轴与赔付!$A$41:$D$45,3,FALSE())</f>
        <v>30</v>
      </c>
      <c r="O14" s="11">
        <f>VLOOKUP($A14,滚轴与赔付!$A$41:$D$45,2,FALSE())</f>
        <v>5</v>
      </c>
      <c r="P14" s="31">
        <f>(J14*M14+K14*N14+L14*O14)/滚轴与赔付!$H$25</f>
        <v>0.0256</v>
      </c>
      <c r="Q14" s="5" t="s">
        <v>1</v>
      </c>
    </row>
    <row r="15" ht="15" customHeight="1" spans="1:17">
      <c r="A15" s="16" t="s">
        <v>67</v>
      </c>
      <c r="B15" s="11">
        <f>滚轴与赔付!B$32+滚轴与赔付!B$30</f>
        <v>3</v>
      </c>
      <c r="C15" s="11">
        <f>滚轴与赔付!C$32+滚轴与赔付!C$30</f>
        <v>4</v>
      </c>
      <c r="D15" s="11">
        <f>滚轴与赔付!D$32+滚轴与赔付!D$30</f>
        <v>4</v>
      </c>
      <c r="E15" s="11">
        <f>滚轴与赔付!E$32+滚轴与赔付!E$30</f>
        <v>4</v>
      </c>
      <c r="F15" s="11">
        <f>滚轴与赔付!F$32+滚轴与赔付!F$30</f>
        <v>4</v>
      </c>
      <c r="G15" s="11">
        <f>滚轴与赔付!$E$25-E15</f>
        <v>16</v>
      </c>
      <c r="H15" s="11">
        <f>滚轴与赔付!$F$25-F15</f>
        <v>16</v>
      </c>
      <c r="I15" s="11">
        <f>滚轴与赔付!$F$25</f>
        <v>20</v>
      </c>
      <c r="J15" s="11">
        <f>B15*C15*D15*E15*F15</f>
        <v>768</v>
      </c>
      <c r="K15" s="11">
        <f>B15*C15*D15*E15*H15</f>
        <v>3072</v>
      </c>
      <c r="L15" s="11">
        <f>B15*C15*D15*G15*I15</f>
        <v>15360</v>
      </c>
      <c r="M15" s="11">
        <f>VLOOKUP($A15,滚轴与赔付!$A$41:$D$45,4,FALSE())</f>
        <v>100</v>
      </c>
      <c r="N15" s="11">
        <f>VLOOKUP($A15,滚轴与赔付!$A$41:$D$45,3,FALSE())</f>
        <v>25</v>
      </c>
      <c r="O15" s="11">
        <f>VLOOKUP($A15,滚轴与赔付!$A$41:$D$45,2,FALSE())</f>
        <v>5</v>
      </c>
      <c r="P15" s="31">
        <f>(J15*M15+K15*N15+L15*O15)/滚轴与赔付!$H$25</f>
        <v>0.072</v>
      </c>
      <c r="Q15" s="5" t="s">
        <v>1</v>
      </c>
    </row>
    <row r="16" ht="15" customHeight="1" spans="1:17">
      <c r="A16" s="16" t="s">
        <v>69</v>
      </c>
      <c r="B16" s="11">
        <f>滚轴与赔付!B$33+滚轴与赔付!B$30</f>
        <v>4</v>
      </c>
      <c r="C16" s="11">
        <f>滚轴与赔付!C$33+滚轴与赔付!C$30</f>
        <v>6</v>
      </c>
      <c r="D16" s="11">
        <f>滚轴与赔付!D$33+滚轴与赔付!D$30</f>
        <v>5</v>
      </c>
      <c r="E16" s="11">
        <f>滚轴与赔付!E$33+滚轴与赔付!E$30</f>
        <v>5</v>
      </c>
      <c r="F16" s="11">
        <f>滚轴与赔付!F$33+滚轴与赔付!F$30</f>
        <v>5</v>
      </c>
      <c r="G16" s="11">
        <f>滚轴与赔付!$E$25-E16</f>
        <v>15</v>
      </c>
      <c r="H16" s="11">
        <f>滚轴与赔付!$F$25-F16</f>
        <v>15</v>
      </c>
      <c r="I16" s="11">
        <f>滚轴与赔付!$F$25</f>
        <v>20</v>
      </c>
      <c r="J16" s="11">
        <f>B16*C16*D16*E16*F16</f>
        <v>3000</v>
      </c>
      <c r="K16" s="11">
        <f>B16*C16*D16*E16*H16</f>
        <v>9000</v>
      </c>
      <c r="L16" s="11">
        <f>B16*C16*D16*G16*I16</f>
        <v>36000</v>
      </c>
      <c r="M16" s="11">
        <f>VLOOKUP($A16,滚轴与赔付!$A$41:$D$45,4,FALSE())</f>
        <v>75</v>
      </c>
      <c r="N16" s="11">
        <f>VLOOKUP($A16,滚轴与赔付!$A$41:$D$45,3,FALSE())</f>
        <v>20</v>
      </c>
      <c r="O16" s="11">
        <f>VLOOKUP($A16,滚轴与赔付!$A$41:$D$45,2,FALSE())</f>
        <v>5</v>
      </c>
      <c r="P16" s="31">
        <f>(J16*M16+K16*N16+L16*O16)/滚轴与赔付!$H$25</f>
        <v>0.1828125</v>
      </c>
      <c r="Q16" s="5" t="s">
        <v>1</v>
      </c>
    </row>
    <row r="17" ht="15" customHeight="1" spans="1:17">
      <c r="A17" s="16">
        <v>10</v>
      </c>
      <c r="B17" s="11">
        <f>滚轴与赔付!B$34+滚轴与赔付!B$30</f>
        <v>5</v>
      </c>
      <c r="C17" s="11">
        <f>滚轴与赔付!C$34+滚轴与赔付!C$30</f>
        <v>4</v>
      </c>
      <c r="D17" s="11">
        <f>滚轴与赔付!D$34+滚轴与赔付!D$30</f>
        <v>5</v>
      </c>
      <c r="E17" s="11">
        <f>滚轴与赔付!E$34+滚轴与赔付!E$30</f>
        <v>5</v>
      </c>
      <c r="F17" s="11">
        <f>滚轴与赔付!F$34+滚轴与赔付!F$30</f>
        <v>5</v>
      </c>
      <c r="G17" s="11">
        <f>滚轴与赔付!$E$25-E17</f>
        <v>15</v>
      </c>
      <c r="H17" s="11">
        <f>滚轴与赔付!$F$25-F17</f>
        <v>15</v>
      </c>
      <c r="I17" s="11">
        <f>滚轴与赔付!$F$25</f>
        <v>20</v>
      </c>
      <c r="J17" s="11">
        <f>B17*C17*D17*E17*F17</f>
        <v>2500</v>
      </c>
      <c r="K17" s="11">
        <f>B17*C17*D17*E17*H17</f>
        <v>7500</v>
      </c>
      <c r="L17" s="11">
        <f>B17*C17*D17*G17*I17</f>
        <v>30000</v>
      </c>
      <c r="M17" s="11">
        <f>VLOOKUP($A17,滚轴与赔付!$A$41:$D$45,4,FALSE())</f>
        <v>75</v>
      </c>
      <c r="N17" s="11">
        <f>VLOOKUP($A17,滚轴与赔付!$A$41:$D$45,3,FALSE())</f>
        <v>20</v>
      </c>
      <c r="O17" s="11">
        <f>VLOOKUP($A17,滚轴与赔付!$A$41:$D$45,2,FALSE())</f>
        <v>5</v>
      </c>
      <c r="P17" s="31">
        <f>(J17*M17+K17*N17+L17*O17)/滚轴与赔付!$H$25</f>
        <v>0.15234375</v>
      </c>
      <c r="Q17" s="5" t="s">
        <v>1</v>
      </c>
    </row>
    <row r="18" ht="15" customHeight="1" spans="1:17">
      <c r="A18" s="16">
        <v>9</v>
      </c>
      <c r="B18" s="11">
        <f>滚轴与赔付!B$35+滚轴与赔付!B$30</f>
        <v>6</v>
      </c>
      <c r="C18" s="11">
        <f>滚轴与赔付!C$35+滚轴与赔付!C$30</f>
        <v>5</v>
      </c>
      <c r="D18" s="11">
        <f>滚轴与赔付!D$35+滚轴与赔付!D$30</f>
        <v>5</v>
      </c>
      <c r="E18" s="11">
        <f>滚轴与赔付!E$35+滚轴与赔付!E$30</f>
        <v>5</v>
      </c>
      <c r="F18" s="11">
        <f>滚轴与赔付!F$35+滚轴与赔付!F$30</f>
        <v>5</v>
      </c>
      <c r="G18" s="11">
        <f>滚轴与赔付!$E$25-E18</f>
        <v>15</v>
      </c>
      <c r="H18" s="11">
        <f>滚轴与赔付!$F$25-F18</f>
        <v>15</v>
      </c>
      <c r="I18" s="11">
        <f>滚轴与赔付!$F$25</f>
        <v>20</v>
      </c>
      <c r="J18" s="11">
        <f>B18*C18*D18*E18*F18</f>
        <v>3750</v>
      </c>
      <c r="K18" s="11">
        <f>B18*C18*D18*E18*H18</f>
        <v>11250</v>
      </c>
      <c r="L18" s="11">
        <f>B18*C18*D18*G18*I18</f>
        <v>45000</v>
      </c>
      <c r="M18" s="11">
        <f>VLOOKUP($A18,滚轴与赔付!$A$41:$D$45,4,FALSE())</f>
        <v>50</v>
      </c>
      <c r="N18" s="11">
        <f>VLOOKUP($A18,滚轴与赔付!$A$41:$D$45,3,FALSE())</f>
        <v>10</v>
      </c>
      <c r="O18" s="11">
        <f>VLOOKUP($A18,滚轴与赔付!$A$41:$D$45,2,FALSE())</f>
        <v>5</v>
      </c>
      <c r="P18" s="31">
        <f>(J18*M18+K18*N18+L18*O18)/滚轴与赔付!$H$25</f>
        <v>0.1640625</v>
      </c>
      <c r="Q18" s="5" t="s">
        <v>1</v>
      </c>
    </row>
    <row r="19" ht="15.75" customHeight="1" spans="1:17">
      <c r="A19" s="12" t="s">
        <v>99</v>
      </c>
      <c r="B19" s="12" t="s">
        <v>1</v>
      </c>
      <c r="C19" s="12" t="s">
        <v>1</v>
      </c>
      <c r="D19" s="12" t="s">
        <v>1</v>
      </c>
      <c r="E19" s="12" t="s">
        <v>1</v>
      </c>
      <c r="F19" s="12" t="s">
        <v>1</v>
      </c>
      <c r="G19" s="12" t="s">
        <v>1</v>
      </c>
      <c r="H19" s="12" t="s">
        <v>1</v>
      </c>
      <c r="I19" s="12" t="s">
        <v>1</v>
      </c>
      <c r="J19" s="13">
        <f>SUM(J14:J18)</f>
        <v>10274</v>
      </c>
      <c r="K19" s="13">
        <f>SUM(K14:K18)</f>
        <v>31846</v>
      </c>
      <c r="L19" s="13">
        <f>SUM(L14:L18)</f>
        <v>131480</v>
      </c>
      <c r="M19" s="24" t="s">
        <v>100</v>
      </c>
      <c r="N19" s="12" t="s">
        <v>1</v>
      </c>
      <c r="O19" s="12" t="s">
        <v>1</v>
      </c>
      <c r="P19" s="32">
        <f>SUM(P14:P18)</f>
        <v>0.59681875</v>
      </c>
      <c r="Q19" s="8" t="s">
        <v>103</v>
      </c>
    </row>
    <row r="20" ht="18.5" spans="1:17">
      <c r="A20" s="12" t="s">
        <v>1</v>
      </c>
      <c r="B20" s="12" t="s">
        <v>1</v>
      </c>
      <c r="C20" s="12" t="s">
        <v>1</v>
      </c>
      <c r="D20" s="12" t="s">
        <v>1</v>
      </c>
      <c r="E20" s="12" t="s">
        <v>1</v>
      </c>
      <c r="F20" s="12" t="s">
        <v>1</v>
      </c>
      <c r="G20" s="12" t="s">
        <v>1</v>
      </c>
      <c r="H20" s="12" t="s">
        <v>1</v>
      </c>
      <c r="I20" s="12" t="s">
        <v>1</v>
      </c>
      <c r="J20" s="13" t="s">
        <v>1</v>
      </c>
      <c r="K20" s="13" t="s">
        <v>1</v>
      </c>
      <c r="L20" s="13" t="s">
        <v>1</v>
      </c>
      <c r="M20" s="24" t="s">
        <v>1</v>
      </c>
      <c r="N20" s="12" t="s">
        <v>1</v>
      </c>
      <c r="O20" s="12" t="s">
        <v>1</v>
      </c>
      <c r="P20" s="18" t="s">
        <v>1</v>
      </c>
      <c r="Q20" s="8" t="s">
        <v>1</v>
      </c>
    </row>
    <row r="21" ht="15.75" customHeight="1" spans="1:17">
      <c r="A21" s="3" t="s">
        <v>104</v>
      </c>
      <c r="B21" s="2" t="s">
        <v>1</v>
      </c>
      <c r="C21" s="2" t="s">
        <v>1</v>
      </c>
      <c r="D21" s="2" t="s">
        <v>1</v>
      </c>
      <c r="E21" s="2" t="s">
        <v>1</v>
      </c>
      <c r="F21" s="2" t="s">
        <v>1</v>
      </c>
      <c r="G21" s="2" t="s">
        <v>1</v>
      </c>
      <c r="H21" s="2" t="s">
        <v>1</v>
      </c>
      <c r="I21" s="2" t="s">
        <v>1</v>
      </c>
      <c r="J21" s="2" t="s">
        <v>1</v>
      </c>
      <c r="K21" s="2" t="s">
        <v>1</v>
      </c>
      <c r="L21" s="2" t="s">
        <v>1</v>
      </c>
      <c r="M21" s="2" t="s">
        <v>1</v>
      </c>
      <c r="N21" s="2" t="s">
        <v>1</v>
      </c>
      <c r="O21" s="2" t="s">
        <v>1</v>
      </c>
      <c r="P21" s="2" t="s">
        <v>1</v>
      </c>
      <c r="Q21" s="2" t="s">
        <v>1</v>
      </c>
    </row>
    <row r="22" ht="15.75" customHeight="1" spans="1:17">
      <c r="A22" s="5" t="s">
        <v>82</v>
      </c>
      <c r="B22" s="4" t="s">
        <v>83</v>
      </c>
      <c r="C22" s="4" t="s">
        <v>84</v>
      </c>
      <c r="D22" s="4" t="s">
        <v>85</v>
      </c>
      <c r="E22" s="4" t="s">
        <v>86</v>
      </c>
      <c r="F22" s="4" t="s">
        <v>87</v>
      </c>
      <c r="G22" s="4" t="s">
        <v>88</v>
      </c>
      <c r="H22" s="4" t="s">
        <v>89</v>
      </c>
      <c r="I22" s="4" t="s">
        <v>90</v>
      </c>
      <c r="J22" s="4" t="s">
        <v>91</v>
      </c>
      <c r="K22" s="4" t="s">
        <v>92</v>
      </c>
      <c r="L22" s="4" t="s">
        <v>93</v>
      </c>
      <c r="M22" s="5" t="s">
        <v>94</v>
      </c>
      <c r="N22" s="5" t="s">
        <v>95</v>
      </c>
      <c r="O22" s="5" t="s">
        <v>96</v>
      </c>
      <c r="P22" s="4" t="s">
        <v>97</v>
      </c>
      <c r="Q22" s="5" t="s">
        <v>98</v>
      </c>
    </row>
    <row r="23" ht="15" customHeight="1" spans="1:17">
      <c r="A23" s="16" t="s">
        <v>68</v>
      </c>
      <c r="B23" s="11">
        <f>滚轴与赔付!B$30</f>
        <v>0</v>
      </c>
      <c r="C23" s="11">
        <f>滚轴与赔付!C$30</f>
        <v>1</v>
      </c>
      <c r="D23" s="11">
        <f>滚轴与赔付!D$30</f>
        <v>1</v>
      </c>
      <c r="E23" s="11">
        <f>滚轴与赔付!E$30</f>
        <v>1</v>
      </c>
      <c r="F23" s="11">
        <f>滚轴与赔付!F$30</f>
        <v>1</v>
      </c>
      <c r="G23" s="11">
        <f>滚轴与赔付!$E$25-E23</f>
        <v>19</v>
      </c>
      <c r="H23" s="11">
        <f>滚轴与赔付!$F$25-F23</f>
        <v>19</v>
      </c>
      <c r="I23" s="11">
        <f>滚轴与赔付!$F$25</f>
        <v>20</v>
      </c>
      <c r="J23" s="11">
        <f>B23*C23*D23*E23*F23</f>
        <v>0</v>
      </c>
      <c r="K23" s="11">
        <f>B23*C23*D23*E23*H23</f>
        <v>0</v>
      </c>
      <c r="L23" s="11">
        <f>B23*C23*D23*G23*I23</f>
        <v>0</v>
      </c>
      <c r="M23" s="11">
        <f>VLOOKUP($A23,滚轴与赔付!$A$41:$D$46,4,FALSE())</f>
        <v>100</v>
      </c>
      <c r="N23" s="11">
        <f>VLOOKUP($A23,滚轴与赔付!$A$41:$D$46,3,FALSE())</f>
        <v>30</v>
      </c>
      <c r="O23" s="11">
        <f>VLOOKUP($A23,滚轴与赔付!$A$41:$D$46,2,FALSE())</f>
        <v>5</v>
      </c>
      <c r="P23" s="31">
        <f>(J23*M23+K23*N23+L23*O23)/滚轴与赔付!$H$25</f>
        <v>0</v>
      </c>
      <c r="Q23" s="5" t="s">
        <v>1</v>
      </c>
    </row>
    <row r="24" ht="15.75" customHeight="1" spans="1:17">
      <c r="A24" s="12" t="s">
        <v>99</v>
      </c>
      <c r="B24" s="12" t="s">
        <v>1</v>
      </c>
      <c r="C24" s="12" t="s">
        <v>1</v>
      </c>
      <c r="D24" s="12" t="s">
        <v>1</v>
      </c>
      <c r="E24" s="12" t="s">
        <v>1</v>
      </c>
      <c r="F24" s="12" t="s">
        <v>1</v>
      </c>
      <c r="G24" s="12" t="s">
        <v>1</v>
      </c>
      <c r="H24" s="12" t="s">
        <v>1</v>
      </c>
      <c r="I24" s="12" t="s">
        <v>1</v>
      </c>
      <c r="J24" s="13">
        <f>SUM(J23)</f>
        <v>0</v>
      </c>
      <c r="K24" s="13">
        <f>SUM(K23)</f>
        <v>0</v>
      </c>
      <c r="L24" s="13">
        <f>SUM(L23)</f>
        <v>0</v>
      </c>
      <c r="M24" s="24" t="s">
        <v>100</v>
      </c>
      <c r="N24" s="12" t="s">
        <v>1</v>
      </c>
      <c r="O24" s="12" t="s">
        <v>1</v>
      </c>
      <c r="P24" s="32">
        <f>SUM(P23)</f>
        <v>0</v>
      </c>
      <c r="Q24" s="25" t="s">
        <v>105</v>
      </c>
    </row>
    <row r="25" ht="18.5" spans="1:17">
      <c r="A25" s="12" t="s">
        <v>1</v>
      </c>
      <c r="B25" s="12" t="s">
        <v>1</v>
      </c>
      <c r="C25" s="12" t="s">
        <v>1</v>
      </c>
      <c r="D25" s="12" t="s">
        <v>1</v>
      </c>
      <c r="E25" s="12" t="s">
        <v>1</v>
      </c>
      <c r="F25" s="12" t="s">
        <v>1</v>
      </c>
      <c r="G25" s="12" t="s">
        <v>1</v>
      </c>
      <c r="H25" s="12" t="s">
        <v>1</v>
      </c>
      <c r="I25" s="12" t="s">
        <v>1</v>
      </c>
      <c r="J25" s="13" t="s">
        <v>1</v>
      </c>
      <c r="K25" s="13" t="s">
        <v>1</v>
      </c>
      <c r="L25" s="13" t="s">
        <v>1</v>
      </c>
      <c r="M25" s="24" t="s">
        <v>1</v>
      </c>
      <c r="N25" s="12" t="s">
        <v>1</v>
      </c>
      <c r="O25" s="12" t="s">
        <v>1</v>
      </c>
      <c r="P25" s="18" t="s">
        <v>1</v>
      </c>
      <c r="Q25" s="25" t="s">
        <v>1</v>
      </c>
    </row>
    <row r="26" ht="15" customHeight="1" spans="1:17">
      <c r="A26" s="3" t="s">
        <v>106</v>
      </c>
      <c r="B26" s="2" t="s">
        <v>1</v>
      </c>
      <c r="C26" s="2" t="s">
        <v>1</v>
      </c>
      <c r="D26" s="2" t="s">
        <v>1</v>
      </c>
      <c r="E26" s="2" t="s">
        <v>1</v>
      </c>
      <c r="F26" s="12" t="s">
        <v>1</v>
      </c>
      <c r="G26" s="12" t="s">
        <v>1</v>
      </c>
      <c r="H26" s="12" t="s">
        <v>1</v>
      </c>
      <c r="I26" s="12" t="s">
        <v>1</v>
      </c>
      <c r="J26" s="13" t="s">
        <v>1</v>
      </c>
      <c r="K26" s="13" t="s">
        <v>1</v>
      </c>
      <c r="L26" s="13" t="s">
        <v>1</v>
      </c>
      <c r="M26" s="24" t="s">
        <v>1</v>
      </c>
      <c r="N26" s="12" t="s">
        <v>1</v>
      </c>
      <c r="O26" s="12" t="s">
        <v>1</v>
      </c>
      <c r="P26" s="18" t="s">
        <v>1</v>
      </c>
      <c r="Q26" s="25" t="s">
        <v>1</v>
      </c>
    </row>
    <row r="27" ht="15.75" customHeight="1" spans="1:17">
      <c r="A27" t="s">
        <v>107</v>
      </c>
      <c r="B27" s="2" t="s">
        <v>1</v>
      </c>
      <c r="C27" s="2" t="s">
        <v>1</v>
      </c>
      <c r="D27" s="32">
        <f>P10</f>
        <v>0.3140109375</v>
      </c>
      <c r="E27" s="2" t="s">
        <v>1</v>
      </c>
      <c r="F27" s="12" t="s">
        <v>1</v>
      </c>
      <c r="G27" s="12" t="s">
        <v>1</v>
      </c>
      <c r="H27" s="12" t="s">
        <v>1</v>
      </c>
      <c r="I27" s="12" t="s">
        <v>1</v>
      </c>
      <c r="J27" s="13" t="s">
        <v>1</v>
      </c>
      <c r="K27" s="13" t="s">
        <v>1</v>
      </c>
      <c r="L27" s="13" t="s">
        <v>1</v>
      </c>
      <c r="M27" s="24" t="s">
        <v>1</v>
      </c>
      <c r="N27" s="12" t="s">
        <v>1</v>
      </c>
      <c r="O27" s="12" t="s">
        <v>1</v>
      </c>
      <c r="P27" s="18" t="s">
        <v>1</v>
      </c>
      <c r="Q27" s="25" t="s">
        <v>1</v>
      </c>
    </row>
    <row r="28" ht="15.75" customHeight="1" spans="1:17">
      <c r="A28" s="16" t="s">
        <v>108</v>
      </c>
      <c r="B28" s="2" t="s">
        <v>1</v>
      </c>
      <c r="C28" s="2" t="s">
        <v>1</v>
      </c>
      <c r="D28" s="32">
        <f>P19-P10</f>
        <v>0.2828078125</v>
      </c>
      <c r="E28" s="2" t="s">
        <v>1</v>
      </c>
      <c r="F28" s="12" t="s">
        <v>1</v>
      </c>
      <c r="G28" s="12" t="s">
        <v>1</v>
      </c>
      <c r="H28" s="12" t="s">
        <v>1</v>
      </c>
      <c r="I28" s="12" t="s">
        <v>1</v>
      </c>
      <c r="J28" s="13" t="s">
        <v>1</v>
      </c>
      <c r="K28" s="13" t="s">
        <v>1</v>
      </c>
      <c r="L28" s="13" t="s">
        <v>1</v>
      </c>
      <c r="M28" s="24" t="s">
        <v>1</v>
      </c>
      <c r="N28" s="12" t="s">
        <v>1</v>
      </c>
      <c r="O28" s="12" t="s">
        <v>1</v>
      </c>
      <c r="P28" s="18" t="s">
        <v>1</v>
      </c>
      <c r="Q28" s="25" t="s">
        <v>1</v>
      </c>
    </row>
    <row r="29" ht="15.75" customHeight="1" spans="1:17">
      <c r="A29" s="16" t="s">
        <v>109</v>
      </c>
      <c r="B29" s="2" t="s">
        <v>1</v>
      </c>
      <c r="C29" s="2" t="s">
        <v>1</v>
      </c>
      <c r="D29" s="32">
        <f>P24</f>
        <v>0</v>
      </c>
      <c r="E29" s="2" t="s">
        <v>1</v>
      </c>
      <c r="F29" s="12" t="s">
        <v>1</v>
      </c>
      <c r="G29" s="12" t="s">
        <v>1</v>
      </c>
      <c r="H29" s="12" t="s">
        <v>1</v>
      </c>
      <c r="I29" s="12" t="s">
        <v>1</v>
      </c>
      <c r="J29" s="13" t="s">
        <v>1</v>
      </c>
      <c r="K29" s="13" t="s">
        <v>1</v>
      </c>
      <c r="L29" s="13" t="s">
        <v>1</v>
      </c>
      <c r="M29" s="24" t="s">
        <v>1</v>
      </c>
      <c r="N29" s="12" t="s">
        <v>1</v>
      </c>
      <c r="O29" s="12" t="s">
        <v>1</v>
      </c>
      <c r="P29" s="18" t="s">
        <v>1</v>
      </c>
      <c r="Q29" s="25" t="s">
        <v>1</v>
      </c>
    </row>
    <row r="30" ht="15.75" customHeight="1" spans="1:17">
      <c r="A30" s="22" t="s">
        <v>110</v>
      </c>
      <c r="B30" s="2" t="s">
        <v>1</v>
      </c>
      <c r="C30" s="2" t="s">
        <v>1</v>
      </c>
      <c r="D30" s="32">
        <f>D27+D28+D29</f>
        <v>0.59681875</v>
      </c>
      <c r="E30" s="2" t="s">
        <v>1</v>
      </c>
      <c r="F30" s="12" t="s">
        <v>1</v>
      </c>
      <c r="G30" s="12" t="s">
        <v>1</v>
      </c>
      <c r="H30" s="12" t="s">
        <v>1</v>
      </c>
      <c r="I30" s="12" t="s">
        <v>1</v>
      </c>
      <c r="J30" s="13" t="s">
        <v>1</v>
      </c>
      <c r="K30" s="13" t="s">
        <v>1</v>
      </c>
      <c r="L30" s="13" t="s">
        <v>1</v>
      </c>
      <c r="M30" s="24" t="s">
        <v>1</v>
      </c>
      <c r="N30" s="12" t="s">
        <v>1</v>
      </c>
      <c r="O30" s="12" t="s">
        <v>1</v>
      </c>
      <c r="P30" s="18" t="s">
        <v>1</v>
      </c>
      <c r="Q30" s="25" t="s">
        <v>1</v>
      </c>
    </row>
    <row r="31" ht="15.75" customHeight="1" spans="1:17">
      <c r="A31" t="s">
        <v>111</v>
      </c>
      <c r="B31" s="2" t="s">
        <v>1</v>
      </c>
      <c r="C31" s="2" t="s">
        <v>1</v>
      </c>
      <c r="D31" s="31">
        <f>滚轴与赔付!$B$47*(10*0.15^3*0.85^2+5*0.15^4*0.85+0.15^5)</f>
        <v>0.05322375</v>
      </c>
      <c r="E31" s="2" t="s">
        <v>1</v>
      </c>
      <c r="F31" s="12" t="s">
        <v>1</v>
      </c>
      <c r="G31" s="12" t="s">
        <v>1</v>
      </c>
      <c r="H31" s="12" t="s">
        <v>1</v>
      </c>
      <c r="I31" s="12" t="s">
        <v>1</v>
      </c>
      <c r="J31" s="13" t="s">
        <v>1</v>
      </c>
      <c r="K31" s="13" t="s">
        <v>1</v>
      </c>
      <c r="L31" s="13" t="s">
        <v>1</v>
      </c>
      <c r="M31" s="24" t="s">
        <v>1</v>
      </c>
      <c r="N31" s="12" t="s">
        <v>1</v>
      </c>
      <c r="O31" s="12" t="s">
        <v>1</v>
      </c>
      <c r="P31" s="18" t="s">
        <v>1</v>
      </c>
      <c r="Q31" s="25" t="s">
        <v>1</v>
      </c>
    </row>
    <row r="32" ht="15.75" customHeight="1" spans="1:17">
      <c r="A32" s="22" t="s">
        <v>112</v>
      </c>
      <c r="B32" s="2" t="s">
        <v>1</v>
      </c>
      <c r="C32" s="2" t="s">
        <v>1</v>
      </c>
      <c r="D32" s="32">
        <f>D30+D31</f>
        <v>0.6500425</v>
      </c>
      <c r="E32" s="8" t="s">
        <v>113</v>
      </c>
      <c r="F32" s="12" t="s">
        <v>1</v>
      </c>
      <c r="G32" s="12" t="s">
        <v>1</v>
      </c>
      <c r="H32" s="12" t="s">
        <v>1</v>
      </c>
      <c r="I32" s="12" t="s">
        <v>1</v>
      </c>
      <c r="J32" s="13" t="s">
        <v>1</v>
      </c>
      <c r="K32" s="13" t="s">
        <v>1</v>
      </c>
      <c r="L32" s="13" t="s">
        <v>1</v>
      </c>
      <c r="M32" s="24" t="s">
        <v>1</v>
      </c>
      <c r="N32" s="12" t="s">
        <v>1</v>
      </c>
      <c r="O32" s="12" t="s">
        <v>1</v>
      </c>
      <c r="P32" s="18" t="s">
        <v>1</v>
      </c>
      <c r="Q32" s="25" t="s">
        <v>1</v>
      </c>
    </row>
    <row r="33" ht="18.5" spans="1:17">
      <c r="A33" s="22" t="s">
        <v>1</v>
      </c>
      <c r="B33" s="2" t="s">
        <v>1</v>
      </c>
      <c r="C33" s="2" t="s">
        <v>1</v>
      </c>
      <c r="D33" s="18" t="s">
        <v>1</v>
      </c>
      <c r="E33" s="8" t="s">
        <v>1</v>
      </c>
      <c r="F33" s="12" t="s">
        <v>1</v>
      </c>
      <c r="G33" s="12" t="s">
        <v>1</v>
      </c>
      <c r="H33" s="12" t="s">
        <v>1</v>
      </c>
      <c r="I33" s="12" t="s">
        <v>1</v>
      </c>
      <c r="J33" s="13" t="s">
        <v>1</v>
      </c>
      <c r="K33" s="13" t="s">
        <v>1</v>
      </c>
      <c r="L33" s="13" t="s">
        <v>1</v>
      </c>
      <c r="M33" s="24" t="s">
        <v>1</v>
      </c>
      <c r="N33" s="12" t="s">
        <v>1</v>
      </c>
      <c r="O33" s="12" t="s">
        <v>1</v>
      </c>
      <c r="P33" s="18" t="s">
        <v>1</v>
      </c>
      <c r="Q33" s="25" t="s">
        <v>1</v>
      </c>
    </row>
    <row r="34" ht="15" customHeight="1" spans="1:17">
      <c r="A34" s="3" t="s">
        <v>114</v>
      </c>
      <c r="B34" s="2" t="s">
        <v>1</v>
      </c>
      <c r="C34" s="2" t="s">
        <v>1</v>
      </c>
      <c r="D34" s="2" t="s">
        <v>1</v>
      </c>
      <c r="E34" s="2" t="s">
        <v>1</v>
      </c>
      <c r="F34" s="12" t="s">
        <v>1</v>
      </c>
      <c r="G34" s="12" t="s">
        <v>1</v>
      </c>
      <c r="H34" s="12" t="s">
        <v>1</v>
      </c>
      <c r="I34" s="12" t="s">
        <v>1</v>
      </c>
      <c r="J34" s="13" t="s">
        <v>1</v>
      </c>
      <c r="K34" s="13" t="s">
        <v>1</v>
      </c>
      <c r="L34" s="13" t="s">
        <v>1</v>
      </c>
      <c r="M34" s="24" t="s">
        <v>1</v>
      </c>
      <c r="N34" s="12" t="s">
        <v>1</v>
      </c>
      <c r="O34" s="12" t="s">
        <v>1</v>
      </c>
      <c r="P34" s="18" t="s">
        <v>1</v>
      </c>
      <c r="Q34" s="25" t="s">
        <v>1</v>
      </c>
    </row>
    <row r="35" ht="15.75" customHeight="1" spans="1:17">
      <c r="A35" t="s">
        <v>115</v>
      </c>
      <c r="B35" s="2" t="s">
        <v>1</v>
      </c>
      <c r="C35" s="2" t="s">
        <v>1</v>
      </c>
      <c r="D35" s="20">
        <v>0.3</v>
      </c>
      <c r="E35" s="2" t="s">
        <v>1</v>
      </c>
      <c r="F35" s="12" t="s">
        <v>1</v>
      </c>
      <c r="G35" s="12" t="s">
        <v>1</v>
      </c>
      <c r="H35" s="12" t="s">
        <v>1</v>
      </c>
      <c r="I35" s="12" t="s">
        <v>1</v>
      </c>
      <c r="J35" s="13" t="s">
        <v>1</v>
      </c>
      <c r="K35" s="13" t="s">
        <v>1</v>
      </c>
      <c r="L35" s="13" t="s">
        <v>1</v>
      </c>
      <c r="M35" s="24" t="s">
        <v>1</v>
      </c>
      <c r="N35" s="12" t="s">
        <v>1</v>
      </c>
      <c r="O35" s="12" t="s">
        <v>1</v>
      </c>
      <c r="P35" s="18" t="s">
        <v>1</v>
      </c>
      <c r="Q35" s="25" t="s">
        <v>1</v>
      </c>
    </row>
    <row r="36" ht="15.75" customHeight="1" spans="1:17">
      <c r="A36" s="16" t="s">
        <v>116</v>
      </c>
      <c r="B36" s="2" t="s">
        <v>1</v>
      </c>
      <c r="C36" s="2" t="s">
        <v>1</v>
      </c>
      <c r="D36" s="20">
        <v>1.11</v>
      </c>
      <c r="E36" s="2" t="s">
        <v>1</v>
      </c>
      <c r="F36" s="12" t="s">
        <v>1</v>
      </c>
      <c r="G36" s="12" t="s">
        <v>1</v>
      </c>
      <c r="H36" s="12" t="s">
        <v>1</v>
      </c>
      <c r="I36" s="12" t="s">
        <v>1</v>
      </c>
      <c r="J36" s="13" t="s">
        <v>1</v>
      </c>
      <c r="K36" s="13" t="s">
        <v>1</v>
      </c>
      <c r="L36" s="13" t="s">
        <v>1</v>
      </c>
      <c r="M36" s="24" t="s">
        <v>1</v>
      </c>
      <c r="N36" s="12" t="s">
        <v>1</v>
      </c>
      <c r="O36" s="12" t="s">
        <v>1</v>
      </c>
      <c r="P36" s="18" t="s">
        <v>1</v>
      </c>
      <c r="Q36" s="25" t="s">
        <v>1</v>
      </c>
    </row>
    <row r="37" ht="15.75" customHeight="1" spans="1:17">
      <c r="A37" s="16" t="s">
        <v>117</v>
      </c>
      <c r="B37" s="2" t="s">
        <v>1</v>
      </c>
      <c r="C37" s="2" t="s">
        <v>1</v>
      </c>
      <c r="D37" s="20">
        <v>0.0097</v>
      </c>
      <c r="E37" s="2" t="s">
        <v>1</v>
      </c>
      <c r="F37" s="12" t="s">
        <v>1</v>
      </c>
      <c r="G37" s="12" t="s">
        <v>1</v>
      </c>
      <c r="H37" s="12" t="s">
        <v>1</v>
      </c>
      <c r="I37" s="12" t="s">
        <v>1</v>
      </c>
      <c r="J37" s="13" t="s">
        <v>1</v>
      </c>
      <c r="K37" s="13" t="s">
        <v>1</v>
      </c>
      <c r="L37" s="13" t="s">
        <v>1</v>
      </c>
      <c r="M37" s="24" t="s">
        <v>1</v>
      </c>
      <c r="N37" s="12" t="s">
        <v>1</v>
      </c>
      <c r="O37" s="12" t="s">
        <v>1</v>
      </c>
      <c r="P37" s="18" t="s">
        <v>1</v>
      </c>
      <c r="Q37" s="25" t="s">
        <v>1</v>
      </c>
    </row>
    <row r="38" ht="15.75" customHeight="1" spans="1:17">
      <c r="A38" t="s">
        <v>118</v>
      </c>
      <c r="B38" s="2" t="s">
        <v>1</v>
      </c>
      <c r="C38" s="2" t="s">
        <v>1</v>
      </c>
      <c r="D38" s="32">
        <f>D35+D36+D37</f>
        <v>1.4197</v>
      </c>
      <c r="E38" s="2" t="s">
        <v>1</v>
      </c>
      <c r="F38" s="12" t="s">
        <v>1</v>
      </c>
      <c r="G38" s="12" t="s">
        <v>1</v>
      </c>
      <c r="H38" s="12" t="s">
        <v>1</v>
      </c>
      <c r="I38" s="12" t="s">
        <v>1</v>
      </c>
      <c r="J38" s="13" t="s">
        <v>1</v>
      </c>
      <c r="K38" s="13" t="s">
        <v>1</v>
      </c>
      <c r="L38" s="13" t="s">
        <v>1</v>
      </c>
      <c r="M38" s="24" t="s">
        <v>1</v>
      </c>
      <c r="N38" s="12" t="s">
        <v>1</v>
      </c>
      <c r="O38" s="12" t="s">
        <v>1</v>
      </c>
      <c r="P38" s="18" t="s">
        <v>1</v>
      </c>
      <c r="Q38" s="25" t="s">
        <v>1</v>
      </c>
    </row>
    <row r="39" ht="15.75" customHeight="1" spans="1:17">
      <c r="A39" s="8" t="s">
        <v>119</v>
      </c>
      <c r="B39" s="2" t="s">
        <v>1</v>
      </c>
      <c r="C39" s="2" t="s">
        <v>1</v>
      </c>
      <c r="D39" s="18" t="s">
        <v>1</v>
      </c>
      <c r="E39" s="2" t="s">
        <v>1</v>
      </c>
      <c r="F39" s="12" t="s">
        <v>1</v>
      </c>
      <c r="G39" s="12" t="s">
        <v>1</v>
      </c>
      <c r="H39" s="12" t="s">
        <v>1</v>
      </c>
      <c r="I39" s="12" t="s">
        <v>1</v>
      </c>
      <c r="J39" s="13" t="s">
        <v>1</v>
      </c>
      <c r="K39" s="13" t="s">
        <v>1</v>
      </c>
      <c r="L39" s="13" t="s">
        <v>1</v>
      </c>
      <c r="M39" s="24" t="s">
        <v>1</v>
      </c>
      <c r="N39" s="12" t="s">
        <v>1</v>
      </c>
      <c r="O39" s="12" t="s">
        <v>1</v>
      </c>
      <c r="P39" s="18" t="s">
        <v>1</v>
      </c>
      <c r="Q39" s="25" t="s">
        <v>1</v>
      </c>
    </row>
    <row r="40" ht="15" customHeight="1" spans="1:17">
      <c r="A40" s="8" t="s">
        <v>120</v>
      </c>
      <c r="B40" s="2" t="s">
        <v>1</v>
      </c>
      <c r="C40" s="2" t="s">
        <v>1</v>
      </c>
      <c r="D40" s="18" t="s">
        <v>1</v>
      </c>
      <c r="E40" s="2" t="s">
        <v>1</v>
      </c>
      <c r="F40" s="12" t="s">
        <v>1</v>
      </c>
      <c r="G40" s="12" t="s">
        <v>1</v>
      </c>
      <c r="H40" s="12" t="s">
        <v>1</v>
      </c>
      <c r="I40" s="12" t="s">
        <v>1</v>
      </c>
      <c r="J40" s="13" t="s">
        <v>1</v>
      </c>
      <c r="K40" s="13" t="s">
        <v>1</v>
      </c>
      <c r="L40" s="13" t="s">
        <v>1</v>
      </c>
      <c r="M40" s="24" t="s">
        <v>1</v>
      </c>
      <c r="N40" s="12" t="s">
        <v>1</v>
      </c>
      <c r="O40" s="12" t="s">
        <v>1</v>
      </c>
      <c r="P40" s="18" t="s">
        <v>1</v>
      </c>
      <c r="Q40" s="25" t="s">
        <v>1</v>
      </c>
    </row>
  </sheetData>
  <pageMargins left="0.7" right="0.7" top="0.75" bottom="0.75" header="0.3" footer="0.3"/>
  <pageSetup paperSize="1" orientation="portrait"/>
  <headerFooter/>
  <ignoredErrors>
    <ignoredError sqref="A1:V60" evalError="1" twoDigitTextYear="1" numberStoredAsText="1" formula="1" formulaRange="1" unlockedFormula="1" emptyCellReference="1" listDataValidation="1" calculatedColumn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"/>
  <sheetViews>
    <sheetView workbookViewId="0">
      <selection activeCell="A1" sqref="A1"/>
    </sheetView>
  </sheetViews>
  <sheetFormatPr defaultColWidth="9" defaultRowHeight="14"/>
  <cols>
    <col min="1" max="1" width="10.8545454545455" customWidth="1"/>
    <col min="2" max="2" width="14.5727272727273" customWidth="1"/>
    <col min="3" max="6" width="10.8545454545455" customWidth="1"/>
    <col min="7" max="12" width="9.28181818181818" customWidth="1"/>
    <col min="13" max="14" width="10.8545454545455" customWidth="1"/>
    <col min="15" max="15" width="14.5727272727273" customWidth="1"/>
    <col min="16" max="24" width="13.5727272727273" customWidth="1"/>
  </cols>
  <sheetData>
    <row r="1" ht="18.75" customHeight="1" spans="1:15">
      <c r="A1" s="1" t="s">
        <v>121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</row>
    <row r="2" ht="22.5" spans="1:15">
      <c r="A2" s="1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</row>
    <row r="3" ht="15" customHeight="1" spans="1:15">
      <c r="A3" s="3" t="s">
        <v>122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</row>
    <row r="4" ht="15.75" customHeight="1" spans="1:15">
      <c r="A4" t="s">
        <v>123</v>
      </c>
      <c r="B4" s="2" t="s">
        <v>1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  <c r="K4" s="2" t="s">
        <v>1</v>
      </c>
      <c r="L4" s="2" t="s">
        <v>1</v>
      </c>
      <c r="M4" s="2" t="s">
        <v>1</v>
      </c>
      <c r="N4" s="2" t="s">
        <v>1</v>
      </c>
      <c r="O4" s="2" t="s">
        <v>1</v>
      </c>
    </row>
    <row r="5" ht="15.75" customHeight="1" spans="1:15">
      <c r="A5" t="s">
        <v>124</v>
      </c>
      <c r="B5" s="2" t="s">
        <v>1</v>
      </c>
      <c r="C5" s="2" t="s">
        <v>1</v>
      </c>
      <c r="D5" s="2" t="s">
        <v>1</v>
      </c>
      <c r="E5" s="2" t="s">
        <v>1</v>
      </c>
      <c r="F5" s="2" t="s">
        <v>1</v>
      </c>
      <c r="G5" s="2" t="s">
        <v>1</v>
      </c>
      <c r="H5" s="2" t="s">
        <v>1</v>
      </c>
      <c r="I5" s="2" t="s">
        <v>1</v>
      </c>
      <c r="J5" s="2" t="s">
        <v>1</v>
      </c>
      <c r="K5" s="2" t="s">
        <v>1</v>
      </c>
      <c r="L5" s="2" t="s">
        <v>1</v>
      </c>
      <c r="M5" s="2" t="s">
        <v>1</v>
      </c>
      <c r="N5" s="2" t="s">
        <v>1</v>
      </c>
      <c r="O5" s="2" t="s">
        <v>1</v>
      </c>
    </row>
    <row r="6" ht="15.75" customHeight="1" spans="1:15">
      <c r="A6" t="s">
        <v>125</v>
      </c>
      <c r="B6" s="2" t="s">
        <v>1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1</v>
      </c>
    </row>
    <row r="7" ht="15.75" customHeight="1" spans="1:15">
      <c r="A7" s="16" t="s">
        <v>126</v>
      </c>
      <c r="B7" s="2" t="s">
        <v>1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</row>
    <row r="8" ht="18.5" spans="1:15">
      <c r="A8" s="16" t="s">
        <v>1</v>
      </c>
      <c r="B8" s="2" t="s">
        <v>1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1</v>
      </c>
    </row>
    <row r="9" ht="15.75" customHeight="1" spans="1:15">
      <c r="A9" s="3" t="s">
        <v>127</v>
      </c>
      <c r="B9" s="2" t="s">
        <v>1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</row>
    <row r="10" ht="15.75" customHeight="1" spans="1:15">
      <c r="A10" s="5" t="s">
        <v>82</v>
      </c>
      <c r="B10" s="5" t="s">
        <v>128</v>
      </c>
      <c r="C10" s="4" t="s">
        <v>84</v>
      </c>
      <c r="D10" s="4" t="s">
        <v>85</v>
      </c>
      <c r="E10" s="4" t="s">
        <v>86</v>
      </c>
      <c r="F10" s="4" t="s">
        <v>87</v>
      </c>
      <c r="G10" s="4" t="s">
        <v>88</v>
      </c>
      <c r="H10" s="4" t="s">
        <v>89</v>
      </c>
      <c r="I10" s="4" t="s">
        <v>90</v>
      </c>
      <c r="J10" s="5" t="s">
        <v>94</v>
      </c>
      <c r="K10" s="5" t="s">
        <v>95</v>
      </c>
      <c r="L10" s="5" t="s">
        <v>96</v>
      </c>
      <c r="M10" s="4" t="s">
        <v>129</v>
      </c>
      <c r="N10" s="4" t="s">
        <v>130</v>
      </c>
      <c r="O10" s="4" t="s">
        <v>131</v>
      </c>
    </row>
    <row r="11" ht="15" customHeight="1" spans="1:15">
      <c r="A11" s="16" t="s">
        <v>66</v>
      </c>
      <c r="B11" s="11">
        <f>滚轴与赔付!B$31</f>
        <v>1</v>
      </c>
      <c r="C11" s="11">
        <f>滚轴与赔付!C$31+滚轴与赔付!C$30</f>
        <v>4</v>
      </c>
      <c r="D11" s="11">
        <f>滚轴与赔付!D$31+滚轴与赔付!D$30</f>
        <v>4</v>
      </c>
      <c r="E11" s="11">
        <f>滚轴与赔付!E$31+滚轴与赔付!E$30</f>
        <v>4</v>
      </c>
      <c r="F11" s="11">
        <f>滚轴与赔付!F$31+滚轴与赔付!F$30</f>
        <v>4</v>
      </c>
      <c r="G11" s="11">
        <f>滚轴与赔付!$E$25-E11</f>
        <v>16</v>
      </c>
      <c r="H11" s="11">
        <f>滚轴与赔付!$F$25-F11</f>
        <v>16</v>
      </c>
      <c r="I11" s="11">
        <f>滚轴与赔付!$F$25</f>
        <v>20</v>
      </c>
      <c r="J11" s="11">
        <f>VLOOKUP($A11,滚轴与赔付!$A$41:$D$45,4,FALSE())</f>
        <v>100</v>
      </c>
      <c r="K11" s="11">
        <f>VLOOKUP($A11,滚轴与赔付!$A$41:$D$45,3,FALSE())</f>
        <v>30</v>
      </c>
      <c r="L11" s="11">
        <f>VLOOKUP($A11,滚轴与赔付!$A$41:$D$45,2,FALSE())</f>
        <v>5</v>
      </c>
      <c r="M11" s="11">
        <f>C11*D11</f>
        <v>16</v>
      </c>
      <c r="N11" s="11">
        <f>C11*D11*E11</f>
        <v>64</v>
      </c>
      <c r="O11" s="11">
        <f>C11*D11*E11*F11*J11+N11*H11*K11+M11*G11*I11*L11</f>
        <v>81920</v>
      </c>
    </row>
    <row r="12" ht="15" customHeight="1" spans="1:15">
      <c r="A12" s="16" t="s">
        <v>67</v>
      </c>
      <c r="B12" s="11">
        <f>滚轴与赔付!B$32</f>
        <v>3</v>
      </c>
      <c r="C12" s="11">
        <f>滚轴与赔付!C$32+滚轴与赔付!C$30</f>
        <v>4</v>
      </c>
      <c r="D12" s="11">
        <f>滚轴与赔付!D$32+滚轴与赔付!D$30</f>
        <v>4</v>
      </c>
      <c r="E12" s="11">
        <f>滚轴与赔付!E$32+滚轴与赔付!E$30</f>
        <v>4</v>
      </c>
      <c r="F12" s="11">
        <f>滚轴与赔付!F$32+滚轴与赔付!F$30</f>
        <v>4</v>
      </c>
      <c r="G12" s="11">
        <f>滚轴与赔付!$E$25-E12</f>
        <v>16</v>
      </c>
      <c r="H12" s="11">
        <f>滚轴与赔付!$F$25-F12</f>
        <v>16</v>
      </c>
      <c r="I12" s="11">
        <f>滚轴与赔付!$F$25</f>
        <v>20</v>
      </c>
      <c r="J12" s="11">
        <f>VLOOKUP($A12,滚轴与赔付!$A$41:$D$45,4,FALSE())</f>
        <v>100</v>
      </c>
      <c r="K12" s="11">
        <f>VLOOKUP($A12,滚轴与赔付!$A$41:$D$45,3,FALSE())</f>
        <v>25</v>
      </c>
      <c r="L12" s="11">
        <f>VLOOKUP($A12,滚轴与赔付!$A$41:$D$45,2,FALSE())</f>
        <v>5</v>
      </c>
      <c r="M12" s="11">
        <f>C12*D12</f>
        <v>16</v>
      </c>
      <c r="N12" s="11">
        <f>C12*D12*E12</f>
        <v>64</v>
      </c>
      <c r="O12" s="11">
        <f>C12*D12*E12*F12*J12+N12*H12*K12+M12*G12*I12*L12</f>
        <v>76800</v>
      </c>
    </row>
    <row r="13" ht="15" customHeight="1" spans="1:15">
      <c r="A13" s="16" t="s">
        <v>69</v>
      </c>
      <c r="B13" s="11">
        <f>滚轴与赔付!B$33</f>
        <v>4</v>
      </c>
      <c r="C13" s="11">
        <f>滚轴与赔付!C$33+滚轴与赔付!C$30</f>
        <v>6</v>
      </c>
      <c r="D13" s="11">
        <f>滚轴与赔付!D$33+滚轴与赔付!D$30</f>
        <v>5</v>
      </c>
      <c r="E13" s="11">
        <f>滚轴与赔付!E$33+滚轴与赔付!E$30</f>
        <v>5</v>
      </c>
      <c r="F13" s="11">
        <f>滚轴与赔付!F$33+滚轴与赔付!F$30</f>
        <v>5</v>
      </c>
      <c r="G13" s="11">
        <f>滚轴与赔付!$E$25-E13</f>
        <v>15</v>
      </c>
      <c r="H13" s="11">
        <f>滚轴与赔付!$F$25-F13</f>
        <v>15</v>
      </c>
      <c r="I13" s="11">
        <f>滚轴与赔付!$F$25</f>
        <v>20</v>
      </c>
      <c r="J13" s="11">
        <f>VLOOKUP($A13,滚轴与赔付!$A$41:$D$45,4,FALSE())</f>
        <v>75</v>
      </c>
      <c r="K13" s="11">
        <f>VLOOKUP($A13,滚轴与赔付!$A$41:$D$45,3,FALSE())</f>
        <v>20</v>
      </c>
      <c r="L13" s="11">
        <f>VLOOKUP($A13,滚轴与赔付!$A$41:$D$45,2,FALSE())</f>
        <v>5</v>
      </c>
      <c r="M13" s="11">
        <f>C13*D13</f>
        <v>30</v>
      </c>
      <c r="N13" s="11">
        <f>C13*D13*E13</f>
        <v>150</v>
      </c>
      <c r="O13" s="11">
        <f>C13*D13*E13*F13*J13+N13*H13*K13+M13*G13*I13*L13</f>
        <v>146250</v>
      </c>
    </row>
    <row r="14" ht="15" customHeight="1" spans="1:15">
      <c r="A14" s="16">
        <v>10</v>
      </c>
      <c r="B14" s="11">
        <f>滚轴与赔付!B$34</f>
        <v>5</v>
      </c>
      <c r="C14" s="11">
        <f>滚轴与赔付!C$34+滚轴与赔付!C$30</f>
        <v>4</v>
      </c>
      <c r="D14" s="11">
        <f>滚轴与赔付!D$34+滚轴与赔付!D$30</f>
        <v>5</v>
      </c>
      <c r="E14" s="11">
        <f>滚轴与赔付!E$34+滚轴与赔付!E$30</f>
        <v>5</v>
      </c>
      <c r="F14" s="11">
        <f>滚轴与赔付!F$34+滚轴与赔付!F$30</f>
        <v>5</v>
      </c>
      <c r="G14" s="11">
        <f>滚轴与赔付!$E$25-E14</f>
        <v>15</v>
      </c>
      <c r="H14" s="11">
        <f>滚轴与赔付!$F$25-F14</f>
        <v>15</v>
      </c>
      <c r="I14" s="11">
        <f>滚轴与赔付!$F$25</f>
        <v>20</v>
      </c>
      <c r="J14" s="11">
        <f>VLOOKUP($A14,滚轴与赔付!$A$41:$D$45,4,FALSE())</f>
        <v>75</v>
      </c>
      <c r="K14" s="11">
        <f>VLOOKUP($A14,滚轴与赔付!$A$41:$D$45,3,FALSE())</f>
        <v>20</v>
      </c>
      <c r="L14" s="11">
        <f>VLOOKUP($A14,滚轴与赔付!$A$41:$D$45,2,FALSE())</f>
        <v>5</v>
      </c>
      <c r="M14" s="11">
        <f>C14*D14</f>
        <v>20</v>
      </c>
      <c r="N14" s="11">
        <f>C14*D14*E14</f>
        <v>100</v>
      </c>
      <c r="O14" s="11">
        <f>C14*D14*E14*F14*J14+N14*H14*K14+M14*G14*I14*L14</f>
        <v>97500</v>
      </c>
    </row>
    <row r="15" ht="15" customHeight="1" spans="1:15">
      <c r="A15" s="16">
        <v>9</v>
      </c>
      <c r="B15" s="11">
        <f>滚轴与赔付!B$35</f>
        <v>6</v>
      </c>
      <c r="C15" s="11">
        <f>滚轴与赔付!C$35+滚轴与赔付!C$30</f>
        <v>5</v>
      </c>
      <c r="D15" s="11">
        <f>滚轴与赔付!D$35+滚轴与赔付!D$30</f>
        <v>5</v>
      </c>
      <c r="E15" s="11">
        <f>滚轴与赔付!E$35+滚轴与赔付!E$30</f>
        <v>5</v>
      </c>
      <c r="F15" s="11">
        <f>滚轴与赔付!F$35+滚轴与赔付!F$30</f>
        <v>5</v>
      </c>
      <c r="G15" s="11">
        <f>滚轴与赔付!$E$25-E15</f>
        <v>15</v>
      </c>
      <c r="H15" s="11">
        <f>滚轴与赔付!$F$25-F15</f>
        <v>15</v>
      </c>
      <c r="I15" s="11">
        <f>滚轴与赔付!$F$25</f>
        <v>20</v>
      </c>
      <c r="J15" s="11">
        <f>VLOOKUP($A15,滚轴与赔付!$A$41:$D$45,4,FALSE())</f>
        <v>50</v>
      </c>
      <c r="K15" s="11">
        <f>VLOOKUP($A15,滚轴与赔付!$A$41:$D$45,3,FALSE())</f>
        <v>10</v>
      </c>
      <c r="L15" s="11">
        <f>VLOOKUP($A15,滚轴与赔付!$A$41:$D$45,2,FALSE())</f>
        <v>5</v>
      </c>
      <c r="M15" s="11">
        <f>C15*D15</f>
        <v>25</v>
      </c>
      <c r="N15" s="11">
        <f>C15*D15*E15</f>
        <v>125</v>
      </c>
      <c r="O15" s="11">
        <f>C15*D15*E15*F15*J15+N15*H15*K15+M15*G15*I15*L15</f>
        <v>87500</v>
      </c>
    </row>
    <row r="16" ht="15.75" customHeight="1" spans="1:15">
      <c r="A16" s="14" t="s">
        <v>132</v>
      </c>
      <c r="B16" s="11" t="s">
        <v>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1</v>
      </c>
      <c r="H16" s="11" t="s">
        <v>1</v>
      </c>
      <c r="I16" s="11" t="s">
        <v>1</v>
      </c>
      <c r="J16" s="11" t="s">
        <v>1</v>
      </c>
      <c r="K16" s="11" t="s">
        <v>1</v>
      </c>
      <c r="L16" s="11" t="s">
        <v>1</v>
      </c>
      <c r="M16" s="11" t="s">
        <v>1</v>
      </c>
      <c r="N16" s="11" t="s">
        <v>1</v>
      </c>
      <c r="O16" s="11" t="s">
        <v>1</v>
      </c>
    </row>
    <row r="17" ht="15.75" customHeight="1" spans="1:15">
      <c r="A17" s="8" t="s">
        <v>133</v>
      </c>
      <c r="B17" s="11" t="s">
        <v>1</v>
      </c>
      <c r="C17" s="11" t="s">
        <v>1</v>
      </c>
      <c r="D17" s="11" t="s">
        <v>1</v>
      </c>
      <c r="E17" s="11" t="s">
        <v>1</v>
      </c>
      <c r="F17" s="11" t="s">
        <v>1</v>
      </c>
      <c r="G17" s="11" t="s">
        <v>1</v>
      </c>
      <c r="H17" s="11" t="s">
        <v>1</v>
      </c>
      <c r="I17" s="11" t="s">
        <v>1</v>
      </c>
      <c r="J17" s="11" t="s">
        <v>1</v>
      </c>
      <c r="K17" s="11" t="s">
        <v>1</v>
      </c>
      <c r="L17" s="11" t="s">
        <v>1</v>
      </c>
      <c r="M17" s="11" t="s">
        <v>1</v>
      </c>
      <c r="N17" s="11" t="s">
        <v>1</v>
      </c>
      <c r="O17" s="11" t="s">
        <v>1</v>
      </c>
    </row>
    <row r="18" ht="18.5" spans="1:15">
      <c r="A18" s="8" t="s">
        <v>1</v>
      </c>
      <c r="B18" s="11" t="s">
        <v>1</v>
      </c>
      <c r="C18" s="11" t="s">
        <v>1</v>
      </c>
      <c r="D18" s="11" t="s">
        <v>1</v>
      </c>
      <c r="E18" s="11" t="s">
        <v>1</v>
      </c>
      <c r="F18" s="11" t="s">
        <v>1</v>
      </c>
      <c r="G18" s="11" t="s">
        <v>1</v>
      </c>
      <c r="H18" s="11" t="s">
        <v>1</v>
      </c>
      <c r="I18" s="11" t="s">
        <v>1</v>
      </c>
      <c r="J18" s="11" t="s">
        <v>1</v>
      </c>
      <c r="K18" s="11" t="s">
        <v>1</v>
      </c>
      <c r="L18" s="11" t="s">
        <v>1</v>
      </c>
      <c r="M18" s="11" t="s">
        <v>1</v>
      </c>
      <c r="N18" s="11" t="s">
        <v>1</v>
      </c>
      <c r="O18" s="11" t="s">
        <v>1</v>
      </c>
    </row>
    <row r="19" ht="15.75" customHeight="1" spans="1:15">
      <c r="A19" s="3" t="s">
        <v>134</v>
      </c>
      <c r="B19" s="2" t="s">
        <v>1</v>
      </c>
      <c r="C19" s="2" t="s">
        <v>1</v>
      </c>
      <c r="D19" s="2" t="s">
        <v>1</v>
      </c>
      <c r="E19" s="2" t="s">
        <v>1</v>
      </c>
      <c r="F19" s="2" t="s">
        <v>1</v>
      </c>
      <c r="G19" s="11" t="s">
        <v>1</v>
      </c>
      <c r="H19" s="11" t="s">
        <v>1</v>
      </c>
      <c r="I19" s="11" t="s">
        <v>1</v>
      </c>
      <c r="J19" s="11" t="s">
        <v>1</v>
      </c>
      <c r="K19" s="11" t="s">
        <v>1</v>
      </c>
      <c r="L19" s="11" t="s">
        <v>1</v>
      </c>
      <c r="M19" s="11" t="s">
        <v>1</v>
      </c>
      <c r="N19" s="11" t="s">
        <v>1</v>
      </c>
      <c r="O19" s="11" t="s">
        <v>1</v>
      </c>
    </row>
    <row r="20" ht="15.75" customHeight="1" spans="1:15">
      <c r="A20" s="4" t="s">
        <v>135</v>
      </c>
      <c r="B20" s="4" t="s">
        <v>136</v>
      </c>
      <c r="C20" s="5" t="s">
        <v>137</v>
      </c>
      <c r="D20" s="5" t="s">
        <v>138</v>
      </c>
      <c r="E20" s="5" t="s">
        <v>139</v>
      </c>
      <c r="F20" s="5" t="s">
        <v>1</v>
      </c>
      <c r="G20" s="11" t="s">
        <v>1</v>
      </c>
      <c r="H20" s="11" t="s">
        <v>1</v>
      </c>
      <c r="I20" s="11" t="s">
        <v>1</v>
      </c>
      <c r="J20" s="11" t="s">
        <v>1</v>
      </c>
      <c r="K20" s="11" t="s">
        <v>1</v>
      </c>
      <c r="L20" s="11" t="s">
        <v>1</v>
      </c>
      <c r="M20" s="11" t="s">
        <v>1</v>
      </c>
      <c r="N20" s="11" t="s">
        <v>1</v>
      </c>
      <c r="O20" s="11" t="s">
        <v>1</v>
      </c>
    </row>
    <row r="21" ht="15.75" customHeight="1" spans="1:15">
      <c r="A21" s="10">
        <v>0</v>
      </c>
      <c r="B21" s="11">
        <f t="shared" ref="B21:B41" si="0">SUMPRODUCT(($B$11:$B$15*(1-$A21/20)+$A21)*$O$11:$O$15)</f>
        <v>1909820</v>
      </c>
      <c r="C21" s="32">
        <f>B21/滚轴与赔付!$H$25</f>
        <v>0.59681875</v>
      </c>
      <c r="D21" s="19">
        <f t="shared" ref="D21:D41" si="1">C21/$C$21</f>
        <v>1</v>
      </c>
      <c r="E21" t="s">
        <v>140</v>
      </c>
      <c r="F21" s="5" t="s">
        <v>1</v>
      </c>
      <c r="G21" s="11" t="s">
        <v>1</v>
      </c>
      <c r="H21" s="11" t="s">
        <v>1</v>
      </c>
      <c r="I21" s="11" t="s">
        <v>1</v>
      </c>
      <c r="J21" s="11" t="s">
        <v>1</v>
      </c>
      <c r="K21" s="11" t="s">
        <v>1</v>
      </c>
      <c r="L21" s="11" t="s">
        <v>1</v>
      </c>
      <c r="M21" s="11" t="s">
        <v>1</v>
      </c>
      <c r="N21" s="11" t="s">
        <v>1</v>
      </c>
      <c r="O21" s="11" t="s">
        <v>1</v>
      </c>
    </row>
    <row r="22" ht="15" customHeight="1" spans="1:15">
      <c r="A22" s="10">
        <v>1</v>
      </c>
      <c r="B22" s="11">
        <f t="shared" si="0"/>
        <v>2304299</v>
      </c>
      <c r="C22" s="32">
        <f>B22/滚轴与赔付!$H$25</f>
        <v>0.7200934375</v>
      </c>
      <c r="D22" s="19">
        <f t="shared" si="1"/>
        <v>1.20655297357866</v>
      </c>
      <c r="E22" t="s">
        <v>1</v>
      </c>
      <c r="F22" s="5" t="s">
        <v>1</v>
      </c>
      <c r="G22" s="11" t="s">
        <v>1</v>
      </c>
      <c r="H22" s="11" t="s">
        <v>1</v>
      </c>
      <c r="I22" s="11" t="s">
        <v>1</v>
      </c>
      <c r="J22" s="11" t="s">
        <v>1</v>
      </c>
      <c r="K22" s="11" t="s">
        <v>1</v>
      </c>
      <c r="L22" s="11" t="s">
        <v>1</v>
      </c>
      <c r="M22" s="11" t="s">
        <v>1</v>
      </c>
      <c r="N22" s="11" t="s">
        <v>1</v>
      </c>
      <c r="O22" s="11" t="s">
        <v>1</v>
      </c>
    </row>
    <row r="23" ht="15" customHeight="1" spans="1:15">
      <c r="A23" s="10">
        <v>2</v>
      </c>
      <c r="B23" s="11">
        <f t="shared" si="0"/>
        <v>2698778</v>
      </c>
      <c r="C23" s="32">
        <f>B23/滚轴与赔付!$H$25</f>
        <v>0.843368125</v>
      </c>
      <c r="D23" s="19">
        <f t="shared" si="1"/>
        <v>1.41310594715732</v>
      </c>
      <c r="E23" t="s">
        <v>1</v>
      </c>
      <c r="F23" s="5" t="s">
        <v>1</v>
      </c>
      <c r="G23" s="11" t="s">
        <v>1</v>
      </c>
      <c r="H23" s="11" t="s">
        <v>1</v>
      </c>
      <c r="I23" s="11" t="s">
        <v>1</v>
      </c>
      <c r="J23" s="11" t="s">
        <v>1</v>
      </c>
      <c r="K23" s="11" t="s">
        <v>1</v>
      </c>
      <c r="L23" s="11" t="s">
        <v>1</v>
      </c>
      <c r="M23" s="11" t="s">
        <v>1</v>
      </c>
      <c r="N23" s="11" t="s">
        <v>1</v>
      </c>
      <c r="O23" s="11" t="s">
        <v>1</v>
      </c>
    </row>
    <row r="24" ht="15" customHeight="1" spans="1:15">
      <c r="A24" s="10">
        <v>3</v>
      </c>
      <c r="B24" s="11">
        <f t="shared" si="0"/>
        <v>3093257</v>
      </c>
      <c r="C24" s="32">
        <f>B24/滚轴与赔付!$H$25</f>
        <v>0.9666428125</v>
      </c>
      <c r="D24" s="19">
        <f t="shared" si="1"/>
        <v>1.61965892073599</v>
      </c>
      <c r="E24" t="s">
        <v>1</v>
      </c>
      <c r="F24" s="5" t="s">
        <v>1</v>
      </c>
      <c r="G24" s="11" t="s">
        <v>1</v>
      </c>
      <c r="H24" s="11" t="s">
        <v>1</v>
      </c>
      <c r="I24" s="11" t="s">
        <v>1</v>
      </c>
      <c r="J24" s="11" t="s">
        <v>1</v>
      </c>
      <c r="K24" s="11" t="s">
        <v>1</v>
      </c>
      <c r="L24" s="11" t="s">
        <v>1</v>
      </c>
      <c r="M24" s="11" t="s">
        <v>1</v>
      </c>
      <c r="N24" s="11" t="s">
        <v>1</v>
      </c>
      <c r="O24" s="11" t="s">
        <v>1</v>
      </c>
    </row>
    <row r="25" ht="15" customHeight="1" spans="1:15">
      <c r="A25" s="10">
        <v>4</v>
      </c>
      <c r="B25" s="11">
        <f t="shared" si="0"/>
        <v>3487736</v>
      </c>
      <c r="C25" s="32">
        <f>B25/滚轴与赔付!$H$25</f>
        <v>1.0899175</v>
      </c>
      <c r="D25" s="19">
        <f t="shared" si="1"/>
        <v>1.82621189431465</v>
      </c>
      <c r="E25" t="s">
        <v>1</v>
      </c>
      <c r="F25" s="5" t="s">
        <v>1</v>
      </c>
      <c r="G25" s="11" t="s">
        <v>1</v>
      </c>
      <c r="H25" s="11" t="s">
        <v>1</v>
      </c>
      <c r="I25" s="11" t="s">
        <v>1</v>
      </c>
      <c r="J25" s="11" t="s">
        <v>1</v>
      </c>
      <c r="K25" s="11" t="s">
        <v>1</v>
      </c>
      <c r="L25" s="11" t="s">
        <v>1</v>
      </c>
      <c r="M25" s="11" t="s">
        <v>1</v>
      </c>
      <c r="N25" s="11" t="s">
        <v>1</v>
      </c>
      <c r="O25" s="11" t="s">
        <v>1</v>
      </c>
    </row>
    <row r="26" ht="15" customHeight="1" spans="1:15">
      <c r="A26" s="10">
        <v>5</v>
      </c>
      <c r="B26" s="11">
        <f t="shared" si="0"/>
        <v>3882215</v>
      </c>
      <c r="C26" s="32">
        <f>B26/滚轴与赔付!$H$25</f>
        <v>1.2131921875</v>
      </c>
      <c r="D26" s="19">
        <f t="shared" si="1"/>
        <v>2.03276486789331</v>
      </c>
      <c r="E26" t="s">
        <v>1</v>
      </c>
      <c r="F26" s="5" t="s">
        <v>1</v>
      </c>
      <c r="G26" s="11" t="s">
        <v>1</v>
      </c>
      <c r="H26" s="11" t="s">
        <v>1</v>
      </c>
      <c r="I26" s="11" t="s">
        <v>1</v>
      </c>
      <c r="J26" s="11" t="s">
        <v>1</v>
      </c>
      <c r="K26" s="11" t="s">
        <v>1</v>
      </c>
      <c r="L26" s="11" t="s">
        <v>1</v>
      </c>
      <c r="M26" s="11" t="s">
        <v>1</v>
      </c>
      <c r="N26" s="11" t="s">
        <v>1</v>
      </c>
      <c r="O26" s="11" t="s">
        <v>1</v>
      </c>
    </row>
    <row r="27" ht="15" customHeight="1" spans="1:15">
      <c r="A27" s="10">
        <v>6</v>
      </c>
      <c r="B27" s="11">
        <f t="shared" si="0"/>
        <v>4276694</v>
      </c>
      <c r="C27" s="32">
        <f>B27/滚轴与赔付!$H$25</f>
        <v>1.336466875</v>
      </c>
      <c r="D27" s="19">
        <f t="shared" si="1"/>
        <v>2.23931784147197</v>
      </c>
      <c r="E27" t="s">
        <v>1</v>
      </c>
      <c r="F27" s="5" t="s">
        <v>1</v>
      </c>
      <c r="G27" s="11" t="s">
        <v>1</v>
      </c>
      <c r="H27" s="11" t="s">
        <v>1</v>
      </c>
      <c r="I27" s="11" t="s">
        <v>1</v>
      </c>
      <c r="J27" s="11" t="s">
        <v>1</v>
      </c>
      <c r="K27" s="11" t="s">
        <v>1</v>
      </c>
      <c r="L27" s="11" t="s">
        <v>1</v>
      </c>
      <c r="M27" s="11" t="s">
        <v>1</v>
      </c>
      <c r="N27" s="11" t="s">
        <v>1</v>
      </c>
      <c r="O27" s="11" t="s">
        <v>1</v>
      </c>
    </row>
    <row r="28" ht="15" customHeight="1" spans="1:15">
      <c r="A28" s="10">
        <v>7</v>
      </c>
      <c r="B28" s="11">
        <f t="shared" si="0"/>
        <v>4671173</v>
      </c>
      <c r="C28" s="32">
        <f>B28/滚轴与赔付!$H$25</f>
        <v>1.4597415625</v>
      </c>
      <c r="D28" s="19">
        <f t="shared" si="1"/>
        <v>2.44587081505063</v>
      </c>
      <c r="E28" t="s">
        <v>1</v>
      </c>
      <c r="F28" s="5" t="s">
        <v>1</v>
      </c>
      <c r="G28" s="11" t="s">
        <v>1</v>
      </c>
      <c r="H28" s="11" t="s">
        <v>1</v>
      </c>
      <c r="I28" s="11" t="s">
        <v>1</v>
      </c>
      <c r="J28" s="11" t="s">
        <v>1</v>
      </c>
      <c r="K28" s="11" t="s">
        <v>1</v>
      </c>
      <c r="L28" s="11" t="s">
        <v>1</v>
      </c>
      <c r="M28" s="11" t="s">
        <v>1</v>
      </c>
      <c r="N28" s="11" t="s">
        <v>1</v>
      </c>
      <c r="O28" s="11" t="s">
        <v>1</v>
      </c>
    </row>
    <row r="29" ht="15" customHeight="1" spans="1:15">
      <c r="A29" s="10">
        <v>8</v>
      </c>
      <c r="B29" s="11">
        <f t="shared" si="0"/>
        <v>5065652</v>
      </c>
      <c r="C29" s="32">
        <f>B29/滚轴与赔付!$H$25</f>
        <v>1.58301625</v>
      </c>
      <c r="D29" s="19">
        <f t="shared" si="1"/>
        <v>2.65242378862929</v>
      </c>
      <c r="E29" t="s">
        <v>1</v>
      </c>
      <c r="F29" s="5" t="s">
        <v>1</v>
      </c>
      <c r="G29" s="11" t="s">
        <v>1</v>
      </c>
      <c r="H29" s="11" t="s">
        <v>1</v>
      </c>
      <c r="I29" s="11" t="s">
        <v>1</v>
      </c>
      <c r="J29" s="11" t="s">
        <v>1</v>
      </c>
      <c r="K29" s="11" t="s">
        <v>1</v>
      </c>
      <c r="L29" s="11" t="s">
        <v>1</v>
      </c>
      <c r="M29" s="11" t="s">
        <v>1</v>
      </c>
      <c r="N29" s="11" t="s">
        <v>1</v>
      </c>
      <c r="O29" s="11" t="s">
        <v>1</v>
      </c>
    </row>
    <row r="30" ht="15" customHeight="1" spans="1:15">
      <c r="A30" s="10">
        <v>9</v>
      </c>
      <c r="B30" s="11">
        <f t="shared" si="0"/>
        <v>5460131</v>
      </c>
      <c r="C30" s="32">
        <f>B30/滚轴与赔付!$H$25</f>
        <v>1.7062909375</v>
      </c>
      <c r="D30" s="19">
        <f t="shared" si="1"/>
        <v>2.85897676220796</v>
      </c>
      <c r="E30" t="s">
        <v>1</v>
      </c>
      <c r="F30" s="5" t="s">
        <v>1</v>
      </c>
      <c r="G30" s="11" t="s">
        <v>1</v>
      </c>
      <c r="H30" s="11" t="s">
        <v>1</v>
      </c>
      <c r="I30" s="11" t="s">
        <v>1</v>
      </c>
      <c r="J30" s="11" t="s">
        <v>1</v>
      </c>
      <c r="K30" s="11" t="s">
        <v>1</v>
      </c>
      <c r="L30" s="11" t="s">
        <v>1</v>
      </c>
      <c r="M30" s="11" t="s">
        <v>1</v>
      </c>
      <c r="N30" s="11" t="s">
        <v>1</v>
      </c>
      <c r="O30" s="11" t="s">
        <v>1</v>
      </c>
    </row>
    <row r="31" ht="15" customHeight="1" spans="1:15">
      <c r="A31" s="10">
        <v>10</v>
      </c>
      <c r="B31" s="11">
        <f t="shared" si="0"/>
        <v>5854610</v>
      </c>
      <c r="C31" s="32">
        <f>B31/滚轴与赔付!$H$25</f>
        <v>1.829565625</v>
      </c>
      <c r="D31" s="19">
        <f t="shared" si="1"/>
        <v>3.06552973578662</v>
      </c>
      <c r="E31" t="s">
        <v>1</v>
      </c>
      <c r="F31" s="5" t="s">
        <v>1</v>
      </c>
      <c r="G31" s="11" t="s">
        <v>1</v>
      </c>
      <c r="H31" s="11" t="s">
        <v>1</v>
      </c>
      <c r="I31" s="11" t="s">
        <v>1</v>
      </c>
      <c r="J31" s="11" t="s">
        <v>1</v>
      </c>
      <c r="K31" s="11" t="s">
        <v>1</v>
      </c>
      <c r="L31" s="11" t="s">
        <v>1</v>
      </c>
      <c r="M31" s="11" t="s">
        <v>1</v>
      </c>
      <c r="N31" s="11" t="s">
        <v>1</v>
      </c>
      <c r="O31" s="11" t="s">
        <v>1</v>
      </c>
    </row>
    <row r="32" ht="15" customHeight="1" spans="1:15">
      <c r="A32" s="10">
        <v>11</v>
      </c>
      <c r="B32" s="11">
        <f t="shared" si="0"/>
        <v>6249089</v>
      </c>
      <c r="C32" s="32">
        <f>B32/滚轴与赔付!$H$25</f>
        <v>1.9528403125</v>
      </c>
      <c r="D32" s="19">
        <f t="shared" si="1"/>
        <v>3.27208270936528</v>
      </c>
      <c r="E32" t="s">
        <v>1</v>
      </c>
      <c r="F32" s="5" t="s">
        <v>1</v>
      </c>
      <c r="G32" s="11" t="s">
        <v>1</v>
      </c>
      <c r="H32" s="11" t="s">
        <v>1</v>
      </c>
      <c r="I32" s="11" t="s">
        <v>1</v>
      </c>
      <c r="J32" s="11" t="s">
        <v>1</v>
      </c>
      <c r="K32" s="11" t="s">
        <v>1</v>
      </c>
      <c r="L32" s="11" t="s">
        <v>1</v>
      </c>
      <c r="M32" s="11" t="s">
        <v>1</v>
      </c>
      <c r="N32" s="11" t="s">
        <v>1</v>
      </c>
      <c r="O32" s="11" t="s">
        <v>1</v>
      </c>
    </row>
    <row r="33" ht="15" customHeight="1" spans="1:15">
      <c r="A33" s="10">
        <v>12</v>
      </c>
      <c r="B33" s="11">
        <f t="shared" si="0"/>
        <v>6643568</v>
      </c>
      <c r="C33" s="32">
        <f>B33/滚轴与赔付!$H$25</f>
        <v>2.076115</v>
      </c>
      <c r="D33" s="19">
        <f t="shared" si="1"/>
        <v>3.47863568294394</v>
      </c>
      <c r="E33" t="s">
        <v>1</v>
      </c>
      <c r="F33" s="5" t="s">
        <v>1</v>
      </c>
      <c r="G33" s="11" t="s">
        <v>1</v>
      </c>
      <c r="H33" s="11" t="s">
        <v>1</v>
      </c>
      <c r="I33" s="11" t="s">
        <v>1</v>
      </c>
      <c r="J33" s="11" t="s">
        <v>1</v>
      </c>
      <c r="K33" s="11" t="s">
        <v>1</v>
      </c>
      <c r="L33" s="11" t="s">
        <v>1</v>
      </c>
      <c r="M33" s="11" t="s">
        <v>1</v>
      </c>
      <c r="N33" s="11" t="s">
        <v>1</v>
      </c>
      <c r="O33" s="11" t="s">
        <v>1</v>
      </c>
    </row>
    <row r="34" ht="15" customHeight="1" spans="1:15">
      <c r="A34" s="10">
        <v>13</v>
      </c>
      <c r="B34" s="11">
        <f t="shared" si="0"/>
        <v>7038047</v>
      </c>
      <c r="C34" s="32">
        <f>B34/滚轴与赔付!$H$25</f>
        <v>2.1993896875</v>
      </c>
      <c r="D34" s="19">
        <f t="shared" si="1"/>
        <v>3.6851886565226</v>
      </c>
      <c r="E34" t="s">
        <v>1</v>
      </c>
      <c r="F34" s="5" t="s">
        <v>1</v>
      </c>
      <c r="G34" s="11" t="s">
        <v>1</v>
      </c>
      <c r="H34" s="11" t="s">
        <v>1</v>
      </c>
      <c r="I34" s="11" t="s">
        <v>1</v>
      </c>
      <c r="J34" s="11" t="s">
        <v>1</v>
      </c>
      <c r="K34" s="11" t="s">
        <v>1</v>
      </c>
      <c r="L34" s="11" t="s">
        <v>1</v>
      </c>
      <c r="M34" s="11" t="s">
        <v>1</v>
      </c>
      <c r="N34" s="11" t="s">
        <v>1</v>
      </c>
      <c r="O34" s="11" t="s">
        <v>1</v>
      </c>
    </row>
    <row r="35" ht="15" customHeight="1" spans="1:15">
      <c r="A35" s="10">
        <v>14</v>
      </c>
      <c r="B35" s="11">
        <f t="shared" si="0"/>
        <v>7432526</v>
      </c>
      <c r="C35" s="32">
        <f>B35/滚轴与赔付!$H$25</f>
        <v>2.322664375</v>
      </c>
      <c r="D35" s="19">
        <f t="shared" si="1"/>
        <v>3.89174163010127</v>
      </c>
      <c r="E35" t="s">
        <v>1</v>
      </c>
      <c r="F35" s="5" t="s">
        <v>1</v>
      </c>
      <c r="G35" s="11" t="s">
        <v>1</v>
      </c>
      <c r="H35" s="11" t="s">
        <v>1</v>
      </c>
      <c r="I35" s="11" t="s">
        <v>1</v>
      </c>
      <c r="J35" s="11" t="s">
        <v>1</v>
      </c>
      <c r="K35" s="11" t="s">
        <v>1</v>
      </c>
      <c r="L35" s="11" t="s">
        <v>1</v>
      </c>
      <c r="M35" s="11" t="s">
        <v>1</v>
      </c>
      <c r="N35" s="11" t="s">
        <v>1</v>
      </c>
      <c r="O35" s="11" t="s">
        <v>1</v>
      </c>
    </row>
    <row r="36" ht="15" customHeight="1" spans="1:15">
      <c r="A36" s="10">
        <v>15</v>
      </c>
      <c r="B36" s="11">
        <f t="shared" si="0"/>
        <v>7827005</v>
      </c>
      <c r="C36" s="32">
        <f>B36/滚轴与赔付!$H$25</f>
        <v>2.4459390625</v>
      </c>
      <c r="D36" s="19">
        <f t="shared" si="1"/>
        <v>4.09829460367993</v>
      </c>
      <c r="E36" t="s">
        <v>1</v>
      </c>
      <c r="F36" s="5" t="s">
        <v>1</v>
      </c>
      <c r="G36" s="11" t="s">
        <v>1</v>
      </c>
      <c r="H36" s="11" t="s">
        <v>1</v>
      </c>
      <c r="I36" s="11" t="s">
        <v>1</v>
      </c>
      <c r="J36" s="11" t="s">
        <v>1</v>
      </c>
      <c r="K36" s="11" t="s">
        <v>1</v>
      </c>
      <c r="L36" s="11" t="s">
        <v>1</v>
      </c>
      <c r="M36" s="11" t="s">
        <v>1</v>
      </c>
      <c r="N36" s="11" t="s">
        <v>1</v>
      </c>
      <c r="O36" s="11" t="s">
        <v>1</v>
      </c>
    </row>
    <row r="37" ht="15" customHeight="1" spans="1:15">
      <c r="A37" s="10">
        <v>16</v>
      </c>
      <c r="B37" s="11">
        <f t="shared" si="0"/>
        <v>8221484</v>
      </c>
      <c r="C37" s="32">
        <f>B37/滚轴与赔付!$H$25</f>
        <v>2.56921375</v>
      </c>
      <c r="D37" s="19">
        <f t="shared" si="1"/>
        <v>4.30484757725859</v>
      </c>
      <c r="E37" t="s">
        <v>1</v>
      </c>
      <c r="F37" s="5" t="s">
        <v>1</v>
      </c>
      <c r="G37" s="11" t="s">
        <v>1</v>
      </c>
      <c r="H37" s="11" t="s">
        <v>1</v>
      </c>
      <c r="I37" s="11" t="s">
        <v>1</v>
      </c>
      <c r="J37" s="11" t="s">
        <v>1</v>
      </c>
      <c r="K37" s="11" t="s">
        <v>1</v>
      </c>
      <c r="L37" s="11" t="s">
        <v>1</v>
      </c>
      <c r="M37" s="11" t="s">
        <v>1</v>
      </c>
      <c r="N37" s="11" t="s">
        <v>1</v>
      </c>
      <c r="O37" s="11" t="s">
        <v>1</v>
      </c>
    </row>
    <row r="38" ht="15" customHeight="1" spans="1:15">
      <c r="A38" s="10">
        <v>17</v>
      </c>
      <c r="B38" s="11">
        <f t="shared" si="0"/>
        <v>8615963</v>
      </c>
      <c r="C38" s="32">
        <f>B38/滚轴与赔付!$H$25</f>
        <v>2.6924884375</v>
      </c>
      <c r="D38" s="19">
        <f t="shared" si="1"/>
        <v>4.51140055083725</v>
      </c>
      <c r="E38" t="s">
        <v>1</v>
      </c>
      <c r="F38" s="5" t="s">
        <v>1</v>
      </c>
      <c r="G38" s="11" t="s">
        <v>1</v>
      </c>
      <c r="H38" s="11" t="s">
        <v>1</v>
      </c>
      <c r="I38" s="11" t="s">
        <v>1</v>
      </c>
      <c r="J38" s="11" t="s">
        <v>1</v>
      </c>
      <c r="K38" s="11" t="s">
        <v>1</v>
      </c>
      <c r="L38" s="11" t="s">
        <v>1</v>
      </c>
      <c r="M38" s="11" t="s">
        <v>1</v>
      </c>
      <c r="N38" s="11" t="s">
        <v>1</v>
      </c>
      <c r="O38" s="11" t="s">
        <v>1</v>
      </c>
    </row>
    <row r="39" ht="15" customHeight="1" spans="1:15">
      <c r="A39" s="10">
        <v>18</v>
      </c>
      <c r="B39" s="11">
        <f t="shared" si="0"/>
        <v>9010442</v>
      </c>
      <c r="C39" s="32">
        <f>B39/滚轴与赔付!$H$25</f>
        <v>2.815763125</v>
      </c>
      <c r="D39" s="19">
        <f t="shared" si="1"/>
        <v>4.71795352441591</v>
      </c>
      <c r="E39" t="s">
        <v>1</v>
      </c>
      <c r="F39" s="5" t="s">
        <v>1</v>
      </c>
      <c r="G39" s="11" t="s">
        <v>1</v>
      </c>
      <c r="H39" s="11" t="s">
        <v>1</v>
      </c>
      <c r="I39" s="11" t="s">
        <v>1</v>
      </c>
      <c r="J39" s="11" t="s">
        <v>1</v>
      </c>
      <c r="K39" s="11" t="s">
        <v>1</v>
      </c>
      <c r="L39" s="11" t="s">
        <v>1</v>
      </c>
      <c r="M39" s="11" t="s">
        <v>1</v>
      </c>
      <c r="N39" s="11" t="s">
        <v>1</v>
      </c>
      <c r="O39" s="11" t="s">
        <v>1</v>
      </c>
    </row>
    <row r="40" ht="15" customHeight="1" spans="1:15">
      <c r="A40" s="10">
        <v>19</v>
      </c>
      <c r="B40" s="11">
        <f t="shared" si="0"/>
        <v>9404921</v>
      </c>
      <c r="C40" s="32">
        <f>B40/滚轴与赔付!$H$25</f>
        <v>2.9390378125</v>
      </c>
      <c r="D40" s="19">
        <f t="shared" si="1"/>
        <v>4.92450649799458</v>
      </c>
      <c r="E40" t="s">
        <v>1</v>
      </c>
      <c r="F40" s="5" t="s">
        <v>1</v>
      </c>
      <c r="G40" s="11" t="s">
        <v>1</v>
      </c>
      <c r="H40" s="11" t="s">
        <v>1</v>
      </c>
      <c r="I40" s="11" t="s">
        <v>1</v>
      </c>
      <c r="J40" s="11" t="s">
        <v>1</v>
      </c>
      <c r="K40" s="11" t="s">
        <v>1</v>
      </c>
      <c r="L40" s="11" t="s">
        <v>1</v>
      </c>
      <c r="M40" s="11" t="s">
        <v>1</v>
      </c>
      <c r="N40" s="11" t="s">
        <v>1</v>
      </c>
      <c r="O40" s="11" t="s">
        <v>1</v>
      </c>
    </row>
    <row r="41" ht="15.75" customHeight="1" spans="1:15">
      <c r="A41" s="10">
        <v>20</v>
      </c>
      <c r="B41" s="11">
        <f t="shared" si="0"/>
        <v>9799400</v>
      </c>
      <c r="C41" s="32">
        <f>B41/滚轴与赔付!$H$25</f>
        <v>3.0623125</v>
      </c>
      <c r="D41" s="19">
        <f t="shared" si="1"/>
        <v>5.13105947157324</v>
      </c>
      <c r="E41" t="s">
        <v>141</v>
      </c>
      <c r="F41" s="5" t="s">
        <v>1</v>
      </c>
      <c r="G41" s="11" t="s">
        <v>1</v>
      </c>
      <c r="H41" s="11" t="s">
        <v>1</v>
      </c>
      <c r="I41" s="11" t="s">
        <v>1</v>
      </c>
      <c r="J41" s="11" t="s">
        <v>1</v>
      </c>
      <c r="K41" s="11" t="s">
        <v>1</v>
      </c>
      <c r="L41" s="11" t="s">
        <v>1</v>
      </c>
      <c r="M41" s="11" t="s">
        <v>1</v>
      </c>
      <c r="N41" s="11" t="s">
        <v>1</v>
      </c>
      <c r="O41" s="11" t="s">
        <v>1</v>
      </c>
    </row>
    <row r="42" ht="18.5" spans="1:15">
      <c r="A42" s="10" t="s">
        <v>1</v>
      </c>
      <c r="B42" s="11" t="s">
        <v>1</v>
      </c>
      <c r="C42" s="18" t="s">
        <v>1</v>
      </c>
      <c r="D42" s="19" t="s">
        <v>1</v>
      </c>
      <c r="E42" t="s">
        <v>1</v>
      </c>
      <c r="F42" s="5" t="s">
        <v>1</v>
      </c>
      <c r="G42" s="11" t="s">
        <v>1</v>
      </c>
      <c r="H42" s="11" t="s">
        <v>1</v>
      </c>
      <c r="I42" s="11" t="s">
        <v>1</v>
      </c>
      <c r="J42" s="11" t="s">
        <v>1</v>
      </c>
      <c r="K42" s="11" t="s">
        <v>1</v>
      </c>
      <c r="L42" s="11" t="s">
        <v>1</v>
      </c>
      <c r="M42" s="11" t="s">
        <v>1</v>
      </c>
      <c r="N42" s="11" t="s">
        <v>1</v>
      </c>
      <c r="O42" s="11" t="s">
        <v>1</v>
      </c>
    </row>
    <row r="43" ht="15" customHeight="1" spans="1:15">
      <c r="A43" s="3" t="s">
        <v>142</v>
      </c>
      <c r="B43" s="2" t="s">
        <v>1</v>
      </c>
      <c r="C43" s="2" t="s">
        <v>1</v>
      </c>
      <c r="D43" s="2" t="s">
        <v>1</v>
      </c>
      <c r="E43" s="2" t="s">
        <v>1</v>
      </c>
      <c r="F43" s="2" t="s">
        <v>1</v>
      </c>
      <c r="G43" s="11" t="s">
        <v>1</v>
      </c>
      <c r="H43" s="11" t="s">
        <v>1</v>
      </c>
      <c r="I43" s="11" t="s">
        <v>1</v>
      </c>
      <c r="J43" s="11" t="s">
        <v>1</v>
      </c>
      <c r="K43" s="11" t="s">
        <v>1</v>
      </c>
      <c r="L43" s="11" t="s">
        <v>1</v>
      </c>
      <c r="M43" s="11" t="s">
        <v>1</v>
      </c>
      <c r="N43" s="11" t="s">
        <v>1</v>
      </c>
      <c r="O43" s="11" t="s">
        <v>1</v>
      </c>
    </row>
    <row r="44" ht="15.75" customHeight="1" spans="1:15">
      <c r="A44" s="16" t="s">
        <v>143</v>
      </c>
      <c r="B44" s="2" t="s">
        <v>1</v>
      </c>
      <c r="C44" s="32">
        <f>C21</f>
        <v>0.59681875</v>
      </c>
      <c r="D44" s="2" t="s">
        <v>1</v>
      </c>
      <c r="E44" s="2" t="s">
        <v>1</v>
      </c>
      <c r="F44" s="2" t="s">
        <v>1</v>
      </c>
      <c r="G44" s="11" t="s">
        <v>1</v>
      </c>
      <c r="H44" s="11" t="s">
        <v>1</v>
      </c>
      <c r="I44" s="11" t="s">
        <v>1</v>
      </c>
      <c r="J44" s="11" t="s">
        <v>1</v>
      </c>
      <c r="K44" s="11" t="s">
        <v>1</v>
      </c>
      <c r="L44" s="11" t="s">
        <v>1</v>
      </c>
      <c r="M44" s="11" t="s">
        <v>1</v>
      </c>
      <c r="N44" s="11" t="s">
        <v>1</v>
      </c>
      <c r="O44" s="11" t="s">
        <v>1</v>
      </c>
    </row>
    <row r="45" ht="15.75" customHeight="1" spans="1:15">
      <c r="A45" s="16" t="s">
        <v>144</v>
      </c>
      <c r="B45" s="2" t="s">
        <v>1</v>
      </c>
      <c r="C45" s="32">
        <f>C41</f>
        <v>3.0623125</v>
      </c>
      <c r="D45" s="2" t="s">
        <v>1</v>
      </c>
      <c r="E45" s="2" t="s">
        <v>1</v>
      </c>
      <c r="F45" s="2" t="s">
        <v>1</v>
      </c>
      <c r="G45" s="11" t="s">
        <v>1</v>
      </c>
      <c r="H45" s="11" t="s">
        <v>1</v>
      </c>
      <c r="I45" s="11" t="s">
        <v>1</v>
      </c>
      <c r="J45" s="11" t="s">
        <v>1</v>
      </c>
      <c r="K45" s="11" t="s">
        <v>1</v>
      </c>
      <c r="L45" s="11" t="s">
        <v>1</v>
      </c>
      <c r="M45" s="11" t="s">
        <v>1</v>
      </c>
      <c r="N45" s="11" t="s">
        <v>1</v>
      </c>
      <c r="O45" s="11" t="s">
        <v>1</v>
      </c>
    </row>
    <row r="46" ht="15" customHeight="1" spans="1:15">
      <c r="A46" t="s">
        <v>145</v>
      </c>
      <c r="B46" s="2" t="s">
        <v>1</v>
      </c>
      <c r="C46" s="19">
        <f>C45/C44</f>
        <v>5.13105947157324</v>
      </c>
      <c r="D46" s="2" t="s">
        <v>1</v>
      </c>
      <c r="E46" s="2" t="s">
        <v>1</v>
      </c>
      <c r="F46" s="2" t="s">
        <v>1</v>
      </c>
      <c r="G46" s="11" t="s">
        <v>1</v>
      </c>
      <c r="H46" s="11" t="s">
        <v>1</v>
      </c>
      <c r="I46" s="11" t="s">
        <v>1</v>
      </c>
      <c r="J46" s="11" t="s">
        <v>1</v>
      </c>
      <c r="K46" s="11" t="s">
        <v>1</v>
      </c>
      <c r="L46" s="11" t="s">
        <v>1</v>
      </c>
      <c r="M46" s="11" t="s">
        <v>1</v>
      </c>
      <c r="N46" s="11" t="s">
        <v>1</v>
      </c>
      <c r="O46" s="11" t="s">
        <v>1</v>
      </c>
    </row>
    <row r="47" ht="18.5" spans="1:15">
      <c r="A47" t="s">
        <v>1</v>
      </c>
      <c r="B47" s="2" t="s">
        <v>1</v>
      </c>
      <c r="C47" s="19" t="s">
        <v>1</v>
      </c>
      <c r="D47" s="2" t="s">
        <v>1</v>
      </c>
      <c r="E47" s="2" t="s">
        <v>1</v>
      </c>
      <c r="F47" s="2" t="s">
        <v>1</v>
      </c>
      <c r="G47" s="11" t="s">
        <v>1</v>
      </c>
      <c r="H47" s="11" t="s">
        <v>1</v>
      </c>
      <c r="I47" s="11" t="s">
        <v>1</v>
      </c>
      <c r="J47" s="11" t="s">
        <v>1</v>
      </c>
      <c r="K47" s="11" t="s">
        <v>1</v>
      </c>
      <c r="L47" s="11" t="s">
        <v>1</v>
      </c>
      <c r="M47" s="11" t="s">
        <v>1</v>
      </c>
      <c r="N47" s="11" t="s">
        <v>1</v>
      </c>
      <c r="O47" s="11" t="s">
        <v>1</v>
      </c>
    </row>
    <row r="48" ht="15.75" customHeight="1" spans="1:15">
      <c r="A48" s="8" t="s">
        <v>146</v>
      </c>
      <c r="B48" s="2" t="s">
        <v>1</v>
      </c>
      <c r="C48" s="19" t="s">
        <v>1</v>
      </c>
      <c r="D48" s="2" t="s">
        <v>1</v>
      </c>
      <c r="E48" s="2" t="s">
        <v>1</v>
      </c>
      <c r="F48" s="2" t="s">
        <v>1</v>
      </c>
      <c r="G48" s="11" t="s">
        <v>1</v>
      </c>
      <c r="H48" s="11" t="s">
        <v>1</v>
      </c>
      <c r="I48" s="11" t="s">
        <v>1</v>
      </c>
      <c r="J48" s="11" t="s">
        <v>1</v>
      </c>
      <c r="K48" s="11" t="s">
        <v>1</v>
      </c>
      <c r="L48" s="11" t="s">
        <v>1</v>
      </c>
      <c r="M48" s="11" t="s">
        <v>1</v>
      </c>
      <c r="N48" s="11" t="s">
        <v>1</v>
      </c>
      <c r="O48" s="11" t="s">
        <v>1</v>
      </c>
    </row>
    <row r="49" ht="15.75" customHeight="1" spans="1:15">
      <c r="A49" s="8" t="s">
        <v>147</v>
      </c>
      <c r="B49" s="2" t="s">
        <v>1</v>
      </c>
      <c r="C49" s="19" t="s">
        <v>1</v>
      </c>
      <c r="D49" s="2" t="s">
        <v>1</v>
      </c>
      <c r="E49" s="2" t="s">
        <v>1</v>
      </c>
      <c r="F49" s="2" t="s">
        <v>1</v>
      </c>
      <c r="G49" s="11" t="s">
        <v>1</v>
      </c>
      <c r="H49" s="11" t="s">
        <v>1</v>
      </c>
      <c r="I49" s="11" t="s">
        <v>1</v>
      </c>
      <c r="J49" s="11" t="s">
        <v>1</v>
      </c>
      <c r="K49" s="11" t="s">
        <v>1</v>
      </c>
      <c r="L49" s="11" t="s">
        <v>1</v>
      </c>
      <c r="M49" s="11" t="s">
        <v>1</v>
      </c>
      <c r="N49" s="11" t="s">
        <v>1</v>
      </c>
      <c r="O49" s="11" t="s">
        <v>1</v>
      </c>
    </row>
    <row r="50" ht="18.5" spans="1:15">
      <c r="A50" s="8" t="s">
        <v>1</v>
      </c>
      <c r="B50" s="2" t="s">
        <v>1</v>
      </c>
      <c r="C50" s="19" t="s">
        <v>1</v>
      </c>
      <c r="D50" s="2" t="s">
        <v>1</v>
      </c>
      <c r="E50" s="2" t="s">
        <v>1</v>
      </c>
      <c r="F50" s="2" t="s">
        <v>1</v>
      </c>
      <c r="G50" s="11" t="s">
        <v>1</v>
      </c>
      <c r="H50" s="11" t="s">
        <v>1</v>
      </c>
      <c r="I50" s="11" t="s">
        <v>1</v>
      </c>
      <c r="J50" s="11" t="s">
        <v>1</v>
      </c>
      <c r="K50" s="11" t="s">
        <v>1</v>
      </c>
      <c r="L50" s="11" t="s">
        <v>1</v>
      </c>
      <c r="M50" s="11" t="s">
        <v>1</v>
      </c>
      <c r="N50" s="11" t="s">
        <v>1</v>
      </c>
      <c r="O50" s="11" t="s">
        <v>1</v>
      </c>
    </row>
    <row r="51" ht="15.75" customHeight="1" spans="1:15">
      <c r="A51" s="8" t="s">
        <v>148</v>
      </c>
      <c r="B51" s="2" t="s">
        <v>1</v>
      </c>
      <c r="C51" s="19" t="s">
        <v>1</v>
      </c>
      <c r="D51" s="2" t="s">
        <v>1</v>
      </c>
      <c r="E51" s="2" t="s">
        <v>1</v>
      </c>
      <c r="F51" s="2" t="s">
        <v>1</v>
      </c>
      <c r="G51" s="11" t="s">
        <v>1</v>
      </c>
      <c r="H51" s="11" t="s">
        <v>1</v>
      </c>
      <c r="I51" s="11" t="s">
        <v>1</v>
      </c>
      <c r="J51" s="11" t="s">
        <v>1</v>
      </c>
      <c r="K51" s="11" t="s">
        <v>1</v>
      </c>
      <c r="L51" s="11" t="s">
        <v>1</v>
      </c>
      <c r="M51" s="11" t="s">
        <v>1</v>
      </c>
      <c r="N51" s="11" t="s">
        <v>1</v>
      </c>
      <c r="O51" s="11" t="s">
        <v>1</v>
      </c>
    </row>
  </sheetData>
  <pageMargins left="0.7" right="0.7" top="0.75" bottom="0.75" header="0.3" footer="0.3"/>
  <pageSetup paperSize="1" orientation="portrait"/>
  <headerFooter/>
  <ignoredErrors>
    <ignoredError sqref="A1:T71" evalError="1" twoDigitTextYear="1" numberStoredAsText="1" formula="1" formulaRange="1" unlockedFormula="1" emptyCellReference="1" listDataValidation="1" calculatedColumn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1"/>
  <sheetViews>
    <sheetView tabSelected="1" topLeftCell="A21" workbookViewId="0">
      <selection activeCell="A1" sqref="A1"/>
    </sheetView>
  </sheetViews>
  <sheetFormatPr defaultColWidth="9" defaultRowHeight="14"/>
  <cols>
    <col min="1" max="1" width="9.28181818181818" customWidth="1"/>
    <col min="2" max="2" width="20" customWidth="1"/>
    <col min="3" max="3" width="40" customWidth="1"/>
    <col min="4" max="4" width="42.1454545454545" customWidth="1"/>
    <col min="5" max="5" width="12.7181818181818" customWidth="1"/>
    <col min="6" max="6" width="10.8545454545455" customWidth="1"/>
    <col min="7" max="9" width="9.28181818181818" customWidth="1"/>
    <col min="10" max="12" width="10.8545454545455" customWidth="1"/>
    <col min="13" max="15" width="9.28181818181818" customWidth="1"/>
    <col min="16" max="18" width="11.8545454545455" customWidth="1"/>
    <col min="19" max="24" width="13.5727272727273" customWidth="1"/>
  </cols>
  <sheetData>
    <row r="1" ht="18.75" customHeight="1" spans="1:18">
      <c r="A1" s="1" t="s">
        <v>149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</row>
    <row r="2" ht="22.5" spans="1:18">
      <c r="A2" s="1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</row>
    <row r="3" ht="15.75" customHeight="1" spans="1:18">
      <c r="A3" s="3" t="s">
        <v>150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1</v>
      </c>
      <c r="R3" s="2" t="s">
        <v>1</v>
      </c>
    </row>
    <row r="4" ht="15.75" customHeight="1" spans="1:18">
      <c r="A4" s="4" t="s">
        <v>151</v>
      </c>
      <c r="B4" s="5" t="s">
        <v>152</v>
      </c>
      <c r="C4" s="5" t="s">
        <v>153</v>
      </c>
      <c r="D4" s="4" t="s">
        <v>154</v>
      </c>
      <c r="E4" s="5" t="s">
        <v>155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  <c r="K4" s="2" t="s">
        <v>1</v>
      </c>
      <c r="L4" s="2" t="s">
        <v>1</v>
      </c>
      <c r="M4" s="2" t="s">
        <v>1</v>
      </c>
      <c r="N4" s="2" t="s">
        <v>1</v>
      </c>
      <c r="O4" s="2" t="s">
        <v>1</v>
      </c>
      <c r="P4" s="2" t="s">
        <v>1</v>
      </c>
      <c r="Q4" s="2" t="s">
        <v>1</v>
      </c>
      <c r="R4" s="2" t="s">
        <v>1</v>
      </c>
    </row>
    <row r="5" ht="15.75" customHeight="1" spans="1:18">
      <c r="A5">
        <v>1</v>
      </c>
      <c r="B5" t="s">
        <v>156</v>
      </c>
      <c r="C5" s="6" t="s">
        <v>157</v>
      </c>
      <c r="D5" s="6" t="s">
        <v>158</v>
      </c>
      <c r="E5" t="s">
        <v>159</v>
      </c>
      <c r="F5" s="2" t="s">
        <v>1</v>
      </c>
      <c r="G5" s="2" t="s">
        <v>1</v>
      </c>
      <c r="H5" s="2" t="s">
        <v>1</v>
      </c>
      <c r="I5" s="2" t="s">
        <v>1</v>
      </c>
      <c r="J5" s="2" t="s">
        <v>1</v>
      </c>
      <c r="K5" s="2" t="s">
        <v>1</v>
      </c>
      <c r="L5" s="2" t="s">
        <v>1</v>
      </c>
      <c r="M5" s="2" t="s">
        <v>1</v>
      </c>
      <c r="N5" s="2" t="s">
        <v>1</v>
      </c>
      <c r="O5" s="2" t="s">
        <v>1</v>
      </c>
      <c r="P5" s="2" t="s">
        <v>1</v>
      </c>
      <c r="Q5" s="2" t="s">
        <v>1</v>
      </c>
      <c r="R5" s="2" t="s">
        <v>1</v>
      </c>
    </row>
    <row r="6" ht="29.25" customHeight="1" spans="1:18">
      <c r="A6">
        <v>2</v>
      </c>
      <c r="B6" t="s">
        <v>160</v>
      </c>
      <c r="C6" s="6" t="s">
        <v>161</v>
      </c>
      <c r="D6" s="6" t="s">
        <v>162</v>
      </c>
      <c r="E6" t="s">
        <v>163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</row>
    <row r="7" ht="29.25" customHeight="1" spans="1:18">
      <c r="A7">
        <v>3</v>
      </c>
      <c r="B7" t="s">
        <v>164</v>
      </c>
      <c r="C7" s="6" t="s">
        <v>165</v>
      </c>
      <c r="D7" s="6" t="s">
        <v>166</v>
      </c>
      <c r="E7" t="s">
        <v>167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</row>
    <row r="8" ht="30" customHeight="1" spans="1:18">
      <c r="A8">
        <v>4</v>
      </c>
      <c r="B8" t="s">
        <v>168</v>
      </c>
      <c r="C8" s="7" t="s">
        <v>169</v>
      </c>
      <c r="D8" s="6" t="s">
        <v>170</v>
      </c>
      <c r="E8" t="s">
        <v>163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</row>
    <row r="9" ht="18.5" spans="1:18">
      <c r="A9" t="s">
        <v>1</v>
      </c>
      <c r="B9" t="s">
        <v>1</v>
      </c>
      <c r="C9" s="7" t="s">
        <v>1</v>
      </c>
      <c r="D9" s="6" t="s">
        <v>1</v>
      </c>
      <c r="E9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</row>
    <row r="10" ht="15.75" customHeight="1" spans="1:18">
      <c r="A10" s="8" t="s">
        <v>171</v>
      </c>
      <c r="B10" t="s">
        <v>1</v>
      </c>
      <c r="C10" s="7" t="s">
        <v>1</v>
      </c>
      <c r="D10" s="6" t="s">
        <v>1</v>
      </c>
      <c r="E10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</row>
    <row r="11" ht="15.75" customHeight="1" spans="1:18">
      <c r="A11" s="8" t="s">
        <v>172</v>
      </c>
      <c r="B11" t="s">
        <v>1</v>
      </c>
      <c r="C11" s="7" t="s">
        <v>1</v>
      </c>
      <c r="D11" s="6" t="s">
        <v>1</v>
      </c>
      <c r="E11" t="s">
        <v>1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</row>
    <row r="12" ht="18.5" spans="1:18">
      <c r="A12" s="8" t="s">
        <v>1</v>
      </c>
      <c r="B12" t="s">
        <v>1</v>
      </c>
      <c r="C12" s="7" t="s">
        <v>1</v>
      </c>
      <c r="D12" s="6" t="s">
        <v>1</v>
      </c>
      <c r="E1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2" t="s">
        <v>1</v>
      </c>
      <c r="M12" s="2" t="s">
        <v>1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</row>
    <row r="13" ht="15.75" customHeight="1" spans="1:18">
      <c r="A13" s="3" t="s">
        <v>173</v>
      </c>
      <c r="B13" s="2" t="s">
        <v>1</v>
      </c>
      <c r="C13" s="2" t="s">
        <v>1</v>
      </c>
      <c r="D13" s="2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</row>
    <row r="14" ht="15" customHeight="1" spans="1:18">
      <c r="A14" s="5" t="s">
        <v>174</v>
      </c>
      <c r="B14" s="5" t="s">
        <v>175</v>
      </c>
      <c r="C14" s="5" t="s">
        <v>176</v>
      </c>
      <c r="D14" s="5" t="s">
        <v>177</v>
      </c>
      <c r="E14" s="5" t="s">
        <v>139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</row>
    <row r="15" ht="15" customHeight="1" spans="1:18">
      <c r="A15" s="9" t="s">
        <v>178</v>
      </c>
      <c r="B15" s="10">
        <v>2</v>
      </c>
      <c r="C15" s="10">
        <v>6</v>
      </c>
      <c r="D15" s="11">
        <f>B15*C15</f>
        <v>12</v>
      </c>
      <c r="E15" t="s">
        <v>179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</row>
    <row r="16" ht="15" customHeight="1" spans="1:18">
      <c r="A16" s="9" t="s">
        <v>180</v>
      </c>
      <c r="B16" s="10">
        <v>3</v>
      </c>
      <c r="C16" s="10">
        <v>3</v>
      </c>
      <c r="D16" s="11">
        <f>B16*C16</f>
        <v>9</v>
      </c>
      <c r="E16" t="s">
        <v>1</v>
      </c>
      <c r="F16" s="2" t="s">
        <v>1</v>
      </c>
      <c r="G16" s="2" t="s">
        <v>1</v>
      </c>
      <c r="H16" s="2" t="s">
        <v>1</v>
      </c>
      <c r="I16" s="2" t="s">
        <v>1</v>
      </c>
      <c r="J16" s="2" t="s">
        <v>1</v>
      </c>
      <c r="K16" s="2" t="s">
        <v>1</v>
      </c>
      <c r="L16" s="2" t="s">
        <v>1</v>
      </c>
      <c r="M16" s="2" t="s">
        <v>1</v>
      </c>
      <c r="N16" s="2" t="s">
        <v>1</v>
      </c>
      <c r="O16" s="2" t="s">
        <v>1</v>
      </c>
      <c r="P16" s="2" t="s">
        <v>1</v>
      </c>
      <c r="Q16" s="2" t="s">
        <v>1</v>
      </c>
      <c r="R16" s="2" t="s">
        <v>1</v>
      </c>
    </row>
    <row r="17" ht="15" customHeight="1" spans="1:18">
      <c r="A17" s="9" t="s">
        <v>181</v>
      </c>
      <c r="B17" s="10">
        <v>5</v>
      </c>
      <c r="C17" s="10">
        <v>1</v>
      </c>
      <c r="D17" s="11">
        <f>B17*C17</f>
        <v>5</v>
      </c>
      <c r="E17" t="s">
        <v>182</v>
      </c>
      <c r="F17" s="2" t="s">
        <v>1</v>
      </c>
      <c r="G17" s="2" t="s">
        <v>1</v>
      </c>
      <c r="H17" s="2" t="s">
        <v>1</v>
      </c>
      <c r="I17" s="2" t="s">
        <v>1</v>
      </c>
      <c r="J17" s="2" t="s">
        <v>1</v>
      </c>
      <c r="K17" s="2" t="s">
        <v>1</v>
      </c>
      <c r="L17" s="2" t="s">
        <v>1</v>
      </c>
      <c r="M17" s="2" t="s">
        <v>1</v>
      </c>
      <c r="N17" s="2" t="s">
        <v>1</v>
      </c>
      <c r="O17" s="2" t="s">
        <v>1</v>
      </c>
      <c r="P17" s="2" t="s">
        <v>1</v>
      </c>
      <c r="Q17" s="2" t="s">
        <v>1</v>
      </c>
      <c r="R17" s="2" t="s">
        <v>1</v>
      </c>
    </row>
    <row r="18" ht="15" customHeight="1" spans="1:18">
      <c r="A18" s="12" t="s">
        <v>99</v>
      </c>
      <c r="B18" s="12" t="s">
        <v>1</v>
      </c>
      <c r="C18" s="13">
        <f>SUM(C15:C17)</f>
        <v>10</v>
      </c>
      <c r="D18" s="13">
        <f>SUM(D15:D17)</f>
        <v>26</v>
      </c>
      <c r="E18" t="s">
        <v>1</v>
      </c>
      <c r="F18" s="2" t="s">
        <v>1</v>
      </c>
      <c r="G18" s="2" t="s">
        <v>1</v>
      </c>
      <c r="H18" s="2" t="s">
        <v>1</v>
      </c>
      <c r="I18" s="2" t="s">
        <v>1</v>
      </c>
      <c r="J18" s="2" t="s">
        <v>1</v>
      </c>
      <c r="K18" s="2" t="s">
        <v>1</v>
      </c>
      <c r="L18" s="2" t="s">
        <v>1</v>
      </c>
      <c r="M18" s="2" t="s">
        <v>1</v>
      </c>
      <c r="N18" s="2" t="s">
        <v>1</v>
      </c>
      <c r="O18" s="2" t="s">
        <v>1</v>
      </c>
      <c r="P18" s="2" t="s">
        <v>1</v>
      </c>
      <c r="Q18" s="2" t="s">
        <v>1</v>
      </c>
      <c r="R18" s="2" t="s">
        <v>1</v>
      </c>
    </row>
    <row r="19" ht="18.5" spans="1:18">
      <c r="A19" s="12" t="s">
        <v>1</v>
      </c>
      <c r="B19" s="12" t="s">
        <v>1</v>
      </c>
      <c r="C19" s="13" t="s">
        <v>1</v>
      </c>
      <c r="D19" s="13" t="s">
        <v>1</v>
      </c>
      <c r="E19" t="s">
        <v>1</v>
      </c>
      <c r="F19" s="2" t="s">
        <v>1</v>
      </c>
      <c r="G19" s="2" t="s">
        <v>1</v>
      </c>
      <c r="H19" s="2" t="s">
        <v>1</v>
      </c>
      <c r="I19" s="2" t="s">
        <v>1</v>
      </c>
      <c r="J19" s="2" t="s">
        <v>1</v>
      </c>
      <c r="K19" s="2" t="s">
        <v>1</v>
      </c>
      <c r="L19" s="2" t="s">
        <v>1</v>
      </c>
      <c r="M19" s="2" t="s">
        <v>1</v>
      </c>
      <c r="N19" s="2" t="s">
        <v>1</v>
      </c>
      <c r="O19" s="2" t="s">
        <v>1</v>
      </c>
      <c r="P19" s="2" t="s">
        <v>1</v>
      </c>
      <c r="Q19" s="2" t="s">
        <v>1</v>
      </c>
      <c r="R19" s="2" t="s">
        <v>1</v>
      </c>
    </row>
    <row r="20" ht="15.75" customHeight="1" spans="1:18">
      <c r="A20" s="14" t="s">
        <v>183</v>
      </c>
      <c r="B20" s="15">
        <f>D18/C18</f>
        <v>2.6</v>
      </c>
      <c r="C20" s="13" t="s">
        <v>1</v>
      </c>
      <c r="D20" s="13" t="s">
        <v>1</v>
      </c>
      <c r="E20" t="s">
        <v>1</v>
      </c>
      <c r="F20" s="2" t="s">
        <v>1</v>
      </c>
      <c r="G20" s="2" t="s">
        <v>1</v>
      </c>
      <c r="H20" s="2" t="s">
        <v>1</v>
      </c>
      <c r="I20" s="2" t="s">
        <v>1</v>
      </c>
      <c r="J20" s="2" t="s">
        <v>1</v>
      </c>
      <c r="K20" s="2" t="s">
        <v>1</v>
      </c>
      <c r="L20" s="2" t="s">
        <v>1</v>
      </c>
      <c r="M20" s="2" t="s">
        <v>1</v>
      </c>
      <c r="N20" s="2" t="s">
        <v>1</v>
      </c>
      <c r="O20" s="2" t="s">
        <v>1</v>
      </c>
      <c r="P20" s="2" t="s">
        <v>1</v>
      </c>
      <c r="Q20" s="2" t="s">
        <v>1</v>
      </c>
      <c r="R20" s="2" t="s">
        <v>1</v>
      </c>
    </row>
    <row r="21" ht="18.5" spans="1:18">
      <c r="A21" s="14" t="s">
        <v>1</v>
      </c>
      <c r="B21" s="15" t="s">
        <v>1</v>
      </c>
      <c r="C21" s="13" t="s">
        <v>1</v>
      </c>
      <c r="D21" s="13" t="s">
        <v>1</v>
      </c>
      <c r="E21" t="s">
        <v>1</v>
      </c>
      <c r="F21" s="2" t="s">
        <v>1</v>
      </c>
      <c r="G21" s="2" t="s">
        <v>1</v>
      </c>
      <c r="H21" s="2" t="s">
        <v>1</v>
      </c>
      <c r="I21" s="2" t="s">
        <v>1</v>
      </c>
      <c r="J21" s="2" t="s">
        <v>1</v>
      </c>
      <c r="K21" s="2" t="s">
        <v>1</v>
      </c>
      <c r="L21" s="2" t="s">
        <v>1</v>
      </c>
      <c r="M21" s="2" t="s">
        <v>1</v>
      </c>
      <c r="N21" s="2" t="s">
        <v>1</v>
      </c>
      <c r="O21" s="2" t="s">
        <v>1</v>
      </c>
      <c r="P21" s="2" t="s">
        <v>1</v>
      </c>
      <c r="Q21" s="2" t="s">
        <v>1</v>
      </c>
      <c r="R21" s="2" t="s">
        <v>1</v>
      </c>
    </row>
    <row r="22" ht="15.75" customHeight="1" spans="1:18">
      <c r="A22" s="16" t="s">
        <v>184</v>
      </c>
      <c r="B22" s="15" t="s">
        <v>1</v>
      </c>
      <c r="C22" s="31">
        <f>RTP分解!$D$28</f>
        <v>0.2828078125</v>
      </c>
      <c r="D22" s="13" t="s">
        <v>1</v>
      </c>
      <c r="E22" t="s">
        <v>1</v>
      </c>
      <c r="F22" s="2" t="s">
        <v>1</v>
      </c>
      <c r="G22" s="2" t="s">
        <v>1</v>
      </c>
      <c r="H22" s="2" t="s">
        <v>1</v>
      </c>
      <c r="I22" s="2" t="s">
        <v>1</v>
      </c>
      <c r="J22" s="2" t="s">
        <v>1</v>
      </c>
      <c r="K22" s="2" t="s">
        <v>1</v>
      </c>
      <c r="L22" s="2" t="s">
        <v>1</v>
      </c>
      <c r="M22" s="2" t="s">
        <v>1</v>
      </c>
      <c r="N22" s="2" t="s">
        <v>1</v>
      </c>
      <c r="O22" s="2" t="s">
        <v>1</v>
      </c>
      <c r="P22" s="2" t="s">
        <v>1</v>
      </c>
      <c r="Q22" s="2" t="s">
        <v>1</v>
      </c>
      <c r="R22" s="2" t="s">
        <v>1</v>
      </c>
    </row>
    <row r="23" ht="15.75" customHeight="1" spans="1:18">
      <c r="A23" t="s">
        <v>185</v>
      </c>
      <c r="B23" s="15" t="s">
        <v>1</v>
      </c>
      <c r="C23" s="32">
        <f>C22*$B$20</f>
        <v>0.7353003125</v>
      </c>
      <c r="D23" s="13" t="s">
        <v>1</v>
      </c>
      <c r="E23" t="s">
        <v>1</v>
      </c>
      <c r="F23" s="2" t="s">
        <v>1</v>
      </c>
      <c r="G23" s="2" t="s">
        <v>1</v>
      </c>
      <c r="H23" s="2" t="s">
        <v>1</v>
      </c>
      <c r="I23" s="2" t="s">
        <v>1</v>
      </c>
      <c r="J23" s="2" t="s">
        <v>1</v>
      </c>
      <c r="K23" s="2" t="s">
        <v>1</v>
      </c>
      <c r="L23" s="2" t="s">
        <v>1</v>
      </c>
      <c r="M23" s="2" t="s">
        <v>1</v>
      </c>
      <c r="N23" s="2" t="s">
        <v>1</v>
      </c>
      <c r="O23" s="2" t="s">
        <v>1</v>
      </c>
      <c r="P23" s="2" t="s">
        <v>1</v>
      </c>
      <c r="Q23" s="2" t="s">
        <v>1</v>
      </c>
      <c r="R23" s="2" t="s">
        <v>1</v>
      </c>
    </row>
    <row r="24" ht="15.75" customHeight="1" spans="1:18">
      <c r="A24" t="s">
        <v>186</v>
      </c>
      <c r="B24" s="15" t="s">
        <v>1</v>
      </c>
      <c r="C24" s="32">
        <f>RTP分解!$D$27+C23+RTP分解!$D$29</f>
        <v>1.04931125</v>
      </c>
      <c r="D24" s="13" t="s">
        <v>1</v>
      </c>
      <c r="E24" t="s">
        <v>1</v>
      </c>
      <c r="F24" s="2" t="s">
        <v>1</v>
      </c>
      <c r="G24" s="2" t="s">
        <v>1</v>
      </c>
      <c r="H24" s="2" t="s">
        <v>1</v>
      </c>
      <c r="I24" s="2" t="s">
        <v>1</v>
      </c>
      <c r="J24" s="2" t="s">
        <v>1</v>
      </c>
      <c r="K24" s="2" t="s">
        <v>1</v>
      </c>
      <c r="L24" s="2" t="s">
        <v>1</v>
      </c>
      <c r="M24" s="2" t="s">
        <v>1</v>
      </c>
      <c r="N24" s="2" t="s">
        <v>1</v>
      </c>
      <c r="O24" s="2" t="s">
        <v>1</v>
      </c>
      <c r="P24" s="2" t="s">
        <v>1</v>
      </c>
      <c r="Q24" s="2" t="s">
        <v>1</v>
      </c>
      <c r="R24" s="2" t="s">
        <v>1</v>
      </c>
    </row>
    <row r="25" ht="15" customHeight="1" spans="1:18">
      <c r="A25" t="s">
        <v>187</v>
      </c>
      <c r="B25" s="15" t="s">
        <v>1</v>
      </c>
      <c r="C25" s="19">
        <f>C24/RTP分解!$D$30</f>
        <v>1.75817406876041</v>
      </c>
      <c r="D25" s="13" t="s">
        <v>1</v>
      </c>
      <c r="E25" t="s">
        <v>1</v>
      </c>
      <c r="F25" s="2" t="s">
        <v>1</v>
      </c>
      <c r="G25" s="2" t="s">
        <v>1</v>
      </c>
      <c r="H25" s="2" t="s">
        <v>1</v>
      </c>
      <c r="I25" s="2" t="s">
        <v>1</v>
      </c>
      <c r="J25" s="2" t="s">
        <v>1</v>
      </c>
      <c r="K25" s="2" t="s">
        <v>1</v>
      </c>
      <c r="L25" s="2" t="s">
        <v>1</v>
      </c>
      <c r="M25" s="2" t="s">
        <v>1</v>
      </c>
      <c r="N25" s="2" t="s">
        <v>1</v>
      </c>
      <c r="O25" s="2" t="s">
        <v>1</v>
      </c>
      <c r="P25" s="2" t="s">
        <v>1</v>
      </c>
      <c r="Q25" s="2" t="s">
        <v>1</v>
      </c>
      <c r="R25" s="2" t="s">
        <v>1</v>
      </c>
    </row>
    <row r="26" ht="18.5" spans="1:18">
      <c r="A26" t="s">
        <v>1</v>
      </c>
      <c r="B26" s="15" t="s">
        <v>1</v>
      </c>
      <c r="C26" s="19" t="s">
        <v>1</v>
      </c>
      <c r="D26" s="13" t="s">
        <v>1</v>
      </c>
      <c r="E26" t="s">
        <v>1</v>
      </c>
      <c r="F26" s="2" t="s">
        <v>1</v>
      </c>
      <c r="G26" s="2" t="s">
        <v>1</v>
      </c>
      <c r="H26" s="2" t="s">
        <v>1</v>
      </c>
      <c r="I26" s="2" t="s">
        <v>1</v>
      </c>
      <c r="J26" s="2" t="s">
        <v>1</v>
      </c>
      <c r="K26" s="2" t="s">
        <v>1</v>
      </c>
      <c r="L26" s="2" t="s">
        <v>1</v>
      </c>
      <c r="M26" s="2" t="s">
        <v>1</v>
      </c>
      <c r="N26" s="2" t="s">
        <v>1</v>
      </c>
      <c r="O26" s="2" t="s">
        <v>1</v>
      </c>
      <c r="P26" s="2" t="s">
        <v>1</v>
      </c>
      <c r="Q26" s="2" t="s">
        <v>1</v>
      </c>
      <c r="R26" s="2" t="s">
        <v>1</v>
      </c>
    </row>
    <row r="27" ht="15.75" customHeight="1" spans="1:18">
      <c r="A27" s="8" t="s">
        <v>188</v>
      </c>
      <c r="B27" s="15" t="s">
        <v>1</v>
      </c>
      <c r="C27" s="19" t="s">
        <v>1</v>
      </c>
      <c r="D27" s="13" t="s">
        <v>1</v>
      </c>
      <c r="E27" t="s">
        <v>1</v>
      </c>
      <c r="F27" s="2" t="s">
        <v>1</v>
      </c>
      <c r="G27" s="2" t="s">
        <v>1</v>
      </c>
      <c r="H27" s="2" t="s">
        <v>1</v>
      </c>
      <c r="I27" s="2" t="s">
        <v>1</v>
      </c>
      <c r="J27" s="2" t="s">
        <v>1</v>
      </c>
      <c r="K27" s="2" t="s">
        <v>1</v>
      </c>
      <c r="L27" s="2" t="s">
        <v>1</v>
      </c>
      <c r="M27" s="2" t="s">
        <v>1</v>
      </c>
      <c r="N27" s="2" t="s">
        <v>1</v>
      </c>
      <c r="O27" s="2" t="s">
        <v>1</v>
      </c>
      <c r="P27" s="2" t="s">
        <v>1</v>
      </c>
      <c r="Q27" s="2" t="s">
        <v>1</v>
      </c>
      <c r="R27" s="2" t="s">
        <v>1</v>
      </c>
    </row>
    <row r="28" ht="18.5" spans="1:18">
      <c r="A28" s="8" t="s">
        <v>1</v>
      </c>
      <c r="B28" s="15" t="s">
        <v>1</v>
      </c>
      <c r="C28" s="19" t="s">
        <v>1</v>
      </c>
      <c r="D28" s="13" t="s">
        <v>1</v>
      </c>
      <c r="E28" t="s">
        <v>1</v>
      </c>
      <c r="F28" s="2" t="s">
        <v>1</v>
      </c>
      <c r="G28" s="2" t="s">
        <v>1</v>
      </c>
      <c r="H28" s="2" t="s">
        <v>1</v>
      </c>
      <c r="I28" s="2" t="s">
        <v>1</v>
      </c>
      <c r="J28" s="2" t="s">
        <v>1</v>
      </c>
      <c r="K28" s="2" t="s">
        <v>1</v>
      </c>
      <c r="L28" s="2" t="s">
        <v>1</v>
      </c>
      <c r="M28" s="2" t="s">
        <v>1</v>
      </c>
      <c r="N28" s="2" t="s">
        <v>1</v>
      </c>
      <c r="O28" s="2" t="s">
        <v>1</v>
      </c>
      <c r="P28" s="2" t="s">
        <v>1</v>
      </c>
      <c r="Q28" s="2" t="s">
        <v>1</v>
      </c>
      <c r="R28" s="2" t="s">
        <v>1</v>
      </c>
    </row>
    <row r="29" ht="15.75" customHeight="1" spans="1:18">
      <c r="A29" s="3" t="s">
        <v>189</v>
      </c>
      <c r="B29" s="2" t="s">
        <v>1</v>
      </c>
      <c r="C29" s="2" t="s">
        <v>1</v>
      </c>
      <c r="D29" s="2" t="s">
        <v>1</v>
      </c>
      <c r="E29" s="2" t="s">
        <v>1</v>
      </c>
      <c r="F29" s="2" t="s">
        <v>1</v>
      </c>
      <c r="G29" s="2" t="s">
        <v>1</v>
      </c>
      <c r="H29" s="2" t="s">
        <v>1</v>
      </c>
      <c r="I29" s="2" t="s">
        <v>1</v>
      </c>
      <c r="J29" s="2" t="s">
        <v>1</v>
      </c>
      <c r="K29" s="2" t="s">
        <v>1</v>
      </c>
      <c r="L29" s="2" t="s">
        <v>1</v>
      </c>
      <c r="M29" s="2" t="s">
        <v>1</v>
      </c>
      <c r="N29" s="2" t="s">
        <v>1</v>
      </c>
      <c r="O29" s="2" t="s">
        <v>1</v>
      </c>
      <c r="P29" s="2" t="s">
        <v>1</v>
      </c>
      <c r="Q29" s="2" t="s">
        <v>1</v>
      </c>
      <c r="R29" s="2" t="s">
        <v>1</v>
      </c>
    </row>
    <row r="30" ht="15.75" customHeight="1" spans="1:18">
      <c r="A30" t="s">
        <v>190</v>
      </c>
      <c r="B30" s="10">
        <v>3</v>
      </c>
      <c r="C30" s="2" t="s">
        <v>1</v>
      </c>
      <c r="D30" s="2" t="s">
        <v>1</v>
      </c>
      <c r="E30" s="2" t="s">
        <v>1</v>
      </c>
      <c r="F30" s="2" t="s">
        <v>1</v>
      </c>
      <c r="G30" s="2" t="s">
        <v>1</v>
      </c>
      <c r="H30" s="2" t="s">
        <v>1</v>
      </c>
      <c r="I30" s="2" t="s">
        <v>1</v>
      </c>
      <c r="J30" s="2" t="s">
        <v>1</v>
      </c>
      <c r="K30" s="2" t="s">
        <v>1</v>
      </c>
      <c r="L30" s="2" t="s">
        <v>1</v>
      </c>
      <c r="M30" s="2" t="s">
        <v>1</v>
      </c>
      <c r="N30" s="2" t="s">
        <v>1</v>
      </c>
      <c r="O30" s="2" t="s">
        <v>1</v>
      </c>
      <c r="P30" s="2" t="s">
        <v>1</v>
      </c>
      <c r="Q30" s="2" t="s">
        <v>1</v>
      </c>
      <c r="R30" s="2" t="s">
        <v>1</v>
      </c>
    </row>
    <row r="31" ht="15.75" customHeight="1" spans="1:18">
      <c r="A31" t="s">
        <v>191</v>
      </c>
      <c r="B31" s="20">
        <v>0.15</v>
      </c>
      <c r="C31" s="2" t="s">
        <v>1</v>
      </c>
      <c r="D31" s="2" t="s">
        <v>1</v>
      </c>
      <c r="E31" s="2" t="s">
        <v>1</v>
      </c>
      <c r="F31" s="2" t="s">
        <v>1</v>
      </c>
      <c r="G31" s="2" t="s">
        <v>1</v>
      </c>
      <c r="H31" s="2" t="s">
        <v>1</v>
      </c>
      <c r="I31" s="2" t="s">
        <v>1</v>
      </c>
      <c r="J31" s="2" t="s">
        <v>1</v>
      </c>
      <c r="K31" s="2" t="s">
        <v>1</v>
      </c>
      <c r="L31" s="2" t="s">
        <v>1</v>
      </c>
      <c r="M31" s="2" t="s">
        <v>1</v>
      </c>
      <c r="N31" s="2" t="s">
        <v>1</v>
      </c>
      <c r="O31" s="2" t="s">
        <v>1</v>
      </c>
      <c r="P31" s="2" t="s">
        <v>1</v>
      </c>
      <c r="Q31" s="2" t="s">
        <v>1</v>
      </c>
      <c r="R31" s="2" t="s">
        <v>1</v>
      </c>
    </row>
    <row r="32" ht="15.75" customHeight="1" spans="1:18">
      <c r="A32" s="5" t="s">
        <v>82</v>
      </c>
      <c r="B32" s="4" t="s">
        <v>192</v>
      </c>
      <c r="C32" s="4" t="s">
        <v>193</v>
      </c>
      <c r="D32" s="4" t="s">
        <v>194</v>
      </c>
      <c r="E32" s="4" t="s">
        <v>195</v>
      </c>
      <c r="F32" s="4" t="s">
        <v>196</v>
      </c>
      <c r="G32" s="4" t="s">
        <v>197</v>
      </c>
      <c r="H32" s="4" t="s">
        <v>198</v>
      </c>
      <c r="I32" s="4" t="s">
        <v>90</v>
      </c>
      <c r="J32" s="4" t="s">
        <v>199</v>
      </c>
      <c r="K32" s="4" t="s">
        <v>200</v>
      </c>
      <c r="L32" s="4" t="s">
        <v>201</v>
      </c>
      <c r="M32" s="5" t="s">
        <v>94</v>
      </c>
      <c r="N32" s="5" t="s">
        <v>95</v>
      </c>
      <c r="O32" s="5" t="s">
        <v>96</v>
      </c>
      <c r="P32" s="5" t="s">
        <v>202</v>
      </c>
      <c r="Q32" s="5" t="s">
        <v>203</v>
      </c>
      <c r="R32" s="5" t="s">
        <v>204</v>
      </c>
    </row>
    <row r="33" ht="15" customHeight="1" spans="1:18">
      <c r="A33" s="16" t="s">
        <v>66</v>
      </c>
      <c r="B33" s="11">
        <f>IF($B$30=1,滚轴与赔付!$B$25,RTP分解!B14)</f>
        <v>1</v>
      </c>
      <c r="C33" s="11">
        <f>IF($B$30=2,滚轴与赔付!$C$25,RTP分解!C14)</f>
        <v>4</v>
      </c>
      <c r="D33" s="11">
        <f>IF($B$30=3,滚轴与赔付!$D$25,RTP分解!D14)</f>
        <v>20</v>
      </c>
      <c r="E33" s="11">
        <f>IF($B$30=4,滚轴与赔付!$E$25,RTP分解!E14)</f>
        <v>4</v>
      </c>
      <c r="F33" s="11">
        <f>IF($B$30=5,滚轴与赔付!$F$25,RTP分解!F14)</f>
        <v>4</v>
      </c>
      <c r="G33" s="11">
        <f>滚轴与赔付!$E$25-E33</f>
        <v>16</v>
      </c>
      <c r="H33" s="11">
        <f>滚轴与赔付!$F$25-F33</f>
        <v>16</v>
      </c>
      <c r="I33" s="11">
        <f>滚轴与赔付!$F$25</f>
        <v>20</v>
      </c>
      <c r="J33" s="11">
        <f>B33*C33*D33*E33*F33</f>
        <v>1280</v>
      </c>
      <c r="K33" s="11">
        <f>B33*C33*D33*E33*H33</f>
        <v>5120</v>
      </c>
      <c r="L33" s="11">
        <f>B33*C33*D33*G33*I33</f>
        <v>25600</v>
      </c>
      <c r="M33" s="11">
        <f>VLOOKUP($A33,滚轴与赔付!$A$41:$D$45,4,FALSE())</f>
        <v>100</v>
      </c>
      <c r="N33" s="11">
        <f>VLOOKUP($A33,滚轴与赔付!$A$41:$D$45,3,FALSE())</f>
        <v>30</v>
      </c>
      <c r="O33" s="11">
        <f>VLOOKUP($A33,滚轴与赔付!$A$41:$D$45,2,FALSE())</f>
        <v>5</v>
      </c>
      <c r="P33" s="31">
        <f>RTP分解!$P$14</f>
        <v>0.0256</v>
      </c>
      <c r="Q33" s="31">
        <f>(J33*M33+K33*N33+L33*O33)/滚轴与赔付!$H$25</f>
        <v>0.128</v>
      </c>
      <c r="R33" s="31">
        <f>(1-$B$31)*P33+$B$31*Q33</f>
        <v>0.04096</v>
      </c>
    </row>
    <row r="34" ht="15" customHeight="1" spans="1:18">
      <c r="A34" s="16" t="s">
        <v>67</v>
      </c>
      <c r="B34" s="11">
        <f>IF($B$30=1,滚轴与赔付!$B$25,RTP分解!B15)</f>
        <v>3</v>
      </c>
      <c r="C34" s="11">
        <f>IF($B$30=2,滚轴与赔付!$C$25,RTP分解!C15)</f>
        <v>4</v>
      </c>
      <c r="D34" s="11">
        <f>IF($B$30=3,滚轴与赔付!$D$25,RTP分解!D15)</f>
        <v>20</v>
      </c>
      <c r="E34" s="11">
        <f>IF($B$30=4,滚轴与赔付!$E$25,RTP分解!E15)</f>
        <v>4</v>
      </c>
      <c r="F34" s="11">
        <f>IF($B$30=5,滚轴与赔付!$F$25,RTP分解!F15)</f>
        <v>4</v>
      </c>
      <c r="G34" s="11">
        <f>滚轴与赔付!$E$25-E34</f>
        <v>16</v>
      </c>
      <c r="H34" s="11">
        <f>滚轴与赔付!$F$25-F34</f>
        <v>16</v>
      </c>
      <c r="I34" s="11">
        <f>滚轴与赔付!$F$25</f>
        <v>20</v>
      </c>
      <c r="J34" s="11">
        <f>B34*C34*D34*E34*F34</f>
        <v>3840</v>
      </c>
      <c r="K34" s="11">
        <f>B34*C34*D34*E34*H34</f>
        <v>15360</v>
      </c>
      <c r="L34" s="11">
        <f>B34*C34*D34*G34*I34</f>
        <v>76800</v>
      </c>
      <c r="M34" s="11">
        <f>VLOOKUP($A34,滚轴与赔付!$A$41:$D$45,4,FALSE())</f>
        <v>100</v>
      </c>
      <c r="N34" s="11">
        <f>VLOOKUP($A34,滚轴与赔付!$A$41:$D$45,3,FALSE())</f>
        <v>25</v>
      </c>
      <c r="O34" s="11">
        <f>VLOOKUP($A34,滚轴与赔付!$A$41:$D$45,2,FALSE())</f>
        <v>5</v>
      </c>
      <c r="P34" s="31">
        <f>RTP分解!$P$15</f>
        <v>0.072</v>
      </c>
      <c r="Q34" s="31">
        <f>(J34*M34+K34*N34+L34*O34)/滚轴与赔付!$H$25</f>
        <v>0.36</v>
      </c>
      <c r="R34" s="31">
        <f>(1-$B$31)*P34+$B$31*Q34</f>
        <v>0.1152</v>
      </c>
    </row>
    <row r="35" ht="15" customHeight="1" spans="1:18">
      <c r="A35" s="16" t="s">
        <v>69</v>
      </c>
      <c r="B35" s="11">
        <f>IF($B$30=1,滚轴与赔付!$B$25,RTP分解!B16)</f>
        <v>4</v>
      </c>
      <c r="C35" s="11">
        <f>IF($B$30=2,滚轴与赔付!$C$25,RTP分解!C16)</f>
        <v>6</v>
      </c>
      <c r="D35" s="11">
        <f>IF($B$30=3,滚轴与赔付!$D$25,RTP分解!D16)</f>
        <v>20</v>
      </c>
      <c r="E35" s="11">
        <f>IF($B$30=4,滚轴与赔付!$E$25,RTP分解!E16)</f>
        <v>5</v>
      </c>
      <c r="F35" s="11">
        <f>IF($B$30=5,滚轴与赔付!$F$25,RTP分解!F16)</f>
        <v>5</v>
      </c>
      <c r="G35" s="11">
        <f>滚轴与赔付!$E$25-E35</f>
        <v>15</v>
      </c>
      <c r="H35" s="11">
        <f>滚轴与赔付!$F$25-F35</f>
        <v>15</v>
      </c>
      <c r="I35" s="11">
        <f>滚轴与赔付!$F$25</f>
        <v>20</v>
      </c>
      <c r="J35" s="11">
        <f>B35*C35*D35*E35*F35</f>
        <v>12000</v>
      </c>
      <c r="K35" s="11">
        <f>B35*C35*D35*E35*H35</f>
        <v>36000</v>
      </c>
      <c r="L35" s="11">
        <f>B35*C35*D35*G35*I35</f>
        <v>144000</v>
      </c>
      <c r="M35" s="11">
        <f>VLOOKUP($A35,滚轴与赔付!$A$41:$D$45,4,FALSE())</f>
        <v>75</v>
      </c>
      <c r="N35" s="11">
        <f>VLOOKUP($A35,滚轴与赔付!$A$41:$D$45,3,FALSE())</f>
        <v>20</v>
      </c>
      <c r="O35" s="11">
        <f>VLOOKUP($A35,滚轴与赔付!$A$41:$D$45,2,FALSE())</f>
        <v>5</v>
      </c>
      <c r="P35" s="31">
        <f>RTP分解!$P$16</f>
        <v>0.1828125</v>
      </c>
      <c r="Q35" s="31">
        <f>(J35*M35+K35*N35+L35*O35)/滚轴与赔付!$H$25</f>
        <v>0.73125</v>
      </c>
      <c r="R35" s="31">
        <f>(1-$B$31)*P35+$B$31*Q35</f>
        <v>0.265078125</v>
      </c>
    </row>
    <row r="36" ht="15" customHeight="1" spans="1:18">
      <c r="A36" s="16">
        <v>10</v>
      </c>
      <c r="B36" s="11">
        <f>IF($B$30=1,滚轴与赔付!$B$25,RTP分解!B17)</f>
        <v>5</v>
      </c>
      <c r="C36" s="11">
        <f>IF($B$30=2,滚轴与赔付!$C$25,RTP分解!C17)</f>
        <v>4</v>
      </c>
      <c r="D36" s="11">
        <f>IF($B$30=3,滚轴与赔付!$D$25,RTP分解!D17)</f>
        <v>20</v>
      </c>
      <c r="E36" s="11">
        <f>IF($B$30=4,滚轴与赔付!$E$25,RTP分解!E17)</f>
        <v>5</v>
      </c>
      <c r="F36" s="11">
        <f>IF($B$30=5,滚轴与赔付!$F$25,RTP分解!F17)</f>
        <v>5</v>
      </c>
      <c r="G36" s="11">
        <f>滚轴与赔付!$E$25-E36</f>
        <v>15</v>
      </c>
      <c r="H36" s="11">
        <f>滚轴与赔付!$F$25-F36</f>
        <v>15</v>
      </c>
      <c r="I36" s="11">
        <f>滚轴与赔付!$F$25</f>
        <v>20</v>
      </c>
      <c r="J36" s="11">
        <f>B36*C36*D36*E36*F36</f>
        <v>10000</v>
      </c>
      <c r="K36" s="11">
        <f>B36*C36*D36*E36*H36</f>
        <v>30000</v>
      </c>
      <c r="L36" s="11">
        <f>B36*C36*D36*G36*I36</f>
        <v>120000</v>
      </c>
      <c r="M36" s="11">
        <f>VLOOKUP($A36,滚轴与赔付!$A$41:$D$45,4,FALSE())</f>
        <v>75</v>
      </c>
      <c r="N36" s="11">
        <f>VLOOKUP($A36,滚轴与赔付!$A$41:$D$45,3,FALSE())</f>
        <v>20</v>
      </c>
      <c r="O36" s="11">
        <f>VLOOKUP($A36,滚轴与赔付!$A$41:$D$45,2,FALSE())</f>
        <v>5</v>
      </c>
      <c r="P36" s="31">
        <f>RTP分解!$P$17</f>
        <v>0.15234375</v>
      </c>
      <c r="Q36" s="31">
        <f>(J36*M36+K36*N36+L36*O36)/滚轴与赔付!$H$25</f>
        <v>0.609375</v>
      </c>
      <c r="R36" s="31">
        <f>(1-$B$31)*P36+$B$31*Q36</f>
        <v>0.2208984375</v>
      </c>
    </row>
    <row r="37" ht="15" customHeight="1" spans="1:18">
      <c r="A37" s="16">
        <v>9</v>
      </c>
      <c r="B37" s="11">
        <f>IF($B$30=1,滚轴与赔付!$B$25,RTP分解!B18)</f>
        <v>6</v>
      </c>
      <c r="C37" s="11">
        <f>IF($B$30=2,滚轴与赔付!$C$25,RTP分解!C18)</f>
        <v>5</v>
      </c>
      <c r="D37" s="11">
        <f>IF($B$30=3,滚轴与赔付!$D$25,RTP分解!D18)</f>
        <v>20</v>
      </c>
      <c r="E37" s="11">
        <f>IF($B$30=4,滚轴与赔付!$E$25,RTP分解!E18)</f>
        <v>5</v>
      </c>
      <c r="F37" s="11">
        <f>IF($B$30=5,滚轴与赔付!$F$25,RTP分解!F18)</f>
        <v>5</v>
      </c>
      <c r="G37" s="11">
        <f>滚轴与赔付!$E$25-E37</f>
        <v>15</v>
      </c>
      <c r="H37" s="11">
        <f>滚轴与赔付!$F$25-F37</f>
        <v>15</v>
      </c>
      <c r="I37" s="11">
        <f>滚轴与赔付!$F$25</f>
        <v>20</v>
      </c>
      <c r="J37" s="11">
        <f>B37*C37*D37*E37*F37</f>
        <v>15000</v>
      </c>
      <c r="K37" s="11">
        <f>B37*C37*D37*E37*H37</f>
        <v>45000</v>
      </c>
      <c r="L37" s="11">
        <f>B37*C37*D37*G37*I37</f>
        <v>180000</v>
      </c>
      <c r="M37" s="11">
        <f>VLOOKUP($A37,滚轴与赔付!$A$41:$D$45,4,FALSE())</f>
        <v>50</v>
      </c>
      <c r="N37" s="11">
        <f>VLOOKUP($A37,滚轴与赔付!$A$41:$D$45,3,FALSE())</f>
        <v>10</v>
      </c>
      <c r="O37" s="11">
        <f>VLOOKUP($A37,滚轴与赔付!$A$41:$D$45,2,FALSE())</f>
        <v>5</v>
      </c>
      <c r="P37" s="31">
        <f>RTP分解!$P$18</f>
        <v>0.1640625</v>
      </c>
      <c r="Q37" s="31">
        <f>(J37*M37+K37*N37+L37*O37)/滚轴与赔付!$H$25</f>
        <v>0.65625</v>
      </c>
      <c r="R37" s="31">
        <f>(1-$B$31)*P37+$B$31*Q37</f>
        <v>0.237890625</v>
      </c>
    </row>
    <row r="38" ht="15" customHeight="1" spans="1:18">
      <c r="A38" s="12" t="s">
        <v>99</v>
      </c>
      <c r="B38" s="12" t="s">
        <v>1</v>
      </c>
      <c r="C38" s="12" t="s">
        <v>1</v>
      </c>
      <c r="D38" s="12" t="s">
        <v>1</v>
      </c>
      <c r="E38" s="12" t="s">
        <v>1</v>
      </c>
      <c r="F38" s="12" t="s">
        <v>1</v>
      </c>
      <c r="G38" s="12" t="s">
        <v>1</v>
      </c>
      <c r="H38" s="12" t="s">
        <v>1</v>
      </c>
      <c r="I38" s="12" t="s">
        <v>1</v>
      </c>
      <c r="J38" s="12" t="s">
        <v>1</v>
      </c>
      <c r="K38" s="12" t="s">
        <v>1</v>
      </c>
      <c r="L38" s="12" t="s">
        <v>1</v>
      </c>
      <c r="M38" s="12" t="s">
        <v>1</v>
      </c>
      <c r="N38" s="12" t="s">
        <v>1</v>
      </c>
      <c r="O38" s="12" t="s">
        <v>1</v>
      </c>
      <c r="P38" s="34">
        <f>SUM(P33:P37)</f>
        <v>0.59681875</v>
      </c>
      <c r="Q38" s="34">
        <f>SUM(Q33:Q37)</f>
        <v>2.484875</v>
      </c>
      <c r="R38" s="32">
        <f>SUM(R33:R37)</f>
        <v>0.8800271875</v>
      </c>
    </row>
    <row r="39" ht="15" customHeight="1" spans="1:18">
      <c r="A39" s="22" t="s">
        <v>205</v>
      </c>
      <c r="B39" s="12" t="s">
        <v>1</v>
      </c>
      <c r="C39" s="19">
        <f>R38/P38</f>
        <v>1.47453006042454</v>
      </c>
      <c r="D39" s="12" t="s">
        <v>1</v>
      </c>
      <c r="E39" s="12" t="s">
        <v>1</v>
      </c>
      <c r="F39" s="12" t="s">
        <v>1</v>
      </c>
      <c r="G39" s="12" t="s">
        <v>1</v>
      </c>
      <c r="H39" s="12" t="s">
        <v>1</v>
      </c>
      <c r="I39" s="12" t="s">
        <v>1</v>
      </c>
      <c r="J39" s="12" t="s">
        <v>1</v>
      </c>
      <c r="K39" s="12" t="s">
        <v>1</v>
      </c>
      <c r="L39" s="12" t="s">
        <v>1</v>
      </c>
      <c r="M39" s="12" t="s">
        <v>1</v>
      </c>
      <c r="N39" s="12" t="s">
        <v>1</v>
      </c>
      <c r="O39" s="12" t="s">
        <v>1</v>
      </c>
      <c r="P39" s="21" t="s">
        <v>1</v>
      </c>
      <c r="Q39" s="21" t="s">
        <v>1</v>
      </c>
      <c r="R39" s="18" t="s">
        <v>1</v>
      </c>
    </row>
    <row r="40" ht="18.5" spans="1:18">
      <c r="A40" s="22" t="s">
        <v>1</v>
      </c>
      <c r="B40" s="12" t="s">
        <v>1</v>
      </c>
      <c r="C40" s="19" t="s">
        <v>1</v>
      </c>
      <c r="D40" s="12" t="s">
        <v>1</v>
      </c>
      <c r="E40" s="12" t="s">
        <v>1</v>
      </c>
      <c r="F40" s="12" t="s">
        <v>1</v>
      </c>
      <c r="G40" s="12" t="s">
        <v>1</v>
      </c>
      <c r="H40" s="12" t="s">
        <v>1</v>
      </c>
      <c r="I40" s="12" t="s">
        <v>1</v>
      </c>
      <c r="J40" s="12" t="s">
        <v>1</v>
      </c>
      <c r="K40" s="12" t="s">
        <v>1</v>
      </c>
      <c r="L40" s="12" t="s">
        <v>1</v>
      </c>
      <c r="M40" s="12" t="s">
        <v>1</v>
      </c>
      <c r="N40" s="12" t="s">
        <v>1</v>
      </c>
      <c r="O40" s="12" t="s">
        <v>1</v>
      </c>
      <c r="P40" s="21" t="s">
        <v>1</v>
      </c>
      <c r="Q40" s="21" t="s">
        <v>1</v>
      </c>
      <c r="R40" s="18" t="s">
        <v>1</v>
      </c>
    </row>
    <row r="41" ht="15.75" customHeight="1" spans="1:18">
      <c r="A41" s="8" t="s">
        <v>206</v>
      </c>
      <c r="B41" s="12" t="s">
        <v>1</v>
      </c>
      <c r="C41" s="19" t="s">
        <v>1</v>
      </c>
      <c r="D41" s="12" t="s">
        <v>1</v>
      </c>
      <c r="E41" s="12" t="s">
        <v>1</v>
      </c>
      <c r="F41" s="12" t="s">
        <v>1</v>
      </c>
      <c r="G41" s="12" t="s">
        <v>1</v>
      </c>
      <c r="H41" s="12" t="s">
        <v>1</v>
      </c>
      <c r="I41" s="12" t="s">
        <v>1</v>
      </c>
      <c r="J41" s="12" t="s">
        <v>1</v>
      </c>
      <c r="K41" s="12" t="s">
        <v>1</v>
      </c>
      <c r="L41" s="12" t="s">
        <v>1</v>
      </c>
      <c r="M41" s="12" t="s">
        <v>1</v>
      </c>
      <c r="N41" s="12" t="s">
        <v>1</v>
      </c>
      <c r="O41" s="12" t="s">
        <v>1</v>
      </c>
      <c r="P41" s="21" t="s">
        <v>1</v>
      </c>
      <c r="Q41" s="21" t="s">
        <v>1</v>
      </c>
      <c r="R41" s="18" t="s">
        <v>1</v>
      </c>
    </row>
    <row r="42" ht="18.5" spans="1:18">
      <c r="A42" s="8" t="s">
        <v>1</v>
      </c>
      <c r="B42" s="12" t="s">
        <v>1</v>
      </c>
      <c r="C42" s="19" t="s">
        <v>1</v>
      </c>
      <c r="D42" s="12" t="s">
        <v>1</v>
      </c>
      <c r="E42" s="12" t="s">
        <v>1</v>
      </c>
      <c r="F42" s="12" t="s">
        <v>1</v>
      </c>
      <c r="G42" s="12" t="s">
        <v>1</v>
      </c>
      <c r="H42" s="12" t="s">
        <v>1</v>
      </c>
      <c r="I42" s="12" t="s">
        <v>1</v>
      </c>
      <c r="J42" s="12" t="s">
        <v>1</v>
      </c>
      <c r="K42" s="12" t="s">
        <v>1</v>
      </c>
      <c r="L42" s="12" t="s">
        <v>1</v>
      </c>
      <c r="M42" s="12" t="s">
        <v>1</v>
      </c>
      <c r="N42" s="12" t="s">
        <v>1</v>
      </c>
      <c r="O42" s="12" t="s">
        <v>1</v>
      </c>
      <c r="P42" s="21" t="s">
        <v>1</v>
      </c>
      <c r="Q42" s="21" t="s">
        <v>1</v>
      </c>
      <c r="R42" s="18" t="s">
        <v>1</v>
      </c>
    </row>
    <row r="43" ht="15.75" customHeight="1" spans="1:18">
      <c r="A43" s="3" t="s">
        <v>207</v>
      </c>
      <c r="B43" s="2" t="s">
        <v>1</v>
      </c>
      <c r="C43" s="2" t="s">
        <v>1</v>
      </c>
      <c r="D43" s="2" t="s">
        <v>1</v>
      </c>
      <c r="E43" s="2" t="s">
        <v>1</v>
      </c>
      <c r="F43" s="12" t="s">
        <v>1</v>
      </c>
      <c r="G43" s="12" t="s">
        <v>1</v>
      </c>
      <c r="H43" s="12" t="s">
        <v>1</v>
      </c>
      <c r="I43" s="12" t="s">
        <v>1</v>
      </c>
      <c r="J43" s="12" t="s">
        <v>1</v>
      </c>
      <c r="K43" s="12" t="s">
        <v>1</v>
      </c>
      <c r="L43" s="12" t="s">
        <v>1</v>
      </c>
      <c r="M43" s="12" t="s">
        <v>1</v>
      </c>
      <c r="N43" s="12" t="s">
        <v>1</v>
      </c>
      <c r="O43" s="12" t="s">
        <v>1</v>
      </c>
      <c r="P43" s="21" t="s">
        <v>1</v>
      </c>
      <c r="Q43" s="21" t="s">
        <v>1</v>
      </c>
      <c r="R43" s="18" t="s">
        <v>1</v>
      </c>
    </row>
    <row r="44" ht="15.75" customHeight="1" spans="1:18">
      <c r="A44" t="s">
        <v>208</v>
      </c>
      <c r="B44" s="20">
        <v>0.12</v>
      </c>
      <c r="C44" s="2" t="s">
        <v>1</v>
      </c>
      <c r="D44" s="2" t="s">
        <v>1</v>
      </c>
      <c r="E44" s="2" t="s">
        <v>1</v>
      </c>
      <c r="F44" s="12" t="s">
        <v>1</v>
      </c>
      <c r="G44" s="12" t="s">
        <v>1</v>
      </c>
      <c r="H44" s="12" t="s">
        <v>1</v>
      </c>
      <c r="I44" s="12" t="s">
        <v>1</v>
      </c>
      <c r="J44" s="12" t="s">
        <v>1</v>
      </c>
      <c r="K44" s="12" t="s">
        <v>1</v>
      </c>
      <c r="L44" s="12" t="s">
        <v>1</v>
      </c>
      <c r="M44" s="12" t="s">
        <v>1</v>
      </c>
      <c r="N44" s="12" t="s">
        <v>1</v>
      </c>
      <c r="O44" s="12" t="s">
        <v>1</v>
      </c>
      <c r="P44" s="21" t="s">
        <v>1</v>
      </c>
      <c r="Q44" s="21" t="s">
        <v>1</v>
      </c>
      <c r="R44" s="18" t="s">
        <v>1</v>
      </c>
    </row>
    <row r="45" ht="15.75" customHeight="1" spans="1:18">
      <c r="A45" t="s">
        <v>209</v>
      </c>
      <c r="B45" s="10">
        <v>3</v>
      </c>
      <c r="C45" s="2" t="s">
        <v>1</v>
      </c>
      <c r="D45" s="2" t="s">
        <v>1</v>
      </c>
      <c r="E45" s="2" t="s">
        <v>1</v>
      </c>
      <c r="F45" s="12" t="s">
        <v>1</v>
      </c>
      <c r="G45" s="12" t="s">
        <v>1</v>
      </c>
      <c r="H45" s="12" t="s">
        <v>1</v>
      </c>
      <c r="I45" s="12" t="s">
        <v>1</v>
      </c>
      <c r="J45" s="12" t="s">
        <v>1</v>
      </c>
      <c r="K45" s="12" t="s">
        <v>1</v>
      </c>
      <c r="L45" s="12" t="s">
        <v>1</v>
      </c>
      <c r="M45" s="12" t="s">
        <v>1</v>
      </c>
      <c r="N45" s="12" t="s">
        <v>1</v>
      </c>
      <c r="O45" s="12" t="s">
        <v>1</v>
      </c>
      <c r="P45" s="21" t="s">
        <v>1</v>
      </c>
      <c r="Q45" s="21" t="s">
        <v>1</v>
      </c>
      <c r="R45" s="18" t="s">
        <v>1</v>
      </c>
    </row>
    <row r="46" ht="15.75" customHeight="1" spans="1:18">
      <c r="A46" t="s">
        <v>210</v>
      </c>
      <c r="B46" s="10">
        <v>10</v>
      </c>
      <c r="C46" s="2" t="s">
        <v>1</v>
      </c>
      <c r="D46" s="2" t="s">
        <v>1</v>
      </c>
      <c r="E46" s="2" t="s">
        <v>1</v>
      </c>
      <c r="F46" s="12" t="s">
        <v>1</v>
      </c>
      <c r="G46" s="12" t="s">
        <v>1</v>
      </c>
      <c r="H46" s="12" t="s">
        <v>1</v>
      </c>
      <c r="I46" s="12" t="s">
        <v>1</v>
      </c>
      <c r="J46" s="12" t="s">
        <v>1</v>
      </c>
      <c r="K46" s="12" t="s">
        <v>1</v>
      </c>
      <c r="L46" s="12" t="s">
        <v>1</v>
      </c>
      <c r="M46" s="12" t="s">
        <v>1</v>
      </c>
      <c r="N46" s="12" t="s">
        <v>1</v>
      </c>
      <c r="O46" s="12" t="s">
        <v>1</v>
      </c>
      <c r="P46" s="21" t="s">
        <v>1</v>
      </c>
      <c r="Q46" s="21" t="s">
        <v>1</v>
      </c>
      <c r="R46" s="18" t="s">
        <v>1</v>
      </c>
    </row>
    <row r="47" ht="15.75" customHeight="1" spans="1:18">
      <c r="A47" s="5" t="s">
        <v>211</v>
      </c>
      <c r="B47" s="5" t="s">
        <v>212</v>
      </c>
      <c r="C47" s="5" t="s">
        <v>213</v>
      </c>
      <c r="D47" s="5" t="s">
        <v>214</v>
      </c>
      <c r="E47" s="5" t="s">
        <v>215</v>
      </c>
      <c r="F47" s="12" t="s">
        <v>1</v>
      </c>
      <c r="G47" s="12" t="s">
        <v>1</v>
      </c>
      <c r="H47" s="12" t="s">
        <v>1</v>
      </c>
      <c r="I47" s="12" t="s">
        <v>1</v>
      </c>
      <c r="J47" s="12" t="s">
        <v>1</v>
      </c>
      <c r="K47" s="12" t="s">
        <v>1</v>
      </c>
      <c r="L47" s="12" t="s">
        <v>1</v>
      </c>
      <c r="M47" s="12" t="s">
        <v>1</v>
      </c>
      <c r="N47" s="12" t="s">
        <v>1</v>
      </c>
      <c r="O47" s="12" t="s">
        <v>1</v>
      </c>
      <c r="P47" s="21" t="s">
        <v>1</v>
      </c>
      <c r="Q47" s="21" t="s">
        <v>1</v>
      </c>
      <c r="R47" s="18" t="s">
        <v>1</v>
      </c>
    </row>
    <row r="48" ht="15" customHeight="1" spans="1:18">
      <c r="A48">
        <v>1</v>
      </c>
      <c r="B48" s="19">
        <f t="shared" ref="B48:B57" si="0">$B$45*(1-(1-$B$44)^A48)</f>
        <v>0.36</v>
      </c>
      <c r="C48" s="19">
        <f t="shared" ref="C48:C57" si="1">B48</f>
        <v>0.36</v>
      </c>
      <c r="D48" s="31">
        <f>SUMPRODUCT((首列WILD!$B$11:$B$15*(1-C48/20)+C48)*首列WILD!$O$11:$O$15)/滚轴与赔付!$H$25</f>
        <v>0.6411976375</v>
      </c>
      <c r="E48" s="19">
        <f>D48/首列WILD!$C$21</f>
        <v>1.07435907048832</v>
      </c>
      <c r="F48" s="12" t="s">
        <v>1</v>
      </c>
      <c r="G48" s="12" t="s">
        <v>1</v>
      </c>
      <c r="H48" s="12" t="s">
        <v>1</v>
      </c>
      <c r="I48" s="12" t="s">
        <v>1</v>
      </c>
      <c r="J48" s="12" t="s">
        <v>1</v>
      </c>
      <c r="K48" s="12" t="s">
        <v>1</v>
      </c>
      <c r="L48" s="12" t="s">
        <v>1</v>
      </c>
      <c r="M48" s="12" t="s">
        <v>1</v>
      </c>
      <c r="N48" s="12" t="s">
        <v>1</v>
      </c>
      <c r="O48" s="12" t="s">
        <v>1</v>
      </c>
      <c r="P48" s="21" t="s">
        <v>1</v>
      </c>
      <c r="Q48" s="21" t="s">
        <v>1</v>
      </c>
      <c r="R48" s="18" t="s">
        <v>1</v>
      </c>
    </row>
    <row r="49" ht="15" customHeight="1" spans="1:18">
      <c r="A49">
        <v>2</v>
      </c>
      <c r="B49" s="19">
        <f t="shared" si="0"/>
        <v>0.6768</v>
      </c>
      <c r="C49" s="19">
        <f t="shared" si="1"/>
        <v>0.6768</v>
      </c>
      <c r="D49" s="31">
        <f>SUMPRODUCT((首列WILD!$B$11:$B$15*(1-C49/20)+C49)*首列WILD!$O$11:$O$15)/滚轴与赔付!$H$25</f>
        <v>0.6802510585</v>
      </c>
      <c r="E49" s="19">
        <f>D49/首列WILD!$C$21</f>
        <v>1.13979505251804</v>
      </c>
      <c r="F49" s="12" t="s">
        <v>1</v>
      </c>
      <c r="G49" s="12" t="s">
        <v>1</v>
      </c>
      <c r="H49" s="12" t="s">
        <v>1</v>
      </c>
      <c r="I49" s="12" t="s">
        <v>1</v>
      </c>
      <c r="J49" s="12" t="s">
        <v>1</v>
      </c>
      <c r="K49" s="12" t="s">
        <v>1</v>
      </c>
      <c r="L49" s="12" t="s">
        <v>1</v>
      </c>
      <c r="M49" s="12" t="s">
        <v>1</v>
      </c>
      <c r="N49" s="12" t="s">
        <v>1</v>
      </c>
      <c r="O49" s="12" t="s">
        <v>1</v>
      </c>
      <c r="P49" s="21" t="s">
        <v>1</v>
      </c>
      <c r="Q49" s="21" t="s">
        <v>1</v>
      </c>
      <c r="R49" s="18" t="s">
        <v>1</v>
      </c>
    </row>
    <row r="50" ht="15" customHeight="1" spans="1:18">
      <c r="A50">
        <v>3</v>
      </c>
      <c r="B50" s="19">
        <f t="shared" si="0"/>
        <v>0.955584</v>
      </c>
      <c r="C50" s="19">
        <f t="shared" si="1"/>
        <v>0.955584</v>
      </c>
      <c r="D50" s="31">
        <f>SUMPRODUCT((首列WILD!$B$11:$B$15*(1-C50/20)+C50)*首列WILD!$O$11:$O$15)/滚轴与赔付!$H$25</f>
        <v>0.71461806898</v>
      </c>
      <c r="E50" s="19">
        <f>D50/首列WILD!$C$21</f>
        <v>1.19737871670419</v>
      </c>
      <c r="F50" s="12" t="s">
        <v>1</v>
      </c>
      <c r="G50" s="12" t="s">
        <v>1</v>
      </c>
      <c r="H50" s="12" t="s">
        <v>1</v>
      </c>
      <c r="I50" s="12" t="s">
        <v>1</v>
      </c>
      <c r="J50" s="12" t="s">
        <v>1</v>
      </c>
      <c r="K50" s="12" t="s">
        <v>1</v>
      </c>
      <c r="L50" s="12" t="s">
        <v>1</v>
      </c>
      <c r="M50" s="12" t="s">
        <v>1</v>
      </c>
      <c r="N50" s="12" t="s">
        <v>1</v>
      </c>
      <c r="O50" s="12" t="s">
        <v>1</v>
      </c>
      <c r="P50" s="21" t="s">
        <v>1</v>
      </c>
      <c r="Q50" s="21" t="s">
        <v>1</v>
      </c>
      <c r="R50" s="18" t="s">
        <v>1</v>
      </c>
    </row>
    <row r="51" ht="15" customHeight="1" spans="1:18">
      <c r="A51">
        <v>4</v>
      </c>
      <c r="B51" s="19">
        <f t="shared" si="0"/>
        <v>1.20091392</v>
      </c>
      <c r="C51" s="19">
        <f t="shared" si="1"/>
        <v>1.20091392</v>
      </c>
      <c r="D51" s="31">
        <f>SUMPRODUCT((首列WILD!$B$11:$B$15*(1-C51/20)+C51)*首列WILD!$O$11:$O$15)/滚轴与赔付!$H$25</f>
        <v>0.7448610382024</v>
      </c>
      <c r="E51" s="19">
        <f>D51/首列WILD!$C$21</f>
        <v>1.24805234118801</v>
      </c>
      <c r="F51" s="12" t="s">
        <v>1</v>
      </c>
      <c r="G51" s="12" t="s">
        <v>1</v>
      </c>
      <c r="H51" s="12" t="s">
        <v>1</v>
      </c>
      <c r="I51" s="12" t="s">
        <v>1</v>
      </c>
      <c r="J51" s="12" t="s">
        <v>1</v>
      </c>
      <c r="K51" s="12" t="s">
        <v>1</v>
      </c>
      <c r="L51" s="12" t="s">
        <v>1</v>
      </c>
      <c r="M51" s="12" t="s">
        <v>1</v>
      </c>
      <c r="N51" s="12" t="s">
        <v>1</v>
      </c>
      <c r="O51" s="12" t="s">
        <v>1</v>
      </c>
      <c r="P51" s="21" t="s">
        <v>1</v>
      </c>
      <c r="Q51" s="21" t="s">
        <v>1</v>
      </c>
      <c r="R51" s="18" t="s">
        <v>1</v>
      </c>
    </row>
    <row r="52" ht="15" customHeight="1" spans="1:18">
      <c r="A52">
        <v>5</v>
      </c>
      <c r="B52" s="19">
        <f t="shared" si="0"/>
        <v>1.4168042496</v>
      </c>
      <c r="C52" s="19">
        <f t="shared" si="1"/>
        <v>1.4168042496</v>
      </c>
      <c r="D52" s="31">
        <f>SUMPRODUCT((首列WILD!$B$11:$B$15*(1-C52/20)+C52)*首列WILD!$O$11:$O$15)/滚轴与赔付!$H$25</f>
        <v>0.771474851118112</v>
      </c>
      <c r="E52" s="19">
        <f>D52/首列WILD!$C$21</f>
        <v>1.29264513073376</v>
      </c>
      <c r="F52" s="12" t="s">
        <v>1</v>
      </c>
      <c r="G52" s="12" t="s">
        <v>1</v>
      </c>
      <c r="H52" s="12" t="s">
        <v>1</v>
      </c>
      <c r="I52" s="12" t="s">
        <v>1</v>
      </c>
      <c r="J52" s="12" t="s">
        <v>1</v>
      </c>
      <c r="K52" s="12" t="s">
        <v>1</v>
      </c>
      <c r="L52" s="12" t="s">
        <v>1</v>
      </c>
      <c r="M52" s="12" t="s">
        <v>1</v>
      </c>
      <c r="N52" s="12" t="s">
        <v>1</v>
      </c>
      <c r="O52" s="12" t="s">
        <v>1</v>
      </c>
      <c r="P52" s="21" t="s">
        <v>1</v>
      </c>
      <c r="Q52" s="21" t="s">
        <v>1</v>
      </c>
      <c r="R52" s="18" t="s">
        <v>1</v>
      </c>
    </row>
    <row r="53" ht="15" customHeight="1" spans="1:18">
      <c r="A53">
        <v>6</v>
      </c>
      <c r="B53" s="19">
        <f t="shared" si="0"/>
        <v>1.606787739648</v>
      </c>
      <c r="C53" s="19">
        <f t="shared" si="1"/>
        <v>1.606787739648</v>
      </c>
      <c r="D53" s="31">
        <f>SUMPRODUCT((首列WILD!$B$11:$B$15*(1-C53/20)+C53)*首列WILD!$O$11:$O$15)/滚轴与赔付!$H$25</f>
        <v>0.794895006483939</v>
      </c>
      <c r="E53" s="19">
        <f>D53/首列WILD!$C$21</f>
        <v>1.33188678553403</v>
      </c>
      <c r="F53" s="12" t="s">
        <v>1</v>
      </c>
      <c r="G53" s="12" t="s">
        <v>1</v>
      </c>
      <c r="H53" s="12" t="s">
        <v>1</v>
      </c>
      <c r="I53" s="12" t="s">
        <v>1</v>
      </c>
      <c r="J53" s="12" t="s">
        <v>1</v>
      </c>
      <c r="K53" s="12" t="s">
        <v>1</v>
      </c>
      <c r="L53" s="12" t="s">
        <v>1</v>
      </c>
      <c r="M53" s="12" t="s">
        <v>1</v>
      </c>
      <c r="N53" s="12" t="s">
        <v>1</v>
      </c>
      <c r="O53" s="12" t="s">
        <v>1</v>
      </c>
      <c r="P53" s="21" t="s">
        <v>1</v>
      </c>
      <c r="Q53" s="21" t="s">
        <v>1</v>
      </c>
      <c r="R53" s="18" t="s">
        <v>1</v>
      </c>
    </row>
    <row r="54" ht="15" customHeight="1" spans="1:18">
      <c r="A54">
        <v>7</v>
      </c>
      <c r="B54" s="19">
        <f t="shared" si="0"/>
        <v>1.77397321089024</v>
      </c>
      <c r="C54" s="19">
        <f t="shared" si="1"/>
        <v>1.77397321089024</v>
      </c>
      <c r="D54" s="31">
        <f>SUMPRODUCT((首列WILD!$B$11:$B$15*(1-C54/20)+C54)*首列WILD!$O$11:$O$15)/滚轴与赔付!$H$25</f>
        <v>0.815504743205866</v>
      </c>
      <c r="E54" s="19">
        <f>D54/首列WILD!$C$21</f>
        <v>1.36641944175827</v>
      </c>
      <c r="F54" s="12" t="s">
        <v>1</v>
      </c>
      <c r="G54" s="12" t="s">
        <v>1</v>
      </c>
      <c r="H54" s="12" t="s">
        <v>1</v>
      </c>
      <c r="I54" s="12" t="s">
        <v>1</v>
      </c>
      <c r="J54" s="12" t="s">
        <v>1</v>
      </c>
      <c r="K54" s="12" t="s">
        <v>1</v>
      </c>
      <c r="L54" s="12" t="s">
        <v>1</v>
      </c>
      <c r="M54" s="12" t="s">
        <v>1</v>
      </c>
      <c r="N54" s="12" t="s">
        <v>1</v>
      </c>
      <c r="O54" s="12" t="s">
        <v>1</v>
      </c>
      <c r="P54" s="21" t="s">
        <v>1</v>
      </c>
      <c r="Q54" s="21" t="s">
        <v>1</v>
      </c>
      <c r="R54" s="18" t="s">
        <v>1</v>
      </c>
    </row>
    <row r="55" ht="15" customHeight="1" spans="1:18">
      <c r="A55">
        <v>8</v>
      </c>
      <c r="B55" s="19">
        <f t="shared" si="0"/>
        <v>1.92109642558341</v>
      </c>
      <c r="C55" s="19">
        <f t="shared" si="1"/>
        <v>1.92109642558341</v>
      </c>
      <c r="D55" s="31">
        <f>SUMPRODUCT((首列WILD!$B$11:$B$15*(1-C55/20)+C55)*首列WILD!$O$11:$O$15)/滚轴与赔付!$H$25</f>
        <v>0.833641311521162</v>
      </c>
      <c r="E55" s="19">
        <f>D55/首列WILD!$C$21</f>
        <v>1.39680817923559</v>
      </c>
      <c r="F55" s="12" t="s">
        <v>1</v>
      </c>
      <c r="G55" s="12" t="s">
        <v>1</v>
      </c>
      <c r="H55" s="12" t="s">
        <v>1</v>
      </c>
      <c r="I55" s="12" t="s">
        <v>1</v>
      </c>
      <c r="J55" s="12" t="s">
        <v>1</v>
      </c>
      <c r="K55" s="12" t="s">
        <v>1</v>
      </c>
      <c r="L55" s="12" t="s">
        <v>1</v>
      </c>
      <c r="M55" s="12" t="s">
        <v>1</v>
      </c>
      <c r="N55" s="12" t="s">
        <v>1</v>
      </c>
      <c r="O55" s="12" t="s">
        <v>1</v>
      </c>
      <c r="P55" s="21" t="s">
        <v>1</v>
      </c>
      <c r="Q55" s="21" t="s">
        <v>1</v>
      </c>
      <c r="R55" s="18" t="s">
        <v>1</v>
      </c>
    </row>
    <row r="56" ht="15" customHeight="1" spans="1:18">
      <c r="A56">
        <v>9</v>
      </c>
      <c r="B56" s="19">
        <f t="shared" si="0"/>
        <v>2.0505648545134</v>
      </c>
      <c r="C56" s="19">
        <f t="shared" si="1"/>
        <v>2.0505648545134</v>
      </c>
      <c r="D56" s="31">
        <f>SUMPRODUCT((首列WILD!$B$11:$B$15*(1-C56/20)+C56)*首列WILD!$O$11:$O$15)/滚轴与赔付!$H$25</f>
        <v>0.849601491638623</v>
      </c>
      <c r="E56" s="19">
        <f>D56/首列WILD!$C$21</f>
        <v>1.42355026821564</v>
      </c>
      <c r="F56" s="12" t="s">
        <v>1</v>
      </c>
      <c r="G56" s="12" t="s">
        <v>1</v>
      </c>
      <c r="H56" s="12" t="s">
        <v>1</v>
      </c>
      <c r="I56" s="12" t="s">
        <v>1</v>
      </c>
      <c r="J56" s="12" t="s">
        <v>1</v>
      </c>
      <c r="K56" s="12" t="s">
        <v>1</v>
      </c>
      <c r="L56" s="12" t="s">
        <v>1</v>
      </c>
      <c r="M56" s="12" t="s">
        <v>1</v>
      </c>
      <c r="N56" s="12" t="s">
        <v>1</v>
      </c>
      <c r="O56" s="12" t="s">
        <v>1</v>
      </c>
      <c r="P56" s="21" t="s">
        <v>1</v>
      </c>
      <c r="Q56" s="21" t="s">
        <v>1</v>
      </c>
      <c r="R56" s="18" t="s">
        <v>1</v>
      </c>
    </row>
    <row r="57" ht="15" customHeight="1" spans="1:18">
      <c r="A57">
        <v>10</v>
      </c>
      <c r="B57" s="19">
        <f t="shared" si="0"/>
        <v>2.16449707197179</v>
      </c>
      <c r="C57" s="19">
        <f t="shared" si="1"/>
        <v>2.16449707197179</v>
      </c>
      <c r="D57" s="31">
        <f>SUMPRODUCT((首列WILD!$B$11:$B$15*(1-C57/20)+C57)*首列WILD!$O$11:$O$15)/滚轴与赔付!$H$25</f>
        <v>0.863646450141988</v>
      </c>
      <c r="E57" s="19">
        <f>D57/首列WILD!$C$21</f>
        <v>1.44708330651808</v>
      </c>
      <c r="F57" s="12" t="s">
        <v>1</v>
      </c>
      <c r="G57" s="12" t="s">
        <v>1</v>
      </c>
      <c r="H57" s="12" t="s">
        <v>1</v>
      </c>
      <c r="I57" s="12" t="s">
        <v>1</v>
      </c>
      <c r="J57" s="12" t="s">
        <v>1</v>
      </c>
      <c r="K57" s="12" t="s">
        <v>1</v>
      </c>
      <c r="L57" s="12" t="s">
        <v>1</v>
      </c>
      <c r="M57" s="12" t="s">
        <v>1</v>
      </c>
      <c r="N57" s="12" t="s">
        <v>1</v>
      </c>
      <c r="O57" s="12" t="s">
        <v>1</v>
      </c>
      <c r="P57" s="21" t="s">
        <v>1</v>
      </c>
      <c r="Q57" s="21" t="s">
        <v>1</v>
      </c>
      <c r="R57" s="18" t="s">
        <v>1</v>
      </c>
    </row>
    <row r="58" ht="15" customHeight="1" spans="1:18">
      <c r="A58" s="12" t="s">
        <v>216</v>
      </c>
      <c r="B58" s="23">
        <f>AVERAGE(B48:B57)</f>
        <v>1.41270214722068</v>
      </c>
      <c r="C58" s="12" t="s">
        <v>1</v>
      </c>
      <c r="D58" s="34">
        <f>AVERAGE(D48:D57)</f>
        <v>0.770969165729209</v>
      </c>
      <c r="E58" s="15">
        <f>AVERAGE(E48:E57)</f>
        <v>1.29179782928939</v>
      </c>
      <c r="F58" s="12" t="s">
        <v>1</v>
      </c>
      <c r="G58" s="12" t="s">
        <v>1</v>
      </c>
      <c r="H58" s="12" t="s">
        <v>1</v>
      </c>
      <c r="I58" s="12" t="s">
        <v>1</v>
      </c>
      <c r="J58" s="12" t="s">
        <v>1</v>
      </c>
      <c r="K58" s="12" t="s">
        <v>1</v>
      </c>
      <c r="L58" s="12" t="s">
        <v>1</v>
      </c>
      <c r="M58" s="12" t="s">
        <v>1</v>
      </c>
      <c r="N58" s="12" t="s">
        <v>1</v>
      </c>
      <c r="O58" s="12" t="s">
        <v>1</v>
      </c>
      <c r="P58" s="21" t="s">
        <v>1</v>
      </c>
      <c r="Q58" s="21" t="s">
        <v>1</v>
      </c>
      <c r="R58" s="18" t="s">
        <v>1</v>
      </c>
    </row>
    <row r="59" ht="18.5" spans="1:18">
      <c r="A59" s="12" t="s">
        <v>1</v>
      </c>
      <c r="B59" s="23" t="s">
        <v>1</v>
      </c>
      <c r="C59" s="12" t="s">
        <v>1</v>
      </c>
      <c r="D59" s="21" t="s">
        <v>1</v>
      </c>
      <c r="E59" s="15" t="s">
        <v>1</v>
      </c>
      <c r="F59" s="12" t="s">
        <v>1</v>
      </c>
      <c r="G59" s="12" t="s">
        <v>1</v>
      </c>
      <c r="H59" s="12" t="s">
        <v>1</v>
      </c>
      <c r="I59" s="12" t="s">
        <v>1</v>
      </c>
      <c r="J59" s="12" t="s">
        <v>1</v>
      </c>
      <c r="K59" s="12" t="s">
        <v>1</v>
      </c>
      <c r="L59" s="12" t="s">
        <v>1</v>
      </c>
      <c r="M59" s="12" t="s">
        <v>1</v>
      </c>
      <c r="N59" s="12" t="s">
        <v>1</v>
      </c>
      <c r="O59" s="12" t="s">
        <v>1</v>
      </c>
      <c r="P59" s="21" t="s">
        <v>1</v>
      </c>
      <c r="Q59" s="21" t="s">
        <v>1</v>
      </c>
      <c r="R59" s="18" t="s">
        <v>1</v>
      </c>
    </row>
    <row r="60" ht="15.75" customHeight="1" spans="1:18">
      <c r="A60" s="8" t="s">
        <v>217</v>
      </c>
      <c r="B60" s="23" t="s">
        <v>1</v>
      </c>
      <c r="C60" s="12" t="s">
        <v>1</v>
      </c>
      <c r="D60" s="21" t="s">
        <v>1</v>
      </c>
      <c r="E60" s="15" t="s">
        <v>1</v>
      </c>
      <c r="F60" s="12" t="s">
        <v>1</v>
      </c>
      <c r="G60" s="12" t="s">
        <v>1</v>
      </c>
      <c r="H60" s="12" t="s">
        <v>1</v>
      </c>
      <c r="I60" s="12" t="s">
        <v>1</v>
      </c>
      <c r="J60" s="12" t="s">
        <v>1</v>
      </c>
      <c r="K60" s="12" t="s">
        <v>1</v>
      </c>
      <c r="L60" s="12" t="s">
        <v>1</v>
      </c>
      <c r="M60" s="12" t="s">
        <v>1</v>
      </c>
      <c r="N60" s="12" t="s">
        <v>1</v>
      </c>
      <c r="O60" s="12" t="s">
        <v>1</v>
      </c>
      <c r="P60" s="21" t="s">
        <v>1</v>
      </c>
      <c r="Q60" s="21" t="s">
        <v>1</v>
      </c>
      <c r="R60" s="18" t="s">
        <v>1</v>
      </c>
    </row>
    <row r="61" ht="15.75" customHeight="1" spans="1:18">
      <c r="A61" s="8" t="s">
        <v>218</v>
      </c>
      <c r="B61" s="23" t="s">
        <v>1</v>
      </c>
      <c r="C61" s="12" t="s">
        <v>1</v>
      </c>
      <c r="D61" s="21" t="s">
        <v>1</v>
      </c>
      <c r="E61" s="15" t="s">
        <v>1</v>
      </c>
      <c r="F61" s="12" t="s">
        <v>1</v>
      </c>
      <c r="G61" s="12" t="s">
        <v>1</v>
      </c>
      <c r="H61" s="12" t="s">
        <v>1</v>
      </c>
      <c r="I61" s="12" t="s">
        <v>1</v>
      </c>
      <c r="J61" s="12" t="s">
        <v>1</v>
      </c>
      <c r="K61" s="12" t="s">
        <v>1</v>
      </c>
      <c r="L61" s="12" t="s">
        <v>1</v>
      </c>
      <c r="M61" s="12" t="s">
        <v>1</v>
      </c>
      <c r="N61" s="12" t="s">
        <v>1</v>
      </c>
      <c r="O61" s="12" t="s">
        <v>1</v>
      </c>
      <c r="P61" s="21" t="s">
        <v>1</v>
      </c>
      <c r="Q61" s="21" t="s">
        <v>1</v>
      </c>
      <c r="R61" s="18" t="s">
        <v>1</v>
      </c>
    </row>
  </sheetData>
  <pageMargins left="0.7" right="0.7" top="0.75" bottom="0.75" header="0.3" footer="0.3"/>
  <pageSetup paperSize="1" orientation="portrait"/>
  <headerFooter/>
  <ignoredErrors>
    <ignoredError sqref="A1:W81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说明</vt:lpstr>
      <vt:lpstr>滚轴与赔付</vt:lpstr>
      <vt:lpstr>RTP分解</vt:lpstr>
      <vt:lpstr>首列WILD</vt:lpstr>
      <vt:lpstr>四类WILD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wcx_o</cp:lastModifiedBy>
  <dcterms:created xsi:type="dcterms:W3CDTF">2026-09-29T15:41:00Z</dcterms:created>
  <dcterms:modified xsi:type="dcterms:W3CDTF">2026-09-29T16:07:39Z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3F287260EE0D453BA94E0357F04E0807_12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