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RTP模块分解" state="visible" r:id="rId5"/>
    <sheet sheetId="3" name="主游戏组合RTP" state="visible" r:id="rId6"/>
    <sheet sheetId="4" name="投注与返还" state="visible" r:id="rId7"/>
  </sheets>
  <calcPr calcId="171027"/>
</workbook>
</file>

<file path=xl/sharedStrings.xml><?xml version="1.0" encoding="utf-8"?>
<sst xmlns="http://schemas.openxmlformats.org/spreadsheetml/2006/main" count="342" uniqueCount="130">
  <si>
    <t>运气工程 ② —— Slots 游戏 RTP 计算规则 · ①概述篇</t>
  </si>
  <si>
    <t xml:space="preserve"> </t>
  </si>
  <si>
    <t>来源：知乎《Slots 游戏 RTP 计算规则 - ①概述篇》 https://zhuanlan.zhihu.com/p/1924198985616302995</t>
  </si>
  <si>
    <t>专栏：运气工程：Slots 数值研究所  https://zhuanlan.zhihu.com/c_1918334633642287500</t>
  </si>
  <si>
    <t>页签</t>
  </si>
  <si>
    <t>· RTP模块分解：目标总 RTP → 按 Main Game / Free Game / Bonus / Jackpot 分预算</t>
  </si>
  <si>
    <t>· 主游戏组合RTP：把「Σ(组合概率 × 组合赔率)」逐条列出来累加</t>
  </si>
  <si>
    <t>· 投注与返还：96% RTP 的 1,000,000 投注示例，按模块拆解返还与留存</t>
  </si>
  <si>
    <t>一、RTP 的本质</t>
  </si>
  <si>
    <t>RTP = 理论无限局游戏后，所有玩家投注总金额中大约被返还的百分比，用来衡量系统盈利比例，</t>
  </si>
  <si>
    <t>而不是单个玩家的回本保证。</t>
  </si>
  <si>
    <t>例：一款 Slot 设定 RTP 96%，全服累计投注 1,000,000 → 理论上返还约 960,000，</t>
  </si>
  <si>
    <t xml:space="preserve">  剩下 40,000 成为长期利润。这只是数学期望，个人体验因有限局数而波动极大。</t>
  </si>
  <si>
    <t>· 从系统角度：大量局数下机台趋近于设定 RTP，保证系统盈利。</t>
  </si>
  <si>
    <t>· 从玩家角度：有限局数下很难接近 RTP，有人短期大赚，也有人短期亏光。</t>
  </si>
  <si>
    <t>二、RTP 的计算逻辑</t>
  </si>
  <si>
    <t>核心公式：先算出每一种中奖组合的出现概率，再乘上该组合的赔率，所有可能组合的期望加起来，</t>
  </si>
  <si>
    <t>才是 Slots 的总体 RTP。即 RTP = Σ(组合出现概率 × 组合赔率)。</t>
  </si>
  <si>
    <t>原文示例：出现概率 0.0002、3 连赔 500；出现概率 0.001、3 连赔 100；以及其它小奖若干，</t>
  </si>
  <si>
    <t>把所有组合加总，可得到基础滚轴 RTP（原文示例 72.4%，为假设值）。</t>
  </si>
  <si>
    <t>三、多模块叠加</t>
  </si>
  <si>
    <t>总 RTP = 基础滚轴 RTP + Free Game RTP + Bonus Game RTP + Jackpot RTP + …</t>
  </si>
  <si>
    <t>· Main Game（主游戏）：基础玩法，RTP 占比最高，来源为非特殊玩法的所有图案中奖贡献。</t>
  </si>
  <si>
    <t>· Feature Game（特色玩法）：可多种，合计占比一般 20%~35%，RTP 来源为特殊玩法中的中奖贡献，</t>
  </si>
  <si>
    <t xml:space="preserve">  计算时必须考虑普通滚轴中触发 Feature 的概率。</t>
  </si>
  <si>
    <t>· Jackpot（奖池）：通过特定方式触发，分单/多奖池、固定/累积奖池，占比一般较小；</t>
  </si>
  <si>
    <t xml:space="preserve">  有些游戏会舍弃，或做「假奖池」（只显示、不可能中）。</t>
  </si>
  <si>
    <t>原文 RTP 模块示例表：普通滚轴 70% + Free Game 20% + Bonus Game 5% + Jackpot 0 = 95%。</t>
  </si>
  <si>
    <t>（这也是市面上常见 Slots 的 RTP 分配方式）</t>
  </si>
  <si>
    <t>四、策划设计 RTP 时的考虑因素</t>
  </si>
  <si>
    <t>1) 分配整体 RTP：普通滚轴 → 保底体验；Free Game → 增强爆奖感；Bonus → 突破节奏、做惊喜；</t>
  </si>
  <si>
    <t xml:space="preserve">   Jackpot → 塑造梦想、提升吸引力。</t>
  </si>
  <si>
    <t>2) 平衡短期波动 vs 长期盈利：RTP 是长期统计值，玩家体验的是短期波动。</t>
  </si>
  <si>
    <t xml:space="preserve">   策划要保证玩家短期不会一直空转（中奖率），系统长期又不会亏钱（RTP）。</t>
  </si>
  <si>
    <t>3) 不同产品阶段 / 机台类型的策略：新产品期 / 新手机台 RTP 较高以吸引留存；</t>
  </si>
  <si>
    <t xml:space="preserve">   成熟期 / 热门机台 RTP 稳定以维持收益；活动期局部提升特殊玩法 RTP。</t>
  </si>
  <si>
    <t>五、抓取说明</t>
  </si>
  <si>
    <t>本簿依据该文正文（经公开转载页还原）整理；原文配图（4 张，含 RTP 模块示例表）未能读取，</t>
  </si>
  <si>
    <t>模块占比按正文所列 70% / 20% / 5% / 0% 录入。所有数值均可用蓝色输入格自行替换。</t>
  </si>
  <si>
    <t>蓝色 = 可改输入；黑色 = 公式；黄底 = 关键结果。</t>
  </si>
  <si>
    <t>总 RTP 的模块分解（蓝字可改 / 黑字公式 / 黄底结果）</t>
  </si>
  <si>
    <t>【输入】各模块 RTP 预算（原文示例：普通滚轴 70% + Free 20% + Bonus 5% + Jackpot 0）</t>
  </si>
  <si>
    <t>Main Game（主游戏）RTP</t>
  </si>
  <si>
    <t>Free Game RTP</t>
  </si>
  <si>
    <t>Bonus Game RTP</t>
  </si>
  <si>
    <t>Jackpot RTP</t>
  </si>
  <si>
    <t>合计 = 总 RTP</t>
  </si>
  <si>
    <t>各模块 RTP 直接相加就是总 RTP（原文的口径：70 + 20 + 5 + 0 = 95）</t>
  </si>
  <si>
    <t>【校验：与目标总 RTP 对照】</t>
  </si>
  <si>
    <t>目标总 RTP（人工设定）</t>
  </si>
  <si>
    <t>与目标总 RTP 的差</t>
  </si>
  <si>
    <t>不为 0 就需要回炉调整各模块预算</t>
  </si>
  <si>
    <t>【各模块占比与职责】</t>
  </si>
  <si>
    <t>模块</t>
  </si>
  <si>
    <t>RTP</t>
  </si>
  <si>
    <t>占总 RTP 比例</t>
  </si>
  <si>
    <t>职责 / 说明</t>
  </si>
  <si>
    <t>典型区间</t>
  </si>
  <si>
    <t>Main Game（主游戏）</t>
  </si>
  <si>
    <t>基础滚轴，非特殊玩法的全部图案中奖贡献；占比最高，负责保底体验与节奏</t>
  </si>
  <si>
    <t>60%~75%</t>
  </si>
  <si>
    <t>Free Game（免费游戏）</t>
  </si>
  <si>
    <t>最主流的特色玩法；RTP 来源为免费转中的中奖，需乘上主游戏里的触发率</t>
  </si>
  <si>
    <t>15%~30%</t>
  </si>
  <si>
    <t>Bonus Game（小游戏）</t>
  </si>
  <si>
    <t>抽奖 / 选宝类小游戏；用于突破节奏、制造惊喜</t>
  </si>
  <si>
    <t>0%~10%</t>
  </si>
  <si>
    <t>Jackpot（奖池）</t>
  </si>
  <si>
    <t>单/多奖池、固定/累积；用于塑造梦想；部分游戏做假奖池只显示</t>
  </si>
  <si>
    <t>0%~5%</t>
  </si>
  <si>
    <t>合计</t>
  </si>
  <si>
    <t>原文对照：普通滚轴 70% + Free Game 20% + Bonus Game 5% + Jackpot 0 = 95%（与本页默认值一致）。</t>
  </si>
  <si>
    <t>注：原文在「RTP 计算逻辑」一节另举基础滚轴 RTP = 72.4% 的假设值，属另一处示例口径，见「主游戏组合RTP」页。</t>
  </si>
  <si>
    <t>主游戏（基础滚轴）RTP = Σ(组合出现概率 × 组合赔率)</t>
  </si>
  <si>
    <t>【输入】逐条列出中奖组合（前两条为原文示例：0.0002×500 与 0.001×100）</t>
  </si>
  <si>
    <t>中奖组合</t>
  </si>
  <si>
    <t>出现概率</t>
  </si>
  <si>
    <t>赔率（倍注）</t>
  </si>
  <si>
    <t>RTP 贡献</t>
  </si>
  <si>
    <t>备注</t>
  </si>
  <si>
    <t>3 连 · 顶级</t>
  </si>
  <si>
    <t>原文示例</t>
  </si>
  <si>
    <t>3 连 · 高级</t>
  </si>
  <si>
    <t>5 连 · 高档 A</t>
  </si>
  <si>
    <t>补足的小奖组合</t>
  </si>
  <si>
    <t>4 连 · 高档 A</t>
  </si>
  <si>
    <t>3 连 · 高档 A</t>
  </si>
  <si>
    <t>5 连 · 中档 B</t>
  </si>
  <si>
    <t>4 连 · 中档 B</t>
  </si>
  <si>
    <t>3 连 · 中档 B</t>
  </si>
  <si>
    <t>4 连 · 低档 C</t>
  </si>
  <si>
    <t>3 连 · 低档 C</t>
  </si>
  <si>
    <t>→ 基础滚轴 RTP</t>
  </si>
  <si>
    <t>【由组合表读出的两个关键指标】</t>
  </si>
  <si>
    <t>中奖率 Hit Rate = Σ 出现概率</t>
  </si>
  <si>
    <t>平均中奖金额（倍注）= RTP ÷ Hit Rate</t>
  </si>
  <si>
    <t>非中奖概率</t>
  </si>
  <si>
    <t>【原文对照】</t>
  </si>
  <si>
    <t>基础滚轴 RTP（原文示例，另一处口径）</t>
  </si>
  <si>
    <t>本表 RTP 与原文示例的差</t>
  </si>
  <si>
    <t>原文只给出「72.4%」这一个假设值，未列出完整组合表；本页前两条组合严格照抄原文，其余为按同量级补足的示例组合，使合计落在原文同一个数量级上。</t>
  </si>
  <si>
    <t>投注 — 返还 — 留存的拆解（原文示例：1,000,000 投注）</t>
  </si>
  <si>
    <t>【输入】</t>
  </si>
  <si>
    <t>累计投注总额</t>
  </si>
  <si>
    <t>设定总 RTP</t>
  </si>
  <si>
    <t>【整体】</t>
  </si>
  <si>
    <t>理论返还总额</t>
  </si>
  <si>
    <t>系统长期留存（毛利）</t>
  </si>
  <si>
    <t>庄家优势 House Edge</t>
  </si>
  <si>
    <t>【按模块拆解返还】</t>
  </si>
  <si>
    <t>模块 RTP</t>
  </si>
  <si>
    <t>返还额</t>
  </si>
  <si>
    <t>占投注比</t>
  </si>
  <si>
    <t>说明</t>
  </si>
  <si>
    <t>保底体验，占比最高</t>
  </si>
  <si>
    <t>爆奖感，需乘触发率</t>
  </si>
  <si>
    <t>节奏突破与惊喜</t>
  </si>
  <si>
    <t>塑造梦想；可为假奖池</t>
  </si>
  <si>
    <t>合计 RTP 与「设定总 RTP」的差</t>
  </si>
  <si>
    <t>原文提醒：这只是数学期望。有限局数下个人体验波动极大 —— 有人短期大赚，也有人短期亏光。</t>
  </si>
  <si>
    <t>【原文 §1 的 96% 示例（独立口径）】</t>
  </si>
  <si>
    <t>投注总额 / 设定 RTP</t>
  </si>
  <si>
    <t>理论返还 / 系统留存</t>
  </si>
  <si>
    <t>原文 §1 用 96% 举例（返还 960,000 / 留存 40,000），§3 用 95% 的模块分配举例，本簿两处都保留，口径标注清楚。</t>
  </si>
  <si>
    <t>【不同 RTP 设定的长期留存】</t>
  </si>
  <si>
    <t>RTP 设定</t>
  </si>
  <si>
    <t>返还总额</t>
  </si>
  <si>
    <t>系统留存</t>
  </si>
  <si>
    <t>留存率</t>
  </si>
  <si>
    <t>线上 Slots 常见落点在 95%~97%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</si>
</sst>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%"/>
  </numFmts>
  <fonts count="11" x14ac:knownFonts="1">
    <font>
      <color theme="1"/>
      <family val="2"/>
      <scheme val="minor"/>
      <sz val="11"/>
      <name val="Calibri"/>
    </font>
    <font>
      <b/>
      <color rgb="FF1F4E79"/>
      <sz val="14"/>
      <name val="Noto Sans SC"/>
    </font>
    <font>
      <color rgb="FF808080"/>
      <sz val="11"/>
      <name val="Noto Sans SC"/>
    </font>
    <font>
      <b/>
      <sz val="11"/>
      <name val="Noto Sans SC"/>
    </font>
    <font>
      <sz val="11"/>
      <name val="Calibri"/>
    </font>
    <font>
      <sz val="11"/>
      <name val="Noto Sans SC"/>
    </font>
    <font>
      <b/>
      <color rgb="FF1F4E79"/>
      <sz val="11"/>
      <name val="Noto Sans SC"/>
    </font>
    <font>
      <color rgb="FF0000FF"/>
      <sz val="11"/>
      <name val="Cambria"/>
    </font>
    <font>
      <b/>
      <sz val="11"/>
      <name val="Cambria"/>
    </font>
    <font>
      <color rgb="FF000000"/>
      <sz val="11"/>
      <name val="Cambria"/>
    </font>
    <font>
      <b/>
      <color rgb="FF1F4E79"/>
      <sz val="11"/>
      <name val="Cambria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B4C7E7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/>
    </xf>
    <xf numFmtId="10" fontId="7" fillId="0" borderId="0" xfId="0" applyNumberFormat="1" applyFont="1" applyAlignment="1">
      <alignment vertical="bottom"/>
    </xf>
    <xf numFmtId="0" fontId="6" fillId="3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10" fontId="8" fillId="4" borderId="0" xfId="0" applyNumberFormat="1" applyFont="1" applyFill="1" applyAlignment="1">
      <alignment vertical="bottom"/>
    </xf>
    <xf numFmtId="10" fontId="9" fillId="0" borderId="0" xfId="0" applyNumberFormat="1" applyFont="1" applyAlignment="1">
      <alignment vertical="bottom"/>
    </xf>
    <xf numFmtId="0" fontId="10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vertical="bottom"/>
    </xf>
    <xf numFmtId="10" fontId="9" fillId="5" borderId="0" xfId="0" applyNumberFormat="1" applyFont="1" applyFill="1" applyAlignment="1">
      <alignment vertical="bottom"/>
    </xf>
    <xf numFmtId="4" fontId="7" fillId="0" borderId="0" xfId="0" applyNumberFormat="1" applyFont="1" applyAlignment="1">
      <alignment vertical="bottom"/>
    </xf>
    <xf numFmtId="2" fontId="8" fillId="4" borderId="0" xfId="0" applyNumberFormat="1" applyFont="1" applyFill="1" applyAlignment="1">
      <alignment vertical="bottom"/>
    </xf>
    <xf numFmtId="4" fontId="8" fillId="4" borderId="0" xfId="0" applyNumberFormat="1" applyFont="1" applyFill="1" applyAlignment="1">
      <alignment vertical="bottom"/>
    </xf>
    <xf numFmtId="4" fontId="9" fillId="0" borderId="0" xfId="0" applyNumberFormat="1" applyFont="1" applyAlignment="1">
      <alignment vertical="bottom"/>
    </xf>
    <xf numFmtId="4" fontId="9" fillId="5" borderId="0" xfId="0" applyNumberFormat="1" applyFont="1" applyFill="1" applyAlignment="1">
      <alignment vertical="bottom"/>
    </xf>
    <xf numFmtId="164" applyNumberFormat="1" fontId="7" fillId="0" borderId="0" xfId="0" applyFont="1" applyAlignment="1">
      <alignment vertical="bottom"/>
    </xf>
    <xf numFmtId="164" applyNumberFormat="1" fontId="8" fillId="4" borderId="0" xfId="0" applyFont="1" applyFill="1" applyAlignment="1">
      <alignment vertical="bottom"/>
    </xf>
    <xf numFmtId="164" applyNumberFormat="1" fontId="9" fillId="0" borderId="0" xfId="0" applyFont="1" applyAlignment="1">
      <alignment vertical="bottom"/>
    </xf>
    <xf numFmtId="164" applyNumberFormat="1" fontId="9" fillId="5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42.142857142857146" customWidth="1"/>
    <col min="2" max="24" width="13.571428571428571" customWidth="1"/>
  </cols>
  <sheetData>
    <row r="1" ht="18.75" customHeight="1" spans="1:1" x14ac:dyDescent="0.25">
      <c r="A1" s="1" t="s">
        <v>0</v>
      </c>
    </row>
    <row r="2" spans="1:1" x14ac:dyDescent="0.25">
      <c r="A2" s="1" t="s">
        <v>1</v>
      </c>
    </row>
    <row r="3" ht="15.75" customHeight="1" spans="1:1" x14ac:dyDescent="0.25">
      <c r="A3" s="2" t="s">
        <v>2</v>
      </c>
    </row>
    <row r="4" ht="15.75" customHeight="1" spans="1:1" x14ac:dyDescent="0.25">
      <c r="A4" s="2" t="s">
        <v>3</v>
      </c>
    </row>
    <row r="5" spans="1:1" x14ac:dyDescent="0.25">
      <c r="A5" s="2" t="s">
        <v>1</v>
      </c>
    </row>
    <row r="6" ht="15" customHeight="1" spans="1:1" x14ac:dyDescent="0.25">
      <c r="A6" s="3" t="s">
        <v>4</v>
      </c>
    </row>
    <row r="7" ht="15.75" customHeight="1" spans="1:1" x14ac:dyDescent="0.25">
      <c r="A7" s="4" t="s">
        <v>5</v>
      </c>
    </row>
    <row r="8" ht="15.75" customHeight="1" spans="1:1" x14ac:dyDescent="0.25">
      <c r="A8" s="4" t="s">
        <v>6</v>
      </c>
    </row>
    <row r="9" ht="15.75" customHeight="1" spans="1:1" x14ac:dyDescent="0.25">
      <c r="A9" s="4" t="s">
        <v>7</v>
      </c>
    </row>
    <row r="10" ht="15" customHeight="1" spans="1:1" x14ac:dyDescent="0.25">
      <c r="A10" s="4" t="s">
        <v>1</v>
      </c>
    </row>
    <row r="11" ht="15.75" customHeight="1" spans="1:1" x14ac:dyDescent="0.25">
      <c r="A11" s="3" t="s">
        <v>8</v>
      </c>
    </row>
    <row r="12" ht="15.75" customHeight="1" spans="1:1" x14ac:dyDescent="0.25">
      <c r="A12" s="4" t="s">
        <v>9</v>
      </c>
    </row>
    <row r="13" ht="15" customHeight="1" spans="1:1" x14ac:dyDescent="0.25">
      <c r="A13" s="5" t="s">
        <v>10</v>
      </c>
    </row>
    <row r="14" ht="15.75" customHeight="1" spans="1:1" x14ac:dyDescent="0.25">
      <c r="A14" s="5" t="s">
        <v>11</v>
      </c>
    </row>
    <row r="15" ht="15.75" customHeight="1" spans="1:1" x14ac:dyDescent="0.25">
      <c r="A15" s="5" t="s">
        <v>12</v>
      </c>
    </row>
    <row r="16" ht="15.75" customHeight="1" spans="1:1" x14ac:dyDescent="0.25">
      <c r="A16" s="4" t="s">
        <v>13</v>
      </c>
    </row>
    <row r="17" ht="15.75" customHeight="1" spans="1:1" x14ac:dyDescent="0.25">
      <c r="A17" s="4" t="s">
        <v>14</v>
      </c>
    </row>
    <row r="18" ht="15" customHeight="1" spans="1:1" x14ac:dyDescent="0.25">
      <c r="A18" s="5" t="s">
        <v>1</v>
      </c>
    </row>
    <row r="19" ht="15.75" customHeight="1" spans="1:1" x14ac:dyDescent="0.25">
      <c r="A19" s="3" t="s">
        <v>15</v>
      </c>
    </row>
    <row r="20" ht="15" customHeight="1" spans="1:1" x14ac:dyDescent="0.25">
      <c r="A20" s="5" t="s">
        <v>16</v>
      </c>
    </row>
    <row r="21" ht="15.75" customHeight="1" spans="1:1" x14ac:dyDescent="0.25">
      <c r="A21" s="5" t="s">
        <v>17</v>
      </c>
    </row>
    <row r="22" ht="15.75" customHeight="1" spans="1:1" x14ac:dyDescent="0.25">
      <c r="A22" s="5" t="s">
        <v>18</v>
      </c>
    </row>
    <row r="23" ht="15.75" customHeight="1" spans="1:1" x14ac:dyDescent="0.25">
      <c r="A23" s="5" t="s">
        <v>19</v>
      </c>
    </row>
    <row r="24" ht="15" customHeight="1" spans="1:1" x14ac:dyDescent="0.25">
      <c r="A24" s="5" t="s">
        <v>1</v>
      </c>
    </row>
    <row r="25" ht="15" customHeight="1" spans="1:1" x14ac:dyDescent="0.25">
      <c r="A25" s="3" t="s">
        <v>20</v>
      </c>
    </row>
    <row r="26" ht="15.75" customHeight="1" spans="1:1" x14ac:dyDescent="0.25">
      <c r="A26" s="5" t="s">
        <v>21</v>
      </c>
    </row>
    <row r="27" ht="15.75" customHeight="1" spans="1:1" x14ac:dyDescent="0.25">
      <c r="A27" s="4" t="s">
        <v>22</v>
      </c>
    </row>
    <row r="28" ht="15.75" customHeight="1" spans="1:1" x14ac:dyDescent="0.25">
      <c r="A28" s="4" t="s">
        <v>23</v>
      </c>
    </row>
    <row r="29" ht="15.75" customHeight="1" spans="1:1" x14ac:dyDescent="0.25">
      <c r="A29" s="5" t="s">
        <v>24</v>
      </c>
    </row>
    <row r="30" ht="15.75" customHeight="1" spans="1:1" x14ac:dyDescent="0.25">
      <c r="A30" s="4" t="s">
        <v>25</v>
      </c>
    </row>
    <row r="31" ht="15" customHeight="1" spans="1:1" x14ac:dyDescent="0.25">
      <c r="A31" s="5" t="s">
        <v>26</v>
      </c>
    </row>
    <row r="32" ht="15.75" customHeight="1" spans="1:1" x14ac:dyDescent="0.25">
      <c r="A32" s="5" t="s">
        <v>27</v>
      </c>
    </row>
    <row r="33" ht="15.75" customHeight="1" spans="1:1" x14ac:dyDescent="0.25">
      <c r="A33" s="5" t="s">
        <v>28</v>
      </c>
    </row>
    <row r="34" ht="15" customHeight="1" spans="1:1" x14ac:dyDescent="0.25">
      <c r="A34" s="5" t="s">
        <v>1</v>
      </c>
    </row>
    <row r="35" ht="15.75" customHeight="1" spans="1:1" x14ac:dyDescent="0.25">
      <c r="A35" s="3" t="s">
        <v>29</v>
      </c>
    </row>
    <row r="36" ht="15.75" customHeight="1" spans="1:1" x14ac:dyDescent="0.25">
      <c r="A36" s="4" t="s">
        <v>30</v>
      </c>
    </row>
    <row r="37" ht="15.75" customHeight="1" spans="1:1" x14ac:dyDescent="0.25">
      <c r="A37" s="4" t="s">
        <v>31</v>
      </c>
    </row>
    <row r="38" ht="15.75" customHeight="1" spans="1:1" x14ac:dyDescent="0.25">
      <c r="A38" s="4" t="s">
        <v>32</v>
      </c>
    </row>
    <row r="39" ht="15.75" customHeight="1" spans="1:1" x14ac:dyDescent="0.25">
      <c r="A39" s="5" t="s">
        <v>33</v>
      </c>
    </row>
    <row r="40" ht="15.75" customHeight="1" spans="1:1" x14ac:dyDescent="0.25">
      <c r="A40" s="4" t="s">
        <v>34</v>
      </c>
    </row>
    <row r="41" ht="15.75" customHeight="1" spans="1:1" x14ac:dyDescent="0.25">
      <c r="A41" s="5" t="s">
        <v>35</v>
      </c>
    </row>
    <row r="42" ht="15" customHeight="1" spans="1:1" x14ac:dyDescent="0.25">
      <c r="A42" s="5" t="s">
        <v>1</v>
      </c>
    </row>
    <row r="43" ht="15" customHeight="1" spans="1:1" x14ac:dyDescent="0.25">
      <c r="A43" s="3" t="s">
        <v>36</v>
      </c>
    </row>
    <row r="44" ht="15.75" customHeight="1" spans="1:1" x14ac:dyDescent="0.25">
      <c r="A44" s="5" t="s">
        <v>37</v>
      </c>
    </row>
    <row r="45" ht="15.75" customHeight="1" spans="1:1" x14ac:dyDescent="0.25">
      <c r="A45" s="5" t="s">
        <v>38</v>
      </c>
    </row>
    <row r="46" ht="15.75" customHeight="1" spans="1:1" x14ac:dyDescent="0.25">
      <c r="A46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  <ignoredErrors>
    <ignoredError sqref="A1:F66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9.142857142857146" customWidth="1"/>
    <col min="2" max="3" width="12.714285714285714" customWidth="1"/>
    <col min="4" max="4" width="42.142857142857146" customWidth="1"/>
    <col min="5" max="5" width="14.571428571428571" customWidth="1"/>
    <col min="6" max="24" width="13.571428571428571" customWidth="1"/>
  </cols>
  <sheetData>
    <row r="1" ht="18.75" customHeight="1" spans="1:5" x14ac:dyDescent="0.25">
      <c r="A1" s="1" t="s">
        <v>40</v>
      </c>
      <c r="B1" s="1"/>
      <c r="C1" s="1"/>
      <c r="D1" s="1"/>
      <c r="E1" s="6" t="s">
        <v>1</v>
      </c>
    </row>
    <row r="2" spans="1:5" x14ac:dyDescent="0.25">
      <c r="A2" s="1" t="s">
        <v>1</v>
      </c>
      <c r="B2" s="7" t="s">
        <v>1</v>
      </c>
      <c r="C2" s="6" t="s">
        <v>1</v>
      </c>
      <c r="D2" s="2" t="s">
        <v>1</v>
      </c>
      <c r="E2" s="6" t="s">
        <v>1</v>
      </c>
    </row>
    <row r="3" ht="15.75" customHeight="1" spans="1:5" x14ac:dyDescent="0.25">
      <c r="A3" s="8" t="s">
        <v>41</v>
      </c>
      <c r="B3" s="8"/>
      <c r="C3" s="8"/>
      <c r="D3" s="8"/>
      <c r="E3" s="6" t="s">
        <v>1</v>
      </c>
    </row>
    <row r="4" ht="15.75" customHeight="1" spans="1:5" x14ac:dyDescent="0.25">
      <c r="A4" s="9" t="s">
        <v>42</v>
      </c>
      <c r="B4" s="7">
        <v>0.7</v>
      </c>
      <c r="C4" s="6" t="s">
        <v>1</v>
      </c>
      <c r="D4" s="2" t="s">
        <v>1</v>
      </c>
      <c r="E4" s="6" t="s">
        <v>1</v>
      </c>
    </row>
    <row r="5" ht="15" customHeight="1" spans="1:5" x14ac:dyDescent="0.25">
      <c r="A5" s="9" t="s">
        <v>43</v>
      </c>
      <c r="B5" s="7">
        <v>0.2</v>
      </c>
      <c r="C5" s="6" t="s">
        <v>1</v>
      </c>
      <c r="D5" s="2" t="s">
        <v>1</v>
      </c>
      <c r="E5" s="6" t="s">
        <v>1</v>
      </c>
    </row>
    <row r="6" ht="15" customHeight="1" spans="1:5" x14ac:dyDescent="0.25">
      <c r="A6" s="9" t="s">
        <v>44</v>
      </c>
      <c r="B6" s="7">
        <v>0.05</v>
      </c>
      <c r="C6" s="6" t="s">
        <v>1</v>
      </c>
      <c r="D6" s="2" t="s">
        <v>1</v>
      </c>
      <c r="E6" s="6" t="s">
        <v>1</v>
      </c>
    </row>
    <row r="7" ht="15" customHeight="1" spans="1:5" x14ac:dyDescent="0.25">
      <c r="A7" s="9" t="s">
        <v>45</v>
      </c>
      <c r="B7" s="7">
        <v>0</v>
      </c>
      <c r="C7" s="6" t="s">
        <v>1</v>
      </c>
      <c r="D7" s="2" t="s">
        <v>1</v>
      </c>
      <c r="E7" s="6" t="s">
        <v>1</v>
      </c>
    </row>
    <row r="8" ht="15.75" customHeight="1" spans="1:5" x14ac:dyDescent="0.25">
      <c r="A8" s="10" t="s">
        <v>46</v>
      </c>
      <c r="B8" s="22">
        <f>SUM(B4:B7)</f>
      </c>
      <c r="C8" s="6" t="s">
        <v>1</v>
      </c>
      <c r="D8" s="2" t="s">
        <v>47</v>
      </c>
      <c r="E8" s="6" t="s">
        <v>1</v>
      </c>
    </row>
    <row r="9" spans="1:5" x14ac:dyDescent="0.25">
      <c r="A9" s="10" t="s">
        <v>1</v>
      </c>
      <c r="B9" s="11" t="s">
        <v>1</v>
      </c>
      <c r="C9" s="6" t="s">
        <v>1</v>
      </c>
      <c r="D9" s="2" t="s">
        <v>1</v>
      </c>
      <c r="E9" s="6" t="s">
        <v>1</v>
      </c>
    </row>
    <row r="10" spans="1:5" x14ac:dyDescent="0.25">
      <c r="A10" s="10" t="s">
        <v>1</v>
      </c>
      <c r="B10" s="11" t="s">
        <v>1</v>
      </c>
      <c r="C10" s="6" t="s">
        <v>1</v>
      </c>
      <c r="D10" s="2" t="s">
        <v>1</v>
      </c>
      <c r="E10" s="6" t="s">
        <v>1</v>
      </c>
    </row>
    <row r="11" ht="15.75" customHeight="1" spans="1:5" x14ac:dyDescent="0.25">
      <c r="A11" s="8" t="s">
        <v>48</v>
      </c>
      <c r="B11" s="8"/>
      <c r="C11" s="8"/>
      <c r="D11" s="2" t="s">
        <v>1</v>
      </c>
      <c r="E11" s="6" t="s">
        <v>1</v>
      </c>
    </row>
    <row r="12" ht="15.75" customHeight="1" spans="1:5" x14ac:dyDescent="0.25">
      <c r="A12" t="s">
        <v>49</v>
      </c>
      <c r="B12" s="7">
        <v>0.95</v>
      </c>
      <c r="C12" s="6" t="s">
        <v>1</v>
      </c>
      <c r="D12" s="2" t="s">
        <v>1</v>
      </c>
      <c r="E12" s="6" t="s">
        <v>1</v>
      </c>
    </row>
    <row r="13" ht="15.75" customHeight="1" spans="1:5" x14ac:dyDescent="0.25">
      <c r="A13" t="s">
        <v>50</v>
      </c>
      <c r="B13" s="23">
        <f>B8-B12</f>
      </c>
      <c r="C13" s="6" t="s">
        <v>1</v>
      </c>
      <c r="D13" s="2" t="s">
        <v>51</v>
      </c>
      <c r="E13" s="6" t="s">
        <v>1</v>
      </c>
    </row>
    <row r="14" spans="1:5" x14ac:dyDescent="0.25">
      <c r="A14" t="s">
        <v>1</v>
      </c>
      <c r="B14" s="12" t="s">
        <v>1</v>
      </c>
      <c r="C14" s="6" t="s">
        <v>1</v>
      </c>
      <c r="D14" s="2" t="s">
        <v>1</v>
      </c>
      <c r="E14" s="6" t="s">
        <v>1</v>
      </c>
    </row>
    <row r="15" ht="15" customHeight="1" spans="1:5" x14ac:dyDescent="0.25">
      <c r="A15" s="8" t="s">
        <v>52</v>
      </c>
      <c r="B15" s="12" t="s">
        <v>1</v>
      </c>
      <c r="C15" s="6" t="s">
        <v>1</v>
      </c>
      <c r="D15" s="2" t="s">
        <v>1</v>
      </c>
      <c r="E15" s="6" t="s">
        <v>1</v>
      </c>
    </row>
    <row r="16" ht="15.75" customHeight="1" spans="1:5" x14ac:dyDescent="0.25">
      <c r="A16" s="6" t="s">
        <v>53</v>
      </c>
      <c r="B16" s="13" t="s">
        <v>54</v>
      </c>
      <c r="C16" s="6" t="s">
        <v>55</v>
      </c>
      <c r="D16" s="6" t="s">
        <v>56</v>
      </c>
      <c r="E16" s="6" t="s">
        <v>57</v>
      </c>
    </row>
    <row r="17" ht="27.75" customHeight="1" spans="1:5" x14ac:dyDescent="0.25">
      <c r="A17" s="9" t="s">
        <v>58</v>
      </c>
      <c r="B17" s="23">
        <f>$B$4</f>
      </c>
      <c r="C17" s="23">
        <f>B17/$B$8</f>
      </c>
      <c r="D17" s="5" t="s">
        <v>59</v>
      </c>
      <c r="E17" s="9" t="s">
        <v>60</v>
      </c>
    </row>
    <row r="18" ht="29.25" customHeight="1" spans="1:5" x14ac:dyDescent="0.25">
      <c r="A18" s="9" t="s">
        <v>61</v>
      </c>
      <c r="B18" s="23">
        <f>$B$5</f>
      </c>
      <c r="C18" s="23">
        <f>B18/$B$8</f>
      </c>
      <c r="D18" s="5" t="s">
        <v>62</v>
      </c>
      <c r="E18" s="9" t="s">
        <v>63</v>
      </c>
    </row>
    <row r="19" ht="15.75" customHeight="1" spans="1:5" x14ac:dyDescent="0.25">
      <c r="A19" s="9" t="s">
        <v>64</v>
      </c>
      <c r="B19" s="23">
        <f>$B$6</f>
      </c>
      <c r="C19" s="23">
        <f>B19/$B$8</f>
      </c>
      <c r="D19" s="5" t="s">
        <v>65</v>
      </c>
      <c r="E19" s="9" t="s">
        <v>66</v>
      </c>
    </row>
    <row r="20" ht="15.75" customHeight="1" spans="1:5" x14ac:dyDescent="0.25">
      <c r="A20" s="9" t="s">
        <v>67</v>
      </c>
      <c r="B20" s="23">
        <f>$B$7</f>
      </c>
      <c r="C20" s="23">
        <f>B20/$B$8</f>
      </c>
      <c r="D20" s="5" t="s">
        <v>68</v>
      </c>
      <c r="E20" s="9" t="s">
        <v>69</v>
      </c>
    </row>
    <row r="21" ht="15" customHeight="1" spans="1:5" x14ac:dyDescent="0.25">
      <c r="A21" s="14" t="s">
        <v>70</v>
      </c>
      <c r="B21" s="24">
        <f>SUM(B17:B20)</f>
      </c>
      <c r="C21" s="24">
        <f>SUM(C17:C20)</f>
      </c>
      <c r="D21" s="5" t="s">
        <v>1</v>
      </c>
      <c r="E21" s="9" t="s">
        <v>1</v>
      </c>
    </row>
    <row r="22" spans="1:5" x14ac:dyDescent="0.25">
      <c r="A22" s="14" t="s">
        <v>1</v>
      </c>
      <c r="B22" s="15" t="s">
        <v>1</v>
      </c>
      <c r="C22" s="15" t="s">
        <v>1</v>
      </c>
      <c r="D22" s="5" t="s">
        <v>1</v>
      </c>
      <c r="E22" s="9" t="s">
        <v>1</v>
      </c>
    </row>
    <row r="23" ht="15.75" customHeight="1" spans="1:5" x14ac:dyDescent="0.25">
      <c r="A23" s="2" t="s">
        <v>71</v>
      </c>
      <c r="B23" s="2"/>
      <c r="C23" s="2"/>
      <c r="D23" s="2"/>
      <c r="E23" s="9" t="s">
        <v>1</v>
      </c>
    </row>
    <row r="24" ht="15.75" customHeight="1" spans="1:5" x14ac:dyDescent="0.25">
      <c r="A24" s="2" t="s">
        <v>72</v>
      </c>
      <c r="B24" s="2"/>
      <c r="C24" s="2"/>
      <c r="D24" s="2"/>
      <c r="E24" s="9" t="s">
        <v>1</v>
      </c>
    </row>
  </sheetData>
  <mergeCells count="5">
    <mergeCell ref="A1:D1"/>
    <mergeCell ref="A3:D3"/>
    <mergeCell ref="A11:C11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  <ignoredErrors>
    <ignoredError sqref="A1:J44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2" width="36.857142857142854" customWidth="1"/>
    <col min="3" max="4" width="31.428571428571427" customWidth="1"/>
    <col min="5" max="5" width="42.142857142857146" customWidth="1"/>
    <col min="6" max="24" width="13.571428571428571" customWidth="1"/>
  </cols>
  <sheetData>
    <row r="1" ht="18.75" customHeight="1" spans="1:5" x14ac:dyDescent="0.25">
      <c r="A1" s="1" t="s">
        <v>73</v>
      </c>
      <c r="B1" s="1"/>
      <c r="C1" s="1"/>
      <c r="D1" s="1"/>
      <c r="E1" s="6" t="s">
        <v>1</v>
      </c>
    </row>
    <row r="2" spans="1:5" x14ac:dyDescent="0.25">
      <c r="A2" s="1" t="s">
        <v>1</v>
      </c>
      <c r="B2" s="6" t="s">
        <v>1</v>
      </c>
      <c r="C2" s="6" t="s">
        <v>1</v>
      </c>
      <c r="D2" s="13" t="s">
        <v>1</v>
      </c>
      <c r="E2" s="6" t="s">
        <v>1</v>
      </c>
    </row>
    <row r="3" ht="15.75" customHeight="1" spans="1:5" x14ac:dyDescent="0.25">
      <c r="A3" s="8" t="s">
        <v>74</v>
      </c>
      <c r="B3" s="8"/>
      <c r="C3" s="8"/>
      <c r="D3" s="8"/>
      <c r="E3" s="6" t="s">
        <v>1</v>
      </c>
    </row>
    <row r="4" ht="15.75" customHeight="1" spans="1:5" x14ac:dyDescent="0.25">
      <c r="A4" s="6" t="s">
        <v>75</v>
      </c>
      <c r="B4" s="6" t="s">
        <v>76</v>
      </c>
      <c r="C4" s="6" t="s">
        <v>77</v>
      </c>
      <c r="D4" s="13" t="s">
        <v>78</v>
      </c>
      <c r="E4" s="6" t="s">
        <v>79</v>
      </c>
    </row>
    <row r="5" ht="15.75" customHeight="1" spans="1:5" x14ac:dyDescent="0.25">
      <c r="A5" s="9" t="s">
        <v>80</v>
      </c>
      <c r="B5" s="7">
        <v>0.0002</v>
      </c>
      <c r="C5" s="16">
        <v>500</v>
      </c>
      <c r="D5" s="23">
        <f>B5*C5</f>
      </c>
      <c r="E5" t="s">
        <v>81</v>
      </c>
    </row>
    <row r="6" ht="15.75" customHeight="1" spans="1:5" x14ac:dyDescent="0.25">
      <c r="A6" s="9" t="s">
        <v>82</v>
      </c>
      <c r="B6" s="7">
        <v>0.001</v>
      </c>
      <c r="C6" s="16">
        <v>100</v>
      </c>
      <c r="D6" s="23">
        <f>B6*C6</f>
      </c>
      <c r="E6" t="s">
        <v>81</v>
      </c>
    </row>
    <row r="7" ht="15.75" customHeight="1" spans="1:5" x14ac:dyDescent="0.25">
      <c r="A7" s="9" t="s">
        <v>83</v>
      </c>
      <c r="B7" s="7">
        <v>0.0006</v>
      </c>
      <c r="C7" s="16">
        <v>200</v>
      </c>
      <c r="D7" s="23">
        <f>B7*C7</f>
      </c>
      <c r="E7" t="s">
        <v>84</v>
      </c>
    </row>
    <row r="8" ht="15.75" customHeight="1" spans="1:5" x14ac:dyDescent="0.25">
      <c r="A8" s="9" t="s">
        <v>85</v>
      </c>
      <c r="B8" s="7">
        <v>0.002</v>
      </c>
      <c r="C8" s="16">
        <v>60</v>
      </c>
      <c r="D8" s="23">
        <f>B8*C8</f>
      </c>
      <c r="E8" t="s">
        <v>84</v>
      </c>
    </row>
    <row r="9" ht="15.75" customHeight="1" spans="1:5" x14ac:dyDescent="0.25">
      <c r="A9" s="9" t="s">
        <v>86</v>
      </c>
      <c r="B9" s="7">
        <v>0.01</v>
      </c>
      <c r="C9" s="16">
        <v>12</v>
      </c>
      <c r="D9" s="23">
        <f>B9*C9</f>
      </c>
      <c r="E9" t="s">
        <v>84</v>
      </c>
    </row>
    <row r="10" ht="15.75" customHeight="1" spans="1:5" x14ac:dyDescent="0.25">
      <c r="A10" s="9" t="s">
        <v>87</v>
      </c>
      <c r="B10" s="7">
        <v>0.001</v>
      </c>
      <c r="C10" s="16">
        <v>40</v>
      </c>
      <c r="D10" s="23">
        <f>B10*C10</f>
      </c>
      <c r="E10" t="s">
        <v>84</v>
      </c>
    </row>
    <row r="11" ht="15.75" customHeight="1" spans="1:5" x14ac:dyDescent="0.25">
      <c r="A11" s="9" t="s">
        <v>88</v>
      </c>
      <c r="B11" s="7">
        <v>0.005</v>
      </c>
      <c r="C11" s="16">
        <v>8</v>
      </c>
      <c r="D11" s="23">
        <f>B11*C11</f>
      </c>
      <c r="E11" t="s">
        <v>84</v>
      </c>
    </row>
    <row r="12" ht="15.75" customHeight="1" spans="1:5" x14ac:dyDescent="0.25">
      <c r="A12" s="9" t="s">
        <v>89</v>
      </c>
      <c r="B12" s="7">
        <v>0.02</v>
      </c>
      <c r="C12" s="16">
        <v>2</v>
      </c>
      <c r="D12" s="23">
        <f>B12*C12</f>
      </c>
      <c r="E12" t="s">
        <v>84</v>
      </c>
    </row>
    <row r="13" ht="15.75" customHeight="1" spans="1:5" x14ac:dyDescent="0.25">
      <c r="A13" s="9" t="s">
        <v>90</v>
      </c>
      <c r="B13" s="7">
        <v>0.01</v>
      </c>
      <c r="C13" s="16">
        <v>3</v>
      </c>
      <c r="D13" s="23">
        <f>B13*C13</f>
      </c>
      <c r="E13" t="s">
        <v>84</v>
      </c>
    </row>
    <row r="14" ht="15.75" customHeight="1" spans="1:5" x14ac:dyDescent="0.25">
      <c r="A14" s="9" t="s">
        <v>91</v>
      </c>
      <c r="B14" s="7">
        <v>0.007</v>
      </c>
      <c r="C14" s="16">
        <v>2</v>
      </c>
      <c r="D14" s="23">
        <f>B14*C14</f>
      </c>
      <c r="E14" t="s">
        <v>84</v>
      </c>
    </row>
    <row r="15" ht="15.75" customHeight="1" spans="1:5" x14ac:dyDescent="0.25">
      <c r="A15" s="14" t="s">
        <v>70</v>
      </c>
      <c r="B15" s="24">
        <f>SUM(B5:B14)</f>
      </c>
      <c r="C15" s="14" t="s">
        <v>92</v>
      </c>
      <c r="D15" s="22">
        <f>SUM(D5:D14)</f>
      </c>
      <c r="E15" t="s">
        <v>1</v>
      </c>
    </row>
    <row r="16" spans="1:5" x14ac:dyDescent="0.25">
      <c r="A16" s="14" t="s">
        <v>1</v>
      </c>
      <c r="B16" s="15" t="s">
        <v>1</v>
      </c>
      <c r="C16" s="14" t="s">
        <v>1</v>
      </c>
      <c r="D16" s="11" t="s">
        <v>1</v>
      </c>
      <c r="E16" t="s">
        <v>1</v>
      </c>
    </row>
    <row r="17" ht="15" customHeight="1" spans="1:5" x14ac:dyDescent="0.25">
      <c r="A17" s="8" t="s">
        <v>93</v>
      </c>
      <c r="B17" s="8"/>
      <c r="C17" s="14" t="s">
        <v>1</v>
      </c>
      <c r="D17" s="11" t="s">
        <v>1</v>
      </c>
      <c r="E17" t="s">
        <v>1</v>
      </c>
    </row>
    <row r="18" ht="15.75" customHeight="1" spans="1:5" x14ac:dyDescent="0.25">
      <c r="A18" t="s">
        <v>94</v>
      </c>
      <c r="B18" s="23">
        <f>B15</f>
      </c>
      <c r="C18" s="14" t="s">
        <v>1</v>
      </c>
      <c r="D18" s="11" t="s">
        <v>1</v>
      </c>
      <c r="E18" t="s">
        <v>1</v>
      </c>
    </row>
    <row r="19" ht="15.75" customHeight="1" spans="1:5" x14ac:dyDescent="0.25">
      <c r="A19" t="s">
        <v>95</v>
      </c>
      <c r="B19" s="17">
        <f>D15/B15</f>
      </c>
      <c r="C19" s="14" t="s">
        <v>1</v>
      </c>
      <c r="D19" s="11" t="s">
        <v>1</v>
      </c>
      <c r="E19" t="s">
        <v>1</v>
      </c>
    </row>
    <row r="20" ht="15" customHeight="1" spans="1:5" x14ac:dyDescent="0.25">
      <c r="A20" t="s">
        <v>96</v>
      </c>
      <c r="B20" s="23">
        <f>1-B15</f>
      </c>
      <c r="C20" s="14" t="s">
        <v>1</v>
      </c>
      <c r="D20" s="11" t="s">
        <v>1</v>
      </c>
      <c r="E20" t="s">
        <v>1</v>
      </c>
    </row>
    <row r="21" spans="1:5" x14ac:dyDescent="0.25">
      <c r="A21" t="s">
        <v>1</v>
      </c>
      <c r="B21" s="12" t="s">
        <v>1</v>
      </c>
      <c r="C21" s="14" t="s">
        <v>1</v>
      </c>
      <c r="D21" s="11" t="s">
        <v>1</v>
      </c>
      <c r="E21" t="s">
        <v>1</v>
      </c>
    </row>
    <row r="22" ht="15" customHeight="1" spans="1:5" x14ac:dyDescent="0.25">
      <c r="A22" s="8" t="s">
        <v>97</v>
      </c>
      <c r="B22" s="12" t="s">
        <v>1</v>
      </c>
      <c r="C22" s="14" t="s">
        <v>1</v>
      </c>
      <c r="D22" s="11" t="s">
        <v>1</v>
      </c>
      <c r="E22" t="s">
        <v>1</v>
      </c>
    </row>
    <row r="23" ht="15.75" customHeight="1" spans="1:5" x14ac:dyDescent="0.25">
      <c r="A23" t="s">
        <v>98</v>
      </c>
      <c r="B23" s="7">
        <v>0.724</v>
      </c>
      <c r="C23" s="14" t="s">
        <v>1</v>
      </c>
      <c r="D23" s="11" t="s">
        <v>1</v>
      </c>
      <c r="E23" t="s">
        <v>1</v>
      </c>
    </row>
    <row r="24" ht="15.75" customHeight="1" spans="1:5" x14ac:dyDescent="0.25">
      <c r="A24" t="s">
        <v>99</v>
      </c>
      <c r="B24" s="23">
        <f>D15-B23</f>
      </c>
      <c r="C24" s="14" t="s">
        <v>1</v>
      </c>
      <c r="D24" s="11" t="s">
        <v>1</v>
      </c>
      <c r="E24" t="s">
        <v>1</v>
      </c>
    </row>
    <row r="25" spans="1:5" x14ac:dyDescent="0.25">
      <c r="A25" t="s">
        <v>1</v>
      </c>
      <c r="B25" s="12" t="s">
        <v>1</v>
      </c>
      <c r="C25" s="14" t="s">
        <v>1</v>
      </c>
      <c r="D25" s="11" t="s">
        <v>1</v>
      </c>
      <c r="E25" t="s">
        <v>1</v>
      </c>
    </row>
    <row r="26" ht="15.75" customHeight="1" spans="1:8" x14ac:dyDescent="0.25">
      <c r="A26" s="2" t="s">
        <v>100</v>
      </c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</sheetData>
  <mergeCells count="4">
    <mergeCell ref="A1:D1"/>
    <mergeCell ref="A3:D3"/>
    <mergeCell ref="A17:B17"/>
    <mergeCell ref="A26:H27"/>
  </mergeCells>
  <pageMargins left="0.7" right="0.7" top="0.75" bottom="0.75" header="0.3" footer="0.3"/>
  <pageSetup orientation="portrait" horizontalDpi="4294967295" verticalDpi="4294967295" scale="100" fitToWidth="1" fitToHeight="1"/>
  <ignoredErrors>
    <ignoredError sqref="A1:M47" evalError="1" twoDigitTextYear="1" numberStoredAsText="1" formula="1" formulaRange="1" unlockedFormula="1" emptyCellReference="1" listDataValidation="1" calculatedColum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31" customWidth="1"/>
    <col min="2" max="4" width="16.428571428571427" customWidth="1"/>
    <col min="5" max="5" width="42.142857142857146" customWidth="1"/>
    <col min="6" max="24" width="13.571428571428571" customWidth="1"/>
  </cols>
  <sheetData>
    <row r="1" ht="18.75" customHeight="1" spans="1:5" x14ac:dyDescent="0.25">
      <c r="A1" s="1" t="s">
        <v>101</v>
      </c>
      <c r="B1" s="16" t="s">
        <v>1</v>
      </c>
      <c r="C1" s="6" t="s">
        <v>1</v>
      </c>
      <c r="D1" s="6" t="s">
        <v>1</v>
      </c>
      <c r="E1" s="6" t="s">
        <v>1</v>
      </c>
    </row>
    <row r="2" spans="1:5" x14ac:dyDescent="0.25">
      <c r="A2" s="1" t="s">
        <v>1</v>
      </c>
      <c r="B2" s="16" t="s">
        <v>1</v>
      </c>
      <c r="C2" s="6" t="s">
        <v>1</v>
      </c>
      <c r="D2" s="6" t="s">
        <v>1</v>
      </c>
      <c r="E2" s="6" t="s">
        <v>1</v>
      </c>
    </row>
    <row r="3" ht="15" customHeight="1" spans="1:5" x14ac:dyDescent="0.25">
      <c r="A3" s="8" t="s">
        <v>102</v>
      </c>
      <c r="B3" s="16" t="s">
        <v>1</v>
      </c>
      <c r="C3" s="6" t="s">
        <v>1</v>
      </c>
      <c r="D3" s="6" t="s">
        <v>1</v>
      </c>
      <c r="E3" s="6" t="s">
        <v>1</v>
      </c>
    </row>
    <row r="4" ht="15" customHeight="1" spans="1:5" x14ac:dyDescent="0.25">
      <c r="A4" t="s">
        <v>103</v>
      </c>
      <c r="B4" s="16">
        <v>1000000</v>
      </c>
      <c r="C4" s="6" t="s">
        <v>1</v>
      </c>
      <c r="D4" s="6" t="s">
        <v>1</v>
      </c>
      <c r="E4" s="6" t="s">
        <v>1</v>
      </c>
    </row>
    <row r="5" ht="15.75" customHeight="1" spans="1:5" x14ac:dyDescent="0.25">
      <c r="A5" t="s">
        <v>104</v>
      </c>
      <c r="B5" s="7">
        <v>0.95</v>
      </c>
      <c r="C5" s="6" t="s">
        <v>1</v>
      </c>
      <c r="D5" s="6" t="s">
        <v>1</v>
      </c>
      <c r="E5" s="6" t="s">
        <v>1</v>
      </c>
    </row>
    <row r="6" spans="1:5" x14ac:dyDescent="0.25">
      <c r="A6" t="s">
        <v>1</v>
      </c>
      <c r="B6" s="7" t="s">
        <v>1</v>
      </c>
      <c r="C6" s="6" t="s">
        <v>1</v>
      </c>
      <c r="D6" s="6" t="s">
        <v>1</v>
      </c>
      <c r="E6" s="6" t="s">
        <v>1</v>
      </c>
    </row>
    <row r="7" ht="15" customHeight="1" spans="1:5" x14ac:dyDescent="0.25">
      <c r="A7" s="8" t="s">
        <v>105</v>
      </c>
      <c r="B7" s="7" t="s">
        <v>1</v>
      </c>
      <c r="C7" s="6" t="s">
        <v>1</v>
      </c>
      <c r="D7" s="6" t="s">
        <v>1</v>
      </c>
      <c r="E7" s="6" t="s">
        <v>1</v>
      </c>
    </row>
    <row r="8" ht="15" customHeight="1" spans="1:5" x14ac:dyDescent="0.25">
      <c r="A8" t="s">
        <v>106</v>
      </c>
      <c r="B8" s="18">
        <f>B4*B5</f>
      </c>
      <c r="C8" s="6" t="s">
        <v>1</v>
      </c>
      <c r="D8" s="6" t="s">
        <v>1</v>
      </c>
      <c r="E8" s="6" t="s">
        <v>1</v>
      </c>
    </row>
    <row r="9" ht="15" customHeight="1" spans="1:5" x14ac:dyDescent="0.25">
      <c r="A9" t="s">
        <v>107</v>
      </c>
      <c r="B9" s="18">
        <f>B4-B8</f>
      </c>
      <c r="C9" s="6" t="s">
        <v>1</v>
      </c>
      <c r="D9" s="6" t="s">
        <v>1</v>
      </c>
      <c r="E9" s="6" t="s">
        <v>1</v>
      </c>
    </row>
    <row r="10" ht="15.75" customHeight="1" spans="1:5" x14ac:dyDescent="0.25">
      <c r="A10" t="s">
        <v>108</v>
      </c>
      <c r="B10" s="23">
        <f>1-B5</f>
      </c>
      <c r="C10" s="6" t="s">
        <v>1</v>
      </c>
      <c r="D10" s="6" t="s">
        <v>1</v>
      </c>
      <c r="E10" s="6" t="s">
        <v>1</v>
      </c>
    </row>
    <row r="11" spans="1:5" x14ac:dyDescent="0.25">
      <c r="A11" t="s">
        <v>1</v>
      </c>
      <c r="B11" s="12" t="s">
        <v>1</v>
      </c>
      <c r="C11" s="6" t="s">
        <v>1</v>
      </c>
      <c r="D11" s="6" t="s">
        <v>1</v>
      </c>
      <c r="E11" s="6" t="s">
        <v>1</v>
      </c>
    </row>
    <row r="12" ht="15" customHeight="1" spans="1:5" x14ac:dyDescent="0.25">
      <c r="A12" s="8" t="s">
        <v>109</v>
      </c>
      <c r="B12" s="12" t="s">
        <v>1</v>
      </c>
      <c r="C12" s="6" t="s">
        <v>1</v>
      </c>
      <c r="D12" s="6" t="s">
        <v>1</v>
      </c>
      <c r="E12" s="6" t="s">
        <v>1</v>
      </c>
    </row>
    <row r="13" ht="15.75" customHeight="1" spans="1:5" x14ac:dyDescent="0.25">
      <c r="A13" s="6" t="s">
        <v>53</v>
      </c>
      <c r="B13" s="6" t="s">
        <v>110</v>
      </c>
      <c r="C13" s="6" t="s">
        <v>111</v>
      </c>
      <c r="D13" s="6" t="s">
        <v>112</v>
      </c>
      <c r="E13" s="6" t="s">
        <v>113</v>
      </c>
    </row>
    <row r="14" ht="15.75" customHeight="1" spans="1:5" x14ac:dyDescent="0.25">
      <c r="A14" s="9" t="s">
        <v>58</v>
      </c>
      <c r="B14" s="7">
        <v>0.7</v>
      </c>
      <c r="C14" s="19">
        <f>$B$4*B14</f>
      </c>
      <c r="D14" s="23">
        <f>C14/$B$4</f>
      </c>
      <c r="E14" t="s">
        <v>114</v>
      </c>
    </row>
    <row r="15" ht="15.75" customHeight="1" spans="1:5" x14ac:dyDescent="0.25">
      <c r="A15" s="9" t="s">
        <v>61</v>
      </c>
      <c r="B15" s="7">
        <v>0.2</v>
      </c>
      <c r="C15" s="19">
        <f>$B$4*B15</f>
      </c>
      <c r="D15" s="23">
        <f>C15/$B$4</f>
      </c>
      <c r="E15" t="s">
        <v>115</v>
      </c>
    </row>
    <row r="16" ht="15.75" customHeight="1" spans="1:5" x14ac:dyDescent="0.25">
      <c r="A16" s="9" t="s">
        <v>64</v>
      </c>
      <c r="B16" s="7">
        <v>0.05</v>
      </c>
      <c r="C16" s="19">
        <f>$B$4*B16</f>
      </c>
      <c r="D16" s="23">
        <f>C16/$B$4</f>
      </c>
      <c r="E16" t="s">
        <v>116</v>
      </c>
    </row>
    <row r="17" ht="15.75" customHeight="1" spans="1:5" x14ac:dyDescent="0.25">
      <c r="A17" s="9" t="s">
        <v>67</v>
      </c>
      <c r="B17" s="7">
        <v>0</v>
      </c>
      <c r="C17" s="19">
        <f>$B$4*B17</f>
      </c>
      <c r="D17" s="23">
        <f>C17/$B$4</f>
      </c>
      <c r="E17" t="s">
        <v>117</v>
      </c>
    </row>
    <row r="18" ht="15" customHeight="1" spans="1:5" x14ac:dyDescent="0.25">
      <c r="A18" s="14" t="s">
        <v>70</v>
      </c>
      <c r="B18" s="24">
        <f>SUM(B14:B17)</f>
      </c>
      <c r="C18" s="20">
        <f>SUM(C14:C17)</f>
      </c>
      <c r="D18" s="24">
        <f>C18/$B$4</f>
      </c>
      <c r="E18" t="s">
        <v>1</v>
      </c>
    </row>
    <row r="19" ht="15.75" customHeight="1" spans="1:5" x14ac:dyDescent="0.25">
      <c r="A19" t="s">
        <v>118</v>
      </c>
      <c r="B19" s="23">
        <f>B18-B5</f>
      </c>
      <c r="C19" s="20" t="s">
        <v>1</v>
      </c>
      <c r="D19" s="15" t="s">
        <v>1</v>
      </c>
      <c r="E19" t="s">
        <v>1</v>
      </c>
    </row>
    <row r="20" spans="1:5" x14ac:dyDescent="0.25">
      <c r="A20" t="s">
        <v>1</v>
      </c>
      <c r="B20" s="12" t="s">
        <v>1</v>
      </c>
      <c r="C20" s="20" t="s">
        <v>1</v>
      </c>
      <c r="D20" s="15" t="s">
        <v>1</v>
      </c>
      <c r="E20" t="s">
        <v>1</v>
      </c>
    </row>
    <row r="21" ht="15" customHeight="1" spans="1:5" x14ac:dyDescent="0.25">
      <c r="A21" s="2" t="s">
        <v>119</v>
      </c>
      <c r="B21" s="12" t="s">
        <v>1</v>
      </c>
      <c r="C21" s="20" t="s">
        <v>1</v>
      </c>
      <c r="D21" s="15" t="s">
        <v>1</v>
      </c>
      <c r="E21" t="s">
        <v>1</v>
      </c>
    </row>
    <row r="22" spans="1:5" x14ac:dyDescent="0.25">
      <c r="A22" s="2" t="s">
        <v>1</v>
      </c>
      <c r="B22" s="12" t="s">
        <v>1</v>
      </c>
      <c r="C22" s="20" t="s">
        <v>1</v>
      </c>
      <c r="D22" s="15" t="s">
        <v>1</v>
      </c>
      <c r="E22" t="s">
        <v>1</v>
      </c>
    </row>
    <row r="23" ht="15.75" customHeight="1" spans="1:5" x14ac:dyDescent="0.25">
      <c r="A23" s="8" t="s">
        <v>120</v>
      </c>
      <c r="B23" s="12" t="s">
        <v>1</v>
      </c>
      <c r="C23" s="20" t="s">
        <v>1</v>
      </c>
      <c r="D23" s="15" t="s">
        <v>1</v>
      </c>
      <c r="E23" t="s">
        <v>1</v>
      </c>
    </row>
    <row r="24" ht="15.75" customHeight="1" spans="1:5" x14ac:dyDescent="0.25">
      <c r="A24" t="s">
        <v>121</v>
      </c>
      <c r="B24" s="12" t="s">
        <v>1</v>
      </c>
      <c r="C24" s="16">
        <v>1000000</v>
      </c>
      <c r="D24" s="7">
        <v>0.96</v>
      </c>
      <c r="E24" t="s">
        <v>1</v>
      </c>
    </row>
    <row r="25" ht="15.75" customHeight="1" spans="1:5" x14ac:dyDescent="0.25">
      <c r="A25" t="s">
        <v>122</v>
      </c>
      <c r="B25" s="12" t="s">
        <v>1</v>
      </c>
      <c r="C25" s="19">
        <f>C24*D24</f>
      </c>
      <c r="D25" s="19">
        <f>C24-C25</f>
      </c>
      <c r="E25" t="s">
        <v>1</v>
      </c>
    </row>
    <row r="26" ht="15.75" customHeight="1" spans="1:5" x14ac:dyDescent="0.25">
      <c r="A26" s="2" t="s">
        <v>123</v>
      </c>
      <c r="B26" s="12" t="s">
        <v>1</v>
      </c>
      <c r="C26" s="19" t="s">
        <v>1</v>
      </c>
      <c r="D26" s="19" t="s">
        <v>1</v>
      </c>
      <c r="E26" t="s">
        <v>1</v>
      </c>
    </row>
    <row r="27" spans="1:5" x14ac:dyDescent="0.25">
      <c r="A27" s="2" t="s">
        <v>1</v>
      </c>
      <c r="B27" s="12" t="s">
        <v>1</v>
      </c>
      <c r="C27" s="19" t="s">
        <v>1</v>
      </c>
      <c r="D27" s="19" t="s">
        <v>1</v>
      </c>
      <c r="E27" t="s">
        <v>1</v>
      </c>
    </row>
    <row r="28" ht="15.75" customHeight="1" spans="1:5" x14ac:dyDescent="0.25">
      <c r="A28" s="8" t="s">
        <v>124</v>
      </c>
      <c r="B28" s="12" t="s">
        <v>1</v>
      </c>
      <c r="C28" s="19" t="s">
        <v>1</v>
      </c>
      <c r="D28" s="19" t="s">
        <v>1</v>
      </c>
      <c r="E28" t="s">
        <v>1</v>
      </c>
    </row>
    <row r="29" ht="15.75" customHeight="1" spans="1:5" x14ac:dyDescent="0.25">
      <c r="A29" s="13" t="s">
        <v>125</v>
      </c>
      <c r="B29" s="6" t="s">
        <v>126</v>
      </c>
      <c r="C29" s="6" t="s">
        <v>127</v>
      </c>
      <c r="D29" s="6" t="s">
        <v>128</v>
      </c>
      <c r="E29" s="6" t="s">
        <v>79</v>
      </c>
    </row>
    <row r="30" ht="15" customHeight="1" spans="1:5" x14ac:dyDescent="0.25">
      <c r="A30" s="7">
        <v>0.92</v>
      </c>
      <c r="B30" s="19">
        <f>$B$4*A30</f>
      </c>
      <c r="C30" s="19">
        <f>$B$4-B30</f>
      </c>
      <c r="D30" s="23">
        <f>C30/$B$4</f>
      </c>
      <c r="E30" s="6" t="s">
        <v>1</v>
      </c>
    </row>
    <row r="31" ht="15" customHeight="1" spans="1:5" x14ac:dyDescent="0.25">
      <c r="A31" s="7">
        <v>0.94</v>
      </c>
      <c r="B31" s="19">
        <f>$B$4*A31</f>
      </c>
      <c r="C31" s="19">
        <f>$B$4-B31</f>
      </c>
      <c r="D31" s="23">
        <f>C31/$B$4</f>
      </c>
      <c r="E31" s="6" t="s">
        <v>1</v>
      </c>
    </row>
    <row r="32" ht="15" customHeight="1" spans="1:5" x14ac:dyDescent="0.25">
      <c r="A32" s="7">
        <v>0.95</v>
      </c>
      <c r="B32" s="19">
        <f>$B$4*A32</f>
      </c>
      <c r="C32" s="19">
        <f>$B$4-B32</f>
      </c>
      <c r="D32" s="23">
        <f>C32/$B$4</f>
      </c>
      <c r="E32" s="6" t="s">
        <v>1</v>
      </c>
    </row>
    <row r="33" ht="15.75" customHeight="1" spans="1:5" x14ac:dyDescent="0.25">
      <c r="A33" s="7">
        <v>0.96</v>
      </c>
      <c r="B33" s="19">
        <f>$B$4*A33</f>
      </c>
      <c r="C33" s="19">
        <f>$B$4-B33</f>
      </c>
      <c r="D33" s="23">
        <f>C33/$B$4</f>
      </c>
      <c r="E33" t="s">
        <v>129</v>
      </c>
    </row>
    <row r="34" ht="15" customHeight="1" spans="1:5" x14ac:dyDescent="0.25">
      <c r="A34" s="7">
        <v>0.97</v>
      </c>
      <c r="B34" s="19">
        <f>$B$4*A34</f>
      </c>
      <c r="C34" s="19">
        <f>$B$4-B34</f>
      </c>
      <c r="D34" s="23">
        <f>C34/$B$4</f>
      </c>
      <c r="E3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ignoredErrors>
    <ignoredError sqref="A1:J54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RTP模块分解</vt:lpstr>
      <vt:lpstr>主游戏组合RTP</vt:lpstr>
      <vt:lpstr>投注与返还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2026-09-29T16:03:16Z</dcterms:created>
  <dcterms:modified xsi:type="dcterms:W3CDTF">2026-09-29T16:03:16Z</dcterms:modified>
</cp:coreProperties>
</file>