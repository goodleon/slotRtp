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2"/>
  </bookViews>
  <sheets>
    <sheet name="说明" sheetId="1" r:id="rId1"/>
    <sheet name="滚轴与计数" sheetId="2" r:id="rId2"/>
    <sheet name="单把RTP" sheetId="3" r:id="rId3"/>
    <sheet name="Scatter与触发率" sheetId="4" r:id="rId4"/>
    <sheet name="免费游戏RTP" sheetId="5" r:id="rId5"/>
    <sheet name="再触发与波动" sheetId="6" r:id="rId6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<sst xmlns="http://schemas.openxmlformats.org/spreadsheetml/2006/main" count="1119" uniqueCount="212">
  <si>
    <r>
      <rPr>
        <b/>
        <sz val="14"/>
        <color rgb="FF1F4E79"/>
        <rFont val="Noto Sans SC"/>
        <charset val="134"/>
      </rPr>
      <t xml:space="preserve">运气工程 ④ —— </t>
    </r>
    <r>
      <rPr>
        <b/>
        <sz val="14"/>
        <color rgb="FF1F4E79"/>
        <rFont val="Cambria"/>
        <charset val="1"/>
      </rPr>
      <t xml:space="preserve">Slots </t>
    </r>
    <r>
      <rPr>
        <b/>
        <sz val="14"/>
        <color rgb="FF1F4E79"/>
        <rFont val="Noto Sans SC"/>
        <charset val="134"/>
      </rPr>
      <t xml:space="preserve">游戏 </t>
    </r>
    <r>
      <rPr>
        <b/>
        <sz val="14"/>
        <color rgb="FF1F4E79"/>
        <rFont val="Cambria"/>
        <charset val="1"/>
      </rPr>
      <t xml:space="preserve">RTP </t>
    </r>
    <r>
      <rPr>
        <b/>
        <sz val="14"/>
        <color rgb="FF1F4E79"/>
        <rFont val="Noto Sans SC"/>
        <charset val="134"/>
      </rPr>
      <t xml:space="preserve">计算规则 </t>
    </r>
    <r>
      <rPr>
        <b/>
        <sz val="14"/>
        <color rgb="FF1F4E79"/>
        <rFont val="Cambria"/>
        <charset val="1"/>
      </rPr>
      <t>· ③</t>
    </r>
    <r>
      <rPr>
        <b/>
        <sz val="14"/>
        <color rgb="FF1F4E79"/>
        <rFont val="Noto Sans SC"/>
        <charset val="134"/>
      </rPr>
      <t>免费篇</t>
    </r>
  </si>
  <si>
    <t xml:space="preserve"> </t>
  </si>
  <si>
    <r>
      <rPr>
        <sz val="11"/>
        <color rgb="FF808080"/>
        <rFont val="Noto Sans SC"/>
        <charset val="134"/>
      </rPr>
      <t>来源：知乎《</t>
    </r>
    <r>
      <rPr>
        <sz val="11"/>
        <color rgb="FF808080"/>
        <rFont val="Cambria"/>
        <charset val="1"/>
      </rPr>
      <t xml:space="preserve">Slots </t>
    </r>
    <r>
      <rPr>
        <sz val="11"/>
        <color rgb="FF808080"/>
        <rFont val="Noto Sans SC"/>
        <charset val="134"/>
      </rPr>
      <t xml:space="preserve">游戏 </t>
    </r>
    <r>
      <rPr>
        <sz val="11"/>
        <color rgb="FF808080"/>
        <rFont val="Cambria"/>
        <charset val="1"/>
      </rPr>
      <t xml:space="preserve">RTP </t>
    </r>
    <r>
      <rPr>
        <sz val="11"/>
        <color rgb="FF808080"/>
        <rFont val="Noto Sans SC"/>
        <charset val="134"/>
      </rPr>
      <t xml:space="preserve">计算规则 </t>
    </r>
    <r>
      <rPr>
        <sz val="11"/>
        <color rgb="FF808080"/>
        <rFont val="Cambria"/>
        <charset val="1"/>
      </rPr>
      <t>- ③</t>
    </r>
    <r>
      <rPr>
        <sz val="11"/>
        <color rgb="FF808080"/>
        <rFont val="Noto Sans SC"/>
        <charset val="134"/>
      </rPr>
      <t xml:space="preserve">免费篇》 </t>
    </r>
    <r>
      <rPr>
        <sz val="11"/>
        <color rgb="FF808080"/>
        <rFont val="Cambria"/>
        <charset val="1"/>
      </rPr>
      <t>https://zhuanlan.zhihu.com/p/1934736784882906672</t>
    </r>
  </si>
  <si>
    <r>
      <rPr>
        <sz val="11"/>
        <color rgb="FF808080"/>
        <rFont val="Noto Sans SC"/>
        <charset val="134"/>
      </rPr>
      <t>专栏：运气工程：</t>
    </r>
    <r>
      <rPr>
        <sz val="11"/>
        <color rgb="FF808080"/>
        <rFont val="Cambria"/>
        <charset val="1"/>
      </rPr>
      <t xml:space="preserve">Slots </t>
    </r>
    <r>
      <rPr>
        <sz val="11"/>
        <color rgb="FF808080"/>
        <rFont val="Noto Sans SC"/>
        <charset val="134"/>
      </rPr>
      <t xml:space="preserve">数值研究所  </t>
    </r>
    <r>
      <rPr>
        <sz val="11"/>
        <color rgb="FF808080"/>
        <rFont val="Cambria"/>
        <charset val="1"/>
      </rPr>
      <t>https://zhuanlan.zhihu.com/c_1918334633642287500</t>
    </r>
  </si>
  <si>
    <t>页签</t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</si>
  <si>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滚轴与计数：主游戏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Noto Sans SC"/>
        <charset val="134"/>
      </rPr>
      <t>免费游戏 两套转轮表与图案次数统计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</si>
  <si>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单把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 xml:space="preserve">：主游戏与免费游戏「一把」各自的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 xml:space="preserve">（逐符号 </t>
    </r>
    <r>
      <rPr>
        <sz val="11"/>
        <color theme="1"/>
        <rFont val="Calibri"/>
        <charset val="1"/>
      </rPr>
      <t xml:space="preserve">5/4/3 </t>
    </r>
    <r>
      <rPr>
        <sz val="11"/>
        <color theme="1"/>
        <rFont val="Noto Sans SC"/>
        <charset val="134"/>
      </rPr>
      <t>连）</t>
    </r>
  </si>
  <si>
    <r>
      <rPr>
        <sz val="11"/>
        <color theme="1"/>
        <rFont val="Calibri"/>
        <charset val="1"/>
      </rPr>
      <t>· Scatter</t>
    </r>
    <r>
      <rPr>
        <sz val="11"/>
        <color theme="1"/>
        <rFont val="Noto Sans SC"/>
        <charset val="134"/>
      </rPr>
      <t>与触发率：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 xml:space="preserve">判定方式、主游戏触发率、免费游戏再触发率（枚举 </t>
    </r>
    <r>
      <rPr>
        <sz val="11"/>
        <color theme="1"/>
        <rFont val="Calibri"/>
        <charset val="1"/>
      </rPr>
      <t xml:space="preserve">16 </t>
    </r>
    <r>
      <rPr>
        <sz val="11"/>
        <color theme="1"/>
        <rFont val="Noto Sans SC"/>
        <charset val="134"/>
      </rPr>
      <t>种位置组合）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</si>
  <si>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免费游戏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：</t>
    </r>
    <r>
      <rPr>
        <sz val="11"/>
        <color theme="1"/>
        <rFont val="Calibri"/>
        <charset val="1"/>
      </rPr>
      <t xml:space="preserve">X = 1/(1 − Σ P'ₖ·Sₖ) → </t>
    </r>
    <r>
      <rPr>
        <sz val="11"/>
        <color theme="1"/>
        <rFont val="Noto Sans SC"/>
        <charset val="134"/>
      </rPr>
      <t xml:space="preserve">平均总次数 → 免费 </t>
    </r>
    <r>
      <rPr>
        <sz val="11"/>
        <color theme="1"/>
        <rFont val="Calibri"/>
        <charset val="1"/>
      </rPr>
      <t xml:space="preserve">RTP → </t>
    </r>
    <r>
      <rPr>
        <sz val="11"/>
        <color theme="1"/>
        <rFont val="Noto Sans SC"/>
        <charset val="134"/>
      </rPr>
      <t xml:space="preserve">总 </t>
    </r>
    <r>
      <rPr>
        <sz val="11"/>
        <color theme="1"/>
        <rFont val="Calibri"/>
        <charset val="1"/>
      </rPr>
      <t>RTP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</si>
  <si>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再触发与波动：再触发的放大倍数、一次免费游戏的期望返还、再触发率敏感性</t>
    </r>
  </si>
  <si>
    <t>一、本篇要解决的问题</t>
  </si>
  <si>
    <r>
      <rPr>
        <sz val="11"/>
        <color theme="1"/>
        <rFont val="Calibri"/>
        <charset val="1"/>
      </rPr>
      <t xml:space="preserve">1. Scatter </t>
    </r>
    <r>
      <rPr>
        <sz val="11"/>
        <color theme="1"/>
        <rFont val="Noto Sans SC"/>
        <charset val="134"/>
      </rPr>
      <t>的概率到底怎么算？</t>
    </r>
  </si>
  <si>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Noto Sans SC"/>
        <charset val="134"/>
      </rPr>
      <t xml:space="preserve">免费游戏的 </t>
    </r>
    <r>
      <rPr>
        <sz val="11"/>
        <color theme="1"/>
        <rFont val="Calibri"/>
        <charset val="1"/>
      </rPr>
      <t xml:space="preserve">RTP </t>
    </r>
    <r>
      <rPr>
        <sz val="11"/>
        <color theme="1"/>
        <rFont val="Noto Sans SC"/>
        <charset val="134"/>
      </rPr>
      <t>怎么精确拆分？</t>
    </r>
  </si>
  <si>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Noto Sans SC"/>
        <charset val="134"/>
      </rPr>
      <t>再触发（</t>
    </r>
    <r>
      <rPr>
        <sz val="11"/>
        <color theme="1"/>
        <rFont val="Calibri"/>
        <charset val="1"/>
      </rPr>
      <t>retrigger</t>
    </r>
    <r>
      <rPr>
        <sz val="11"/>
        <color theme="1"/>
        <rFont val="Noto Sans SC"/>
        <charset val="134"/>
      </rPr>
      <t>）应该给多少空间才安全？</t>
    </r>
  </si>
  <si>
    <t>目标：设计免费游戏时，既能保证玩家爽感，又能稳住系统盈利。</t>
  </si>
  <si>
    <t>原文目录（章节结构）</t>
  </si>
  <si>
    <r>
      <rPr>
        <sz val="11"/>
        <color theme="1"/>
        <rFont val="Noto Sans SC"/>
        <charset val="134"/>
      </rPr>
      <t>二、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触发逻辑解析</t>
    </r>
  </si>
  <si>
    <r>
      <rPr>
        <sz val="11"/>
        <color theme="1"/>
        <rFont val="Calibri"/>
        <charset val="1"/>
      </rPr>
      <t xml:space="preserve">    2.1 Scatter </t>
    </r>
    <r>
      <rPr>
        <sz val="11"/>
        <color theme="1"/>
        <rFont val="Noto Sans SC"/>
        <charset val="134"/>
      </rPr>
      <t>的判定方式</t>
    </r>
  </si>
  <si>
    <r>
      <rPr>
        <sz val="11"/>
        <color theme="1"/>
        <rFont val="Calibri"/>
        <charset val="1"/>
      </rPr>
      <t xml:space="preserve">    2.2 Scatter </t>
    </r>
    <r>
      <rPr>
        <sz val="11"/>
        <color theme="1"/>
        <rFont val="Noto Sans SC"/>
        <charset val="134"/>
      </rPr>
      <t>出现概率的计算方式</t>
    </r>
  </si>
  <si>
    <r>
      <rPr>
        <sz val="11"/>
        <color theme="1"/>
        <rFont val="Noto Sans SC"/>
        <charset val="134"/>
      </rPr>
      <t xml:space="preserve">三、免费游戏的 </t>
    </r>
    <r>
      <rPr>
        <sz val="11"/>
        <color theme="1"/>
        <rFont val="Calibri"/>
        <charset val="1"/>
      </rPr>
      <t xml:space="preserve">RTP </t>
    </r>
    <r>
      <rPr>
        <sz val="11"/>
        <color theme="1"/>
        <rFont val="Noto Sans SC"/>
        <charset val="134"/>
      </rPr>
      <t>计算流程</t>
    </r>
  </si>
  <si>
    <r>
      <rPr>
        <sz val="11"/>
        <color theme="1"/>
        <rFont val="Calibri"/>
        <charset val="1"/>
      </rPr>
      <t xml:space="preserve">    3.1 </t>
    </r>
    <r>
      <rPr>
        <sz val="11"/>
        <color theme="1"/>
        <rFont val="Noto Sans SC"/>
        <charset val="134"/>
      </rPr>
      <t xml:space="preserve">主游戏 </t>
    </r>
    <r>
      <rPr>
        <sz val="11"/>
        <color theme="1"/>
        <rFont val="Calibri"/>
        <charset val="1"/>
      </rPr>
      <t xml:space="preserve">RTP </t>
    </r>
    <r>
      <rPr>
        <sz val="11"/>
        <color theme="1"/>
        <rFont val="Noto Sans SC"/>
        <charset val="134"/>
      </rPr>
      <t>计算</t>
    </r>
  </si>
  <si>
    <r>
      <rPr>
        <sz val="11"/>
        <color theme="1"/>
        <rFont val="Calibri"/>
        <charset val="1"/>
      </rPr>
      <t xml:space="preserve">    3.2 </t>
    </r>
    <r>
      <rPr>
        <sz val="11"/>
        <color theme="1"/>
        <rFont val="Noto Sans SC"/>
        <charset val="134"/>
      </rPr>
      <t xml:space="preserve">免费游戏滚轴 </t>
    </r>
    <r>
      <rPr>
        <sz val="11"/>
        <color theme="1"/>
        <rFont val="Calibri"/>
        <charset val="1"/>
      </rPr>
      <t>RTP</t>
    </r>
  </si>
  <si>
    <r>
      <rPr>
        <sz val="11"/>
        <color theme="1"/>
        <rFont val="Calibri"/>
        <charset val="1"/>
      </rPr>
      <t xml:space="preserve">    3.3 </t>
    </r>
    <r>
      <rPr>
        <sz val="11"/>
        <color theme="1"/>
        <rFont val="Noto Sans SC"/>
        <charset val="134"/>
      </rPr>
      <t xml:space="preserve">免费游戏 </t>
    </r>
    <r>
      <rPr>
        <sz val="11"/>
        <color theme="1"/>
        <rFont val="Calibri"/>
        <charset val="1"/>
      </rPr>
      <t>RTP</t>
    </r>
  </si>
  <si>
    <r>
      <rPr>
        <sz val="11"/>
        <color theme="1"/>
        <rFont val="Calibri"/>
        <charset val="1"/>
      </rPr>
      <t xml:space="preserve">    3.4 </t>
    </r>
    <r>
      <rPr>
        <sz val="11"/>
        <color theme="1"/>
        <rFont val="Noto Sans SC"/>
        <charset val="134"/>
      </rPr>
      <t xml:space="preserve">游戏 </t>
    </r>
    <r>
      <rPr>
        <sz val="11"/>
        <color theme="1"/>
        <rFont val="Calibri"/>
        <charset val="1"/>
      </rPr>
      <t>RTP</t>
    </r>
  </si>
  <si>
    <r>
      <rPr>
        <sz val="11"/>
        <color theme="1"/>
        <rFont val="Calibri"/>
        <charset val="1"/>
      </rPr>
      <t xml:space="preserve">    3.5 </t>
    </r>
    <r>
      <rPr>
        <sz val="11"/>
        <color theme="1"/>
        <rFont val="Noto Sans SC"/>
        <charset val="134"/>
      </rPr>
      <t xml:space="preserve">设计 </t>
    </r>
    <r>
      <rPr>
        <sz val="11"/>
        <color theme="1"/>
        <rFont val="Calibri"/>
        <charset val="1"/>
      </rPr>
      <t>tips</t>
    </r>
  </si>
  <si>
    <t>四、进阶设计：再触发与波动率影响</t>
  </si>
  <si>
    <r>
      <rPr>
        <sz val="11"/>
        <color theme="1"/>
        <rFont val="Calibri"/>
        <charset val="1"/>
      </rPr>
      <t xml:space="preserve">    4.1 </t>
    </r>
    <r>
      <rPr>
        <sz val="11"/>
        <color theme="1"/>
        <rFont val="Noto Sans SC"/>
        <charset val="134"/>
      </rPr>
      <t>再触发（</t>
    </r>
    <r>
      <rPr>
        <sz val="11"/>
        <color theme="1"/>
        <rFont val="Calibri"/>
        <charset val="1"/>
      </rPr>
      <t>Retrigger</t>
    </r>
    <r>
      <rPr>
        <sz val="11"/>
        <color theme="1"/>
        <rFont val="Noto Sans SC"/>
        <charset val="134"/>
      </rPr>
      <t>）机制解析</t>
    </r>
  </si>
  <si>
    <r>
      <rPr>
        <sz val="11"/>
        <color theme="1"/>
        <rFont val="Calibri"/>
        <charset val="1"/>
      </rPr>
      <t xml:space="preserve">    4.2 </t>
    </r>
    <r>
      <rPr>
        <sz val="11"/>
        <color theme="1"/>
        <rFont val="Noto Sans SC"/>
        <charset val="134"/>
      </rPr>
      <t xml:space="preserve">再触发对 </t>
    </r>
    <r>
      <rPr>
        <sz val="11"/>
        <color theme="1"/>
        <rFont val="Calibri"/>
        <charset val="1"/>
      </rPr>
      <t xml:space="preserve">RTP </t>
    </r>
    <r>
      <rPr>
        <sz val="11"/>
        <color theme="1"/>
        <rFont val="Noto Sans SC"/>
        <charset val="134"/>
      </rPr>
      <t>的影响</t>
    </r>
  </si>
  <si>
    <r>
      <rPr>
        <sz val="11"/>
        <color theme="1"/>
        <rFont val="Calibri"/>
        <charset val="1"/>
      </rPr>
      <t xml:space="preserve">    4.3 </t>
    </r>
    <r>
      <rPr>
        <sz val="11"/>
        <color theme="1"/>
        <rFont val="Noto Sans SC"/>
        <charset val="134"/>
      </rPr>
      <t>对波动率的影响</t>
    </r>
  </si>
  <si>
    <r>
      <rPr>
        <sz val="11"/>
        <color theme="1"/>
        <rFont val="Noto Sans SC"/>
        <charset val="134"/>
      </rPr>
      <t>本簿按上述流程逐页落地：滚轴与计数 → 单把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3.1 / 3.2</t>
    </r>
    <r>
      <rPr>
        <sz val="11"/>
        <color theme="1"/>
        <rFont val="Noto Sans SC"/>
        <charset val="134"/>
      </rPr>
      <t xml:space="preserve">）→ </t>
    </r>
    <r>
      <rPr>
        <sz val="11"/>
        <color theme="1"/>
        <rFont val="Calibri"/>
        <charset val="1"/>
      </rPr>
      <t>Scatter</t>
    </r>
    <r>
      <rPr>
        <sz val="11"/>
        <color theme="1"/>
        <rFont val="Noto Sans SC"/>
        <charset val="134"/>
      </rPr>
      <t>与触发率（</t>
    </r>
    <r>
      <rPr>
        <sz val="11"/>
        <color theme="1"/>
        <rFont val="Calibri"/>
        <charset val="1"/>
      </rPr>
      <t>2.1 / 2.2</t>
    </r>
    <r>
      <rPr>
        <sz val="11"/>
        <color theme="1"/>
        <rFont val="Noto Sans SC"/>
        <charset val="134"/>
      </rPr>
      <t>）→ 免费游戏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3.3 / 3.4</t>
    </r>
    <r>
      <rPr>
        <sz val="11"/>
        <color theme="1"/>
        <rFont val="Noto Sans SC"/>
        <charset val="134"/>
      </rPr>
      <t>）→ 再触发与波动（</t>
    </r>
    <r>
      <rPr>
        <sz val="11"/>
        <color theme="1"/>
        <rFont val="Calibri"/>
        <charset val="1"/>
      </rPr>
      <t>4.1 / 4.2 / 4.3</t>
    </r>
    <r>
      <rPr>
        <sz val="11"/>
        <color theme="1"/>
        <rFont val="Noto Sans SC"/>
        <charset val="134"/>
      </rPr>
      <t>）。</t>
    </r>
  </si>
  <si>
    <r>
      <rPr>
        <b/>
        <sz val="11"/>
        <rFont val="Noto Sans SC"/>
        <charset val="134"/>
      </rPr>
      <t>二、</t>
    </r>
    <r>
      <rPr>
        <b/>
        <sz val="11"/>
        <rFont val="Cambria"/>
        <charset val="1"/>
      </rPr>
      <t xml:space="preserve">Scatter </t>
    </r>
    <r>
      <rPr>
        <b/>
        <sz val="11"/>
        <rFont val="Noto Sans SC"/>
        <charset val="134"/>
      </rPr>
      <t>触发逻辑解析</t>
    </r>
  </si>
  <si>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图案是触发免费游戏（</t>
    </r>
    <r>
      <rPr>
        <sz val="11"/>
        <color theme="1"/>
        <rFont val="Calibri"/>
        <charset val="1"/>
      </rPr>
      <t>Free Game</t>
    </r>
    <r>
      <rPr>
        <sz val="11"/>
        <color theme="1"/>
        <rFont val="Noto Sans SC"/>
        <charset val="134"/>
      </rPr>
      <t>）的主要入口，它的判定方式与普通连线图案完全不同。</t>
    </r>
  </si>
  <si>
    <t>常见判定口径：</t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</si>
  <si>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任意位置计数：不看连线、不看行，只看出现在几根滚轴上（本簿按此口径）。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</si>
  <si>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按列计数：只看某一列是否出现（不看该列出现几个）。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</si>
  <si>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按个数计数：统计屏幕上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的总个数。</t>
    </r>
  </si>
  <si>
    <r>
      <rPr>
        <sz val="11"/>
        <color theme="1"/>
        <rFont val="Noto Sans SC"/>
        <charset val="134"/>
      </rPr>
      <t>本簿采用「任意位置计数」：某列只要在可见视窗里出现 ≥</t>
    </r>
    <r>
      <rPr>
        <sz val="11"/>
        <color theme="1"/>
        <rFont val="Calibri"/>
        <charset val="1"/>
      </rPr>
      <t xml:space="preserve">1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即算命中该列，</t>
    </r>
  </si>
  <si>
    <r>
      <rPr>
        <sz val="11"/>
        <color theme="1"/>
        <rFont val="Noto Sans SC"/>
        <charset val="134"/>
      </rPr>
      <t xml:space="preserve">因此单列命中概率 </t>
    </r>
    <r>
      <rPr>
        <sz val="11"/>
        <color theme="1"/>
        <rFont val="Calibri"/>
        <charset val="1"/>
      </rPr>
      <t>= 3 × (</t>
    </r>
    <r>
      <rPr>
        <sz val="11"/>
        <color theme="1"/>
        <rFont val="Noto Sans SC"/>
        <charset val="134"/>
      </rPr>
      <t xml:space="preserve">该列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个数</t>
    </r>
    <r>
      <rPr>
        <sz val="11"/>
        <color theme="1"/>
        <rFont val="Calibri"/>
        <charset val="1"/>
      </rPr>
      <t>) ÷ (</t>
    </r>
    <r>
      <rPr>
        <sz val="11"/>
        <color theme="1"/>
        <rFont val="Noto Sans SC"/>
        <charset val="134"/>
      </rPr>
      <t>该列格数</t>
    </r>
    <r>
      <rPr>
        <sz val="11"/>
        <color theme="1"/>
        <rFont val="Calibri"/>
        <charset val="1"/>
      </rPr>
      <t>)</t>
    </r>
    <r>
      <rPr>
        <sz val="11"/>
        <color theme="1"/>
        <rFont val="Noto Sans SC"/>
        <charset val="134"/>
      </rPr>
      <t>。</t>
    </r>
  </si>
  <si>
    <t>三、触发率与再触发率</t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</si>
  <si>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主游戏触发率 </t>
    </r>
    <r>
      <rPr>
        <sz val="11"/>
        <color theme="1"/>
        <rFont val="Calibri"/>
        <charset val="1"/>
      </rPr>
      <t>Pₖ</t>
    </r>
    <r>
      <rPr>
        <sz val="11"/>
        <color theme="1"/>
        <rFont val="Noto Sans SC"/>
        <charset val="134"/>
      </rPr>
      <t xml:space="preserve">：主游戏一次 </t>
    </r>
    <r>
      <rPr>
        <sz val="11"/>
        <color theme="1"/>
        <rFont val="Calibri"/>
        <charset val="1"/>
      </rPr>
      <t xml:space="preserve">Spin </t>
    </r>
    <r>
      <rPr>
        <sz val="11"/>
        <color theme="1"/>
        <rFont val="Noto Sans SC"/>
        <charset val="134"/>
      </rPr>
      <t xml:space="preserve">出现 </t>
    </r>
    <r>
      <rPr>
        <sz val="11"/>
        <color theme="1"/>
        <rFont val="Calibri"/>
        <charset val="1"/>
      </rPr>
      <t xml:space="preserve">k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>Scatter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k = 3/4/5</t>
    </r>
    <r>
      <rPr>
        <sz val="11"/>
        <color theme="1"/>
        <rFont val="Noto Sans SC"/>
        <charset val="134"/>
      </rPr>
      <t>）的概率。</t>
    </r>
  </si>
  <si>
    <r>
      <rPr>
        <sz val="11"/>
        <color theme="1"/>
        <rFont val="Calibri"/>
        <charset val="1"/>
      </rPr>
      <t xml:space="preserve">  5 </t>
    </r>
    <r>
      <rPr>
        <sz val="11"/>
        <color theme="1"/>
        <rFont val="Noto Sans SC"/>
        <charset val="134"/>
      </rPr>
      <t xml:space="preserve">列各列命中概率相同时 → </t>
    </r>
    <r>
      <rPr>
        <sz val="11"/>
        <color theme="1"/>
        <rFont val="Calibri"/>
        <charset val="1"/>
      </rPr>
      <t>Pₖ = C(5,k) · pᵏ · (1−p)^(5−k)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</si>
  <si>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免费游戏再触发率 </t>
    </r>
    <r>
      <rPr>
        <sz val="11"/>
        <color theme="1"/>
        <rFont val="Calibri"/>
        <charset val="1"/>
      </rPr>
      <t>P'ₖ</t>
    </r>
    <r>
      <rPr>
        <sz val="11"/>
        <color theme="1"/>
        <rFont val="Noto Sans SC"/>
        <charset val="134"/>
      </rPr>
      <t xml:space="preserve">：免费游戏中一次 </t>
    </r>
    <r>
      <rPr>
        <sz val="11"/>
        <color theme="1"/>
        <rFont val="Calibri"/>
        <charset val="1"/>
      </rPr>
      <t xml:space="preserve">Spin </t>
    </r>
    <r>
      <rPr>
        <sz val="11"/>
        <color theme="1"/>
        <rFont val="Noto Sans SC"/>
        <charset val="134"/>
      </rPr>
      <t xml:space="preserve">出现 </t>
    </r>
    <r>
      <rPr>
        <sz val="11"/>
        <color theme="1"/>
        <rFont val="Calibri"/>
        <charset val="1"/>
      </rPr>
      <t xml:space="preserve">k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的概率。</t>
    </r>
  </si>
  <si>
    <r>
      <rPr>
        <sz val="11"/>
        <color theme="1"/>
        <rFont val="Noto Sans SC"/>
        <charset val="134"/>
      </rPr>
      <t xml:space="preserve">  免费游戏的转轮表与主游戏不同（</t>
    </r>
    <r>
      <rPr>
        <sz val="11"/>
        <color theme="1"/>
        <rFont val="Calibri"/>
        <charset val="1"/>
      </rPr>
      <t xml:space="preserve">WILD </t>
    </r>
    <r>
      <rPr>
        <sz val="11"/>
        <color theme="1"/>
        <rFont val="Noto Sans SC"/>
        <charset val="134"/>
      </rPr>
      <t xml:space="preserve">更多、滚轮 </t>
    </r>
    <r>
      <rPr>
        <sz val="11"/>
        <color theme="1"/>
        <rFont val="Calibri"/>
        <charset val="1"/>
      </rPr>
      <t xml:space="preserve">5 </t>
    </r>
    <r>
      <rPr>
        <sz val="11"/>
        <color theme="1"/>
        <rFont val="Noto Sans SC"/>
        <charset val="134"/>
      </rPr>
      <t>少一格），各列概率不再相等，</t>
    </r>
  </si>
  <si>
    <r>
      <rPr>
        <sz val="11"/>
        <color theme="1"/>
        <rFont val="Noto Sans SC"/>
        <charset val="134"/>
      </rPr>
      <t xml:space="preserve">  因此必须逐条枚举 </t>
    </r>
    <r>
      <rPr>
        <sz val="11"/>
        <color theme="1"/>
        <rFont val="Calibri"/>
        <charset val="1"/>
      </rPr>
      <t>C(5,3)=10</t>
    </r>
    <r>
      <rPr>
        <sz val="11"/>
        <color theme="1"/>
        <rFont val="Noto Sans SC"/>
        <charset val="134"/>
      </rPr>
      <t>、</t>
    </r>
    <r>
      <rPr>
        <sz val="11"/>
        <color theme="1"/>
        <rFont val="Calibri"/>
        <charset val="1"/>
      </rPr>
      <t>C(5,4)=5</t>
    </r>
    <r>
      <rPr>
        <sz val="11"/>
        <color theme="1"/>
        <rFont val="Noto Sans SC"/>
        <charset val="134"/>
      </rPr>
      <t>、</t>
    </r>
    <r>
      <rPr>
        <sz val="11"/>
        <color theme="1"/>
        <rFont val="Calibri"/>
        <charset val="1"/>
      </rPr>
      <t xml:space="preserve">C(5,5)=1 </t>
    </r>
    <r>
      <rPr>
        <sz val="11"/>
        <color theme="1"/>
        <rFont val="Noto Sans SC"/>
        <charset val="134"/>
      </rPr>
      <t xml:space="preserve">共 </t>
    </r>
    <r>
      <rPr>
        <sz val="11"/>
        <color theme="1"/>
        <rFont val="Calibri"/>
        <charset val="1"/>
      </rPr>
      <t xml:space="preserve">16 </t>
    </r>
    <r>
      <rPr>
        <sz val="11"/>
        <color theme="1"/>
        <rFont val="Noto Sans SC"/>
        <charset val="134"/>
      </rPr>
      <t>种位置组合后求和。</t>
    </r>
  </si>
  <si>
    <r>
      <rPr>
        <b/>
        <sz val="11"/>
        <rFont val="Noto Sans SC"/>
        <charset val="134"/>
      </rPr>
      <t xml:space="preserve">四、免费游戏的期望与 </t>
    </r>
    <r>
      <rPr>
        <b/>
        <sz val="11"/>
        <rFont val="Cambria"/>
        <charset val="1"/>
      </rPr>
      <t xml:space="preserve">RTP </t>
    </r>
    <r>
      <rPr>
        <b/>
        <sz val="11"/>
        <rFont val="Noto Sans SC"/>
        <charset val="134"/>
      </rPr>
      <t>贡献公式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</si>
  <si>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单把免费游戏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：算法与主游戏完全相同，只是换成免费游戏的转轮表。</t>
    </r>
  </si>
  <si>
    <r>
      <rPr>
        <sz val="11"/>
        <color theme="1"/>
        <rFont val="Calibri"/>
        <charset val="1"/>
      </rPr>
      <t>· X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 xml:space="preserve">1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 xml:space="preserve">Free Spin </t>
    </r>
    <r>
      <rPr>
        <sz val="11"/>
        <color theme="1"/>
        <rFont val="Noto Sans SC"/>
        <charset val="134"/>
      </rPr>
      <t xml:space="preserve">含再触发后的平均 </t>
    </r>
    <r>
      <rPr>
        <sz val="11"/>
        <color theme="1"/>
        <rFont val="Calibri"/>
        <charset val="1"/>
      </rPr>
      <t xml:space="preserve">Spin </t>
    </r>
    <r>
      <rPr>
        <sz val="11"/>
        <color theme="1"/>
        <rFont val="Noto Sans SC"/>
        <charset val="134"/>
      </rPr>
      <t>数）</t>
    </r>
    <r>
      <rPr>
        <sz val="11"/>
        <color theme="1"/>
        <rFont val="Calibri"/>
        <charset val="1"/>
      </rPr>
      <t>= 1 ÷ (1 − Σ P'ₖ·Sₖ)</t>
    </r>
  </si>
  <si>
    <r>
      <rPr>
        <sz val="11"/>
        <color theme="1"/>
        <rFont val="Noto Sans SC"/>
        <charset val="134"/>
      </rPr>
      <t xml:space="preserve">  其中 </t>
    </r>
    <r>
      <rPr>
        <sz val="11"/>
        <color theme="1"/>
        <rFont val="Calibri"/>
        <charset val="1"/>
      </rPr>
      <t xml:space="preserve">Sₖ = </t>
    </r>
    <r>
      <rPr>
        <sz val="11"/>
        <color theme="1"/>
        <rFont val="Noto Sans SC"/>
        <charset val="134"/>
      </rPr>
      <t xml:space="preserve">触发时发放的免费次数 </t>
    </r>
    <r>
      <rPr>
        <sz val="11"/>
        <color theme="1"/>
        <rFont val="Calibri"/>
        <charset val="1"/>
      </rPr>
      <t>{10, 15, 20}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</si>
  <si>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免费游戏平均总次数（</t>
    </r>
    <r>
      <rPr>
        <sz val="11"/>
        <color theme="1"/>
        <rFont val="Calibri"/>
        <charset val="1"/>
      </rPr>
      <t xml:space="preserve">k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触发）</t>
    </r>
    <r>
      <rPr>
        <sz val="11"/>
        <color theme="1"/>
        <rFont val="Calibri"/>
        <charset val="1"/>
      </rPr>
      <t>= Sₖ × X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</si>
  <si>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免费游戏 </t>
    </r>
    <r>
      <rPr>
        <sz val="11"/>
        <color theme="1"/>
        <rFont val="Calibri"/>
        <charset val="1"/>
      </rPr>
      <t xml:space="preserve">RTP = Σₖ [ Pₖ × </t>
    </r>
    <r>
      <rPr>
        <sz val="11"/>
        <color theme="1"/>
        <rFont val="Noto Sans SC"/>
        <charset val="134"/>
      </rPr>
      <t xml:space="preserve">单把免费 </t>
    </r>
    <r>
      <rPr>
        <sz val="11"/>
        <color theme="1"/>
        <rFont val="Calibri"/>
        <charset val="1"/>
      </rPr>
      <t>RTP × (Sₖ × X) ]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</si>
  <si>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总 </t>
    </r>
    <r>
      <rPr>
        <sz val="11"/>
        <color theme="1"/>
        <rFont val="Calibri"/>
        <charset val="1"/>
      </rPr>
      <t xml:space="preserve">RTP = </t>
    </r>
    <r>
      <rPr>
        <sz val="11"/>
        <color theme="1"/>
        <rFont val="Noto Sans SC"/>
        <charset val="134"/>
      </rPr>
      <t xml:space="preserve">主游戏 </t>
    </r>
    <r>
      <rPr>
        <sz val="11"/>
        <color theme="1"/>
        <rFont val="Calibri"/>
        <charset val="1"/>
      </rPr>
      <t xml:space="preserve">RTP + </t>
    </r>
    <r>
      <rPr>
        <sz val="11"/>
        <color theme="1"/>
        <rFont val="Noto Sans SC"/>
        <charset val="134"/>
      </rPr>
      <t xml:space="preserve">免费游戏 </t>
    </r>
    <r>
      <rPr>
        <sz val="11"/>
        <color theme="1"/>
        <rFont val="Calibri"/>
        <charset val="1"/>
      </rPr>
      <t>RTP</t>
    </r>
  </si>
  <si>
    <t>五、再触发机制对波动率的影响</t>
  </si>
  <si>
    <r>
      <rPr>
        <sz val="11"/>
        <color theme="1"/>
        <rFont val="Calibri"/>
        <charset val="1"/>
      </rPr>
      <t xml:space="preserve">Σ P'ₖ·Sₖ </t>
    </r>
    <r>
      <rPr>
        <sz val="11"/>
        <color theme="1"/>
        <rFont val="Noto Sans SC"/>
        <charset val="134"/>
      </rPr>
      <t xml:space="preserve">就是「每次免费 </t>
    </r>
    <r>
      <rPr>
        <sz val="11"/>
        <color theme="1"/>
        <rFont val="Calibri"/>
        <charset val="1"/>
      </rPr>
      <t xml:space="preserve">Spin </t>
    </r>
    <r>
      <rPr>
        <sz val="11"/>
        <color theme="1"/>
        <rFont val="Noto Sans SC"/>
        <charset val="134"/>
      </rPr>
      <t xml:space="preserve">平均再增发的次数」。它越接近 </t>
    </r>
    <r>
      <rPr>
        <sz val="11"/>
        <color theme="1"/>
        <rFont val="Calibri"/>
        <charset val="1"/>
      </rPr>
      <t>1</t>
    </r>
    <r>
      <rPr>
        <sz val="11"/>
        <color theme="1"/>
        <rFont val="Noto Sans SC"/>
        <charset val="134"/>
      </rPr>
      <t>，</t>
    </r>
    <r>
      <rPr>
        <sz val="11"/>
        <color theme="1"/>
        <rFont val="Calibri"/>
        <charset val="1"/>
      </rPr>
      <t xml:space="preserve">X </t>
    </r>
    <r>
      <rPr>
        <sz val="11"/>
        <color theme="1"/>
        <rFont val="Noto Sans SC"/>
        <charset val="134"/>
      </rPr>
      <t xml:space="preserve">越接近无穷 —— </t>
    </r>
  </si>
  <si>
    <t>即一次触发会发散成大量免费转，玩家体验为「停不下来」，系统风险失控。</t>
  </si>
  <si>
    <t>因此再触发率必须留够安全空间，并配合「单次触发免费转总数上限」做兜底。</t>
  </si>
  <si>
    <t>六、抓取说明</t>
  </si>
  <si>
    <r>
      <rPr>
        <sz val="11"/>
        <color theme="1"/>
        <rFont val="Noto Sans SC"/>
        <charset val="134"/>
      </rPr>
      <t>本簿依据该文完整章节结构（二、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 xml:space="preserve">触发逻辑解析；三、免费游戏的 </t>
    </r>
    <r>
      <rPr>
        <sz val="11"/>
        <color theme="1"/>
        <rFont val="Calibri"/>
        <charset val="1"/>
      </rPr>
      <t xml:space="preserve">RTP </t>
    </r>
    <r>
      <rPr>
        <sz val="11"/>
        <color theme="1"/>
        <rFont val="Noto Sans SC"/>
        <charset val="134"/>
      </rPr>
      <t>计算流程；</t>
    </r>
  </si>
  <si>
    <t>四、进阶设计：再触发与波动率影响）与公开正文片段整理。</t>
  </si>
  <si>
    <r>
      <rPr>
        <sz val="11"/>
        <color theme="1"/>
        <rFont val="Noto Sans SC"/>
        <charset val="134"/>
      </rPr>
      <t xml:space="preserve">原文配图未能读取，转轮与赔付表沿用同目录 </t>
    </r>
    <r>
      <rPr>
        <sz val="11"/>
        <color theme="1"/>
        <rFont val="Calibri"/>
        <charset val="1"/>
      </rPr>
      <t xml:space="preserve">Part II </t>
    </r>
    <r>
      <rPr>
        <sz val="11"/>
        <color theme="1"/>
        <rFont val="Noto Sans SC"/>
        <charset val="134"/>
      </rPr>
      <t>的示例数值，</t>
    </r>
  </si>
  <si>
    <r>
      <rPr>
        <sz val="11"/>
        <color theme="1"/>
        <rFont val="Noto Sans SC"/>
        <charset val="134"/>
      </rPr>
      <t>因此本簿结果可与《老虎机数学入门</t>
    </r>
    <r>
      <rPr>
        <sz val="11"/>
        <color theme="1"/>
        <rFont val="Calibri"/>
        <charset val="1"/>
      </rPr>
      <t>-PartII-</t>
    </r>
    <r>
      <rPr>
        <sz val="11"/>
        <color theme="1"/>
        <rFont val="Noto Sans SC"/>
        <charset val="134"/>
      </rPr>
      <t>免费游戏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模型》逐格对照。</t>
    </r>
  </si>
  <si>
    <r>
      <rPr>
        <sz val="11"/>
        <color theme="1"/>
        <rFont val="Noto Sans SC"/>
        <charset val="134"/>
      </rPr>
      <t xml:space="preserve">蓝色 </t>
    </r>
    <r>
      <rPr>
        <sz val="11"/>
        <color theme="1"/>
        <rFont val="Calibri"/>
        <charset val="1"/>
      </rPr>
      <t xml:space="preserve">= </t>
    </r>
    <r>
      <rPr>
        <sz val="11"/>
        <color theme="1"/>
        <rFont val="Noto Sans SC"/>
        <charset val="134"/>
      </rPr>
      <t xml:space="preserve">可改输入；黑色 </t>
    </r>
    <r>
      <rPr>
        <sz val="11"/>
        <color theme="1"/>
        <rFont val="Calibri"/>
        <charset val="1"/>
      </rPr>
      <t xml:space="preserve">= </t>
    </r>
    <r>
      <rPr>
        <sz val="11"/>
        <color theme="1"/>
        <rFont val="Noto Sans SC"/>
        <charset val="134"/>
      </rPr>
      <t xml:space="preserve">公式；黄底 </t>
    </r>
    <r>
      <rPr>
        <sz val="11"/>
        <color theme="1"/>
        <rFont val="Calibri"/>
        <charset val="1"/>
      </rPr>
      <t xml:space="preserve">= </t>
    </r>
    <r>
      <rPr>
        <sz val="11"/>
        <color theme="1"/>
        <rFont val="Noto Sans SC"/>
        <charset val="134"/>
      </rPr>
      <t>关键结果。</t>
    </r>
  </si>
  <si>
    <r>
      <rPr>
        <b/>
        <sz val="14"/>
        <color rgb="FF1F4E79"/>
        <rFont val="Noto Sans SC"/>
        <charset val="134"/>
      </rPr>
      <t xml:space="preserve">主游戏 </t>
    </r>
    <r>
      <rPr>
        <b/>
        <sz val="14"/>
        <color rgb="FF1F4E79"/>
        <rFont val="Cambria"/>
        <charset val="1"/>
      </rPr>
      <t xml:space="preserve">/ </t>
    </r>
    <r>
      <rPr>
        <b/>
        <sz val="14"/>
        <color rgb="FF1F4E79"/>
        <rFont val="Noto Sans SC"/>
        <charset val="134"/>
      </rPr>
      <t>免费游戏 两套转轮表与图案次数统计</t>
    </r>
  </si>
  <si>
    <r>
      <rPr>
        <b/>
        <sz val="11"/>
        <color rgb="FF1F4E79"/>
        <rFont val="Noto Sans SC"/>
        <charset val="134"/>
      </rPr>
      <t xml:space="preserve">【主游戏转轮表】每列 </t>
    </r>
    <r>
      <rPr>
        <b/>
        <sz val="11"/>
        <color rgb="FF1F4E79"/>
        <rFont val="Cambria"/>
        <charset val="1"/>
      </rPr>
      <t xml:space="preserve">20 </t>
    </r>
    <r>
      <rPr>
        <b/>
        <sz val="11"/>
        <color rgb="FF1F4E79"/>
        <rFont val="Noto Sans SC"/>
        <charset val="134"/>
      </rPr>
      <t>停（环绕带）</t>
    </r>
  </si>
  <si>
    <t>位置</t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</si>
  <si>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1</t>
    </r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</si>
  <si>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2</t>
    </r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</si>
  <si>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3</t>
    </r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</si>
  <si>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4</t>
    </r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</si>
  <si>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5</t>
    </r>
  </si>
  <si>
    <t>K</t>
  </si>
  <si>
    <t>Q</t>
  </si>
  <si>
    <t>W</t>
  </si>
  <si>
    <t>J</t>
  </si>
  <si>
    <t>10</t>
  </si>
  <si>
    <t>9</t>
  </si>
  <si>
    <t>S</t>
  </si>
  <si>
    <t>每轮格数</t>
  </si>
  <si>
    <t>所有可能数</t>
  </si>
  <si>
    <t>图案次数统计</t>
  </si>
  <si>
    <t>图案</t>
  </si>
  <si>
    <t>any</t>
  </si>
  <si>
    <r>
      <rPr>
        <b/>
        <sz val="11"/>
        <rFont val="Cambria"/>
        <charset val="1"/>
      </rPr>
      <t>3S</t>
    </r>
    <r>
      <rPr>
        <b/>
        <sz val="11"/>
        <rFont val="Noto Sans SC"/>
        <charset val="134"/>
      </rPr>
      <t>（</t>
    </r>
    <r>
      <rPr>
        <b/>
        <sz val="11"/>
        <rFont val="Cambria"/>
        <charset val="1"/>
      </rPr>
      <t xml:space="preserve">3 </t>
    </r>
    <r>
      <rPr>
        <b/>
        <sz val="11"/>
        <rFont val="Noto Sans SC"/>
        <charset val="134"/>
      </rPr>
      <t xml:space="preserve">行视窗 </t>
    </r>
    <r>
      <rPr>
        <b/>
        <sz val="11"/>
        <rFont val="Cambria"/>
        <charset val="1"/>
      </rPr>
      <t xml:space="preserve">× Scatter </t>
    </r>
    <r>
      <rPr>
        <b/>
        <sz val="11"/>
        <rFont val="Noto Sans SC"/>
        <charset val="134"/>
      </rPr>
      <t>个数）</t>
    </r>
  </si>
  <si>
    <r>
      <rPr>
        <b/>
        <sz val="11"/>
        <color rgb="FF1F4E79"/>
        <rFont val="Noto Sans SC"/>
        <charset val="134"/>
      </rPr>
      <t>【免费游戏转轮表】</t>
    </r>
    <r>
      <rPr>
        <b/>
        <sz val="11"/>
        <color rgb="FF1F4E79"/>
        <rFont val="Cambria"/>
        <charset val="1"/>
      </rPr>
      <t xml:space="preserve">WILD </t>
    </r>
    <r>
      <rPr>
        <b/>
        <sz val="11"/>
        <color rgb="FF1F4E79"/>
        <rFont val="Noto Sans SC"/>
        <charset val="134"/>
      </rPr>
      <t xml:space="preserve">变多；滚轮 </t>
    </r>
    <r>
      <rPr>
        <b/>
        <sz val="11"/>
        <color rgb="FF1F4E79"/>
        <rFont val="Cambria"/>
        <charset val="1"/>
      </rPr>
      <t xml:space="preserve">5 </t>
    </r>
    <r>
      <rPr>
        <b/>
        <sz val="11"/>
        <color rgb="FF1F4E79"/>
        <rFont val="Noto Sans SC"/>
        <charset val="134"/>
      </rPr>
      <t>少最后一格</t>
    </r>
  </si>
  <si>
    <r>
      <rPr>
        <b/>
        <sz val="11"/>
        <color rgb="FF1F4E79"/>
        <rFont val="Noto Sans SC"/>
        <charset val="134"/>
      </rPr>
      <t xml:space="preserve">【赔付表】列 </t>
    </r>
    <r>
      <rPr>
        <b/>
        <sz val="11"/>
        <color rgb="FF1F4E79"/>
        <rFont val="Cambria"/>
        <charset val="1"/>
      </rPr>
      <t xml:space="preserve">= </t>
    </r>
    <r>
      <rPr>
        <b/>
        <sz val="11"/>
        <color rgb="FF1F4E79"/>
        <rFont val="Noto Sans SC"/>
        <charset val="134"/>
      </rPr>
      <t>连线数；</t>
    </r>
    <r>
      <rPr>
        <b/>
        <sz val="11"/>
        <color rgb="FF1F4E79"/>
        <rFont val="Cambria"/>
        <charset val="1"/>
      </rPr>
      <t xml:space="preserve">S </t>
    </r>
    <r>
      <rPr>
        <b/>
        <sz val="11"/>
        <color rgb="FF1F4E79"/>
        <rFont val="Noto Sans SC"/>
        <charset val="134"/>
      </rPr>
      <t xml:space="preserve">行为「每个 </t>
    </r>
    <r>
      <rPr>
        <b/>
        <sz val="11"/>
        <color rgb="FF1F4E79"/>
        <rFont val="Cambria"/>
        <charset val="1"/>
      </rPr>
      <t>Scatter</t>
    </r>
    <r>
      <rPr>
        <b/>
        <sz val="11"/>
        <color rgb="FF1F4E79"/>
        <rFont val="Noto Sans SC"/>
        <charset val="134"/>
      </rPr>
      <t>」的得分</t>
    </r>
  </si>
  <si>
    <t>3</t>
  </si>
  <si>
    <t>4</t>
  </si>
  <si>
    <t>5</t>
  </si>
  <si>
    <r>
      <rPr>
        <sz val="11"/>
        <color theme="1"/>
        <rFont val="Calibri"/>
        <charset val="1"/>
      </rPr>
      <t>S</t>
    </r>
    <r>
      <rPr>
        <sz val="11"/>
        <color theme="1"/>
        <rFont val="Noto Sans SC"/>
        <charset val="134"/>
      </rPr>
      <t xml:space="preserve">（每个 </t>
    </r>
    <r>
      <rPr>
        <sz val="11"/>
        <color theme="1"/>
        <rFont val="Calibri"/>
        <charset val="1"/>
      </rPr>
      <t>Scatter</t>
    </r>
    <r>
      <rPr>
        <sz val="11"/>
        <color theme="1"/>
        <rFont val="Noto Sans SC"/>
        <charset val="134"/>
      </rPr>
      <t>）</t>
    </r>
  </si>
  <si>
    <r>
      <rPr>
        <b/>
        <sz val="14"/>
        <color rgb="FF1F4E79"/>
        <rFont val="Noto Sans SC"/>
        <charset val="134"/>
      </rPr>
      <t xml:space="preserve">单把 </t>
    </r>
    <r>
      <rPr>
        <b/>
        <sz val="14"/>
        <color rgb="FF1F4E79"/>
        <rFont val="Cambria"/>
        <charset val="1"/>
      </rPr>
      <t>RTP</t>
    </r>
    <r>
      <rPr>
        <b/>
        <sz val="14"/>
        <color rgb="FF1F4E79"/>
        <rFont val="Noto Sans SC"/>
        <charset val="134"/>
      </rPr>
      <t xml:space="preserve">（逐符号 </t>
    </r>
    <r>
      <rPr>
        <b/>
        <sz val="14"/>
        <color rgb="FF1F4E79"/>
        <rFont val="Cambria"/>
        <charset val="1"/>
      </rPr>
      <t xml:space="preserve">5/4/3 </t>
    </r>
    <r>
      <rPr>
        <b/>
        <sz val="14"/>
        <color rgb="FF1F4E79"/>
        <rFont val="Noto Sans SC"/>
        <charset val="134"/>
      </rPr>
      <t xml:space="preserve">连 </t>
    </r>
    <r>
      <rPr>
        <b/>
        <sz val="14"/>
        <color rgb="FF1F4E79"/>
        <rFont val="Cambria"/>
        <charset val="1"/>
      </rPr>
      <t xml:space="preserve">× </t>
    </r>
    <r>
      <rPr>
        <b/>
        <sz val="14"/>
        <color rgb="FF1F4E79"/>
        <rFont val="Noto Sans SC"/>
        <charset val="134"/>
      </rPr>
      <t xml:space="preserve">赔率 </t>
    </r>
    <r>
      <rPr>
        <b/>
        <sz val="14"/>
        <color rgb="FF1F4E79"/>
        <rFont val="Cambria"/>
        <charset val="1"/>
      </rPr>
      <t xml:space="preserve">÷ </t>
    </r>
    <r>
      <rPr>
        <b/>
        <sz val="14"/>
        <color rgb="FF1F4E79"/>
        <rFont val="Noto Sans SC"/>
        <charset val="134"/>
      </rPr>
      <t>所有可能数）</t>
    </r>
  </si>
  <si>
    <r>
      <rPr>
        <b/>
        <sz val="11"/>
        <color rgb="FF1F4E79"/>
        <rFont val="Noto Sans SC"/>
        <charset val="134"/>
      </rPr>
      <t xml:space="preserve">【主游戏单把 </t>
    </r>
    <r>
      <rPr>
        <b/>
        <sz val="11"/>
        <color rgb="FF1F4E79"/>
        <rFont val="Cambria"/>
        <charset val="1"/>
      </rPr>
      <t>RTP</t>
    </r>
    <r>
      <rPr>
        <b/>
        <sz val="11"/>
        <color rgb="FF1F4E79"/>
        <rFont val="Noto Sans SC"/>
        <charset val="134"/>
      </rPr>
      <t>】</t>
    </r>
  </si>
  <si>
    <t>符号</t>
  </si>
  <si>
    <t>m1</t>
  </si>
  <si>
    <t>m2</t>
  </si>
  <si>
    <t>m3</t>
  </si>
  <si>
    <t>m4</t>
  </si>
  <si>
    <t>m5</t>
  </si>
  <si>
    <t>X4</t>
  </si>
  <si>
    <t>X5</t>
  </si>
  <si>
    <t>N5</t>
  </si>
  <si>
    <r>
      <rPr>
        <b/>
        <sz val="11"/>
        <color rgb="FF1F4E79"/>
        <rFont val="Cambria"/>
        <charset val="1"/>
      </rPr>
      <t>5</t>
    </r>
    <r>
      <rPr>
        <b/>
        <sz val="11"/>
        <color rgb="FF1F4E79"/>
        <rFont val="Noto Sans SC"/>
        <charset val="134"/>
      </rPr>
      <t>连次数</t>
    </r>
  </si>
  <si>
    <r>
      <rPr>
        <b/>
        <sz val="11"/>
        <color rgb="FF1F4E79"/>
        <rFont val="Cambria"/>
        <charset val="1"/>
      </rPr>
      <t>4</t>
    </r>
    <r>
      <rPr>
        <b/>
        <sz val="11"/>
        <color rgb="FF1F4E79"/>
        <rFont val="Noto Sans SC"/>
        <charset val="134"/>
      </rPr>
      <t>连次数</t>
    </r>
  </si>
  <si>
    <r>
      <rPr>
        <b/>
        <sz val="11"/>
        <color rgb="FF1F4E79"/>
        <rFont val="Cambria"/>
        <charset val="1"/>
      </rPr>
      <t>3</t>
    </r>
    <r>
      <rPr>
        <b/>
        <sz val="11"/>
        <color rgb="FF1F4E79"/>
        <rFont val="Noto Sans SC"/>
        <charset val="134"/>
      </rPr>
      <t>连次数</t>
    </r>
  </si>
  <si>
    <r>
      <rPr>
        <b/>
        <sz val="11"/>
        <color rgb="FF1F4E79"/>
        <rFont val="Noto Sans SC"/>
        <charset val="134"/>
      </rPr>
      <t>赔</t>
    </r>
    <r>
      <rPr>
        <b/>
        <sz val="11"/>
        <color rgb="FF1F4E79"/>
        <rFont val="Cambria"/>
        <charset val="1"/>
      </rPr>
      <t>5</t>
    </r>
  </si>
  <si>
    <r>
      <rPr>
        <b/>
        <sz val="11"/>
        <color rgb="FF1F4E79"/>
        <rFont val="Noto Sans SC"/>
        <charset val="134"/>
      </rPr>
      <t>赔</t>
    </r>
    <r>
      <rPr>
        <b/>
        <sz val="11"/>
        <color rgb="FF1F4E79"/>
        <rFont val="Cambria"/>
        <charset val="1"/>
      </rPr>
      <t>4</t>
    </r>
  </si>
  <si>
    <r>
      <rPr>
        <b/>
        <sz val="11"/>
        <color rgb="FF1F4E79"/>
        <rFont val="Noto Sans SC"/>
        <charset val="134"/>
      </rPr>
      <t>赔</t>
    </r>
    <r>
      <rPr>
        <b/>
        <sz val="11"/>
        <color rgb="FF1F4E79"/>
        <rFont val="Cambria"/>
        <charset val="1"/>
      </rPr>
      <t>3</t>
    </r>
  </si>
  <si>
    <r>
      <rPr>
        <b/>
        <sz val="11"/>
        <color rgb="FF1F4E79"/>
        <rFont val="Cambria"/>
        <charset val="1"/>
      </rPr>
      <t>RTP</t>
    </r>
    <r>
      <rPr>
        <b/>
        <sz val="11"/>
        <color rgb="FF1F4E79"/>
        <rFont val="Noto Sans SC"/>
        <charset val="134"/>
      </rPr>
      <t>贡献</t>
    </r>
  </si>
  <si>
    <t>备注</t>
  </si>
  <si>
    <t>连线合计</t>
  </si>
  <si>
    <r>
      <rPr>
        <b/>
        <sz val="11"/>
        <rFont val="Noto Sans SC"/>
        <charset val="134"/>
      </rPr>
      <t xml:space="preserve">→ 连线 </t>
    </r>
    <r>
      <rPr>
        <b/>
        <sz val="11"/>
        <rFont val="Cambria"/>
        <charset val="1"/>
      </rPr>
      <t>RTP</t>
    </r>
  </si>
  <si>
    <t>主游戏 Scatter 赔付 RTP</t>
  </si>
  <si>
    <t xml:space="preserve">主游戏单把 RTP（连线 + Scatter） </t>
  </si>
  <si>
    <r>
      <rPr>
        <sz val="11"/>
        <color rgb="FF808080"/>
        <rFont val="Noto Sans SC"/>
        <charset val="134"/>
      </rPr>
      <t xml:space="preserve">← 与 </t>
    </r>
    <r>
      <rPr>
        <sz val="11"/>
        <color rgb="FF808080"/>
        <rFont val="Cambria"/>
        <charset val="1"/>
      </rPr>
      <t xml:space="preserve">Part II </t>
    </r>
    <r>
      <rPr>
        <sz val="11"/>
        <color rgb="FF808080"/>
        <rFont val="Noto Sans SC"/>
        <charset val="134"/>
      </rPr>
      <t xml:space="preserve">的 </t>
    </r>
    <r>
      <rPr>
        <sz val="11"/>
        <color rgb="FF808080"/>
        <rFont val="Cambria"/>
        <charset val="1"/>
      </rPr>
      <t xml:space="preserve">65.00% </t>
    </r>
    <r>
      <rPr>
        <sz val="11"/>
        <color rgb="FF808080"/>
        <rFont val="Noto Sans SC"/>
        <charset val="134"/>
      </rPr>
      <t>一致</t>
    </r>
  </si>
  <si>
    <r>
      <rPr>
        <b/>
        <sz val="11"/>
        <color rgb="FF1F4E79"/>
        <rFont val="Noto Sans SC"/>
        <charset val="134"/>
      </rPr>
      <t xml:space="preserve">【免费游戏单把 </t>
    </r>
    <r>
      <rPr>
        <b/>
        <sz val="11"/>
        <color rgb="FF1F4E79"/>
        <rFont val="Cambria"/>
        <charset val="1"/>
      </rPr>
      <t>RTP</t>
    </r>
    <r>
      <rPr>
        <b/>
        <sz val="11"/>
        <color rgb="FF1F4E79"/>
        <rFont val="Noto Sans SC"/>
        <charset val="134"/>
      </rPr>
      <t>】</t>
    </r>
  </si>
  <si>
    <t>免费游戏 Scatter 赔付 RTP</t>
  </si>
  <si>
    <t>单把免费游戏 RTP（连线 + Scatter）</t>
  </si>
  <si>
    <r>
      <rPr>
        <sz val="11"/>
        <color rgb="FF808080"/>
        <rFont val="Noto Sans SC"/>
        <charset val="134"/>
      </rPr>
      <t xml:space="preserve">← 与 </t>
    </r>
    <r>
      <rPr>
        <sz val="11"/>
        <color rgb="FF808080"/>
        <rFont val="Cambria"/>
        <charset val="1"/>
      </rPr>
      <t xml:space="preserve">Part II </t>
    </r>
    <r>
      <rPr>
        <sz val="11"/>
        <color rgb="FF808080"/>
        <rFont val="Noto Sans SC"/>
        <charset val="134"/>
      </rPr>
      <t xml:space="preserve">的 </t>
    </r>
    <r>
      <rPr>
        <sz val="11"/>
        <color rgb="FF808080"/>
        <rFont val="Cambria"/>
        <charset val="1"/>
      </rPr>
      <t xml:space="preserve">102.2765% </t>
    </r>
    <r>
      <rPr>
        <sz val="11"/>
        <color rgb="FF808080"/>
        <rFont val="Noto Sans SC"/>
        <charset val="134"/>
      </rPr>
      <t>一致</t>
    </r>
  </si>
  <si>
    <r>
      <rPr>
        <b/>
        <sz val="14"/>
        <color rgb="FF1F4E79"/>
        <rFont val="Cambria"/>
        <charset val="1"/>
      </rPr>
      <t xml:space="preserve">Scatter </t>
    </r>
    <r>
      <rPr>
        <b/>
        <sz val="14"/>
        <color rgb="FF1F4E79"/>
        <rFont val="Noto Sans SC"/>
        <charset val="134"/>
      </rPr>
      <t xml:space="preserve">判定方式 </t>
    </r>
    <r>
      <rPr>
        <b/>
        <sz val="14"/>
        <color rgb="FF1F4E79"/>
        <rFont val="Cambria"/>
        <charset val="1"/>
      </rPr>
      <t xml:space="preserve">/ </t>
    </r>
    <r>
      <rPr>
        <b/>
        <sz val="14"/>
        <color rgb="FF1F4E79"/>
        <rFont val="Noto Sans SC"/>
        <charset val="134"/>
      </rPr>
      <t xml:space="preserve">主游戏触发率 </t>
    </r>
    <r>
      <rPr>
        <b/>
        <sz val="14"/>
        <color rgb="FF1F4E79"/>
        <rFont val="Cambria"/>
        <charset val="1"/>
      </rPr>
      <t xml:space="preserve">/ </t>
    </r>
    <r>
      <rPr>
        <b/>
        <sz val="14"/>
        <color rgb="FF1F4E79"/>
        <rFont val="Noto Sans SC"/>
        <charset val="134"/>
      </rPr>
      <t>免费游戏再触发率</t>
    </r>
  </si>
  <si>
    <r>
      <rPr>
        <b/>
        <sz val="11"/>
        <color rgb="FF1F4E79"/>
        <rFont val="Noto Sans SC"/>
        <charset val="134"/>
      </rPr>
      <t>【</t>
    </r>
    <r>
      <rPr>
        <b/>
        <sz val="11"/>
        <color rgb="FF1F4E79"/>
        <rFont val="Cambria"/>
        <charset val="1"/>
      </rPr>
      <t xml:space="preserve">Scatter </t>
    </r>
    <r>
      <rPr>
        <b/>
        <sz val="11"/>
        <color rgb="FF1F4E79"/>
        <rFont val="Noto Sans SC"/>
        <charset val="134"/>
      </rPr>
      <t>的三种常见判定方式】</t>
    </r>
  </si>
  <si>
    <r>
      <rPr>
        <sz val="11"/>
        <color theme="1"/>
        <rFont val="Noto Sans SC"/>
        <charset val="134"/>
      </rPr>
      <t>① 任意位置计数：只要出现在 ≥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>根滚轴上即触发（不看连线、不看行）—— 本簿口径</t>
    </r>
  </si>
  <si>
    <t>② 按列计数：只看该列是否出现（不看该列出现几个）</t>
  </si>
  <si>
    <r>
      <rPr>
        <sz val="11"/>
        <color theme="1"/>
        <rFont val="Noto Sans SC"/>
        <charset val="134"/>
      </rPr>
      <t xml:space="preserve">③ 按个数计数：统计屏幕上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的总个数（≥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>个即触发）</t>
    </r>
  </si>
  <si>
    <r>
      <rPr>
        <sz val="11"/>
        <color theme="1"/>
        <rFont val="Noto Sans SC"/>
        <charset val="134"/>
      </rPr>
      <t xml:space="preserve">本簿口径下单列命中概率 </t>
    </r>
    <r>
      <rPr>
        <sz val="11"/>
        <color theme="1"/>
        <rFont val="Calibri"/>
        <charset val="1"/>
      </rPr>
      <t>p = 3 × (</t>
    </r>
    <r>
      <rPr>
        <sz val="11"/>
        <color theme="1"/>
        <rFont val="Noto Sans SC"/>
        <charset val="134"/>
      </rPr>
      <t xml:space="preserve">该列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个数</t>
    </r>
    <r>
      <rPr>
        <sz val="11"/>
        <color theme="1"/>
        <rFont val="Calibri"/>
        <charset val="1"/>
      </rPr>
      <t>) ÷ (</t>
    </r>
    <r>
      <rPr>
        <sz val="11"/>
        <color theme="1"/>
        <rFont val="Noto Sans SC"/>
        <charset val="134"/>
      </rPr>
      <t>该列格数</t>
    </r>
    <r>
      <rPr>
        <sz val="11"/>
        <color theme="1"/>
        <rFont val="Calibri"/>
        <charset val="1"/>
      </rPr>
      <t>)</t>
    </r>
  </si>
  <si>
    <r>
      <rPr>
        <b/>
        <sz val="11"/>
        <color rgb="FF1F4E79"/>
        <rFont val="Noto Sans SC"/>
        <charset val="134"/>
      </rPr>
      <t xml:space="preserve">【一、主游戏 </t>
    </r>
    <r>
      <rPr>
        <b/>
        <sz val="11"/>
        <color rgb="FF1F4E79"/>
        <rFont val="Cambria"/>
        <charset val="1"/>
      </rPr>
      <t xml:space="preserve">Scatter </t>
    </r>
    <r>
      <rPr>
        <b/>
        <sz val="11"/>
        <color rgb="FF1F4E79"/>
        <rFont val="Noto Sans SC"/>
        <charset val="134"/>
      </rPr>
      <t>概率与触发率】</t>
    </r>
  </si>
  <si>
    <t>项目</t>
  </si>
  <si>
    <r>
      <rPr>
        <sz val="11"/>
        <color theme="1"/>
        <rFont val="Noto Sans SC"/>
        <charset val="134"/>
      </rPr>
      <t xml:space="preserve">每列格数 </t>
    </r>
    <r>
      <rPr>
        <sz val="11"/>
        <color theme="1"/>
        <rFont val="Calibri"/>
        <charset val="1"/>
      </rPr>
      <t>N</t>
    </r>
  </si>
  <si>
    <r>
      <rPr>
        <sz val="11"/>
        <color theme="1"/>
        <rFont val="Noto Sans SC"/>
        <charset val="134"/>
      </rPr>
      <t xml:space="preserve">每列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 xml:space="preserve">个数 </t>
    </r>
    <r>
      <rPr>
        <sz val="11"/>
        <color theme="1"/>
        <rFont val="Calibri"/>
        <charset val="1"/>
      </rPr>
      <t>s</t>
    </r>
  </si>
  <si>
    <r>
      <rPr>
        <sz val="11"/>
        <color theme="1"/>
        <rFont val="Calibri"/>
        <charset val="1"/>
      </rPr>
      <t>3S = 3 × s</t>
    </r>
    <r>
      <rPr>
        <sz val="11"/>
        <color theme="1"/>
        <rFont val="Noto Sans SC"/>
        <charset val="134"/>
      </rPr>
      <t xml:space="preserve">（可见视窗里出现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的窗口数）</t>
    </r>
  </si>
  <si>
    <r>
      <rPr>
        <sz val="11"/>
        <color theme="1"/>
        <rFont val="Calibri"/>
        <charset val="1"/>
      </rPr>
      <t>X_3S = N − 3S</t>
    </r>
    <r>
      <rPr>
        <sz val="11"/>
        <color theme="1"/>
        <rFont val="Noto Sans SC"/>
        <charset val="134"/>
      </rPr>
      <t xml:space="preserve">（无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的窗口数）</t>
    </r>
  </si>
  <si>
    <r>
      <rPr>
        <sz val="11"/>
        <color theme="1"/>
        <rFont val="Noto Sans SC"/>
        <charset val="134"/>
      </rPr>
      <t xml:space="preserve">单列命中概率 </t>
    </r>
    <r>
      <rPr>
        <sz val="11"/>
        <color theme="1"/>
        <rFont val="Calibri"/>
        <charset val="1"/>
      </rPr>
      <t>p = 3S / N</t>
    </r>
  </si>
  <si>
    <r>
      <rPr>
        <b/>
        <sz val="11"/>
        <color rgb="FF1F4E79"/>
        <rFont val="Cambria"/>
        <charset val="1"/>
      </rPr>
      <t xml:space="preserve">Scatter </t>
    </r>
    <r>
      <rPr>
        <b/>
        <sz val="11"/>
        <color rgb="FF1F4E79"/>
        <rFont val="Noto Sans SC"/>
        <charset val="134"/>
      </rPr>
      <t xml:space="preserve">个数 </t>
    </r>
    <r>
      <rPr>
        <b/>
        <sz val="11"/>
        <color rgb="FF1F4E79"/>
        <rFont val="Cambria"/>
        <charset val="1"/>
      </rPr>
      <t>k</t>
    </r>
  </si>
  <si>
    <r>
      <rPr>
        <b/>
        <sz val="11"/>
        <color rgb="FF1F4E79"/>
        <rFont val="Noto Sans SC"/>
        <charset val="134"/>
      </rPr>
      <t xml:space="preserve">位置组合数 </t>
    </r>
    <r>
      <rPr>
        <b/>
        <sz val="11"/>
        <color rgb="FF1F4E79"/>
        <rFont val="Cambria"/>
        <charset val="1"/>
      </rPr>
      <t>C(5,k)</t>
    </r>
  </si>
  <si>
    <t>单条组合概率</t>
  </si>
  <si>
    <r>
      <rPr>
        <b/>
        <sz val="11"/>
        <color rgb="FF1F4E79"/>
        <rFont val="Noto Sans SC"/>
        <charset val="134"/>
      </rPr>
      <t xml:space="preserve">主游戏触发率 </t>
    </r>
    <r>
      <rPr>
        <b/>
        <sz val="11"/>
        <color rgb="FF1F4E79"/>
        <rFont val="Cambria"/>
        <charset val="1"/>
      </rPr>
      <t>Pₖ</t>
    </r>
  </si>
  <si>
    <r>
      <rPr>
        <b/>
        <sz val="11"/>
        <color rgb="FF1F4E79"/>
        <rFont val="Noto Sans SC"/>
        <charset val="134"/>
      </rPr>
      <t xml:space="preserve">触发时发放次数 </t>
    </r>
    <r>
      <rPr>
        <b/>
        <sz val="11"/>
        <color rgb="FF1F4E79"/>
        <rFont val="Cambria"/>
        <charset val="1"/>
      </rPr>
      <t>Sₖ</t>
    </r>
  </si>
  <si>
    <r>
      <rPr>
        <b/>
        <sz val="11"/>
        <color rgb="FF1F4E79"/>
        <rFont val="Noto Sans SC"/>
        <charset val="134"/>
      </rPr>
      <t xml:space="preserve">平均发放次数 </t>
    </r>
    <r>
      <rPr>
        <b/>
        <sz val="11"/>
        <color rgb="FF1F4E79"/>
        <rFont val="Cambria"/>
        <charset val="1"/>
      </rPr>
      <t>Pₖ·Sₖ</t>
    </r>
  </si>
  <si>
    <t>合计</t>
  </si>
  <si>
    <r>
      <rPr>
        <sz val="11"/>
        <color rgb="FF808080"/>
        <rFont val="Noto Sans SC"/>
        <charset val="134"/>
      </rPr>
      <t>触发 ≥</t>
    </r>
    <r>
      <rPr>
        <sz val="11"/>
        <color rgb="FF808080"/>
        <rFont val="Cambria"/>
        <charset val="1"/>
      </rPr>
      <t xml:space="preserve">3 </t>
    </r>
    <r>
      <rPr>
        <sz val="11"/>
        <color rgb="FF808080"/>
        <rFont val="Noto Sans SC"/>
        <charset val="134"/>
      </rPr>
      <t xml:space="preserve">个 </t>
    </r>
    <r>
      <rPr>
        <sz val="11"/>
        <color rgb="FF808080"/>
        <rFont val="Cambria"/>
        <charset val="1"/>
      </rPr>
      <t xml:space="preserve">Scatter </t>
    </r>
    <r>
      <rPr>
        <sz val="11"/>
        <color rgb="FF808080"/>
        <rFont val="Noto Sans SC"/>
        <charset val="134"/>
      </rPr>
      <t>的总概率</t>
    </r>
  </si>
  <si>
    <r>
      <rPr>
        <b/>
        <sz val="11"/>
        <color rgb="FF1F4E79"/>
        <rFont val="Noto Sans SC"/>
        <charset val="134"/>
      </rPr>
      <t xml:space="preserve">【二、免费游戏 </t>
    </r>
    <r>
      <rPr>
        <b/>
        <sz val="11"/>
        <color rgb="FF1F4E79"/>
        <rFont val="Cambria"/>
        <charset val="1"/>
      </rPr>
      <t xml:space="preserve">Scatter </t>
    </r>
    <r>
      <rPr>
        <b/>
        <sz val="11"/>
        <color rgb="FF1F4E79"/>
        <rFont val="Noto Sans SC"/>
        <charset val="134"/>
      </rPr>
      <t>概率】</t>
    </r>
  </si>
  <si>
    <t>3S = 3 × s</t>
  </si>
  <si>
    <t>X_3S = N − 3S</t>
  </si>
  <si>
    <r>
      <rPr>
        <sz val="11"/>
        <color theme="1"/>
        <rFont val="Noto Sans SC"/>
        <charset val="134"/>
      </rPr>
      <t xml:space="preserve">单列命中概率 </t>
    </r>
    <r>
      <rPr>
        <sz val="11"/>
        <color theme="1"/>
        <rFont val="Calibri"/>
        <charset val="1"/>
      </rPr>
      <t>p' = 3S / N</t>
    </r>
  </si>
  <si>
    <r>
      <rPr>
        <b/>
        <sz val="11"/>
        <color rgb="FF1F4E79"/>
        <rFont val="Noto Sans SC"/>
        <charset val="134"/>
      </rPr>
      <t xml:space="preserve">【三、免费游戏再触发率：枚举 </t>
    </r>
    <r>
      <rPr>
        <b/>
        <sz val="11"/>
        <color rgb="FF1F4E79"/>
        <rFont val="Cambria"/>
        <charset val="1"/>
      </rPr>
      <t xml:space="preserve">16 </t>
    </r>
    <r>
      <rPr>
        <b/>
        <sz val="11"/>
        <color rgb="FF1F4E79"/>
        <rFont val="Noto Sans SC"/>
        <charset val="134"/>
      </rPr>
      <t>种位置组合】</t>
    </r>
  </si>
  <si>
    <t>序号</t>
  </si>
  <si>
    <r>
      <rPr>
        <b/>
        <sz val="11"/>
        <color rgb="FF1F4E79"/>
        <rFont val="Noto Sans SC"/>
        <charset val="134"/>
      </rPr>
      <t xml:space="preserve">命中个数 </t>
    </r>
    <r>
      <rPr>
        <b/>
        <sz val="11"/>
        <color rgb="FF1F4E79"/>
        <rFont val="Cambria"/>
        <charset val="1"/>
      </rPr>
      <t>k</t>
    </r>
  </si>
  <si>
    <t>组合概率</t>
  </si>
  <si>
    <r>
      <rPr>
        <b/>
        <sz val="11"/>
        <rFont val="Noto Sans SC"/>
        <charset val="134"/>
      </rPr>
      <t>合计（≥</t>
    </r>
    <r>
      <rPr>
        <b/>
        <sz val="11"/>
        <rFont val="Cambria"/>
        <charset val="1"/>
      </rPr>
      <t xml:space="preserve">3 </t>
    </r>
    <r>
      <rPr>
        <b/>
        <sz val="11"/>
        <rFont val="Noto Sans SC"/>
        <charset val="134"/>
      </rPr>
      <t xml:space="preserve">个 </t>
    </r>
    <r>
      <rPr>
        <b/>
        <sz val="11"/>
        <rFont val="Cambria"/>
        <charset val="1"/>
      </rPr>
      <t xml:space="preserve">Scatter </t>
    </r>
    <r>
      <rPr>
        <b/>
        <sz val="11"/>
        <rFont val="Noto Sans SC"/>
        <charset val="134"/>
      </rPr>
      <t>的总概率）</t>
    </r>
  </si>
  <si>
    <r>
      <rPr>
        <b/>
        <sz val="11"/>
        <color rgb="FF1F4E79"/>
        <rFont val="Noto Sans SC"/>
        <charset val="134"/>
      </rPr>
      <t xml:space="preserve">免费游戏再触发率 </t>
    </r>
    <r>
      <rPr>
        <b/>
        <sz val="11"/>
        <color rgb="FF1F4E79"/>
        <rFont val="Cambria"/>
        <charset val="1"/>
      </rPr>
      <t>P'ₖ</t>
    </r>
  </si>
  <si>
    <r>
      <rPr>
        <b/>
        <sz val="11"/>
        <color rgb="FF1F4E79"/>
        <rFont val="Noto Sans SC"/>
        <charset val="134"/>
      </rPr>
      <t xml:space="preserve">平均发放次数 </t>
    </r>
    <r>
      <rPr>
        <b/>
        <sz val="11"/>
        <color rgb="FF1F4E79"/>
        <rFont val="Cambria"/>
        <charset val="1"/>
      </rPr>
      <t>P'ₖ·Sₖ</t>
    </r>
  </si>
  <si>
    <r>
      <rPr>
        <sz val="11"/>
        <color rgb="FF808080"/>
        <rFont val="Cambria"/>
        <charset val="1"/>
      </rPr>
      <t xml:space="preserve">Σ P'ₖ·Sₖ —— </t>
    </r>
    <r>
      <rPr>
        <sz val="11"/>
        <color rgb="FF808080"/>
        <rFont val="Noto Sans SC"/>
        <charset val="134"/>
      </rPr>
      <t xml:space="preserve">必须明显小于 </t>
    </r>
    <r>
      <rPr>
        <sz val="11"/>
        <color rgb="FF808080"/>
        <rFont val="Cambria"/>
        <charset val="1"/>
      </rPr>
      <t>1</t>
    </r>
    <r>
      <rPr>
        <sz val="11"/>
        <color rgb="FF808080"/>
        <rFont val="Noto Sans SC"/>
        <charset val="134"/>
      </rPr>
      <t xml:space="preserve">，否则 </t>
    </r>
    <r>
      <rPr>
        <sz val="11"/>
        <color rgb="FF808080"/>
        <rFont val="Cambria"/>
        <charset val="1"/>
      </rPr>
      <t xml:space="preserve">X </t>
    </r>
    <r>
      <rPr>
        <sz val="11"/>
        <color rgb="FF808080"/>
        <rFont val="Noto Sans SC"/>
        <charset val="134"/>
      </rPr>
      <t>发散</t>
    </r>
  </si>
  <si>
    <r>
      <rPr>
        <sz val="11"/>
        <color rgb="FF808080"/>
        <rFont val="Noto Sans SC"/>
        <charset val="134"/>
      </rPr>
      <t xml:space="preserve">免费游戏 </t>
    </r>
    <r>
      <rPr>
        <sz val="11"/>
        <color rgb="FF808080"/>
        <rFont val="Cambria"/>
        <charset val="1"/>
      </rPr>
      <t xml:space="preserve">Scatter </t>
    </r>
    <r>
      <rPr>
        <sz val="11"/>
        <color rgb="FF808080"/>
        <rFont val="Noto Sans SC"/>
        <charset val="134"/>
      </rPr>
      <t xml:space="preserve">赔付 </t>
    </r>
    <r>
      <rPr>
        <sz val="11"/>
        <color rgb="FF808080"/>
        <rFont val="Cambria"/>
        <charset val="1"/>
      </rPr>
      <t xml:space="preserve">RTP = </t>
    </r>
    <r>
      <rPr>
        <sz val="11"/>
        <color rgb="FF808080"/>
        <rFont val="Noto Sans SC"/>
        <charset val="134"/>
      </rPr>
      <t xml:space="preserve">每个 </t>
    </r>
    <r>
      <rPr>
        <sz val="11"/>
        <color rgb="FF808080"/>
        <rFont val="Cambria"/>
        <charset val="1"/>
      </rPr>
      <t xml:space="preserve">Scatter </t>
    </r>
    <r>
      <rPr>
        <sz val="11"/>
        <color rgb="FF808080"/>
        <rFont val="Noto Sans SC"/>
        <charset val="134"/>
      </rPr>
      <t xml:space="preserve">得分 </t>
    </r>
    <r>
      <rPr>
        <sz val="11"/>
        <color rgb="FF808080"/>
        <rFont val="Cambria"/>
        <charset val="1"/>
      </rPr>
      <t xml:space="preserve">× P(≥3 </t>
    </r>
    <r>
      <rPr>
        <sz val="11"/>
        <color rgb="FF808080"/>
        <rFont val="Noto Sans SC"/>
        <charset val="134"/>
      </rPr>
      <t xml:space="preserve">个 </t>
    </r>
    <r>
      <rPr>
        <sz val="11"/>
        <color rgb="FF808080"/>
        <rFont val="Cambria"/>
        <charset val="1"/>
      </rPr>
      <t>Scatter)</t>
    </r>
    <r>
      <rPr>
        <sz val="11"/>
        <color rgb="FF808080"/>
        <rFont val="Noto Sans SC"/>
        <charset val="134"/>
      </rPr>
      <t>：</t>
    </r>
  </si>
  <si>
    <r>
      <rPr>
        <sz val="11"/>
        <color theme="1"/>
        <rFont val="Noto Sans SC"/>
        <charset val="134"/>
      </rPr>
      <t xml:space="preserve">免费游戏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 xml:space="preserve">赔付 </t>
    </r>
    <r>
      <rPr>
        <sz val="11"/>
        <color theme="1"/>
        <rFont val="Calibri"/>
        <charset val="1"/>
      </rPr>
      <t>RTP</t>
    </r>
  </si>
  <si>
    <r>
      <rPr>
        <sz val="11"/>
        <color rgb="FF808080"/>
        <rFont val="Noto Sans SC"/>
        <charset val="134"/>
      </rPr>
      <t>← 被「单把</t>
    </r>
    <r>
      <rPr>
        <sz val="11"/>
        <color rgb="FF808080"/>
        <rFont val="Cambria"/>
        <charset val="1"/>
      </rPr>
      <t>RTP</t>
    </r>
    <r>
      <rPr>
        <sz val="11"/>
        <color rgb="FF808080"/>
        <rFont val="Noto Sans SC"/>
        <charset val="134"/>
      </rPr>
      <t xml:space="preserve">」页的 </t>
    </r>
    <r>
      <rPr>
        <sz val="11"/>
        <color rgb="FF808080"/>
        <rFont val="Cambria"/>
        <charset val="1"/>
      </rPr>
      <t xml:space="preserve">P22 </t>
    </r>
    <r>
      <rPr>
        <sz val="11"/>
        <color rgb="FF808080"/>
        <rFont val="Noto Sans SC"/>
        <charset val="134"/>
      </rPr>
      <t>引用</t>
    </r>
  </si>
  <si>
    <r>
      <rPr>
        <b/>
        <sz val="14"/>
        <color rgb="FF1F4E79"/>
        <rFont val="Noto Sans SC"/>
        <charset val="134"/>
      </rPr>
      <t xml:space="preserve">免费游戏 </t>
    </r>
    <r>
      <rPr>
        <b/>
        <sz val="14"/>
        <color rgb="FF1F4E79"/>
        <rFont val="Cambria"/>
        <charset val="1"/>
      </rPr>
      <t xml:space="preserve">RTP </t>
    </r>
    <r>
      <rPr>
        <b/>
        <sz val="14"/>
        <color rgb="FF1F4E79"/>
        <rFont val="Noto Sans SC"/>
        <charset val="134"/>
      </rPr>
      <t xml:space="preserve">与总 </t>
    </r>
    <r>
      <rPr>
        <b/>
        <sz val="14"/>
        <color rgb="FF1F4E79"/>
        <rFont val="Cambria"/>
        <charset val="1"/>
      </rPr>
      <t>RTP</t>
    </r>
    <r>
      <rPr>
        <b/>
        <sz val="14"/>
        <color rgb="FF1F4E79"/>
        <rFont val="Noto Sans SC"/>
        <charset val="134"/>
      </rPr>
      <t>（含再触发）</t>
    </r>
  </si>
  <si>
    <r>
      <rPr>
        <b/>
        <sz val="11"/>
        <color rgb="FF1F4E79"/>
        <rFont val="Noto Sans SC"/>
        <charset val="134"/>
      </rPr>
      <t xml:space="preserve">【触发率 </t>
    </r>
    <r>
      <rPr>
        <b/>
        <sz val="11"/>
        <color rgb="FF1F4E79"/>
        <rFont val="Cambria"/>
        <charset val="1"/>
      </rPr>
      <t xml:space="preserve">/ </t>
    </r>
    <r>
      <rPr>
        <b/>
        <sz val="11"/>
        <color rgb="FF1F4E79"/>
        <rFont val="Noto Sans SC"/>
        <charset val="134"/>
      </rPr>
      <t xml:space="preserve">再触发率 </t>
    </r>
    <r>
      <rPr>
        <b/>
        <sz val="11"/>
        <color rgb="FF1F4E79"/>
        <rFont val="Cambria"/>
        <charset val="1"/>
      </rPr>
      <t xml:space="preserve">/ </t>
    </r>
    <r>
      <rPr>
        <b/>
        <sz val="11"/>
        <color rgb="FF1F4E79"/>
        <rFont val="Noto Sans SC"/>
        <charset val="134"/>
      </rPr>
      <t>免费次数】</t>
    </r>
  </si>
  <si>
    <r>
      <rPr>
        <b/>
        <sz val="11"/>
        <color rgb="FF1F4E79"/>
        <rFont val="Cambria"/>
        <charset val="1"/>
      </rPr>
      <t xml:space="preserve">3 </t>
    </r>
    <r>
      <rPr>
        <b/>
        <sz val="11"/>
        <color rgb="FF1F4E79"/>
        <rFont val="Noto Sans SC"/>
        <charset val="134"/>
      </rPr>
      <t xml:space="preserve">个 </t>
    </r>
    <r>
      <rPr>
        <b/>
        <sz val="11"/>
        <color rgb="FF1F4E79"/>
        <rFont val="Cambria"/>
        <charset val="1"/>
      </rPr>
      <t>Scatter</t>
    </r>
  </si>
  <si>
    <r>
      <rPr>
        <b/>
        <sz val="11"/>
        <color rgb="FF1F4E79"/>
        <rFont val="Cambria"/>
        <charset val="1"/>
      </rPr>
      <t xml:space="preserve">4 </t>
    </r>
    <r>
      <rPr>
        <b/>
        <sz val="11"/>
        <color rgb="FF1F4E79"/>
        <rFont val="Noto Sans SC"/>
        <charset val="134"/>
      </rPr>
      <t xml:space="preserve">个 </t>
    </r>
    <r>
      <rPr>
        <b/>
        <sz val="11"/>
        <color rgb="FF1F4E79"/>
        <rFont val="Cambria"/>
        <charset val="1"/>
      </rPr>
      <t>Scatter</t>
    </r>
  </si>
  <si>
    <r>
      <rPr>
        <b/>
        <sz val="11"/>
        <color rgb="FF1F4E79"/>
        <rFont val="Cambria"/>
        <charset val="1"/>
      </rPr>
      <t xml:space="preserve">5 </t>
    </r>
    <r>
      <rPr>
        <b/>
        <sz val="11"/>
        <color rgb="FF1F4E79"/>
        <rFont val="Noto Sans SC"/>
        <charset val="134"/>
      </rPr>
      <t xml:space="preserve">个 </t>
    </r>
    <r>
      <rPr>
        <b/>
        <sz val="11"/>
        <color rgb="FF1F4E79"/>
        <rFont val="Cambria"/>
        <charset val="1"/>
      </rPr>
      <t>Scatter</t>
    </r>
  </si>
  <si>
    <t>说明</t>
  </si>
  <si>
    <r>
      <rPr>
        <sz val="11"/>
        <color theme="1"/>
        <rFont val="Noto Sans SC"/>
        <charset val="134"/>
      </rPr>
      <t xml:space="preserve">主游戏触发率 </t>
    </r>
    <r>
      <rPr>
        <sz val="11"/>
        <color theme="1"/>
        <rFont val="Calibri"/>
        <charset val="1"/>
      </rPr>
      <t>Pₖ</t>
    </r>
  </si>
  <si>
    <r>
      <rPr>
        <sz val="11"/>
        <color theme="1"/>
        <rFont val="Noto Sans SC"/>
        <charset val="134"/>
      </rPr>
      <t xml:space="preserve">免费游戏再触发率 </t>
    </r>
    <r>
      <rPr>
        <sz val="11"/>
        <color theme="1"/>
        <rFont val="Calibri"/>
        <charset val="1"/>
      </rPr>
      <t>P'ₖ</t>
    </r>
  </si>
  <si>
    <r>
      <rPr>
        <sz val="11"/>
        <color theme="1"/>
        <rFont val="Noto Sans SC"/>
        <charset val="134"/>
      </rPr>
      <t xml:space="preserve">触发时发放的免费次数 </t>
    </r>
    <r>
      <rPr>
        <sz val="11"/>
        <color theme="1"/>
        <rFont val="Calibri"/>
        <charset val="1"/>
      </rPr>
      <t>Sₖ</t>
    </r>
  </si>
  <si>
    <r>
      <rPr>
        <sz val="11"/>
        <color theme="1"/>
        <rFont val="Noto Sans SC"/>
        <charset val="134"/>
      </rPr>
      <t xml:space="preserve">再触发增发次数贡献 </t>
    </r>
    <r>
      <rPr>
        <sz val="11"/>
        <color theme="1"/>
        <rFont val="Calibri"/>
        <charset val="1"/>
      </rPr>
      <t>P'ₖ·Sₖ</t>
    </r>
  </si>
  <si>
    <r>
      <rPr>
        <b/>
        <sz val="11"/>
        <rFont val="Cambria"/>
        <charset val="1"/>
      </rPr>
      <t>Σ P'ₖ·Sₖ</t>
    </r>
    <r>
      <rPr>
        <b/>
        <sz val="11"/>
        <rFont val="Noto Sans SC"/>
        <charset val="134"/>
      </rPr>
      <t xml:space="preserve">（必须 </t>
    </r>
    <r>
      <rPr>
        <b/>
        <sz val="11"/>
        <rFont val="Cambria"/>
        <charset val="1"/>
      </rPr>
      <t>&lt; 1</t>
    </r>
    <r>
      <rPr>
        <b/>
        <sz val="11"/>
        <rFont val="Noto Sans SC"/>
        <charset val="134"/>
      </rPr>
      <t>）</t>
    </r>
  </si>
  <si>
    <r>
      <rPr>
        <b/>
        <sz val="11"/>
        <rFont val="Cambria"/>
        <charset val="1"/>
      </rPr>
      <t xml:space="preserve">X = 1 </t>
    </r>
    <r>
      <rPr>
        <b/>
        <sz val="11"/>
        <rFont val="Noto Sans SC"/>
        <charset val="134"/>
      </rPr>
      <t xml:space="preserve">个 </t>
    </r>
    <r>
      <rPr>
        <b/>
        <sz val="11"/>
        <rFont val="Cambria"/>
        <charset val="1"/>
      </rPr>
      <t xml:space="preserve">Free Spin </t>
    </r>
    <r>
      <rPr>
        <b/>
        <sz val="11"/>
        <rFont val="Noto Sans SC"/>
        <charset val="134"/>
      </rPr>
      <t xml:space="preserve">含再触发后的平均 </t>
    </r>
    <r>
      <rPr>
        <b/>
        <sz val="11"/>
        <rFont val="Cambria"/>
        <charset val="1"/>
      </rPr>
      <t xml:space="preserve">Spin </t>
    </r>
    <r>
      <rPr>
        <b/>
        <sz val="11"/>
        <rFont val="Noto Sans SC"/>
        <charset val="134"/>
      </rPr>
      <t>数</t>
    </r>
  </si>
  <si>
    <r>
      <rPr>
        <sz val="11"/>
        <color theme="1"/>
        <rFont val="Noto Sans SC"/>
        <charset val="134"/>
      </rPr>
      <t xml:space="preserve">免费游戏平均总次数 </t>
    </r>
    <r>
      <rPr>
        <sz val="11"/>
        <color theme="1"/>
        <rFont val="Calibri"/>
        <charset val="1"/>
      </rPr>
      <t>= Sₖ × X</t>
    </r>
  </si>
  <si>
    <r>
      <rPr>
        <b/>
        <sz val="11"/>
        <color rgb="FF1F4E79"/>
        <rFont val="Noto Sans SC"/>
        <charset val="134"/>
      </rPr>
      <t xml:space="preserve">【免费游戏 </t>
    </r>
    <r>
      <rPr>
        <b/>
        <sz val="11"/>
        <color rgb="FF1F4E79"/>
        <rFont val="Cambria"/>
        <charset val="1"/>
      </rPr>
      <t>RTP</t>
    </r>
    <r>
      <rPr>
        <b/>
        <sz val="11"/>
        <color rgb="FF1F4E79"/>
        <rFont val="Noto Sans SC"/>
        <charset val="134"/>
      </rPr>
      <t>】</t>
    </r>
  </si>
  <si>
    <r>
      <rPr>
        <sz val="11"/>
        <color theme="1"/>
        <rFont val="Noto Sans SC"/>
        <charset val="134"/>
      </rPr>
      <t xml:space="preserve">单把免费游戏 </t>
    </r>
    <r>
      <rPr>
        <sz val="11"/>
        <color theme="1"/>
        <rFont val="Calibri"/>
        <charset val="1"/>
      </rPr>
      <t>RTP</t>
    </r>
  </si>
  <si>
    <t>公式</t>
  </si>
  <si>
    <r>
      <rPr>
        <sz val="11"/>
        <color theme="1"/>
        <rFont val="Noto Sans SC"/>
        <charset val="134"/>
      </rPr>
      <t xml:space="preserve">免费游戏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 xml:space="preserve">k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>Scatter</t>
    </r>
    <r>
      <rPr>
        <sz val="11"/>
        <color theme="1"/>
        <rFont val="Noto Sans SC"/>
        <charset val="134"/>
      </rPr>
      <t>）</t>
    </r>
  </si>
  <si>
    <r>
      <rPr>
        <sz val="11"/>
        <color theme="1"/>
        <rFont val="Noto Sans SC"/>
        <charset val="134"/>
      </rPr>
      <t>公式：</t>
    </r>
    <r>
      <rPr>
        <sz val="11"/>
        <color theme="1"/>
        <rFont val="Calibri"/>
        <charset val="1"/>
      </rPr>
      <t xml:space="preserve">Pₖ × </t>
    </r>
    <r>
      <rPr>
        <sz val="11"/>
        <color theme="1"/>
        <rFont val="Noto Sans SC"/>
        <charset val="134"/>
      </rPr>
      <t>单把免费</t>
    </r>
    <r>
      <rPr>
        <sz val="11"/>
        <color theme="1"/>
        <rFont val="Calibri"/>
        <charset val="1"/>
      </rPr>
      <t xml:space="preserve">RTP × </t>
    </r>
    <r>
      <rPr>
        <sz val="11"/>
        <color theme="1"/>
        <rFont val="Noto Sans SC"/>
        <charset val="134"/>
      </rPr>
      <t>平均总次数</t>
    </r>
  </si>
  <si>
    <r>
      <rPr>
        <b/>
        <sz val="11"/>
        <rFont val="Noto Sans SC"/>
        <charset val="134"/>
      </rPr>
      <t xml:space="preserve">免费游戏 </t>
    </r>
    <r>
      <rPr>
        <b/>
        <sz val="11"/>
        <rFont val="Cambria"/>
        <charset val="1"/>
      </rPr>
      <t xml:space="preserve">RTP </t>
    </r>
    <r>
      <rPr>
        <b/>
        <sz val="11"/>
        <rFont val="Noto Sans SC"/>
        <charset val="134"/>
      </rPr>
      <t>合计</t>
    </r>
  </si>
  <si>
    <r>
      <rPr>
        <b/>
        <sz val="11"/>
        <color rgb="FF1F4E79"/>
        <rFont val="Noto Sans SC"/>
        <charset val="134"/>
      </rPr>
      <t xml:space="preserve">【总 </t>
    </r>
    <r>
      <rPr>
        <b/>
        <sz val="11"/>
        <color rgb="FF1F4E79"/>
        <rFont val="Cambria"/>
        <charset val="1"/>
      </rPr>
      <t>RTP</t>
    </r>
    <r>
      <rPr>
        <b/>
        <sz val="11"/>
        <color rgb="FF1F4E79"/>
        <rFont val="Noto Sans SC"/>
        <charset val="134"/>
      </rPr>
      <t>】</t>
    </r>
  </si>
  <si>
    <r>
      <rPr>
        <sz val="11"/>
        <color theme="1"/>
        <rFont val="Noto Sans SC"/>
        <charset val="134"/>
      </rPr>
      <t xml:space="preserve">主游戏 </t>
    </r>
    <r>
      <rPr>
        <sz val="11"/>
        <color theme="1"/>
        <rFont val="Calibri"/>
        <charset val="1"/>
      </rPr>
      <t>RTP</t>
    </r>
  </si>
  <si>
    <r>
      <rPr>
        <sz val="11"/>
        <color theme="1"/>
        <rFont val="Noto Sans SC"/>
        <charset val="134"/>
      </rPr>
      <t xml:space="preserve">免费游戏 </t>
    </r>
    <r>
      <rPr>
        <sz val="11"/>
        <color theme="1"/>
        <rFont val="Calibri"/>
        <charset val="1"/>
      </rPr>
      <t>RTP</t>
    </r>
  </si>
  <si>
    <r>
      <rPr>
        <b/>
        <sz val="11"/>
        <rFont val="Noto Sans SC"/>
        <charset val="134"/>
      </rPr>
      <t xml:space="preserve">总 </t>
    </r>
    <r>
      <rPr>
        <b/>
        <sz val="11"/>
        <rFont val="Cambria"/>
        <charset val="1"/>
      </rPr>
      <t xml:space="preserve">RTP = </t>
    </r>
    <r>
      <rPr>
        <b/>
        <sz val="11"/>
        <rFont val="Noto Sans SC"/>
        <charset val="134"/>
      </rPr>
      <t xml:space="preserve">主游戏 </t>
    </r>
    <r>
      <rPr>
        <b/>
        <sz val="11"/>
        <rFont val="Cambria"/>
        <charset val="1"/>
      </rPr>
      <t xml:space="preserve">+ </t>
    </r>
    <r>
      <rPr>
        <b/>
        <sz val="11"/>
        <rFont val="Noto Sans SC"/>
        <charset val="134"/>
      </rPr>
      <t>免费游戏</t>
    </r>
  </si>
  <si>
    <r>
      <rPr>
        <b/>
        <sz val="11"/>
        <color rgb="FF1F4E79"/>
        <rFont val="Noto Sans SC"/>
        <charset val="134"/>
      </rPr>
      <t xml:space="preserve">【原文 </t>
    </r>
    <r>
      <rPr>
        <b/>
        <sz val="11"/>
        <color rgb="FF1F4E79"/>
        <rFont val="Cambria"/>
        <charset val="1"/>
      </rPr>
      <t xml:space="preserve">/ </t>
    </r>
    <r>
      <rPr>
        <b/>
        <sz val="11"/>
        <color rgb="FF1F4E79"/>
        <rFont val="Noto Sans SC"/>
        <charset val="134"/>
      </rPr>
      <t>参考簿对照】</t>
    </r>
  </si>
  <si>
    <r>
      <rPr>
        <sz val="11"/>
        <color theme="1"/>
        <rFont val="Noto Sans SC"/>
        <charset val="134"/>
      </rPr>
      <t xml:space="preserve">主游戏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Part II</t>
    </r>
    <r>
      <rPr>
        <sz val="11"/>
        <color theme="1"/>
        <rFont val="Noto Sans SC"/>
        <charset val="134"/>
      </rPr>
      <t>）</t>
    </r>
  </si>
  <si>
    <r>
      <rPr>
        <sz val="11"/>
        <color theme="1"/>
        <rFont val="Noto Sans SC"/>
        <charset val="134"/>
      </rPr>
      <t xml:space="preserve">单把免费游戏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Part II</t>
    </r>
    <r>
      <rPr>
        <sz val="11"/>
        <color theme="1"/>
        <rFont val="Noto Sans SC"/>
        <charset val="134"/>
      </rPr>
      <t>）</t>
    </r>
  </si>
  <si>
    <r>
      <rPr>
        <sz val="11"/>
        <color theme="1"/>
        <rFont val="Calibri"/>
        <charset val="1"/>
      </rPr>
      <t>X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Part II</t>
    </r>
    <r>
      <rPr>
        <sz val="11"/>
        <color theme="1"/>
        <rFont val="Noto Sans SC"/>
        <charset val="134"/>
      </rPr>
      <t>）</t>
    </r>
  </si>
  <si>
    <r>
      <rPr>
        <sz val="11"/>
        <color theme="1"/>
        <rFont val="Noto Sans SC"/>
        <charset val="134"/>
      </rPr>
      <t xml:space="preserve">免费游戏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Part II</t>
    </r>
    <r>
      <rPr>
        <sz val="11"/>
        <color theme="1"/>
        <rFont val="Noto Sans SC"/>
        <charset val="134"/>
      </rPr>
      <t>）</t>
    </r>
  </si>
  <si>
    <r>
      <rPr>
        <sz val="11"/>
        <color theme="1"/>
        <rFont val="Noto Sans SC"/>
        <charset val="134"/>
      </rPr>
      <t xml:space="preserve">总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Part II</t>
    </r>
    <r>
      <rPr>
        <sz val="11"/>
        <color theme="1"/>
        <rFont val="Noto Sans SC"/>
        <charset val="134"/>
      </rPr>
      <t>）</t>
    </r>
  </si>
  <si>
    <r>
      <rPr>
        <sz val="11"/>
        <color theme="1"/>
        <rFont val="Noto Sans SC"/>
        <charset val="134"/>
      </rPr>
      <t xml:space="preserve">本簿 </t>
    </r>
    <r>
      <rPr>
        <sz val="11"/>
        <color theme="1"/>
        <rFont val="Calibri"/>
        <charset val="1"/>
      </rPr>
      <t xml:space="preserve">X </t>
    </r>
    <r>
      <rPr>
        <sz val="11"/>
        <color theme="1"/>
        <rFont val="Noto Sans SC"/>
        <charset val="134"/>
      </rPr>
      <t xml:space="preserve">与 </t>
    </r>
    <r>
      <rPr>
        <sz val="11"/>
        <color theme="1"/>
        <rFont val="Calibri"/>
        <charset val="1"/>
      </rPr>
      <t xml:space="preserve">Part II </t>
    </r>
    <r>
      <rPr>
        <sz val="11"/>
        <color theme="1"/>
        <rFont val="Noto Sans SC"/>
        <charset val="134"/>
      </rPr>
      <t>的差</t>
    </r>
  </si>
  <si>
    <r>
      <rPr>
        <sz val="11"/>
        <color theme="1"/>
        <rFont val="Noto Sans SC"/>
        <charset val="134"/>
      </rPr>
      <t xml:space="preserve">本簿总 </t>
    </r>
    <r>
      <rPr>
        <sz val="11"/>
        <color theme="1"/>
        <rFont val="Calibri"/>
        <charset val="1"/>
      </rPr>
      <t xml:space="preserve">RTP </t>
    </r>
    <r>
      <rPr>
        <sz val="11"/>
        <color theme="1"/>
        <rFont val="Noto Sans SC"/>
        <charset val="134"/>
      </rPr>
      <t xml:space="preserve">与 </t>
    </r>
    <r>
      <rPr>
        <sz val="11"/>
        <color theme="1"/>
        <rFont val="Calibri"/>
        <charset val="1"/>
      </rPr>
      <t xml:space="preserve">Part II </t>
    </r>
    <r>
      <rPr>
        <sz val="11"/>
        <color theme="1"/>
        <rFont val="Noto Sans SC"/>
        <charset val="134"/>
      </rPr>
      <t>的差</t>
    </r>
  </si>
  <si>
    <r>
      <rPr>
        <sz val="11"/>
        <color rgb="FF808080"/>
        <rFont val="Noto Sans SC"/>
        <charset val="134"/>
      </rPr>
      <t xml:space="preserve">注：原文与 </t>
    </r>
    <r>
      <rPr>
        <sz val="11"/>
        <color rgb="FF808080"/>
        <rFont val="Cambria"/>
        <charset val="1"/>
      </rPr>
      <t xml:space="preserve">Part II </t>
    </r>
    <r>
      <rPr>
        <sz val="11"/>
        <color rgb="FF808080"/>
        <rFont val="Noto Sans SC"/>
        <charset val="134"/>
      </rPr>
      <t xml:space="preserve">的总 </t>
    </r>
    <r>
      <rPr>
        <sz val="11"/>
        <color rgb="FF808080"/>
        <rFont val="Cambria"/>
        <charset val="1"/>
      </rPr>
      <t xml:space="preserve">RTP </t>
    </r>
    <r>
      <rPr>
        <sz val="11"/>
        <color rgb="FF808080"/>
        <rFont val="Noto Sans SC"/>
        <charset val="134"/>
      </rPr>
      <t xml:space="preserve">超过 </t>
    </r>
    <r>
      <rPr>
        <sz val="11"/>
        <color rgb="FF808080"/>
        <rFont val="Cambria"/>
        <charset val="1"/>
      </rPr>
      <t>100%</t>
    </r>
    <r>
      <rPr>
        <sz val="11"/>
        <color rgb="FF808080"/>
        <rFont val="Noto Sans SC"/>
        <charset val="134"/>
      </rPr>
      <t xml:space="preserve">，属教学示例（便于看清各项贡献）；商业机台会把各模块下调到 </t>
    </r>
    <r>
      <rPr>
        <sz val="11"/>
        <color rgb="FF808080"/>
        <rFont val="Cambria"/>
        <charset val="1"/>
      </rPr>
      <t xml:space="preserve">95% </t>
    </r>
    <r>
      <rPr>
        <sz val="11"/>
        <color rgb="FF808080"/>
        <rFont val="Noto Sans SC"/>
        <charset val="134"/>
      </rPr>
      <t>上下的目标值。</t>
    </r>
  </si>
  <si>
    <t>再触发机制对免费次数与波动率的影响</t>
  </si>
  <si>
    <t>【再触发的放大倍数】</t>
  </si>
  <si>
    <r>
      <rPr>
        <sz val="11"/>
        <color theme="1"/>
        <rFont val="Calibri"/>
        <charset val="1"/>
      </rPr>
      <t>X</t>
    </r>
    <r>
      <rPr>
        <sz val="11"/>
        <color theme="1"/>
        <rFont val="Noto Sans SC"/>
        <charset val="134"/>
      </rPr>
      <t>（含再触发的平均倍数）</t>
    </r>
  </si>
  <si>
    <r>
      <rPr>
        <sz val="11"/>
        <color theme="1"/>
        <rFont val="Calibri"/>
        <charset val="1"/>
      </rPr>
      <t>X − 1</t>
    </r>
    <r>
      <rPr>
        <sz val="11"/>
        <color theme="1"/>
        <rFont val="Noto Sans SC"/>
        <charset val="134"/>
      </rPr>
      <t>（再触发带来的额外倍数）</t>
    </r>
  </si>
  <si>
    <r>
      <rPr>
        <sz val="11"/>
        <color theme="1"/>
        <rFont val="Noto Sans SC"/>
        <charset val="134"/>
      </rPr>
      <t xml:space="preserve">再触发贡献占免费 </t>
    </r>
    <r>
      <rPr>
        <sz val="11"/>
        <color theme="1"/>
        <rFont val="Calibri"/>
        <charset val="1"/>
      </rPr>
      <t xml:space="preserve">RTP </t>
    </r>
    <r>
      <rPr>
        <sz val="11"/>
        <color theme="1"/>
        <rFont val="Noto Sans SC"/>
        <charset val="134"/>
      </rPr>
      <t>的比例</t>
    </r>
  </si>
  <si>
    <r>
      <rPr>
        <sz val="11"/>
        <color theme="1"/>
        <rFont val="Noto Sans SC"/>
        <charset val="134"/>
      </rPr>
      <t>无再触发时（</t>
    </r>
    <r>
      <rPr>
        <sz val="11"/>
        <color theme="1"/>
        <rFont val="Calibri"/>
        <charset val="1"/>
      </rPr>
      <t>X=1</t>
    </r>
    <r>
      <rPr>
        <sz val="11"/>
        <color theme="1"/>
        <rFont val="Noto Sans SC"/>
        <charset val="134"/>
      </rPr>
      <t xml:space="preserve">）免费游戏 </t>
    </r>
    <r>
      <rPr>
        <sz val="11"/>
        <color theme="1"/>
        <rFont val="Calibri"/>
        <charset val="1"/>
      </rPr>
      <t>RTP</t>
    </r>
  </si>
  <si>
    <t>← 与含再触发对比即得再触发的绝对贡献</t>
  </si>
  <si>
    <t>【一次免费游戏的期望返还倍数（波动代理）】</t>
  </si>
  <si>
    <t>触发情形</t>
  </si>
  <si>
    <r>
      <rPr>
        <b/>
        <sz val="11"/>
        <color rgb="FF1F4E79"/>
        <rFont val="Noto Sans SC"/>
        <charset val="134"/>
      </rPr>
      <t xml:space="preserve">初始次数 </t>
    </r>
    <r>
      <rPr>
        <b/>
        <sz val="11"/>
        <color rgb="FF1F4E79"/>
        <rFont val="Cambria"/>
        <charset val="1"/>
      </rPr>
      <t>Sₖ</t>
    </r>
  </si>
  <si>
    <t>平均总次数</t>
  </si>
  <si>
    <r>
      <rPr>
        <b/>
        <sz val="11"/>
        <color rgb="FF1F4E79"/>
        <rFont val="Noto Sans SC"/>
        <charset val="134"/>
      </rPr>
      <t xml:space="preserve">单把免费 </t>
    </r>
    <r>
      <rPr>
        <b/>
        <sz val="11"/>
        <color rgb="FF1F4E79"/>
        <rFont val="Cambria"/>
        <charset val="1"/>
      </rPr>
      <t>RTP</t>
    </r>
  </si>
  <si>
    <t>一次免费游戏期望返还倍数</t>
  </si>
  <si>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触发</t>
    </r>
  </si>
  <si>
    <r>
      <rPr>
        <sz val="11"/>
        <color theme="1"/>
        <rFont val="Calibri"/>
        <charset val="1"/>
      </rPr>
      <t xml:space="preserve">4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触发</t>
    </r>
  </si>
  <si>
    <r>
      <rPr>
        <sz val="11"/>
        <color theme="1"/>
        <rFont val="Calibri"/>
        <charset val="1"/>
      </rPr>
      <t xml:space="preserve">5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触发</t>
    </r>
  </si>
  <si>
    <r>
      <rPr>
        <sz val="11"/>
        <color theme="1"/>
        <rFont val="Calibri"/>
        <charset val="1"/>
      </rPr>
      <t xml:space="preserve">5 </t>
    </r>
    <r>
      <rPr>
        <sz val="11"/>
        <color theme="1"/>
        <rFont val="Noto Sans SC"/>
        <charset val="134"/>
      </rPr>
      <t xml:space="preserve">个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 xml:space="preserve">一次触发平均返还 </t>
    </r>
    <r>
      <rPr>
        <sz val="11"/>
        <color theme="1"/>
        <rFont val="Calibri"/>
        <charset val="1"/>
      </rPr>
      <t xml:space="preserve">28 </t>
    </r>
    <r>
      <rPr>
        <sz val="11"/>
        <color theme="1"/>
        <rFont val="Noto Sans SC"/>
        <charset val="134"/>
      </rPr>
      <t>倍以上</t>
    </r>
  </si>
  <si>
    <r>
      <rPr>
        <b/>
        <sz val="11"/>
        <color rgb="FF1F4E79"/>
        <rFont val="Noto Sans SC"/>
        <charset val="134"/>
      </rPr>
      <t xml:space="preserve">【再触发率敏感性：缩放 </t>
    </r>
    <r>
      <rPr>
        <b/>
        <sz val="11"/>
        <color rgb="FF1F4E79"/>
        <rFont val="Cambria"/>
        <charset val="1"/>
      </rPr>
      <t>Σ P'ₖ·Sₖ</t>
    </r>
    <r>
      <rPr>
        <b/>
        <sz val="11"/>
        <color rgb="FF1F4E79"/>
        <rFont val="Noto Sans SC"/>
        <charset val="134"/>
      </rPr>
      <t>】</t>
    </r>
  </si>
  <si>
    <r>
      <rPr>
        <b/>
        <sz val="11"/>
        <color rgb="FF1F4E79"/>
        <rFont val="Noto Sans SC"/>
        <charset val="134"/>
      </rPr>
      <t xml:space="preserve">再触发率缩放 </t>
    </r>
    <r>
      <rPr>
        <b/>
        <sz val="11"/>
        <color rgb="FF1F4E79"/>
        <rFont val="Cambria"/>
        <charset val="1"/>
      </rPr>
      <t>k</t>
    </r>
  </si>
  <si>
    <t>Σ P'ₖ·Sₖ (×k)</t>
  </si>
  <si>
    <t>X</t>
  </si>
  <si>
    <r>
      <rPr>
        <b/>
        <sz val="11"/>
        <color rgb="FF1F4E79"/>
        <rFont val="Noto Sans SC"/>
        <charset val="134"/>
      </rPr>
      <t xml:space="preserve">免费游戏 </t>
    </r>
    <r>
      <rPr>
        <b/>
        <sz val="11"/>
        <color rgb="FF1F4E79"/>
        <rFont val="Cambria"/>
        <charset val="1"/>
      </rPr>
      <t xml:space="preserve">RTP </t>
    </r>
    <r>
      <rPr>
        <b/>
        <sz val="11"/>
        <color rgb="FF1F4E79"/>
        <rFont val="Noto Sans SC"/>
        <charset val="134"/>
      </rPr>
      <t>合计</t>
    </r>
  </si>
  <si>
    <r>
      <rPr>
        <b/>
        <sz val="11"/>
        <color rgb="FF1F4E79"/>
        <rFont val="Noto Sans SC"/>
        <charset val="134"/>
      </rPr>
      <t xml:space="preserve">总 </t>
    </r>
    <r>
      <rPr>
        <b/>
        <sz val="11"/>
        <color rgb="FF1F4E79"/>
        <rFont val="Cambria"/>
        <charset val="1"/>
      </rPr>
      <t>RTP</t>
    </r>
  </si>
  <si>
    <t>风险提示</t>
  </si>
  <si>
    <r>
      <rPr>
        <sz val="11"/>
        <color theme="1"/>
        <rFont val="Noto Sans SC"/>
        <charset val="134"/>
      </rPr>
      <t>不设再触发：</t>
    </r>
    <r>
      <rPr>
        <sz val="11"/>
        <color theme="1"/>
        <rFont val="Calibri"/>
        <charset val="1"/>
      </rPr>
      <t>X = 1</t>
    </r>
    <r>
      <rPr>
        <sz val="11"/>
        <color theme="1"/>
        <rFont val="Noto Sans SC"/>
        <charset val="134"/>
      </rPr>
      <t>，波动最低</t>
    </r>
  </si>
  <si>
    <t>本簿基准</t>
  </si>
  <si>
    <r>
      <rPr>
        <sz val="11"/>
        <color theme="1"/>
        <rFont val="Calibri"/>
        <charset val="1"/>
      </rPr>
      <t xml:space="preserve">ΣP'S ≥ 1 </t>
    </r>
    <r>
      <rPr>
        <sz val="11"/>
        <color theme="1"/>
        <rFont val="Noto Sans SC"/>
        <charset val="134"/>
      </rPr>
      <t xml:space="preserve">时 </t>
    </r>
    <r>
      <rPr>
        <sz val="11"/>
        <color theme="1"/>
        <rFont val="Calibri"/>
        <charset val="1"/>
      </rPr>
      <t xml:space="preserve">X </t>
    </r>
    <r>
      <rPr>
        <sz val="11"/>
        <color theme="1"/>
        <rFont val="Noto Sans SC"/>
        <charset val="134"/>
      </rPr>
      <t>发散，免费转停不下来</t>
    </r>
  </si>
  <si>
    <r>
      <rPr>
        <sz val="11"/>
        <color rgb="FF808080"/>
        <rFont val="Noto Sans SC"/>
        <charset val="134"/>
      </rPr>
      <t>工程口径：</t>
    </r>
    <r>
      <rPr>
        <sz val="11"/>
        <color rgb="FF808080"/>
        <rFont val="Cambria"/>
        <charset val="1"/>
      </rPr>
      <t xml:space="preserve">Σ P'ₖ·Sₖ </t>
    </r>
    <r>
      <rPr>
        <sz val="11"/>
        <color rgb="FF808080"/>
        <rFont val="Noto Sans SC"/>
        <charset val="134"/>
      </rPr>
      <t xml:space="preserve">建议控制在 </t>
    </r>
    <r>
      <rPr>
        <sz val="11"/>
        <color rgb="FF808080"/>
        <rFont val="Cambria"/>
        <charset val="1"/>
      </rPr>
      <t xml:space="preserve">0.3 </t>
    </r>
    <r>
      <rPr>
        <sz val="11"/>
        <color rgb="FF808080"/>
        <rFont val="Noto Sans SC"/>
        <charset val="134"/>
      </rPr>
      <t xml:space="preserve">以下（即 </t>
    </r>
    <r>
      <rPr>
        <sz val="11"/>
        <color rgb="FF808080"/>
        <rFont val="Cambria"/>
        <charset val="1"/>
      </rPr>
      <t>X ≤ 1.43</t>
    </r>
    <r>
      <rPr>
        <sz val="11"/>
        <color rgb="FF808080"/>
        <rFont val="Noto Sans SC"/>
        <charset val="134"/>
      </rPr>
      <t>），并对「单次触发的免费转总数」加硬上限兜底。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</si>
</sst>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"/>
    <numFmt numFmtId="177" formatCode="0.0000%"/>
    <numFmt numFmtId="178" formatCode="0.0000"/>
    <numFmt numFmtId="179" formatCode="0.0000000000%"/>
  </numFmts>
  <fonts count="33">
    <font>
      <sz val="11"/>
      <color theme="1"/>
      <name val="Noto Sans SC"/>
      <charset val="134"/>
    </font>
    <font>
      <b/>
      <sz val="14"/>
      <color rgb="FF1F4E79"/>
      <name val="Noto Sans SC"/>
      <charset val="134"/>
    </font>
    <font>
      <sz val="11"/>
      <color rgb="FF808080"/>
      <name val="Noto Sans SC"/>
      <charset val="134"/>
    </font>
    <font>
      <b/>
      <sz val="11"/>
      <color rgb="FF1F4E79"/>
      <name val="Noto Sans SC"/>
      <charset val="134"/>
    </font>
    <font>
      <sz val="11"/>
      <color theme="1"/>
      <name val="Calibri"/>
      <charset val="1"/>
    </font>
    <font>
      <sz val="11"/>
      <color rgb="FF000000"/>
      <name val="Cambria"/>
      <charset val="1"/>
    </font>
    <font>
      <b/>
      <sz val="11"/>
      <name val="Cambria"/>
      <charset val="1"/>
    </font>
    <font>
      <b/>
      <sz val="11"/>
      <color rgb="FF1F4E79"/>
      <name val="Cambria"/>
      <charset val="1"/>
    </font>
    <font>
      <sz val="11"/>
      <color rgb="FF0000FF"/>
      <name val="Cambria"/>
      <charset val="1"/>
    </font>
    <font>
      <b/>
      <sz val="11"/>
      <name val="Noto Sans SC"/>
      <charset val="134"/>
    </font>
    <font>
      <b/>
      <sz val="14"/>
      <color rgb="FF1F4E79"/>
      <name val="Cambria"/>
      <charset val="1"/>
    </font>
    <font>
      <sz val="11"/>
      <color rgb="FF808080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4C7E7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DEEBF7"/>
        <bgColor rgb="FFD9E1F2"/>
      </patternFill>
    </fill>
    <fill>
      <patternFill patternType="solid">
        <fgColor rgb="FFD9E1F2"/>
        <bgColor rgb="FFDE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Border="0" applyAlignment="0" applyProtection="0"/>
    <xf numFmtId="44" fontId="12" fillId="0" borderId="0" applyBorder="0" applyAlignment="0" applyProtection="0"/>
    <xf numFmtId="9" fontId="12" fillId="0" borderId="0" applyBorder="0" applyAlignment="0" applyProtection="0"/>
    <xf numFmtId="41" fontId="12" fillId="0" borderId="0" applyBorder="0" applyAlignment="0" applyProtection="0"/>
    <xf numFmtId="42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8" borderId="4" applyNumberFormat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76" fontId="5" fillId="0" borderId="0" xfId="0" applyNumberFormat="1" applyFont="1"/>
    <xf numFmtId="10" fontId="6" fillId="3" borderId="0" xfId="0" applyNumberFormat="1" applyFont="1" applyFill="1"/>
    <xf numFmtId="177" fontId="5" fillId="0" borderId="0" xfId="0" applyNumberFormat="1" applyFont="1"/>
    <xf numFmtId="0" fontId="3" fillId="4" borderId="0" xfId="0" applyFont="1" applyFill="1" applyAlignment="1">
      <alignment horizontal="center" vertical="center"/>
    </xf>
    <xf numFmtId="3" fontId="5" fillId="0" borderId="0" xfId="0" applyNumberFormat="1" applyFont="1"/>
    <xf numFmtId="178" fontId="5" fillId="0" borderId="0" xfId="0" applyNumberFormat="1" applyFont="1"/>
    <xf numFmtId="178" fontId="6" fillId="3" borderId="0" xfId="0" applyNumberFormat="1" applyFont="1" applyFill="1"/>
    <xf numFmtId="0" fontId="7" fillId="4" borderId="0" xfId="0" applyFont="1" applyFill="1" applyAlignment="1">
      <alignment horizontal="center" vertical="center"/>
    </xf>
    <xf numFmtId="178" fontId="8" fillId="0" borderId="0" xfId="0" applyNumberFormat="1" applyFont="1"/>
    <xf numFmtId="0" fontId="6" fillId="0" borderId="0" xfId="0" applyFont="1"/>
    <xf numFmtId="177" fontId="6" fillId="3" borderId="0" xfId="0" applyNumberFormat="1" applyFont="1" applyFill="1"/>
    <xf numFmtId="176" fontId="6" fillId="3" borderId="0" xfId="0" applyNumberFormat="1" applyFont="1" applyFill="1"/>
    <xf numFmtId="0" fontId="9" fillId="5" borderId="0" xfId="0" applyFont="1" applyFill="1"/>
    <xf numFmtId="0" fontId="9" fillId="0" borderId="0" xfId="0" applyFont="1"/>
    <xf numFmtId="177" fontId="8" fillId="0" borderId="0" xfId="0" applyNumberFormat="1" applyFont="1"/>
    <xf numFmtId="176" fontId="8" fillId="0" borderId="0" xfId="0" applyNumberFormat="1" applyFont="1"/>
    <xf numFmtId="0" fontId="10" fillId="0" borderId="0" xfId="0" applyFont="1"/>
    <xf numFmtId="3" fontId="8" fillId="0" borderId="0" xfId="0" applyNumberFormat="1" applyFont="1"/>
    <xf numFmtId="177" fontId="5" fillId="5" borderId="0" xfId="0" applyNumberFormat="1" applyFont="1" applyFill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3" fontId="5" fillId="5" borderId="0" xfId="0" applyNumberFormat="1" applyFont="1" applyFill="1"/>
    <xf numFmtId="0" fontId="9" fillId="0" borderId="0" xfId="0" applyFont="1" applyAlignment="1">
      <alignment wrapText="1"/>
    </xf>
    <xf numFmtId="0" fontId="9" fillId="0" borderId="0" xfId="0" applyFont="1" applyFill="1"/>
    <xf numFmtId="3" fontId="6" fillId="3" borderId="0" xfId="0" applyNumberFormat="1" applyFont="1" applyFill="1"/>
    <xf numFmtId="0" fontId="8" fillId="0" borderId="0" xfId="0" applyFont="1"/>
    <xf numFmtId="0" fontId="9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0" xfId="0" applyFont="1"/>
    <xf numFmtId="0" fontId="7" fillId="4" borderId="0" xfId="0" applyFont="1" applyFill="1" applyAlignment="1">
      <alignment horizontal="center" vertical="center"/>
    </xf>
    <xf numFmtId="179" applyNumberFormat="1" fontId="6" fillId="3" borderId="0" xfId="0" applyFont="1" applyFill="1"/>
    <xf numFmtId="179" applyNumberFormat="1" fontId="5" fillId="0" borderId="0" xfId="0" applyFont="1"/>
    <xf numFmtId="179" applyNumberFormat="1" fontId="6" fillId="3" borderId="0" xfId="0" applyFont="1" applyFill="1"/>
    <xf numFmtId="179" applyNumberFormat="1" fontId="8" fillId="0" borderId="0" xfId="0" applyFont="1"/>
    <xf numFmtId="179" applyNumberFormat="1" fontId="5" fillId="5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9"/>
  <sheetViews>
    <sheetView workbookViewId="0">
      <selection activeCell="A1" sqref="A1"/>
    </sheetView>
  </sheetViews>
  <sheetFormatPr defaultColWidth="7.69166666666667" defaultRowHeight="18.5"/>
  <cols>
    <col min="1" max="1" width="107.358333333333" customWidth="1"/>
  </cols>
  <sheetData>
    <row r="1" ht="22.5" spans="1:1">
      <c r="A1" s="1" t="s">
        <v>0</v>
      </c>
    </row>
    <row r="2" ht="22.5" spans="1:1">
      <c r="A2" s="1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1</v>
      </c>
    </row>
    <row r="6" spans="1:1">
      <c r="A6" s="33" t="s">
        <v>4</v>
      </c>
    </row>
    <row r="7" spans="1:1">
      <c r="A7" s="34" t="s">
        <v>5</v>
      </c>
    </row>
    <row r="8" spans="1:1">
      <c r="A8" s="34" t="s">
        <v>6</v>
      </c>
    </row>
    <row r="9" spans="1:1">
      <c r="A9" s="34" t="s">
        <v>7</v>
      </c>
    </row>
    <row r="10" spans="1:1">
      <c r="A10" s="34" t="s">
        <v>8</v>
      </c>
    </row>
    <row r="11" spans="1:1">
      <c r="A11" s="34" t="s">
        <v>9</v>
      </c>
    </row>
    <row r="12" spans="1:1">
      <c r="A12" s="34" t="s">
        <v>1</v>
      </c>
    </row>
    <row r="13" spans="1:1">
      <c r="A13" s="33" t="s">
        <v>10</v>
      </c>
    </row>
    <row r="14" spans="1:1">
      <c r="A14" s="34" t="s">
        <v>11</v>
      </c>
    </row>
    <row r="15" spans="1:1">
      <c r="A15" s="34" t="s">
        <v>12</v>
      </c>
    </row>
    <row r="16" spans="1:1">
      <c r="A16" s="34" t="s">
        <v>13</v>
      </c>
    </row>
    <row r="17" spans="1:1">
      <c r="A17" s="35" t="s">
        <v>14</v>
      </c>
    </row>
    <row r="18" spans="1:1">
      <c r="A18" s="35" t="s">
        <v>1</v>
      </c>
    </row>
    <row r="19" spans="1:1">
      <c r="A19" s="33" t="s">
        <v>15</v>
      </c>
    </row>
    <row r="20" spans="1:1">
      <c r="A20" s="35" t="s">
        <v>16</v>
      </c>
    </row>
    <row r="21" spans="1:1">
      <c r="A21" s="34" t="s">
        <v>17</v>
      </c>
    </row>
    <row r="22" spans="1:1">
      <c r="A22" s="34" t="s">
        <v>18</v>
      </c>
    </row>
    <row r="23" spans="1:1">
      <c r="A23" s="35" t="s">
        <v>19</v>
      </c>
    </row>
    <row r="24" spans="1:1">
      <c r="A24" s="37">
        <v>3.1</v>
      </c>
    </row>
    <row r="25" spans="1:1">
      <c r="A25" s="37">
        <v>3.2</v>
      </c>
    </row>
    <row r="26" spans="1:1">
      <c r="A26" s="37">
        <v>3.3</v>
      </c>
    </row>
    <row r="27" spans="1:1">
      <c r="A27" s="37">
        <v>3.4</v>
      </c>
    </row>
    <row r="28" spans="1:1">
      <c r="A28" s="37">
        <v>3.5</v>
      </c>
    </row>
    <row r="29" spans="1:1">
      <c r="A29" s="35" t="s">
        <v>25</v>
      </c>
    </row>
    <row r="30" spans="1:1">
      <c r="A30" s="37">
        <v>4.1</v>
      </c>
    </row>
    <row r="31" spans="1:1">
      <c r="A31" s="37">
        <v>4.2</v>
      </c>
    </row>
    <row r="32" spans="1:1">
      <c r="A32" s="37">
        <v>4.3</v>
      </c>
    </row>
    <row r="33" spans="1:1">
      <c r="A33" s="36" t="s">
        <v>29</v>
      </c>
    </row>
    <row r="34" spans="1:1">
      <c r="A34" s="35" t="s">
        <v>1</v>
      </c>
    </row>
    <row r="35" spans="1:1">
      <c r="A35" s="33" t="s">
        <v>30</v>
      </c>
    </row>
    <row r="36" spans="1:1">
      <c r="A36" s="34" t="s">
        <v>31</v>
      </c>
    </row>
    <row r="37" spans="1:1">
      <c r="A37" s="35" t="s">
        <v>32</v>
      </c>
    </row>
    <row r="38" spans="1:1">
      <c r="A38" s="34" t="s">
        <v>33</v>
      </c>
    </row>
    <row r="39" spans="1:1">
      <c r="A39" s="34" t="s">
        <v>34</v>
      </c>
    </row>
    <row r="40" spans="1:1">
      <c r="A40" s="34" t="s">
        <v>35</v>
      </c>
    </row>
    <row r="41" spans="1:1">
      <c r="A41" s="35" t="s">
        <v>36</v>
      </c>
    </row>
    <row r="42" spans="1:1">
      <c r="A42" s="35" t="s">
        <v>37</v>
      </c>
    </row>
    <row r="43" spans="1:1">
      <c r="A43" s="35" t="s">
        <v>1</v>
      </c>
    </row>
    <row r="44" spans="1:1">
      <c r="A44" s="33" t="s">
        <v>38</v>
      </c>
    </row>
    <row r="45" spans="1:1">
      <c r="A45" s="34" t="s">
        <v>39</v>
      </c>
    </row>
    <row r="46" spans="1:1">
      <c r="A46" s="37">
        <v>5</v>
      </c>
    </row>
    <row r="47" spans="1:1">
      <c r="A47" s="34" t="s">
        <v>41</v>
      </c>
    </row>
    <row r="48" spans="1:1">
      <c r="A48" s="35" t="s">
        <v>42</v>
      </c>
    </row>
    <row r="49" spans="1:1">
      <c r="A49" s="35" t="s">
        <v>43</v>
      </c>
    </row>
    <row r="50" spans="1:1">
      <c r="A50" s="35" t="s">
        <v>1</v>
      </c>
    </row>
    <row r="51" spans="1:1">
      <c r="A51" s="33" t="s">
        <v>44</v>
      </c>
    </row>
    <row r="52" spans="1:1">
      <c r="A52" s="34" t="s">
        <v>45</v>
      </c>
    </row>
    <row r="53" spans="1:1">
      <c r="A53" s="34" t="s">
        <v>46</v>
      </c>
    </row>
    <row r="54" spans="1:1">
      <c r="A54" s="35" t="s">
        <v>47</v>
      </c>
    </row>
    <row r="55" spans="1:1">
      <c r="A55" s="34" t="s">
        <v>48</v>
      </c>
    </row>
    <row r="56" spans="1:1">
      <c r="A56" s="34" t="s">
        <v>49</v>
      </c>
    </row>
    <row r="57" spans="1:1">
      <c r="A57" s="34" t="s">
        <v>50</v>
      </c>
    </row>
    <row r="58" spans="1:1">
      <c r="A58" s="35" t="s">
        <v>1</v>
      </c>
    </row>
    <row r="59" spans="1:1">
      <c r="A59" s="33" t="s">
        <v>51</v>
      </c>
    </row>
    <row r="60" spans="1:1">
      <c r="A60" s="34" t="s">
        <v>52</v>
      </c>
    </row>
    <row r="61" spans="1:1">
      <c r="A61" s="35" t="s">
        <v>53</v>
      </c>
    </row>
    <row r="62" spans="1:1">
      <c r="A62" s="35" t="s">
        <v>54</v>
      </c>
    </row>
    <row r="63" spans="1:1">
      <c r="A63" s="35" t="s">
        <v>1</v>
      </c>
    </row>
    <row r="64" spans="1:1">
      <c r="A64" s="33" t="s">
        <v>55</v>
      </c>
    </row>
    <row r="65" spans="1:1">
      <c r="A65" s="35" t="s">
        <v>56</v>
      </c>
    </row>
    <row r="66" spans="1:1">
      <c r="A66" s="35" t="s">
        <v>57</v>
      </c>
    </row>
    <row r="67" spans="1:1">
      <c r="A67" s="35" t="s">
        <v>58</v>
      </c>
    </row>
    <row r="68" spans="1:1">
      <c r="A68" s="35" t="s">
        <v>59</v>
      </c>
    </row>
    <row r="69" spans="1:1">
      <c r="A69" s="35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F89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topLeftCell="A53" workbookViewId="0">
      <selection activeCell="A1" sqref="A1"/>
    </sheetView>
  </sheetViews>
  <sheetFormatPr defaultColWidth="7.69166666666667" defaultRowHeight="18.5" outlineLevelCol="7"/>
  <cols>
    <col min="1" max="1" width="14.5583333333333" customWidth="1"/>
    <col min="2" max="6" width="12.7416666666667" customWidth="1"/>
    <col min="7" max="7" width="16.3833333333333" customWidth="1"/>
    <col min="8" max="8" width="18.2" customWidth="1"/>
  </cols>
  <sheetData>
    <row r="1" ht="22.5" spans="1:8">
      <c r="A1" s="1" t="s">
        <v>61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18" t="s">
        <v>1</v>
      </c>
      <c r="H1" s="31" t="s">
        <v>1</v>
      </c>
    </row>
    <row r="2" ht="22.5" spans="1:8">
      <c r="A2" s="1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18" t="s">
        <v>1</v>
      </c>
      <c r="H2" s="31" t="s">
        <v>1</v>
      </c>
    </row>
    <row r="3" spans="1:8">
      <c r="A3" s="4" t="s">
        <v>62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18" t="s">
        <v>1</v>
      </c>
      <c r="H3" s="31" t="s">
        <v>1</v>
      </c>
    </row>
    <row r="4" spans="1:8">
      <c r="A4" s="9" t="s">
        <v>63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  <c r="G4" s="18" t="s">
        <v>1</v>
      </c>
      <c r="H4" s="31" t="s">
        <v>1</v>
      </c>
    </row>
    <row r="5" spans="1:8">
      <c r="A5">
        <v>1</v>
      </c>
      <c r="B5" s="32" t="s">
        <v>69</v>
      </c>
      <c r="C5" s="32" t="s">
        <v>69</v>
      </c>
      <c r="D5" s="32" t="s">
        <v>69</v>
      </c>
      <c r="E5" s="32" t="s">
        <v>69</v>
      </c>
      <c r="F5" s="32" t="s">
        <v>69</v>
      </c>
      <c r="G5" s="18" t="s">
        <v>1</v>
      </c>
      <c r="H5" s="31" t="s">
        <v>1</v>
      </c>
    </row>
    <row r="6" spans="1:8">
      <c r="A6">
        <v>2</v>
      </c>
      <c r="B6" s="32" t="s">
        <v>70</v>
      </c>
      <c r="C6" s="32" t="s">
        <v>69</v>
      </c>
      <c r="D6" s="32" t="s">
        <v>69</v>
      </c>
      <c r="E6" s="32" t="s">
        <v>69</v>
      </c>
      <c r="F6" s="32" t="s">
        <v>69</v>
      </c>
      <c r="G6" s="18" t="s">
        <v>1</v>
      </c>
      <c r="H6" s="31" t="s">
        <v>1</v>
      </c>
    </row>
    <row r="7" spans="1:8">
      <c r="A7">
        <v>3</v>
      </c>
      <c r="B7" s="32" t="s">
        <v>70</v>
      </c>
      <c r="C7" s="32" t="s">
        <v>69</v>
      </c>
      <c r="D7" s="32" t="s">
        <v>69</v>
      </c>
      <c r="E7" s="32" t="s">
        <v>69</v>
      </c>
      <c r="F7" s="32" t="s">
        <v>69</v>
      </c>
      <c r="G7" s="18" t="s">
        <v>1</v>
      </c>
      <c r="H7" s="31" t="s">
        <v>1</v>
      </c>
    </row>
    <row r="8" spans="1:8">
      <c r="A8">
        <v>4</v>
      </c>
      <c r="B8" s="32" t="s">
        <v>70</v>
      </c>
      <c r="C8" s="32" t="s">
        <v>71</v>
      </c>
      <c r="D8" s="32" t="s">
        <v>71</v>
      </c>
      <c r="E8" s="32" t="s">
        <v>71</v>
      </c>
      <c r="F8" s="32" t="s">
        <v>71</v>
      </c>
      <c r="G8" s="18" t="s">
        <v>1</v>
      </c>
      <c r="H8" s="31" t="s">
        <v>1</v>
      </c>
    </row>
    <row r="9" spans="1:8">
      <c r="A9">
        <v>5</v>
      </c>
      <c r="B9" s="32" t="s">
        <v>72</v>
      </c>
      <c r="C9" s="32" t="s">
        <v>70</v>
      </c>
      <c r="D9" s="32" t="s">
        <v>70</v>
      </c>
      <c r="E9" s="32" t="s">
        <v>70</v>
      </c>
      <c r="F9" s="32" t="s">
        <v>70</v>
      </c>
      <c r="G9" s="18" t="s">
        <v>1</v>
      </c>
      <c r="H9" s="31" t="s">
        <v>1</v>
      </c>
    </row>
    <row r="10" spans="1:8">
      <c r="A10">
        <v>6</v>
      </c>
      <c r="B10" s="32" t="s">
        <v>72</v>
      </c>
      <c r="C10" s="32" t="s">
        <v>70</v>
      </c>
      <c r="D10" s="32" t="s">
        <v>70</v>
      </c>
      <c r="E10" s="32" t="s">
        <v>70</v>
      </c>
      <c r="F10" s="32" t="s">
        <v>70</v>
      </c>
      <c r="G10" s="18" t="s">
        <v>1</v>
      </c>
      <c r="H10" s="31" t="s">
        <v>1</v>
      </c>
    </row>
    <row r="11" spans="1:8">
      <c r="A11">
        <v>7</v>
      </c>
      <c r="B11" s="32" t="s">
        <v>72</v>
      </c>
      <c r="C11" s="32" t="s">
        <v>70</v>
      </c>
      <c r="D11" s="32" t="s">
        <v>70</v>
      </c>
      <c r="E11" s="32" t="s">
        <v>70</v>
      </c>
      <c r="F11" s="32" t="s">
        <v>70</v>
      </c>
      <c r="G11" s="18" t="s">
        <v>1</v>
      </c>
      <c r="H11" s="31" t="s">
        <v>1</v>
      </c>
    </row>
    <row r="12" spans="1:8">
      <c r="A12">
        <v>8</v>
      </c>
      <c r="B12" s="32" t="s">
        <v>72</v>
      </c>
      <c r="C12" s="32" t="s">
        <v>72</v>
      </c>
      <c r="D12" s="32" t="s">
        <v>72</v>
      </c>
      <c r="E12" s="32" t="s">
        <v>72</v>
      </c>
      <c r="F12" s="32" t="s">
        <v>72</v>
      </c>
      <c r="G12" s="18" t="s">
        <v>1</v>
      </c>
      <c r="H12" s="31" t="s">
        <v>1</v>
      </c>
    </row>
    <row r="13" spans="1:8">
      <c r="A13">
        <v>9</v>
      </c>
      <c r="B13" s="38">
        <v>10</v>
      </c>
      <c r="C13" s="32" t="s">
        <v>72</v>
      </c>
      <c r="D13" s="32" t="s">
        <v>72</v>
      </c>
      <c r="E13" s="32" t="s">
        <v>72</v>
      </c>
      <c r="F13" s="32" t="s">
        <v>72</v>
      </c>
      <c r="G13" s="18" t="s">
        <v>1</v>
      </c>
      <c r="H13" s="31" t="s">
        <v>1</v>
      </c>
    </row>
    <row r="14" spans="1:8">
      <c r="A14">
        <v>10</v>
      </c>
      <c r="B14" s="38">
        <v>10</v>
      </c>
      <c r="C14" s="32" t="s">
        <v>72</v>
      </c>
      <c r="D14" s="32" t="s">
        <v>72</v>
      </c>
      <c r="E14" s="32" t="s">
        <v>72</v>
      </c>
      <c r="F14" s="32" t="s">
        <v>72</v>
      </c>
      <c r="G14" s="18" t="s">
        <v>1</v>
      </c>
      <c r="H14" s="31" t="s">
        <v>1</v>
      </c>
    </row>
    <row r="15" spans="1:8">
      <c r="A15">
        <v>11</v>
      </c>
      <c r="B15" s="38">
        <v>10</v>
      </c>
      <c r="C15" s="32" t="s">
        <v>72</v>
      </c>
      <c r="D15" s="32" t="s">
        <v>72</v>
      </c>
      <c r="E15" s="32" t="s">
        <v>72</v>
      </c>
      <c r="F15" s="32" t="s">
        <v>72</v>
      </c>
      <c r="G15" s="18" t="s">
        <v>1</v>
      </c>
      <c r="H15" s="31" t="s">
        <v>1</v>
      </c>
    </row>
    <row r="16" spans="1:8">
      <c r="A16">
        <v>12</v>
      </c>
      <c r="B16" s="38">
        <v>10</v>
      </c>
      <c r="C16" s="32" t="s">
        <v>72</v>
      </c>
      <c r="D16" s="38">
        <v>10</v>
      </c>
      <c r="E16" s="38">
        <v>10</v>
      </c>
      <c r="F16" s="38">
        <v>10</v>
      </c>
      <c r="G16" s="18" t="s">
        <v>1</v>
      </c>
      <c r="H16" s="31" t="s">
        <v>1</v>
      </c>
    </row>
    <row r="17" spans="1:8">
      <c r="A17">
        <v>13</v>
      </c>
      <c r="B17" s="38">
        <v>10</v>
      </c>
      <c r="C17" s="38">
        <v>10</v>
      </c>
      <c r="D17" s="38">
        <v>10</v>
      </c>
      <c r="E17" s="38">
        <v>10</v>
      </c>
      <c r="F17" s="38">
        <v>10</v>
      </c>
      <c r="G17" s="18" t="s">
        <v>1</v>
      </c>
      <c r="H17" s="31" t="s">
        <v>1</v>
      </c>
    </row>
    <row r="18" spans="1:8">
      <c r="A18">
        <v>14</v>
      </c>
      <c r="B18" s="38">
        <v>9</v>
      </c>
      <c r="C18" s="38">
        <v>10</v>
      </c>
      <c r="D18" s="38">
        <v>10</v>
      </c>
      <c r="E18" s="38">
        <v>10</v>
      </c>
      <c r="F18" s="38">
        <v>10</v>
      </c>
      <c r="G18" s="18" t="s">
        <v>1</v>
      </c>
      <c r="H18" s="31" t="s">
        <v>1</v>
      </c>
    </row>
    <row r="19" spans="1:8">
      <c r="A19">
        <v>15</v>
      </c>
      <c r="B19" s="38">
        <v>9</v>
      </c>
      <c r="C19" s="38">
        <v>10</v>
      </c>
      <c r="D19" s="38">
        <v>10</v>
      </c>
      <c r="E19" s="38">
        <v>10</v>
      </c>
      <c r="F19" s="38">
        <v>10</v>
      </c>
      <c r="G19" s="18" t="s">
        <v>1</v>
      </c>
      <c r="H19" s="31" t="s">
        <v>1</v>
      </c>
    </row>
    <row r="20" spans="1:8">
      <c r="A20">
        <v>16</v>
      </c>
      <c r="B20" s="38">
        <v>9</v>
      </c>
      <c r="C20" s="38">
        <v>9</v>
      </c>
      <c r="D20" s="38">
        <v>9</v>
      </c>
      <c r="E20" s="38">
        <v>9</v>
      </c>
      <c r="F20" s="38">
        <v>9</v>
      </c>
      <c r="G20" s="18" t="s">
        <v>1</v>
      </c>
      <c r="H20" s="31" t="s">
        <v>1</v>
      </c>
    </row>
    <row r="21" spans="1:8">
      <c r="A21">
        <v>17</v>
      </c>
      <c r="B21" s="38">
        <v>9</v>
      </c>
      <c r="C21" s="38">
        <v>9</v>
      </c>
      <c r="D21" s="38">
        <v>9</v>
      </c>
      <c r="E21" s="38">
        <v>9</v>
      </c>
      <c r="F21" s="38">
        <v>9</v>
      </c>
      <c r="G21" s="18" t="s">
        <v>1</v>
      </c>
      <c r="H21" s="31" t="s">
        <v>1</v>
      </c>
    </row>
    <row r="22" spans="1:8">
      <c r="A22">
        <v>18</v>
      </c>
      <c r="B22" s="38">
        <v>9</v>
      </c>
      <c r="C22" s="38">
        <v>9</v>
      </c>
      <c r="D22" s="38">
        <v>9</v>
      </c>
      <c r="E22" s="38">
        <v>9</v>
      </c>
      <c r="F22" s="38">
        <v>9</v>
      </c>
      <c r="G22" s="18" t="s">
        <v>1</v>
      </c>
      <c r="H22" s="31" t="s">
        <v>1</v>
      </c>
    </row>
    <row r="23" spans="1:8">
      <c r="A23">
        <v>19</v>
      </c>
      <c r="B23" s="38">
        <v>9</v>
      </c>
      <c r="C23" s="38">
        <v>9</v>
      </c>
      <c r="D23" s="38">
        <v>9</v>
      </c>
      <c r="E23" s="38">
        <v>9</v>
      </c>
      <c r="F23" s="38">
        <v>9</v>
      </c>
      <c r="G23" s="18" t="s">
        <v>1</v>
      </c>
      <c r="H23" s="31" t="s">
        <v>1</v>
      </c>
    </row>
    <row r="24" spans="1:8">
      <c r="A24">
        <v>20</v>
      </c>
      <c r="B24" s="32" t="s">
        <v>75</v>
      </c>
      <c r="C24" s="32" t="s">
        <v>75</v>
      </c>
      <c r="D24" s="32" t="s">
        <v>75</v>
      </c>
      <c r="E24" s="32" t="s">
        <v>75</v>
      </c>
      <c r="F24" s="32" t="s">
        <v>75</v>
      </c>
      <c r="G24" s="18" t="s">
        <v>1</v>
      </c>
      <c r="H24" s="31" t="s">
        <v>1</v>
      </c>
    </row>
    <row r="25" spans="1:8">
      <c r="A25" s="18" t="s">
        <v>76</v>
      </c>
      <c r="B25" s="28">
        <f>COUNTA(B5:B24)</f>
        <v>20</v>
      </c>
      <c r="C25" s="28">
        <f>COUNTA(C5:C24)</f>
        <v>20</v>
      </c>
      <c r="D25" s="28">
        <f>COUNTA(D5:D24)</f>
        <v>20</v>
      </c>
      <c r="E25" s="28">
        <f>COUNTA(E5:E24)</f>
        <v>20</v>
      </c>
      <c r="F25" s="28">
        <f>COUNTA(F5:F24)</f>
        <v>20</v>
      </c>
      <c r="G25" s="18" t="s">
        <v>77</v>
      </c>
      <c r="H25" s="31">
        <f>PRODUCT(B25:F25)</f>
        <v>3200000</v>
      </c>
    </row>
    <row r="26" spans="1:8">
      <c r="A26" s="18" t="s">
        <v>1</v>
      </c>
      <c r="B26" s="28" t="s">
        <v>1</v>
      </c>
      <c r="C26" s="28" t="s">
        <v>1</v>
      </c>
      <c r="D26" s="28" t="s">
        <v>1</v>
      </c>
      <c r="E26" s="28" t="s">
        <v>1</v>
      </c>
      <c r="F26" s="28" t="s">
        <v>1</v>
      </c>
      <c r="G26" s="18" t="s">
        <v>1</v>
      </c>
      <c r="H26" s="31" t="s">
        <v>1</v>
      </c>
    </row>
    <row r="27" spans="1:8">
      <c r="A27" s="4" t="s">
        <v>78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18" t="s">
        <v>1</v>
      </c>
      <c r="H27" s="31" t="s">
        <v>1</v>
      </c>
    </row>
    <row r="28" spans="1:8">
      <c r="A28" s="9" t="s">
        <v>79</v>
      </c>
      <c r="B28" s="9" t="s">
        <v>64</v>
      </c>
      <c r="C28" s="9" t="s">
        <v>65</v>
      </c>
      <c r="D28" s="9" t="s">
        <v>66</v>
      </c>
      <c r="E28" s="9" t="s">
        <v>67</v>
      </c>
      <c r="F28" s="9" t="s">
        <v>68</v>
      </c>
      <c r="G28" s="18" t="s">
        <v>1</v>
      </c>
      <c r="H28" s="31" t="s">
        <v>1</v>
      </c>
    </row>
    <row r="29" spans="1:8">
      <c r="A29" s="5" t="s">
        <v>80</v>
      </c>
      <c r="B29" s="10">
        <f>B$25</f>
        <v>20</v>
      </c>
      <c r="C29" s="10">
        <f>C$25</f>
        <v>20</v>
      </c>
      <c r="D29" s="10">
        <f>D$25</f>
        <v>20</v>
      </c>
      <c r="E29" s="10">
        <f>E$25</f>
        <v>20</v>
      </c>
      <c r="F29" s="10">
        <f>F$25</f>
        <v>20</v>
      </c>
      <c r="G29" s="18" t="s">
        <v>1</v>
      </c>
      <c r="H29" s="31" t="s">
        <v>1</v>
      </c>
    </row>
    <row r="30" spans="1:8">
      <c r="A30" s="5" t="s">
        <v>71</v>
      </c>
      <c r="B30" s="10">
        <f t="shared" ref="B30:B36" si="0">COUNTIF(B$5:B$24,$A30)</f>
        <v>0</v>
      </c>
      <c r="C30" s="10">
        <f t="shared" ref="C30:C36" si="1">COUNTIF(C$5:C$24,$A30)</f>
        <v>1</v>
      </c>
      <c r="D30" s="10">
        <f t="shared" ref="D30:D36" si="2">COUNTIF(D$5:D$24,$A30)</f>
        <v>1</v>
      </c>
      <c r="E30" s="10">
        <f t="shared" ref="E30:E36" si="3">COUNTIF(E$5:E$24,$A30)</f>
        <v>1</v>
      </c>
      <c r="F30" s="10">
        <f t="shared" ref="F30:F36" si="4">COUNTIF(F$5:F$24,$A30)</f>
        <v>1</v>
      </c>
      <c r="G30" s="18" t="s">
        <v>1</v>
      </c>
      <c r="H30" s="31" t="s">
        <v>1</v>
      </c>
    </row>
    <row r="31" spans="1:8">
      <c r="A31" s="5" t="s">
        <v>69</v>
      </c>
      <c r="B31" s="10">
        <f t="shared" si="0"/>
        <v>1</v>
      </c>
      <c r="C31" s="10">
        <f t="shared" si="1"/>
        <v>3</v>
      </c>
      <c r="D31" s="10">
        <f t="shared" si="2"/>
        <v>3</v>
      </c>
      <c r="E31" s="10">
        <f t="shared" si="3"/>
        <v>3</v>
      </c>
      <c r="F31" s="10">
        <f t="shared" si="4"/>
        <v>3</v>
      </c>
      <c r="G31" s="18" t="s">
        <v>1</v>
      </c>
      <c r="H31" s="31" t="s">
        <v>1</v>
      </c>
    </row>
    <row r="32" spans="1:8">
      <c r="A32" s="5" t="s">
        <v>70</v>
      </c>
      <c r="B32" s="10">
        <f t="shared" si="0"/>
        <v>3</v>
      </c>
      <c r="C32" s="10">
        <f t="shared" si="1"/>
        <v>3</v>
      </c>
      <c r="D32" s="10">
        <f t="shared" si="2"/>
        <v>3</v>
      </c>
      <c r="E32" s="10">
        <f t="shared" si="3"/>
        <v>3</v>
      </c>
      <c r="F32" s="10">
        <f t="shared" si="4"/>
        <v>3</v>
      </c>
      <c r="G32" s="18" t="s">
        <v>1</v>
      </c>
      <c r="H32" s="31" t="s">
        <v>1</v>
      </c>
    </row>
    <row r="33" spans="1:8">
      <c r="A33" s="5" t="s">
        <v>72</v>
      </c>
      <c r="B33" s="10">
        <f t="shared" si="0"/>
        <v>4</v>
      </c>
      <c r="C33" s="10">
        <f t="shared" si="1"/>
        <v>5</v>
      </c>
      <c r="D33" s="10">
        <f t="shared" si="2"/>
        <v>4</v>
      </c>
      <c r="E33" s="10">
        <f t="shared" si="3"/>
        <v>4</v>
      </c>
      <c r="F33" s="10">
        <f t="shared" si="4"/>
        <v>4</v>
      </c>
      <c r="G33" s="18" t="s">
        <v>1</v>
      </c>
      <c r="H33" s="31" t="s">
        <v>1</v>
      </c>
    </row>
    <row r="34" spans="1:8">
      <c r="A34" s="39">
        <v>10</v>
      </c>
      <c r="B34" s="10">
        <f t="shared" si="0"/>
        <v>5</v>
      </c>
      <c r="C34" s="10">
        <f t="shared" si="1"/>
        <v>3</v>
      </c>
      <c r="D34" s="10">
        <f t="shared" si="2"/>
        <v>4</v>
      </c>
      <c r="E34" s="10">
        <f t="shared" si="3"/>
        <v>4</v>
      </c>
      <c r="F34" s="10">
        <f t="shared" si="4"/>
        <v>4</v>
      </c>
      <c r="G34" s="18" t="s">
        <v>1</v>
      </c>
      <c r="H34" s="31" t="s">
        <v>1</v>
      </c>
    </row>
    <row r="35" spans="1:8">
      <c r="A35" s="39">
        <v>9</v>
      </c>
      <c r="B35" s="10">
        <f t="shared" si="0"/>
        <v>6</v>
      </c>
      <c r="C35" s="10">
        <f t="shared" si="1"/>
        <v>4</v>
      </c>
      <c r="D35" s="10">
        <f t="shared" si="2"/>
        <v>4</v>
      </c>
      <c r="E35" s="10">
        <f t="shared" si="3"/>
        <v>4</v>
      </c>
      <c r="F35" s="10">
        <f t="shared" si="4"/>
        <v>4</v>
      </c>
      <c r="G35" s="18" t="s">
        <v>1</v>
      </c>
      <c r="H35" s="31" t="s">
        <v>1</v>
      </c>
    </row>
    <row r="36" spans="1:8">
      <c r="A36" s="5" t="s">
        <v>75</v>
      </c>
      <c r="B36" s="10">
        <f t="shared" si="0"/>
        <v>1</v>
      </c>
      <c r="C36" s="10">
        <f t="shared" si="1"/>
        <v>1</v>
      </c>
      <c r="D36" s="10">
        <f t="shared" si="2"/>
        <v>1</v>
      </c>
      <c r="E36" s="10">
        <f t="shared" si="3"/>
        <v>1</v>
      </c>
      <c r="F36" s="10">
        <f t="shared" si="4"/>
        <v>1</v>
      </c>
      <c r="G36" s="18" t="s">
        <v>1</v>
      </c>
      <c r="H36" s="31" t="s">
        <v>1</v>
      </c>
    </row>
    <row r="37" spans="1:8">
      <c r="A37" s="15" t="s">
        <v>81</v>
      </c>
      <c r="B37" s="10">
        <f>3*B36</f>
        <v>3</v>
      </c>
      <c r="C37" s="10">
        <f>3*C36</f>
        <v>3</v>
      </c>
      <c r="D37" s="10">
        <f>3*D36</f>
        <v>3</v>
      </c>
      <c r="E37" s="10">
        <f>3*E36</f>
        <v>3</v>
      </c>
      <c r="F37" s="10">
        <f>3*F36</f>
        <v>3</v>
      </c>
      <c r="G37" s="18" t="s">
        <v>1</v>
      </c>
      <c r="H37" s="31" t="s">
        <v>1</v>
      </c>
    </row>
    <row r="38" spans="1:8">
      <c r="A38" s="15" t="s">
        <v>1</v>
      </c>
      <c r="B38" s="10" t="s">
        <v>1</v>
      </c>
      <c r="C38" s="10" t="s">
        <v>1</v>
      </c>
      <c r="D38" s="10" t="s">
        <v>1</v>
      </c>
      <c r="E38" s="10" t="s">
        <v>1</v>
      </c>
      <c r="F38" s="10" t="s">
        <v>1</v>
      </c>
      <c r="G38" s="18" t="s">
        <v>1</v>
      </c>
      <c r="H38" s="31" t="s">
        <v>1</v>
      </c>
    </row>
    <row r="39" spans="1:8">
      <c r="A39" s="4" t="s">
        <v>82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18" t="s">
        <v>1</v>
      </c>
      <c r="H39" s="31" t="s">
        <v>1</v>
      </c>
    </row>
    <row r="40" spans="1:8">
      <c r="A40" s="9" t="s">
        <v>63</v>
      </c>
      <c r="B40" s="9" t="s">
        <v>64</v>
      </c>
      <c r="C40" s="9" t="s">
        <v>65</v>
      </c>
      <c r="D40" s="9" t="s">
        <v>66</v>
      </c>
      <c r="E40" s="9" t="s">
        <v>67</v>
      </c>
      <c r="F40" s="9" t="s">
        <v>68</v>
      </c>
      <c r="G40" s="18" t="s">
        <v>1</v>
      </c>
      <c r="H40" s="31" t="s">
        <v>1</v>
      </c>
    </row>
    <row r="41" spans="1:8">
      <c r="A41">
        <v>1</v>
      </c>
      <c r="B41" s="32" t="s">
        <v>69</v>
      </c>
      <c r="C41" s="32" t="s">
        <v>69</v>
      </c>
      <c r="D41" s="32" t="s">
        <v>69</v>
      </c>
      <c r="E41" s="32" t="s">
        <v>69</v>
      </c>
      <c r="F41" s="32" t="s">
        <v>69</v>
      </c>
      <c r="G41" s="18" t="s">
        <v>1</v>
      </c>
      <c r="H41" s="31" t="s">
        <v>1</v>
      </c>
    </row>
    <row r="42" spans="1:8">
      <c r="A42">
        <v>2</v>
      </c>
      <c r="B42" s="32" t="s">
        <v>70</v>
      </c>
      <c r="C42" s="32" t="s">
        <v>69</v>
      </c>
      <c r="D42" s="32" t="s">
        <v>69</v>
      </c>
      <c r="E42" s="32" t="s">
        <v>69</v>
      </c>
      <c r="F42" s="32" t="s">
        <v>69</v>
      </c>
      <c r="G42" s="18" t="s">
        <v>1</v>
      </c>
      <c r="H42" s="31" t="s">
        <v>1</v>
      </c>
    </row>
    <row r="43" spans="1:8">
      <c r="A43">
        <v>3</v>
      </c>
      <c r="B43" s="32" t="s">
        <v>70</v>
      </c>
      <c r="C43" s="32" t="s">
        <v>69</v>
      </c>
      <c r="D43" s="32" t="s">
        <v>69</v>
      </c>
      <c r="E43" s="32" t="s">
        <v>69</v>
      </c>
      <c r="F43" s="32" t="s">
        <v>69</v>
      </c>
      <c r="G43" s="18" t="s">
        <v>1</v>
      </c>
      <c r="H43" s="31" t="s">
        <v>1</v>
      </c>
    </row>
    <row r="44" spans="1:8">
      <c r="A44">
        <v>4</v>
      </c>
      <c r="B44" s="32" t="s">
        <v>70</v>
      </c>
      <c r="C44" s="32" t="s">
        <v>71</v>
      </c>
      <c r="D44" s="32" t="s">
        <v>71</v>
      </c>
      <c r="E44" s="32" t="s">
        <v>71</v>
      </c>
      <c r="F44" s="32" t="s">
        <v>71</v>
      </c>
      <c r="G44" s="18" t="s">
        <v>1</v>
      </c>
      <c r="H44" s="31" t="s">
        <v>1</v>
      </c>
    </row>
    <row r="45" spans="1:8">
      <c r="A45">
        <v>5</v>
      </c>
      <c r="B45" s="32" t="s">
        <v>72</v>
      </c>
      <c r="C45" s="32" t="s">
        <v>71</v>
      </c>
      <c r="D45" s="32" t="s">
        <v>71</v>
      </c>
      <c r="E45" s="32" t="s">
        <v>71</v>
      </c>
      <c r="F45" s="32" t="s">
        <v>71</v>
      </c>
      <c r="G45" s="18" t="s">
        <v>1</v>
      </c>
      <c r="H45" s="31" t="s">
        <v>1</v>
      </c>
    </row>
    <row r="46" spans="1:8">
      <c r="A46">
        <v>6</v>
      </c>
      <c r="B46" s="32" t="s">
        <v>72</v>
      </c>
      <c r="C46" s="32" t="s">
        <v>70</v>
      </c>
      <c r="D46" s="32" t="s">
        <v>70</v>
      </c>
      <c r="E46" s="32" t="s">
        <v>70</v>
      </c>
      <c r="F46" s="32" t="s">
        <v>70</v>
      </c>
      <c r="G46" s="18" t="s">
        <v>1</v>
      </c>
      <c r="H46" s="31" t="s">
        <v>1</v>
      </c>
    </row>
    <row r="47" spans="1:8">
      <c r="A47">
        <v>7</v>
      </c>
      <c r="B47" s="32" t="s">
        <v>72</v>
      </c>
      <c r="C47" s="32" t="s">
        <v>70</v>
      </c>
      <c r="D47" s="32" t="s">
        <v>70</v>
      </c>
      <c r="E47" s="32" t="s">
        <v>70</v>
      </c>
      <c r="F47" s="32" t="s">
        <v>70</v>
      </c>
      <c r="G47" s="18" t="s">
        <v>1</v>
      </c>
      <c r="H47" s="31" t="s">
        <v>1</v>
      </c>
    </row>
    <row r="48" spans="1:8">
      <c r="A48">
        <v>8</v>
      </c>
      <c r="B48" s="32" t="s">
        <v>72</v>
      </c>
      <c r="C48" s="32" t="s">
        <v>72</v>
      </c>
      <c r="D48" s="32" t="s">
        <v>72</v>
      </c>
      <c r="E48" s="32" t="s">
        <v>72</v>
      </c>
      <c r="F48" s="32" t="s">
        <v>72</v>
      </c>
      <c r="G48" s="18" t="s">
        <v>1</v>
      </c>
      <c r="H48" s="31" t="s">
        <v>1</v>
      </c>
    </row>
    <row r="49" spans="1:8">
      <c r="A49">
        <v>9</v>
      </c>
      <c r="B49" s="38">
        <v>10</v>
      </c>
      <c r="C49" s="32" t="s">
        <v>72</v>
      </c>
      <c r="D49" s="32" t="s">
        <v>72</v>
      </c>
      <c r="E49" s="32" t="s">
        <v>72</v>
      </c>
      <c r="F49" s="32" t="s">
        <v>72</v>
      </c>
      <c r="G49" s="18" t="s">
        <v>1</v>
      </c>
      <c r="H49" s="31" t="s">
        <v>1</v>
      </c>
    </row>
    <row r="50" spans="1:8">
      <c r="A50">
        <v>10</v>
      </c>
      <c r="B50" s="38">
        <v>10</v>
      </c>
      <c r="C50" s="32" t="s">
        <v>72</v>
      </c>
      <c r="D50" s="32" t="s">
        <v>72</v>
      </c>
      <c r="E50" s="32" t="s">
        <v>72</v>
      </c>
      <c r="F50" s="32" t="s">
        <v>72</v>
      </c>
      <c r="G50" s="18" t="s">
        <v>1</v>
      </c>
      <c r="H50" s="31" t="s">
        <v>1</v>
      </c>
    </row>
    <row r="51" spans="1:8">
      <c r="A51">
        <v>11</v>
      </c>
      <c r="B51" s="38">
        <v>10</v>
      </c>
      <c r="C51" s="32" t="s">
        <v>72</v>
      </c>
      <c r="D51" s="32" t="s">
        <v>72</v>
      </c>
      <c r="E51" s="32" t="s">
        <v>72</v>
      </c>
      <c r="F51" s="32" t="s">
        <v>72</v>
      </c>
      <c r="G51" s="18" t="s">
        <v>1</v>
      </c>
      <c r="H51" s="31" t="s">
        <v>1</v>
      </c>
    </row>
    <row r="52" spans="1:8">
      <c r="A52">
        <v>12</v>
      </c>
      <c r="B52" s="38">
        <v>10</v>
      </c>
      <c r="C52" s="32" t="s">
        <v>72</v>
      </c>
      <c r="D52" s="38">
        <v>10</v>
      </c>
      <c r="E52" s="38">
        <v>10</v>
      </c>
      <c r="F52" s="38">
        <v>10</v>
      </c>
      <c r="G52" s="18" t="s">
        <v>1</v>
      </c>
      <c r="H52" s="31" t="s">
        <v>1</v>
      </c>
    </row>
    <row r="53" spans="1:8">
      <c r="A53">
        <v>13</v>
      </c>
      <c r="B53" s="38">
        <v>10</v>
      </c>
      <c r="C53" s="38">
        <v>10</v>
      </c>
      <c r="D53" s="38">
        <v>10</v>
      </c>
      <c r="E53" s="38">
        <v>10</v>
      </c>
      <c r="F53" s="38">
        <v>10</v>
      </c>
      <c r="G53" s="18" t="s">
        <v>1</v>
      </c>
      <c r="H53" s="31" t="s">
        <v>1</v>
      </c>
    </row>
    <row r="54" spans="1:8">
      <c r="A54">
        <v>14</v>
      </c>
      <c r="B54" s="38">
        <v>9</v>
      </c>
      <c r="C54" s="38">
        <v>10</v>
      </c>
      <c r="D54" s="38">
        <v>10</v>
      </c>
      <c r="E54" s="38">
        <v>10</v>
      </c>
      <c r="F54" s="38">
        <v>10</v>
      </c>
      <c r="G54" s="18" t="s">
        <v>1</v>
      </c>
      <c r="H54" s="31" t="s">
        <v>1</v>
      </c>
    </row>
    <row r="55" spans="1:8">
      <c r="A55">
        <v>15</v>
      </c>
      <c r="B55" s="38">
        <v>9</v>
      </c>
      <c r="C55" s="38">
        <v>10</v>
      </c>
      <c r="D55" s="38">
        <v>10</v>
      </c>
      <c r="E55" s="38">
        <v>10</v>
      </c>
      <c r="F55" s="38">
        <v>10</v>
      </c>
      <c r="G55" s="18" t="s">
        <v>1</v>
      </c>
      <c r="H55" s="31" t="s">
        <v>1</v>
      </c>
    </row>
    <row r="56" spans="1:8">
      <c r="A56">
        <v>16</v>
      </c>
      <c r="B56" s="38">
        <v>9</v>
      </c>
      <c r="C56" s="38">
        <v>9</v>
      </c>
      <c r="D56" s="38">
        <v>9</v>
      </c>
      <c r="E56" s="38">
        <v>9</v>
      </c>
      <c r="F56" s="38">
        <v>9</v>
      </c>
      <c r="G56" s="18" t="s">
        <v>1</v>
      </c>
      <c r="H56" s="31" t="s">
        <v>1</v>
      </c>
    </row>
    <row r="57" spans="1:8">
      <c r="A57">
        <v>17</v>
      </c>
      <c r="B57" s="38">
        <v>9</v>
      </c>
      <c r="C57" s="38">
        <v>9</v>
      </c>
      <c r="D57" s="38">
        <v>9</v>
      </c>
      <c r="E57" s="38">
        <v>9</v>
      </c>
      <c r="F57" s="38">
        <v>9</v>
      </c>
      <c r="G57" s="18" t="s">
        <v>1</v>
      </c>
      <c r="H57" s="31" t="s">
        <v>1</v>
      </c>
    </row>
    <row r="58" spans="1:8">
      <c r="A58">
        <v>18</v>
      </c>
      <c r="B58" s="38">
        <v>9</v>
      </c>
      <c r="C58" s="38">
        <v>9</v>
      </c>
      <c r="D58" s="38">
        <v>9</v>
      </c>
      <c r="E58" s="38">
        <v>9</v>
      </c>
      <c r="F58" s="38">
        <v>9</v>
      </c>
      <c r="G58" s="18" t="s">
        <v>1</v>
      </c>
      <c r="H58" s="31" t="s">
        <v>1</v>
      </c>
    </row>
    <row r="59" spans="1:8">
      <c r="A59">
        <v>19</v>
      </c>
      <c r="B59" s="38">
        <v>9</v>
      </c>
      <c r="C59" s="38">
        <v>9</v>
      </c>
      <c r="D59" s="38">
        <v>9</v>
      </c>
      <c r="E59" s="38">
        <v>9</v>
      </c>
      <c r="F59" s="32" t="s">
        <v>75</v>
      </c>
      <c r="G59" s="18" t="s">
        <v>1</v>
      </c>
      <c r="H59" s="31" t="s">
        <v>1</v>
      </c>
    </row>
    <row r="60" spans="1:8">
      <c r="A60">
        <v>20</v>
      </c>
      <c r="B60" s="32" t="s">
        <v>75</v>
      </c>
      <c r="C60" s="32" t="s">
        <v>75</v>
      </c>
      <c r="D60" s="32" t="s">
        <v>75</v>
      </c>
      <c r="E60" s="32" t="s">
        <v>75</v>
      </c>
      <c r="F60" s="32" t="s">
        <v>1</v>
      </c>
      <c r="G60" s="18" t="s">
        <v>1</v>
      </c>
      <c r="H60" s="31" t="s">
        <v>1</v>
      </c>
    </row>
    <row r="61" spans="1:8">
      <c r="A61" s="18" t="s">
        <v>76</v>
      </c>
      <c r="B61" s="28">
        <f>COUNTA(B41:B60)</f>
        <v>20</v>
      </c>
      <c r="C61" s="28">
        <f>COUNTA(C41:C60)</f>
        <v>20</v>
      </c>
      <c r="D61" s="28">
        <f>COUNTA(D41:D60)</f>
        <v>20</v>
      </c>
      <c r="E61" s="28">
        <f>COUNTA(E41:E60)</f>
        <v>20</v>
      </c>
      <c r="F61" s="28">
        <f>(COUNTA(F41:F60)-COUNTIF(F41:F60," "))</f>
        <v>19</v>
      </c>
      <c r="G61" s="18" t="s">
        <v>77</v>
      </c>
      <c r="H61" s="31">
        <f>PRODUCT(B61:F61)</f>
        <v>3040000</v>
      </c>
    </row>
    <row r="62" spans="1:8">
      <c r="A62" s="18" t="s">
        <v>1</v>
      </c>
      <c r="B62" s="28" t="s">
        <v>1</v>
      </c>
      <c r="C62" s="28" t="s">
        <v>1</v>
      </c>
      <c r="D62" s="28" t="s">
        <v>1</v>
      </c>
      <c r="E62" s="28" t="s">
        <v>1</v>
      </c>
      <c r="F62" s="28" t="s">
        <v>1</v>
      </c>
      <c r="G62" s="18" t="s">
        <v>1</v>
      </c>
      <c r="H62" s="31" t="s">
        <v>1</v>
      </c>
    </row>
    <row r="63" spans="1:8">
      <c r="A63" s="4" t="s">
        <v>78</v>
      </c>
      <c r="B63" s="2" t="s">
        <v>1</v>
      </c>
      <c r="C63" s="2" t="s">
        <v>1</v>
      </c>
      <c r="D63" s="2" t="s">
        <v>1</v>
      </c>
      <c r="E63" s="2" t="s">
        <v>1</v>
      </c>
      <c r="F63" s="2" t="s">
        <v>1</v>
      </c>
      <c r="G63" s="18" t="s">
        <v>1</v>
      </c>
      <c r="H63" s="31" t="s">
        <v>1</v>
      </c>
    </row>
    <row r="64" spans="1:8">
      <c r="A64" s="9" t="s">
        <v>79</v>
      </c>
      <c r="B64" s="9" t="s">
        <v>64</v>
      </c>
      <c r="C64" s="9" t="s">
        <v>65</v>
      </c>
      <c r="D64" s="9" t="s">
        <v>66</v>
      </c>
      <c r="E64" s="9" t="s">
        <v>67</v>
      </c>
      <c r="F64" s="9" t="s">
        <v>68</v>
      </c>
      <c r="G64" s="18" t="s">
        <v>1</v>
      </c>
      <c r="H64" s="31" t="s">
        <v>1</v>
      </c>
    </row>
    <row r="65" spans="1:8">
      <c r="A65" s="5" t="s">
        <v>80</v>
      </c>
      <c r="B65" s="10">
        <f>B$61</f>
        <v>20</v>
      </c>
      <c r="C65" s="10">
        <f>C$61</f>
        <v>20</v>
      </c>
      <c r="D65" s="10">
        <f>D$61</f>
        <v>20</v>
      </c>
      <c r="E65" s="10">
        <f>E$61</f>
        <v>20</v>
      </c>
      <c r="F65" s="10">
        <f>F$61</f>
        <v>19</v>
      </c>
      <c r="G65" s="18" t="s">
        <v>1</v>
      </c>
      <c r="H65" s="31" t="s">
        <v>1</v>
      </c>
    </row>
    <row r="66" spans="1:8">
      <c r="A66" s="5" t="s">
        <v>71</v>
      </c>
      <c r="B66" s="10">
        <f t="shared" ref="B66:B72" si="5">COUNTIF(B$41:B$60,$A66)</f>
        <v>0</v>
      </c>
      <c r="C66" s="10">
        <f t="shared" ref="C66:C72" si="6">COUNTIF(C$41:C$60,$A66)</f>
        <v>2</v>
      </c>
      <c r="D66" s="10">
        <f t="shared" ref="D66:D72" si="7">COUNTIF(D$41:D$60,$A66)</f>
        <v>2</v>
      </c>
      <c r="E66" s="10">
        <f t="shared" ref="E66:E72" si="8">COUNTIF(E$41:E$60,$A66)</f>
        <v>2</v>
      </c>
      <c r="F66" s="10">
        <f t="shared" ref="F66:F72" si="9">COUNTIF(F$41:F$60,$A66)</f>
        <v>2</v>
      </c>
      <c r="G66" s="18" t="s">
        <v>1</v>
      </c>
      <c r="H66" s="31" t="s">
        <v>1</v>
      </c>
    </row>
    <row r="67" spans="1:8">
      <c r="A67" s="5" t="s">
        <v>69</v>
      </c>
      <c r="B67" s="10">
        <f t="shared" si="5"/>
        <v>1</v>
      </c>
      <c r="C67" s="10">
        <f t="shared" si="6"/>
        <v>3</v>
      </c>
      <c r="D67" s="10">
        <f t="shared" si="7"/>
        <v>3</v>
      </c>
      <c r="E67" s="10">
        <f t="shared" si="8"/>
        <v>3</v>
      </c>
      <c r="F67" s="10">
        <f t="shared" si="9"/>
        <v>3</v>
      </c>
      <c r="G67" s="18" t="s">
        <v>1</v>
      </c>
      <c r="H67" s="31" t="s">
        <v>1</v>
      </c>
    </row>
    <row r="68" spans="1:8">
      <c r="A68" s="5" t="s">
        <v>70</v>
      </c>
      <c r="B68" s="10">
        <f t="shared" si="5"/>
        <v>3</v>
      </c>
      <c r="C68" s="10">
        <f t="shared" si="6"/>
        <v>2</v>
      </c>
      <c r="D68" s="10">
        <f t="shared" si="7"/>
        <v>2</v>
      </c>
      <c r="E68" s="10">
        <f t="shared" si="8"/>
        <v>2</v>
      </c>
      <c r="F68" s="10">
        <f t="shared" si="9"/>
        <v>2</v>
      </c>
      <c r="G68" s="18" t="s">
        <v>1</v>
      </c>
      <c r="H68" s="31" t="s">
        <v>1</v>
      </c>
    </row>
    <row r="69" spans="1:8">
      <c r="A69" s="5" t="s">
        <v>72</v>
      </c>
      <c r="B69" s="10">
        <f t="shared" si="5"/>
        <v>4</v>
      </c>
      <c r="C69" s="10">
        <f t="shared" si="6"/>
        <v>5</v>
      </c>
      <c r="D69" s="10">
        <f t="shared" si="7"/>
        <v>4</v>
      </c>
      <c r="E69" s="10">
        <f t="shared" si="8"/>
        <v>4</v>
      </c>
      <c r="F69" s="10">
        <f t="shared" si="9"/>
        <v>4</v>
      </c>
      <c r="G69" s="18" t="s">
        <v>1</v>
      </c>
      <c r="H69" s="31" t="s">
        <v>1</v>
      </c>
    </row>
    <row r="70" spans="1:8">
      <c r="A70" s="39">
        <v>10</v>
      </c>
      <c r="B70" s="10">
        <f t="shared" si="5"/>
        <v>5</v>
      </c>
      <c r="C70" s="10">
        <f t="shared" si="6"/>
        <v>3</v>
      </c>
      <c r="D70" s="10">
        <f t="shared" si="7"/>
        <v>4</v>
      </c>
      <c r="E70" s="10">
        <f t="shared" si="8"/>
        <v>4</v>
      </c>
      <c r="F70" s="10">
        <f t="shared" si="9"/>
        <v>4</v>
      </c>
      <c r="G70" s="18" t="s">
        <v>1</v>
      </c>
      <c r="H70" s="31" t="s">
        <v>1</v>
      </c>
    </row>
    <row r="71" spans="1:8">
      <c r="A71" s="39">
        <v>9</v>
      </c>
      <c r="B71" s="10">
        <f t="shared" si="5"/>
        <v>6</v>
      </c>
      <c r="C71" s="10">
        <f t="shared" si="6"/>
        <v>4</v>
      </c>
      <c r="D71" s="10">
        <f t="shared" si="7"/>
        <v>4</v>
      </c>
      <c r="E71" s="10">
        <f t="shared" si="8"/>
        <v>4</v>
      </c>
      <c r="F71" s="10">
        <f t="shared" si="9"/>
        <v>3</v>
      </c>
      <c r="G71" s="18" t="s">
        <v>1</v>
      </c>
      <c r="H71" s="31" t="s">
        <v>1</v>
      </c>
    </row>
    <row r="72" spans="1:8">
      <c r="A72" s="5" t="s">
        <v>75</v>
      </c>
      <c r="B72" s="10">
        <f t="shared" si="5"/>
        <v>1</v>
      </c>
      <c r="C72" s="10">
        <f t="shared" si="6"/>
        <v>1</v>
      </c>
      <c r="D72" s="10">
        <f t="shared" si="7"/>
        <v>1</v>
      </c>
      <c r="E72" s="10">
        <f t="shared" si="8"/>
        <v>1</v>
      </c>
      <c r="F72" s="10">
        <f t="shared" si="9"/>
        <v>1</v>
      </c>
      <c r="G72" s="18" t="s">
        <v>1</v>
      </c>
      <c r="H72" s="31" t="s">
        <v>1</v>
      </c>
    </row>
    <row r="73" spans="1:8">
      <c r="A73" s="15" t="s">
        <v>81</v>
      </c>
      <c r="B73" s="10">
        <f>3*B72</f>
        <v>3</v>
      </c>
      <c r="C73" s="10">
        <f>3*C72</f>
        <v>3</v>
      </c>
      <c r="D73" s="10">
        <f>3*D72</f>
        <v>3</v>
      </c>
      <c r="E73" s="10">
        <f>3*E72</f>
        <v>3</v>
      </c>
      <c r="F73" s="10">
        <f>3*F72</f>
        <v>3</v>
      </c>
      <c r="G73" s="18" t="s">
        <v>1</v>
      </c>
      <c r="H73" s="31" t="s">
        <v>1</v>
      </c>
    </row>
    <row r="74" spans="1:8">
      <c r="A74" s="15" t="s">
        <v>1</v>
      </c>
      <c r="B74" s="10" t="s">
        <v>1</v>
      </c>
      <c r="C74" s="10" t="s">
        <v>1</v>
      </c>
      <c r="D74" s="10" t="s">
        <v>1</v>
      </c>
      <c r="E74" s="10" t="s">
        <v>1</v>
      </c>
      <c r="F74" s="10" t="s">
        <v>1</v>
      </c>
      <c r="G74" s="18" t="s">
        <v>1</v>
      </c>
      <c r="H74" s="31" t="s">
        <v>1</v>
      </c>
    </row>
    <row r="75" spans="1:8">
      <c r="A75" s="4" t="s">
        <v>83</v>
      </c>
      <c r="B75" s="2" t="s">
        <v>1</v>
      </c>
      <c r="C75" s="2" t="s">
        <v>1</v>
      </c>
      <c r="D75" s="2" t="s">
        <v>1</v>
      </c>
      <c r="E75" s="10" t="s">
        <v>1</v>
      </c>
      <c r="F75" s="10" t="s">
        <v>1</v>
      </c>
      <c r="G75" s="18" t="s">
        <v>1</v>
      </c>
      <c r="H75" s="31" t="s">
        <v>1</v>
      </c>
    </row>
    <row r="76" spans="1:8">
      <c r="A76" s="9" t="s">
        <v>79</v>
      </c>
      <c r="B76" s="40">
        <v>3</v>
      </c>
      <c r="C76" s="40">
        <v>4</v>
      </c>
      <c r="D76" s="40">
        <v>5</v>
      </c>
      <c r="E76" s="10" t="s">
        <v>1</v>
      </c>
      <c r="F76" s="10" t="s">
        <v>1</v>
      </c>
      <c r="G76" s="18" t="s">
        <v>1</v>
      </c>
      <c r="H76" s="31" t="s">
        <v>1</v>
      </c>
    </row>
    <row r="77" spans="1:8">
      <c r="A77" s="5" t="s">
        <v>69</v>
      </c>
      <c r="B77" s="23">
        <v>5</v>
      </c>
      <c r="C77" s="23">
        <v>30</v>
      </c>
      <c r="D77" s="23">
        <v>100</v>
      </c>
      <c r="E77" s="10" t="s">
        <v>1</v>
      </c>
      <c r="F77" s="10" t="s">
        <v>1</v>
      </c>
      <c r="G77" s="18" t="s">
        <v>1</v>
      </c>
      <c r="H77" s="31" t="s">
        <v>1</v>
      </c>
    </row>
    <row r="78" spans="1:8">
      <c r="A78" s="5" t="s">
        <v>70</v>
      </c>
      <c r="B78" s="23">
        <v>5</v>
      </c>
      <c r="C78" s="23">
        <v>25</v>
      </c>
      <c r="D78" s="23">
        <v>100</v>
      </c>
      <c r="E78" s="10" t="s">
        <v>1</v>
      </c>
      <c r="F78" s="10" t="s">
        <v>1</v>
      </c>
      <c r="G78" s="18" t="s">
        <v>1</v>
      </c>
      <c r="H78" s="31" t="s">
        <v>1</v>
      </c>
    </row>
    <row r="79" spans="1:8">
      <c r="A79" s="5" t="s">
        <v>72</v>
      </c>
      <c r="B79" s="23">
        <v>5</v>
      </c>
      <c r="C79" s="23">
        <v>20</v>
      </c>
      <c r="D79" s="23">
        <v>75</v>
      </c>
      <c r="E79" s="10" t="s">
        <v>1</v>
      </c>
      <c r="F79" s="10" t="s">
        <v>1</v>
      </c>
      <c r="G79" s="18" t="s">
        <v>1</v>
      </c>
      <c r="H79" s="31" t="s">
        <v>1</v>
      </c>
    </row>
    <row r="80" spans="1:8">
      <c r="A80" s="39">
        <v>10</v>
      </c>
      <c r="B80" s="23">
        <v>5</v>
      </c>
      <c r="C80" s="23">
        <v>20</v>
      </c>
      <c r="D80" s="23">
        <v>75</v>
      </c>
      <c r="E80" s="10" t="s">
        <v>1</v>
      </c>
      <c r="F80" s="10" t="s">
        <v>1</v>
      </c>
      <c r="G80" s="18" t="s">
        <v>1</v>
      </c>
      <c r="H80" s="31" t="s">
        <v>1</v>
      </c>
    </row>
    <row r="81" spans="1:8">
      <c r="A81" s="39">
        <v>9</v>
      </c>
      <c r="B81" s="23">
        <v>5</v>
      </c>
      <c r="C81" s="23">
        <v>10</v>
      </c>
      <c r="D81" s="23">
        <v>50</v>
      </c>
      <c r="E81" s="10" t="s">
        <v>1</v>
      </c>
      <c r="F81" s="10" t="s">
        <v>1</v>
      </c>
      <c r="G81" s="18" t="s">
        <v>1</v>
      </c>
      <c r="H81" s="31" t="s">
        <v>1</v>
      </c>
    </row>
    <row r="82" spans="1:8">
      <c r="A82" s="5" t="s">
        <v>87</v>
      </c>
      <c r="B82" s="23">
        <v>2</v>
      </c>
      <c r="C82" s="23">
        <v>2</v>
      </c>
      <c r="D82" s="23">
        <v>2</v>
      </c>
      <c r="E82" s="10" t="s">
        <v>1</v>
      </c>
      <c r="F82" s="10" t="s">
        <v>1</v>
      </c>
      <c r="G82" s="18" t="s">
        <v>1</v>
      </c>
      <c r="H82" s="31" t="s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M102" evalError="1" twoDigitTextYear="1" numberStoredAsText="1" formula="1" formulaRange="1" unlockedFormula="1" emptyCellReference="1" listDataValidation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workbookViewId="0">
      <selection activeCell="H30" sqref="H30"/>
    </sheetView>
  </sheetViews>
  <sheetFormatPr defaultColWidth="7.69166666666667" defaultRowHeight="18.5"/>
  <cols>
    <col min="1" max="1" width="21.8333333333333" customWidth="1"/>
    <col min="2" max="9" width="7.28333333333333" customWidth="1"/>
    <col min="10" max="12" width="10.9166666666667" customWidth="1"/>
    <col min="13" max="15" width="6.36666666666667" customWidth="1"/>
    <col min="16" max="16" width="11.8333333333333" customWidth="1"/>
    <col min="17" max="17" width="40.0333333333333" customWidth="1"/>
  </cols>
  <sheetData>
    <row r="1" ht="22.5" spans="1:17">
      <c r="A1" s="26" t="s">
        <v>88</v>
      </c>
      <c r="B1" s="27"/>
      <c r="C1" s="27"/>
      <c r="D1" s="27"/>
      <c r="E1" s="27"/>
      <c r="F1" s="27"/>
      <c r="G1" s="27"/>
      <c r="H1" s="27"/>
      <c r="I1" s="27"/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</row>
    <row r="2" ht="22.5" spans="1:17">
      <c r="A2" s="1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</row>
    <row r="3" spans="1:17">
      <c r="A3" s="4" t="s">
        <v>89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</row>
    <row r="4" spans="1:17">
      <c r="A4" s="9" t="s">
        <v>90</v>
      </c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97</v>
      </c>
      <c r="I4" s="13" t="s">
        <v>98</v>
      </c>
      <c r="J4" s="40">
        <v>5</v>
      </c>
      <c r="K4" s="40">
        <v>4</v>
      </c>
      <c r="L4" s="40">
        <v>3</v>
      </c>
      <c r="M4" s="9" t="s">
        <v>102</v>
      </c>
      <c r="N4" s="9" t="s">
        <v>103</v>
      </c>
      <c r="O4" s="9" t="s">
        <v>104</v>
      </c>
      <c r="P4" s="13" t="s">
        <v>105</v>
      </c>
      <c r="Q4" s="9" t="s">
        <v>106</v>
      </c>
    </row>
    <row r="5" spans="1:17">
      <c r="A5" s="5" t="s">
        <v>69</v>
      </c>
      <c r="B5" s="10">
        <f>滚轴与计数!B31+滚轴与计数!B$30</f>
        <v>1</v>
      </c>
      <c r="C5" s="10">
        <f>滚轴与计数!C31+滚轴与计数!C$30</f>
        <v>4</v>
      </c>
      <c r="D5" s="10">
        <f>滚轴与计数!D31+滚轴与计数!D$30</f>
        <v>4</v>
      </c>
      <c r="E5" s="10">
        <f>滚轴与计数!E31+滚轴与计数!E$30</f>
        <v>4</v>
      </c>
      <c r="F5" s="10">
        <f>滚轴与计数!F31+滚轴与计数!F$30</f>
        <v>4</v>
      </c>
      <c r="G5" s="10">
        <f>滚轴与计数!$E$25-E5</f>
        <v>16</v>
      </c>
      <c r="H5" s="10">
        <f>滚轴与计数!$F$25-F5</f>
        <v>16</v>
      </c>
      <c r="I5" s="10">
        <f>滚轴与计数!$F$25</f>
        <v>20</v>
      </c>
      <c r="J5" s="10">
        <f>B5*C5*D5*E5*F5</f>
        <v>256</v>
      </c>
      <c r="K5" s="10">
        <f>B5*C5*D5*E5*H5</f>
        <v>1024</v>
      </c>
      <c r="L5" s="10">
        <f>B5*C5*D5*G5*I5</f>
        <v>5120</v>
      </c>
      <c r="M5" s="10">
        <f>VLOOKUP($A5,滚轴与计数!$A$77:$D$81,4,FALSE())</f>
        <v>100</v>
      </c>
      <c r="N5" s="10">
        <f>VLOOKUP($A5,滚轴与计数!$A$77:$D$81,3,FALSE())</f>
        <v>30</v>
      </c>
      <c r="O5" s="10">
        <f>VLOOKUP($A5,滚轴与计数!$A$77:$D$81,2,FALSE())</f>
        <v>5</v>
      </c>
      <c r="P5" s="42">
        <f>(J5*M5+K5*N5+L5*O5)/滚轴与计数!$H$25</f>
        <v>0.0256</v>
      </c>
      <c r="Q5" s="9" t="s">
        <v>1</v>
      </c>
    </row>
    <row r="6" spans="1:17">
      <c r="A6" s="5" t="s">
        <v>70</v>
      </c>
      <c r="B6" s="10">
        <f>滚轴与计数!B32+滚轴与计数!B$30</f>
        <v>3</v>
      </c>
      <c r="C6" s="10">
        <f>滚轴与计数!C32+滚轴与计数!C$30</f>
        <v>4</v>
      </c>
      <c r="D6" s="10">
        <f>滚轴与计数!D32+滚轴与计数!D$30</f>
        <v>4</v>
      </c>
      <c r="E6" s="10">
        <f>滚轴与计数!E32+滚轴与计数!E$30</f>
        <v>4</v>
      </c>
      <c r="F6" s="10">
        <f>滚轴与计数!F32+滚轴与计数!F$30</f>
        <v>4</v>
      </c>
      <c r="G6" s="10">
        <f>滚轴与计数!$E$25-E6</f>
        <v>16</v>
      </c>
      <c r="H6" s="10">
        <f>滚轴与计数!$F$25-F6</f>
        <v>16</v>
      </c>
      <c r="I6" s="10">
        <f>滚轴与计数!$F$25</f>
        <v>20</v>
      </c>
      <c r="J6" s="10">
        <f>B6*C6*D6*E6*F6</f>
        <v>768</v>
      </c>
      <c r="K6" s="10">
        <f>B6*C6*D6*E6*H6</f>
        <v>3072</v>
      </c>
      <c r="L6" s="10">
        <f>B6*C6*D6*G6*I6</f>
        <v>15360</v>
      </c>
      <c r="M6" s="10">
        <f>VLOOKUP($A6,滚轴与计数!$A$77:$D$81,4,FALSE())</f>
        <v>100</v>
      </c>
      <c r="N6" s="10">
        <f>VLOOKUP($A6,滚轴与计数!$A$77:$D$81,3,FALSE())</f>
        <v>25</v>
      </c>
      <c r="O6" s="10">
        <f>VLOOKUP($A6,滚轴与计数!$A$77:$D$81,2,FALSE())</f>
        <v>5</v>
      </c>
      <c r="P6" s="42">
        <f>(J6*M6+K6*N6+L6*O6)/滚轴与计数!$H$25</f>
        <v>0.072</v>
      </c>
      <c r="Q6" s="9" t="s">
        <v>1</v>
      </c>
    </row>
    <row r="7" spans="1:17">
      <c r="A7" s="5" t="s">
        <v>72</v>
      </c>
      <c r="B7" s="10">
        <f>滚轴与计数!B33+滚轴与计数!B$30</f>
        <v>4</v>
      </c>
      <c r="C7" s="10">
        <f>滚轴与计数!C33+滚轴与计数!C$30</f>
        <v>6</v>
      </c>
      <c r="D7" s="10">
        <f>滚轴与计数!D33+滚轴与计数!D$30</f>
        <v>5</v>
      </c>
      <c r="E7" s="10">
        <f>滚轴与计数!E33+滚轴与计数!E$30</f>
        <v>5</v>
      </c>
      <c r="F7" s="10">
        <f>滚轴与计数!F33+滚轴与计数!F$30</f>
        <v>5</v>
      </c>
      <c r="G7" s="10">
        <f>滚轴与计数!$E$25-E7</f>
        <v>15</v>
      </c>
      <c r="H7" s="10">
        <f>滚轴与计数!$F$25-F7</f>
        <v>15</v>
      </c>
      <c r="I7" s="10">
        <f>滚轴与计数!$F$25</f>
        <v>20</v>
      </c>
      <c r="J7" s="10">
        <f>B7*C7*D7*E7*F7</f>
        <v>3000</v>
      </c>
      <c r="K7" s="10">
        <f>B7*C7*D7*E7*H7</f>
        <v>9000</v>
      </c>
      <c r="L7" s="10">
        <f>B7*C7*D7*G7*I7</f>
        <v>36000</v>
      </c>
      <c r="M7" s="10">
        <f>VLOOKUP($A7,滚轴与计数!$A$77:$D$81,4,FALSE())</f>
        <v>75</v>
      </c>
      <c r="N7" s="10">
        <f>VLOOKUP($A7,滚轴与计数!$A$77:$D$81,3,FALSE())</f>
        <v>20</v>
      </c>
      <c r="O7" s="10">
        <f>VLOOKUP($A7,滚轴与计数!$A$77:$D$81,2,FALSE())</f>
        <v>5</v>
      </c>
      <c r="P7" s="42">
        <f>(J7*M7+K7*N7+L7*O7)/滚轴与计数!$H$25</f>
        <v>0.1828125</v>
      </c>
      <c r="Q7" s="9" t="s">
        <v>1</v>
      </c>
    </row>
    <row r="8" spans="1:17">
      <c r="A8" s="39">
        <v>10</v>
      </c>
      <c r="B8" s="10">
        <f>滚轴与计数!B34+滚轴与计数!B$30</f>
        <v>5</v>
      </c>
      <c r="C8" s="10">
        <f>滚轴与计数!C34+滚轴与计数!C$30</f>
        <v>4</v>
      </c>
      <c r="D8" s="10">
        <f>滚轴与计数!D34+滚轴与计数!D$30</f>
        <v>5</v>
      </c>
      <c r="E8" s="10">
        <f>滚轴与计数!E34+滚轴与计数!E$30</f>
        <v>5</v>
      </c>
      <c r="F8" s="10">
        <f>滚轴与计数!F34+滚轴与计数!F$30</f>
        <v>5</v>
      </c>
      <c r="G8" s="10">
        <f>滚轴与计数!$E$25-E8</f>
        <v>15</v>
      </c>
      <c r="H8" s="10">
        <f>滚轴与计数!$F$25-F8</f>
        <v>15</v>
      </c>
      <c r="I8" s="10">
        <f>滚轴与计数!$F$25</f>
        <v>20</v>
      </c>
      <c r="J8" s="10">
        <f>B8*C8*D8*E8*F8</f>
        <v>2500</v>
      </c>
      <c r="K8" s="10">
        <f>B8*C8*D8*E8*H8</f>
        <v>7500</v>
      </c>
      <c r="L8" s="10">
        <f>B8*C8*D8*G8*I8</f>
        <v>30000</v>
      </c>
      <c r="M8" s="10">
        <f>VLOOKUP($A8,滚轴与计数!$A$77:$D$81,4,FALSE())</f>
        <v>75</v>
      </c>
      <c r="N8" s="10">
        <f>VLOOKUP($A8,滚轴与计数!$A$77:$D$81,3,FALSE())</f>
        <v>20</v>
      </c>
      <c r="O8" s="10">
        <f>VLOOKUP($A8,滚轴与计数!$A$77:$D$81,2,FALSE())</f>
        <v>5</v>
      </c>
      <c r="P8" s="42">
        <f>(J8*M8+K8*N8+L8*O8)/滚轴与计数!$H$25</f>
        <v>0.15234375</v>
      </c>
      <c r="Q8" s="9" t="s">
        <v>1</v>
      </c>
    </row>
    <row r="9" spans="1:17">
      <c r="A9" s="39">
        <v>9</v>
      </c>
      <c r="B9" s="10">
        <f>滚轴与计数!B35+滚轴与计数!B$30</f>
        <v>6</v>
      </c>
      <c r="C9" s="10">
        <f>滚轴与计数!C35+滚轴与计数!C$30</f>
        <v>5</v>
      </c>
      <c r="D9" s="10">
        <f>滚轴与计数!D35+滚轴与计数!D$30</f>
        <v>5</v>
      </c>
      <c r="E9" s="10">
        <f>滚轴与计数!E35+滚轴与计数!E$30</f>
        <v>5</v>
      </c>
      <c r="F9" s="10">
        <f>滚轴与计数!F35+滚轴与计数!F$30</f>
        <v>5</v>
      </c>
      <c r="G9" s="10">
        <f>滚轴与计数!$E$25-E9</f>
        <v>15</v>
      </c>
      <c r="H9" s="10">
        <f>滚轴与计数!$F$25-F9</f>
        <v>15</v>
      </c>
      <c r="I9" s="10">
        <f>滚轴与计数!$F$25</f>
        <v>20</v>
      </c>
      <c r="J9" s="10">
        <f>B9*C9*D9*E9*F9</f>
        <v>3750</v>
      </c>
      <c r="K9" s="10">
        <f>B9*C9*D9*E9*H9</f>
        <v>11250</v>
      </c>
      <c r="L9" s="10">
        <f>B9*C9*D9*G9*I9</f>
        <v>45000</v>
      </c>
      <c r="M9" s="10">
        <f>VLOOKUP($A9,滚轴与计数!$A$77:$D$81,4,FALSE())</f>
        <v>50</v>
      </c>
      <c r="N9" s="10">
        <f>VLOOKUP($A9,滚轴与计数!$A$77:$D$81,3,FALSE())</f>
        <v>10</v>
      </c>
      <c r="O9" s="10">
        <f>VLOOKUP($A9,滚轴与计数!$A$77:$D$81,2,FALSE())</f>
        <v>5</v>
      </c>
      <c r="P9" s="42">
        <f>(J9*M9+K9*N9+L9*O9)/滚轴与计数!$H$25</f>
        <v>0.1640625</v>
      </c>
      <c r="Q9" s="9" t="s">
        <v>1</v>
      </c>
    </row>
    <row r="10" spans="1:17">
      <c r="A10" s="18" t="s">
        <v>107</v>
      </c>
      <c r="B10" s="18" t="s">
        <v>1</v>
      </c>
      <c r="C10" s="18" t="s">
        <v>1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28">
        <f>SUM(J5:J9)</f>
        <v>10274</v>
      </c>
      <c r="K10" s="28">
        <f>SUM(K5:K9)</f>
        <v>31846</v>
      </c>
      <c r="L10" s="28">
        <f>SUM(L5:L9)</f>
        <v>131480</v>
      </c>
      <c r="M10" s="18" t="s">
        <v>108</v>
      </c>
      <c r="N10" s="18" t="s">
        <v>1</v>
      </c>
      <c r="O10" s="18" t="s">
        <v>1</v>
      </c>
      <c r="P10" s="43">
        <f>SUM(P5:P9)</f>
        <v>0.59681875</v>
      </c>
      <c r="Q10" s="9" t="s">
        <v>1</v>
      </c>
    </row>
    <row r="11" spans="1:17">
      <c r="A11" s="29" t="s">
        <v>109</v>
      </c>
      <c r="B11" s="30"/>
      <c r="C11" s="30"/>
      <c r="D11" s="30"/>
      <c r="E11" s="30"/>
      <c r="F11" s="30"/>
      <c r="G11" s="18" t="s">
        <v>1</v>
      </c>
      <c r="H11" s="18" t="s">
        <v>1</v>
      </c>
      <c r="I11" s="18" t="s">
        <v>1</v>
      </c>
      <c r="J11" s="28" t="s">
        <v>1</v>
      </c>
      <c r="K11" s="28" t="s">
        <v>1</v>
      </c>
      <c r="L11" s="28" t="s">
        <v>1</v>
      </c>
      <c r="M11" s="18" t="s">
        <v>1</v>
      </c>
      <c r="N11" s="18" t="s">
        <v>1</v>
      </c>
      <c r="O11" s="18" t="s">
        <v>1</v>
      </c>
      <c r="P11" s="42">
        <f>滚轴与计数!$B$82*Scatter与触发率!$D$21</f>
        <v>0.05322375</v>
      </c>
      <c r="Q11" s="9" t="s">
        <v>1</v>
      </c>
    </row>
    <row r="12" spans="1:17">
      <c r="A12" s="29" t="s">
        <v>110</v>
      </c>
      <c r="B12" s="30"/>
      <c r="C12" s="30"/>
      <c r="D12" s="30"/>
      <c r="E12" s="30"/>
      <c r="F12" s="30"/>
      <c r="G12" s="18" t="s">
        <v>1</v>
      </c>
      <c r="H12" s="18" t="s">
        <v>1</v>
      </c>
      <c r="I12" s="18" t="s">
        <v>1</v>
      </c>
      <c r="J12" s="28" t="s">
        <v>1</v>
      </c>
      <c r="K12" s="28" t="s">
        <v>1</v>
      </c>
      <c r="L12" s="28" t="s">
        <v>1</v>
      </c>
      <c r="M12" s="18" t="s">
        <v>1</v>
      </c>
      <c r="N12" s="18" t="s">
        <v>1</v>
      </c>
      <c r="O12" s="18" t="s">
        <v>1</v>
      </c>
      <c r="P12" s="43">
        <f>P10+P11</f>
        <v>0.6500425</v>
      </c>
      <c r="Q12" s="3" t="s">
        <v>111</v>
      </c>
    </row>
    <row r="13" spans="1:17">
      <c r="A13" s="19" t="s">
        <v>1</v>
      </c>
      <c r="B13" s="18" t="s">
        <v>1</v>
      </c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18" t="s">
        <v>1</v>
      </c>
      <c r="I13" s="18" t="s">
        <v>1</v>
      </c>
      <c r="J13" s="28" t="s">
        <v>1</v>
      </c>
      <c r="K13" s="28" t="s">
        <v>1</v>
      </c>
      <c r="L13" s="28" t="s">
        <v>1</v>
      </c>
      <c r="M13" s="18" t="s">
        <v>1</v>
      </c>
      <c r="N13" s="18" t="s">
        <v>1</v>
      </c>
      <c r="O13" s="18" t="s">
        <v>1</v>
      </c>
      <c r="P13" s="16" t="s">
        <v>1</v>
      </c>
      <c r="Q13" s="3" t="s">
        <v>1</v>
      </c>
    </row>
    <row r="14" spans="1:17">
      <c r="A14" s="4" t="s">
        <v>112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</row>
    <row r="15" spans="1:17">
      <c r="A15" s="9" t="s">
        <v>90</v>
      </c>
      <c r="B15" s="13" t="s">
        <v>91</v>
      </c>
      <c r="C15" s="13" t="s">
        <v>92</v>
      </c>
      <c r="D15" s="13" t="s">
        <v>93</v>
      </c>
      <c r="E15" s="13" t="s">
        <v>94</v>
      </c>
      <c r="F15" s="13" t="s">
        <v>95</v>
      </c>
      <c r="G15" s="13" t="s">
        <v>96</v>
      </c>
      <c r="H15" s="13" t="s">
        <v>97</v>
      </c>
      <c r="I15" s="13" t="s">
        <v>98</v>
      </c>
      <c r="J15" s="40">
        <v>5</v>
      </c>
      <c r="K15" s="40">
        <v>4</v>
      </c>
      <c r="L15" s="40">
        <v>3</v>
      </c>
      <c r="M15" s="9" t="s">
        <v>102</v>
      </c>
      <c r="N15" s="9" t="s">
        <v>103</v>
      </c>
      <c r="O15" s="9" t="s">
        <v>104</v>
      </c>
      <c r="P15" s="13" t="s">
        <v>105</v>
      </c>
      <c r="Q15" s="9" t="s">
        <v>106</v>
      </c>
    </row>
    <row r="16" spans="1:17">
      <c r="A16" s="5" t="s">
        <v>69</v>
      </c>
      <c r="B16" s="10">
        <f>滚轴与计数!B67+滚轴与计数!B$66</f>
        <v>1</v>
      </c>
      <c r="C16" s="10">
        <f>滚轴与计数!C67+滚轴与计数!C$66</f>
        <v>5</v>
      </c>
      <c r="D16" s="10">
        <f>滚轴与计数!D67+滚轴与计数!D$66</f>
        <v>5</v>
      </c>
      <c r="E16" s="10">
        <f>滚轴与计数!E67+滚轴与计数!E$66</f>
        <v>5</v>
      </c>
      <c r="F16" s="10">
        <f>滚轴与计数!F67+滚轴与计数!F$66</f>
        <v>5</v>
      </c>
      <c r="G16" s="10">
        <f>滚轴与计数!$E$61-E16</f>
        <v>15</v>
      </c>
      <c r="H16" s="10">
        <f>滚轴与计数!$F$61-F16</f>
        <v>14</v>
      </c>
      <c r="I16" s="10">
        <f>滚轴与计数!$F$61</f>
        <v>19</v>
      </c>
      <c r="J16" s="10">
        <f>B16*C16*D16*E16*F16</f>
        <v>625</v>
      </c>
      <c r="K16" s="10">
        <f>B16*C16*D16*E16*H16</f>
        <v>1750</v>
      </c>
      <c r="L16" s="10">
        <f>B16*C16*D16*G16*I16</f>
        <v>7125</v>
      </c>
      <c r="M16" s="10">
        <f>VLOOKUP($A16,滚轴与计数!$A$77:$D$81,4,FALSE())</f>
        <v>100</v>
      </c>
      <c r="N16" s="10">
        <f>VLOOKUP($A16,滚轴与计数!$A$77:$D$81,3,FALSE())</f>
        <v>30</v>
      </c>
      <c r="O16" s="10">
        <f>VLOOKUP($A16,滚轴与计数!$A$77:$D$81,2,FALSE())</f>
        <v>5</v>
      </c>
      <c r="P16" s="42">
        <f>(J16*M16+K16*N16+L16*O16)/滚轴与计数!$H$61</f>
        <v>0.0495476973684211</v>
      </c>
      <c r="Q16" s="9" t="s">
        <v>1</v>
      </c>
    </row>
    <row r="17" spans="1:17">
      <c r="A17" s="5" t="s">
        <v>70</v>
      </c>
      <c r="B17" s="10">
        <f>滚轴与计数!B68+滚轴与计数!B$66</f>
        <v>3</v>
      </c>
      <c r="C17" s="10">
        <f>滚轴与计数!C68+滚轴与计数!C$66</f>
        <v>4</v>
      </c>
      <c r="D17" s="10">
        <f>滚轴与计数!D68+滚轴与计数!D$66</f>
        <v>4</v>
      </c>
      <c r="E17" s="10">
        <f>滚轴与计数!E68+滚轴与计数!E$66</f>
        <v>4</v>
      </c>
      <c r="F17" s="10">
        <f>滚轴与计数!F68+滚轴与计数!F$66</f>
        <v>4</v>
      </c>
      <c r="G17" s="10">
        <f>滚轴与计数!$E$61-E17</f>
        <v>16</v>
      </c>
      <c r="H17" s="10">
        <f>滚轴与计数!$F$61-F17</f>
        <v>15</v>
      </c>
      <c r="I17" s="10">
        <f>滚轴与计数!$F$61</f>
        <v>19</v>
      </c>
      <c r="J17" s="10">
        <f>B17*C17*D17*E17*F17</f>
        <v>768</v>
      </c>
      <c r="K17" s="10">
        <f>B17*C17*D17*E17*H17</f>
        <v>2880</v>
      </c>
      <c r="L17" s="10">
        <f>B17*C17*D17*G17*I17</f>
        <v>14592</v>
      </c>
      <c r="M17" s="10">
        <f>VLOOKUP($A17,滚轴与计数!$A$77:$D$81,4,FALSE())</f>
        <v>100</v>
      </c>
      <c r="N17" s="10">
        <f>VLOOKUP($A17,滚轴与计数!$A$77:$D$81,3,FALSE())</f>
        <v>25</v>
      </c>
      <c r="O17" s="10">
        <f>VLOOKUP($A17,滚轴与计数!$A$77:$D$81,2,FALSE())</f>
        <v>5</v>
      </c>
      <c r="P17" s="42">
        <f>(J17*M17+K17*N17+L17*O17)/滚轴与计数!$H$61</f>
        <v>0.0729473684210526</v>
      </c>
      <c r="Q17" s="9" t="s">
        <v>1</v>
      </c>
    </row>
    <row r="18" spans="1:17">
      <c r="A18" s="5" t="s">
        <v>72</v>
      </c>
      <c r="B18" s="10">
        <f>滚轴与计数!B69+滚轴与计数!B$66</f>
        <v>4</v>
      </c>
      <c r="C18" s="10">
        <f>滚轴与计数!C69+滚轴与计数!C$66</f>
        <v>7</v>
      </c>
      <c r="D18" s="10">
        <f>滚轴与计数!D69+滚轴与计数!D$66</f>
        <v>6</v>
      </c>
      <c r="E18" s="10">
        <f>滚轴与计数!E69+滚轴与计数!E$66</f>
        <v>6</v>
      </c>
      <c r="F18" s="10">
        <f>滚轴与计数!F69+滚轴与计数!F$66</f>
        <v>6</v>
      </c>
      <c r="G18" s="10">
        <f>滚轴与计数!$E$61-E18</f>
        <v>14</v>
      </c>
      <c r="H18" s="10">
        <f>滚轴与计数!$F$61-F18</f>
        <v>13</v>
      </c>
      <c r="I18" s="10">
        <f>滚轴与计数!$F$61</f>
        <v>19</v>
      </c>
      <c r="J18" s="10">
        <f>B18*C18*D18*E18*F18</f>
        <v>6048</v>
      </c>
      <c r="K18" s="10">
        <f>B18*C18*D18*E18*H18</f>
        <v>13104</v>
      </c>
      <c r="L18" s="10">
        <f>B18*C18*D18*G18*I18</f>
        <v>44688</v>
      </c>
      <c r="M18" s="10">
        <f>VLOOKUP($A18,滚轴与计数!$A$77:$D$81,4,FALSE())</f>
        <v>75</v>
      </c>
      <c r="N18" s="10">
        <f>VLOOKUP($A18,滚轴与计数!$A$77:$D$81,3,FALSE())</f>
        <v>20</v>
      </c>
      <c r="O18" s="10">
        <f>VLOOKUP($A18,滚轴与计数!$A$77:$D$81,2,FALSE())</f>
        <v>5</v>
      </c>
      <c r="P18" s="42">
        <f>(J18*M18+K18*N18+L18*O18)/滚轴与计数!$H$61</f>
        <v>0.308921052631579</v>
      </c>
      <c r="Q18" s="9" t="s">
        <v>1</v>
      </c>
    </row>
    <row r="19" spans="1:17">
      <c r="A19" s="39">
        <v>10</v>
      </c>
      <c r="B19" s="10">
        <f>滚轴与计数!B70+滚轴与计数!B$66</f>
        <v>5</v>
      </c>
      <c r="C19" s="10">
        <f>滚轴与计数!C70+滚轴与计数!C$66</f>
        <v>5</v>
      </c>
      <c r="D19" s="10">
        <f>滚轴与计数!D70+滚轴与计数!D$66</f>
        <v>6</v>
      </c>
      <c r="E19" s="10">
        <f>滚轴与计数!E70+滚轴与计数!E$66</f>
        <v>6</v>
      </c>
      <c r="F19" s="10">
        <f>滚轴与计数!F70+滚轴与计数!F$66</f>
        <v>6</v>
      </c>
      <c r="G19" s="10">
        <f>滚轴与计数!$E$61-E19</f>
        <v>14</v>
      </c>
      <c r="H19" s="10">
        <f>滚轴与计数!$F$61-F19</f>
        <v>13</v>
      </c>
      <c r="I19" s="10">
        <f>滚轴与计数!$F$61</f>
        <v>19</v>
      </c>
      <c r="J19" s="10">
        <f>B19*C19*D19*E19*F19</f>
        <v>5400</v>
      </c>
      <c r="K19" s="10">
        <f>B19*C19*D19*E19*H19</f>
        <v>11700</v>
      </c>
      <c r="L19" s="10">
        <f>B19*C19*D19*G19*I19</f>
        <v>39900</v>
      </c>
      <c r="M19" s="10">
        <f>VLOOKUP($A19,滚轴与计数!$A$77:$D$81,4,FALSE())</f>
        <v>75</v>
      </c>
      <c r="N19" s="10">
        <f>VLOOKUP($A19,滚轴与计数!$A$77:$D$81,3,FALSE())</f>
        <v>20</v>
      </c>
      <c r="O19" s="10">
        <f>VLOOKUP($A19,滚轴与计数!$A$77:$D$81,2,FALSE())</f>
        <v>5</v>
      </c>
      <c r="P19" s="42">
        <f>(J19*M19+K19*N19+L19*O19)/滚轴与计数!$H$61</f>
        <v>0.275822368421053</v>
      </c>
      <c r="Q19" s="9" t="s">
        <v>1</v>
      </c>
    </row>
    <row r="20" spans="1:17">
      <c r="A20" s="39">
        <v>9</v>
      </c>
      <c r="B20" s="10">
        <f>滚轴与计数!B71+滚轴与计数!B$66</f>
        <v>6</v>
      </c>
      <c r="C20" s="10">
        <f>滚轴与计数!C71+滚轴与计数!C$66</f>
        <v>6</v>
      </c>
      <c r="D20" s="10">
        <f>滚轴与计数!D71+滚轴与计数!D$66</f>
        <v>6</v>
      </c>
      <c r="E20" s="10">
        <f>滚轴与计数!E71+滚轴与计数!E$66</f>
        <v>6</v>
      </c>
      <c r="F20" s="10">
        <f>滚轴与计数!F71+滚轴与计数!F$66</f>
        <v>5</v>
      </c>
      <c r="G20" s="10">
        <f>滚轴与计数!$E$61-E20</f>
        <v>14</v>
      </c>
      <c r="H20" s="10">
        <f>滚轴与计数!$F$61-F20</f>
        <v>14</v>
      </c>
      <c r="I20" s="10">
        <f>滚轴与计数!$F$61</f>
        <v>19</v>
      </c>
      <c r="J20" s="10">
        <f>B20*C20*D20*E20*F20</f>
        <v>6480</v>
      </c>
      <c r="K20" s="10">
        <f>B20*C20*D20*E20*H20</f>
        <v>18144</v>
      </c>
      <c r="L20" s="10">
        <f>B20*C20*D20*G20*I20</f>
        <v>57456</v>
      </c>
      <c r="M20" s="10">
        <f>VLOOKUP($A20,滚轴与计数!$A$77:$D$81,4,FALSE())</f>
        <v>50</v>
      </c>
      <c r="N20" s="10">
        <f>VLOOKUP($A20,滚轴与计数!$A$77:$D$81,3,FALSE())</f>
        <v>10</v>
      </c>
      <c r="O20" s="10">
        <f>VLOOKUP($A20,滚轴与计数!$A$77:$D$81,2,FALSE())</f>
        <v>5</v>
      </c>
      <c r="P20" s="42">
        <f>(J20*M20+K20*N20+L20*O20)/滚轴与计数!$H$61</f>
        <v>0.260763157894737</v>
      </c>
      <c r="Q20" s="9" t="s">
        <v>1</v>
      </c>
    </row>
    <row r="21" spans="1:17">
      <c r="A21" s="18" t="s">
        <v>107</v>
      </c>
      <c r="B21" s="18" t="s">
        <v>1</v>
      </c>
      <c r="C21" s="18" t="s">
        <v>1</v>
      </c>
      <c r="D21" s="18" t="s">
        <v>1</v>
      </c>
      <c r="E21" s="18" t="s">
        <v>1</v>
      </c>
      <c r="F21" s="18" t="s">
        <v>1</v>
      </c>
      <c r="G21" s="18" t="s">
        <v>1</v>
      </c>
      <c r="H21" s="18" t="s">
        <v>1</v>
      </c>
      <c r="I21" s="18" t="s">
        <v>1</v>
      </c>
      <c r="J21" s="28">
        <f>SUM(J16:J20)</f>
        <v>19321</v>
      </c>
      <c r="K21" s="28">
        <f>SUM(K16:K20)</f>
        <v>47578</v>
      </c>
      <c r="L21" s="28">
        <f>SUM(L16:L20)</f>
        <v>163761</v>
      </c>
      <c r="M21" s="18" t="s">
        <v>108</v>
      </c>
      <c r="N21" s="18" t="s">
        <v>1</v>
      </c>
      <c r="O21" s="18" t="s">
        <v>1</v>
      </c>
      <c r="P21" s="43">
        <f>SUM(P16:P20)</f>
        <v>0.968001644736842</v>
      </c>
      <c r="Q21" s="9" t="s">
        <v>1</v>
      </c>
    </row>
    <row r="22" spans="1:17">
      <c r="A22" s="29" t="s">
        <v>113</v>
      </c>
      <c r="B22" s="30"/>
      <c r="C22" s="30"/>
      <c r="D22" s="30"/>
      <c r="E22" s="30"/>
      <c r="F22" s="30"/>
      <c r="G22" s="30"/>
      <c r="H22" s="30"/>
      <c r="I22" s="30"/>
      <c r="J22" s="28" t="s">
        <v>1</v>
      </c>
      <c r="K22" s="28" t="s">
        <v>1</v>
      </c>
      <c r="L22" s="28" t="s">
        <v>1</v>
      </c>
      <c r="M22" s="18" t="s">
        <v>1</v>
      </c>
      <c r="N22" s="18" t="s">
        <v>1</v>
      </c>
      <c r="O22" s="18" t="s">
        <v>1</v>
      </c>
      <c r="P22" s="42">
        <f>Scatter与触发率!$C$58</f>
        <v>0.0547638157894737</v>
      </c>
      <c r="Q22" s="9" t="s">
        <v>1</v>
      </c>
    </row>
    <row r="23" spans="1:17">
      <c r="A23" s="29" t="s">
        <v>114</v>
      </c>
      <c r="B23" s="30"/>
      <c r="C23" s="30"/>
      <c r="D23" s="30"/>
      <c r="E23" s="30"/>
      <c r="F23" s="30"/>
      <c r="G23" s="30"/>
      <c r="H23" s="30"/>
      <c r="I23" s="30"/>
      <c r="J23" s="28" t="s">
        <v>1</v>
      </c>
      <c r="K23" s="28" t="s">
        <v>1</v>
      </c>
      <c r="L23" s="28" t="s">
        <v>1</v>
      </c>
      <c r="M23" s="18" t="s">
        <v>1</v>
      </c>
      <c r="N23" s="18" t="s">
        <v>1</v>
      </c>
      <c r="O23" s="18" t="s">
        <v>1</v>
      </c>
      <c r="P23" s="43">
        <f>P21+P22</f>
        <v>1.02276546052632</v>
      </c>
      <c r="Q23" s="3" t="s">
        <v>115</v>
      </c>
    </row>
  </sheetData>
  <mergeCells count="5">
    <mergeCell ref="A1:I1"/>
    <mergeCell ref="A11:F11"/>
    <mergeCell ref="A12:F12"/>
    <mergeCell ref="A22:I22"/>
    <mergeCell ref="A23:I23"/>
  </mergeCells>
  <pageMargins left="0.75" right="0.75" top="1" bottom="1" header="0.511811023622047" footer="0.511811023622047"/>
  <pageSetup paperSize="9" orientation="portrait" horizontalDpi="300" verticalDpi="300"/>
  <headerFooter/>
  <ignoredErrors>
    <ignoredError sqref="A1:V43" evalError="1" twoDigitTextYear="1" numberStoredAsText="1" formula="1" formulaRange="1" unlockedFormula="1" emptyCellReference="1" listDataValidation="1" calculatedColum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selection activeCell="A1" sqref="A1"/>
    </sheetView>
  </sheetViews>
  <sheetFormatPr defaultColWidth="7.69166666666667" defaultRowHeight="18.5" outlineLevelCol="7"/>
  <cols>
    <col min="1" max="1" width="23.6583333333333" customWidth="1"/>
    <col min="2" max="7" width="12.7416666666667" customWidth="1"/>
    <col min="8" max="8" width="16.3833333333333" customWidth="1"/>
  </cols>
  <sheetData>
    <row r="1" ht="22.5" spans="1:8">
      <c r="A1" s="22" t="s">
        <v>116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spans="1:8">
      <c r="A2" s="2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spans="1:8">
      <c r="A3" s="4" t="s">
        <v>117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</row>
    <row r="4" spans="1:8">
      <c r="A4" t="s">
        <v>118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</row>
    <row r="5" spans="1:8">
      <c r="A5" t="s">
        <v>119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</row>
    <row r="6" spans="1:8">
      <c r="A6" t="s">
        <v>120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</row>
    <row r="7" spans="1:8">
      <c r="A7" t="s">
        <v>121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</row>
    <row r="8" spans="1:8">
      <c r="A8" t="s">
        <v>1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</row>
    <row r="9" spans="1:8">
      <c r="A9" s="4" t="s">
        <v>122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</row>
    <row r="10" spans="1:8">
      <c r="A10" s="9" t="s">
        <v>123</v>
      </c>
      <c r="B10" s="9" t="s">
        <v>64</v>
      </c>
      <c r="C10" s="9" t="s">
        <v>65</v>
      </c>
      <c r="D10" s="9" t="s">
        <v>66</v>
      </c>
      <c r="E10" s="9" t="s">
        <v>67</v>
      </c>
      <c r="F10" s="9" t="s">
        <v>68</v>
      </c>
      <c r="G10" s="9" t="s">
        <v>1</v>
      </c>
      <c r="H10" s="2" t="s">
        <v>1</v>
      </c>
    </row>
    <row r="11" spans="1:8">
      <c r="A11" t="s">
        <v>124</v>
      </c>
      <c r="B11" s="10">
        <f>滚轴与计数!B$25</f>
        <v>20</v>
      </c>
      <c r="C11" s="10">
        <f>滚轴与计数!C$25</f>
        <v>20</v>
      </c>
      <c r="D11" s="10">
        <f>滚轴与计数!D$25</f>
        <v>20</v>
      </c>
      <c r="E11" s="10">
        <f>滚轴与计数!E$25</f>
        <v>20</v>
      </c>
      <c r="F11" s="10">
        <f>滚轴与计数!F$25</f>
        <v>20</v>
      </c>
      <c r="G11" s="9" t="s">
        <v>1</v>
      </c>
      <c r="H11" s="2" t="s">
        <v>1</v>
      </c>
    </row>
    <row r="12" spans="1:8">
      <c r="A12" t="s">
        <v>125</v>
      </c>
      <c r="B12" s="10">
        <f>滚轴与计数!B$36</f>
        <v>1</v>
      </c>
      <c r="C12" s="10">
        <f>滚轴与计数!C$36</f>
        <v>1</v>
      </c>
      <c r="D12" s="10">
        <f>滚轴与计数!D$36</f>
        <v>1</v>
      </c>
      <c r="E12" s="10">
        <f>滚轴与计数!E$36</f>
        <v>1</v>
      </c>
      <c r="F12" s="10">
        <f>滚轴与计数!F$36</f>
        <v>1</v>
      </c>
      <c r="G12" s="9" t="s">
        <v>1</v>
      </c>
      <c r="H12" s="2" t="s">
        <v>1</v>
      </c>
    </row>
    <row r="13" spans="1:8">
      <c r="A13" s="5" t="s">
        <v>126</v>
      </c>
      <c r="B13" s="10">
        <f>3*B12</f>
        <v>3</v>
      </c>
      <c r="C13" s="10">
        <f>3*C12</f>
        <v>3</v>
      </c>
      <c r="D13" s="10">
        <f>3*D12</f>
        <v>3</v>
      </c>
      <c r="E13" s="10">
        <f>3*E12</f>
        <v>3</v>
      </c>
      <c r="F13" s="10">
        <f>3*F12</f>
        <v>3</v>
      </c>
      <c r="G13" s="9" t="s">
        <v>1</v>
      </c>
      <c r="H13" s="2" t="s">
        <v>1</v>
      </c>
    </row>
    <row r="14" spans="1:8">
      <c r="A14" s="5" t="s">
        <v>127</v>
      </c>
      <c r="B14" s="10">
        <f>B11-B13</f>
        <v>17</v>
      </c>
      <c r="C14" s="10">
        <f>C11-C13</f>
        <v>17</v>
      </c>
      <c r="D14" s="10">
        <f>D11-D13</f>
        <v>17</v>
      </c>
      <c r="E14" s="10">
        <f>E11-E13</f>
        <v>17</v>
      </c>
      <c r="F14" s="10">
        <f>F11-F13</f>
        <v>17</v>
      </c>
      <c r="G14" s="9" t="s">
        <v>1</v>
      </c>
      <c r="H14" s="2" t="s">
        <v>1</v>
      </c>
    </row>
    <row r="15" spans="1:8">
      <c r="A15" t="s">
        <v>128</v>
      </c>
      <c r="B15" s="42">
        <f>B13/B11</f>
        <v>0.15</v>
      </c>
      <c r="C15" s="42">
        <f>C13/C11</f>
        <v>0.15</v>
      </c>
      <c r="D15" s="42">
        <f>D13/D11</f>
        <v>0.15</v>
      </c>
      <c r="E15" s="42">
        <f>E13/E11</f>
        <v>0.15</v>
      </c>
      <c r="F15" s="42">
        <f>F13/F11</f>
        <v>0.15</v>
      </c>
      <c r="G15" s="9" t="s">
        <v>1</v>
      </c>
      <c r="H15" s="2" t="s">
        <v>1</v>
      </c>
    </row>
    <row r="16" spans="1:8">
      <c r="A16" t="s">
        <v>1</v>
      </c>
      <c r="B16" s="8" t="s">
        <v>1</v>
      </c>
      <c r="C16" s="8" t="s">
        <v>1</v>
      </c>
      <c r="D16" s="8" t="s">
        <v>1</v>
      </c>
      <c r="E16" s="8" t="s">
        <v>1</v>
      </c>
      <c r="F16" s="8" t="s">
        <v>1</v>
      </c>
      <c r="G16" s="9" t="s">
        <v>1</v>
      </c>
      <c r="H16" s="2" t="s">
        <v>1</v>
      </c>
    </row>
    <row r="17" spans="1:8">
      <c r="A17" s="13" t="s">
        <v>129</v>
      </c>
      <c r="B17" s="9" t="s">
        <v>130</v>
      </c>
      <c r="C17" s="9" t="s">
        <v>131</v>
      </c>
      <c r="D17" s="9" t="s">
        <v>132</v>
      </c>
      <c r="E17" s="9" t="s">
        <v>133</v>
      </c>
      <c r="F17" s="9" t="s">
        <v>134</v>
      </c>
      <c r="G17" s="9" t="s">
        <v>1</v>
      </c>
      <c r="H17" s="2" t="s">
        <v>1</v>
      </c>
    </row>
    <row r="18" spans="1:8">
      <c r="A18">
        <v>3</v>
      </c>
      <c r="B18" s="23">
        <v>10</v>
      </c>
      <c r="C18" s="42">
        <f>$B$15^A18*(1-$B$15)^(5-A18)</f>
        <v>0.0024384375</v>
      </c>
      <c r="D18" s="43">
        <f>B18*C18</f>
        <v>0.024384375</v>
      </c>
      <c r="E18" s="23">
        <v>10</v>
      </c>
      <c r="F18" s="42">
        <f>D18*E18</f>
        <v>0.24384375</v>
      </c>
      <c r="G18" s="9" t="s">
        <v>1</v>
      </c>
      <c r="H18" s="2" t="s">
        <v>1</v>
      </c>
    </row>
    <row r="19" spans="1:8">
      <c r="A19">
        <v>4</v>
      </c>
      <c r="B19" s="23">
        <v>5</v>
      </c>
      <c r="C19" s="42">
        <f>$B$15^A19*(1-$B$15)^(5-A19)</f>
        <v>0.0004303125</v>
      </c>
      <c r="D19" s="43">
        <f>B19*C19</f>
        <v>0.0021515625</v>
      </c>
      <c r="E19" s="23">
        <v>15</v>
      </c>
      <c r="F19" s="42">
        <f>D19*E19</f>
        <v>0.0322734375</v>
      </c>
      <c r="G19" s="9" t="s">
        <v>1</v>
      </c>
      <c r="H19" s="2" t="s">
        <v>1</v>
      </c>
    </row>
    <row r="20" spans="1:8">
      <c r="A20">
        <v>5</v>
      </c>
      <c r="B20" s="23">
        <v>1</v>
      </c>
      <c r="C20" s="42">
        <f>$B$15^A20*(1-$B$15)^(5-A20)</f>
        <v>7.59375e-5</v>
      </c>
      <c r="D20" s="43">
        <f>B20*C20</f>
        <v>7.59375e-5</v>
      </c>
      <c r="E20" s="23">
        <v>20</v>
      </c>
      <c r="F20" s="42">
        <f>D20*E20</f>
        <v>0.00151875</v>
      </c>
      <c r="G20" s="9" t="s">
        <v>1</v>
      </c>
      <c r="H20" s="2" t="s">
        <v>1</v>
      </c>
    </row>
    <row r="21" spans="1:8">
      <c r="A21" s="18" t="s">
        <v>135</v>
      </c>
      <c r="B21" s="18" t="s">
        <v>1</v>
      </c>
      <c r="C21" s="18" t="s">
        <v>1</v>
      </c>
      <c r="D21" s="45">
        <f>SUM(D18:D20)</f>
        <v>0.026611875</v>
      </c>
      <c r="E21" s="18" t="s">
        <v>1</v>
      </c>
      <c r="F21" s="45">
        <f>SUM(F18:F20)</f>
        <v>0.2776359375</v>
      </c>
      <c r="G21" s="3" t="s">
        <v>136</v>
      </c>
      <c r="H21" s="2" t="s">
        <v>1</v>
      </c>
    </row>
    <row r="22" spans="1:8">
      <c r="A22" s="18" t="s">
        <v>1</v>
      </c>
      <c r="B22" s="18" t="s">
        <v>1</v>
      </c>
      <c r="C22" s="18" t="s">
        <v>1</v>
      </c>
      <c r="D22" s="24" t="s">
        <v>1</v>
      </c>
      <c r="E22" s="18" t="s">
        <v>1</v>
      </c>
      <c r="F22" s="24" t="s">
        <v>1</v>
      </c>
      <c r="G22" s="3" t="s">
        <v>1</v>
      </c>
      <c r="H22" s="2" t="s">
        <v>1</v>
      </c>
    </row>
    <row r="23" spans="1:8">
      <c r="A23" s="4" t="s">
        <v>137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</row>
    <row r="24" spans="1:8">
      <c r="A24" s="9" t="s">
        <v>123</v>
      </c>
      <c r="B24" s="9" t="s">
        <v>64</v>
      </c>
      <c r="C24" s="9" t="s">
        <v>65</v>
      </c>
      <c r="D24" s="9" t="s">
        <v>66</v>
      </c>
      <c r="E24" s="9" t="s">
        <v>67</v>
      </c>
      <c r="F24" s="9" t="s">
        <v>68</v>
      </c>
      <c r="G24" s="9" t="s">
        <v>1</v>
      </c>
      <c r="H24" s="2" t="s">
        <v>1</v>
      </c>
    </row>
    <row r="25" spans="1:8">
      <c r="A25" t="s">
        <v>124</v>
      </c>
      <c r="B25" s="10">
        <f>滚轴与计数!B$61</f>
        <v>20</v>
      </c>
      <c r="C25" s="10">
        <f>滚轴与计数!C$61</f>
        <v>20</v>
      </c>
      <c r="D25" s="10">
        <f>滚轴与计数!D$61</f>
        <v>20</v>
      </c>
      <c r="E25" s="10">
        <f>滚轴与计数!E$61</f>
        <v>20</v>
      </c>
      <c r="F25" s="10">
        <f>滚轴与计数!F$61</f>
        <v>19</v>
      </c>
      <c r="G25" s="9" t="s">
        <v>1</v>
      </c>
      <c r="H25" s="2" t="s">
        <v>1</v>
      </c>
    </row>
    <row r="26" spans="1:8">
      <c r="A26" t="s">
        <v>125</v>
      </c>
      <c r="B26" s="10">
        <f>滚轴与计数!B$72</f>
        <v>1</v>
      </c>
      <c r="C26" s="10">
        <f>滚轴与计数!C$72</f>
        <v>1</v>
      </c>
      <c r="D26" s="10">
        <f>滚轴与计数!D$72</f>
        <v>1</v>
      </c>
      <c r="E26" s="10">
        <f>滚轴与计数!E$72</f>
        <v>1</v>
      </c>
      <c r="F26" s="10">
        <f>滚轴与计数!F$72</f>
        <v>1</v>
      </c>
      <c r="G26" s="9" t="s">
        <v>1</v>
      </c>
      <c r="H26" s="2" t="s">
        <v>1</v>
      </c>
    </row>
    <row r="27" spans="1:8">
      <c r="A27" s="5" t="s">
        <v>138</v>
      </c>
      <c r="B27" s="10">
        <f>3*B26</f>
        <v>3</v>
      </c>
      <c r="C27" s="10">
        <f>3*C26</f>
        <v>3</v>
      </c>
      <c r="D27" s="10">
        <f>3*D26</f>
        <v>3</v>
      </c>
      <c r="E27" s="10">
        <f>3*E26</f>
        <v>3</v>
      </c>
      <c r="F27" s="10">
        <f>3*F26</f>
        <v>3</v>
      </c>
      <c r="G27" s="9" t="s">
        <v>1</v>
      </c>
      <c r="H27" s="2" t="s">
        <v>1</v>
      </c>
    </row>
    <row r="28" spans="1:8">
      <c r="A28" s="5" t="s">
        <v>139</v>
      </c>
      <c r="B28" s="10">
        <f>B25-B27</f>
        <v>17</v>
      </c>
      <c r="C28" s="10">
        <f>C25-C27</f>
        <v>17</v>
      </c>
      <c r="D28" s="10">
        <f>D25-D27</f>
        <v>17</v>
      </c>
      <c r="E28" s="10">
        <f>E25-E27</f>
        <v>17</v>
      </c>
      <c r="F28" s="10">
        <f>F25-F27</f>
        <v>16</v>
      </c>
      <c r="G28" s="9" t="s">
        <v>1</v>
      </c>
      <c r="H28" s="2" t="s">
        <v>1</v>
      </c>
    </row>
    <row r="29" spans="1:8">
      <c r="A29" t="s">
        <v>140</v>
      </c>
      <c r="B29" s="42">
        <f>B27/B25</f>
        <v>0.15</v>
      </c>
      <c r="C29" s="42">
        <f>C27/C25</f>
        <v>0.15</v>
      </c>
      <c r="D29" s="42">
        <f>D27/D25</f>
        <v>0.15</v>
      </c>
      <c r="E29" s="42">
        <f>E27/E25</f>
        <v>0.15</v>
      </c>
      <c r="F29" s="42">
        <f>F27/F25</f>
        <v>0.157894736842105</v>
      </c>
      <c r="G29" s="9" t="s">
        <v>1</v>
      </c>
      <c r="H29" s="2" t="s">
        <v>1</v>
      </c>
    </row>
    <row r="30" spans="1:8">
      <c r="A30" t="s">
        <v>1</v>
      </c>
      <c r="B30" s="8" t="s">
        <v>1</v>
      </c>
      <c r="C30" s="8" t="s">
        <v>1</v>
      </c>
      <c r="D30" s="8" t="s">
        <v>1</v>
      </c>
      <c r="E30" s="8" t="s">
        <v>1</v>
      </c>
      <c r="F30" s="8" t="s">
        <v>1</v>
      </c>
      <c r="G30" s="9" t="s">
        <v>1</v>
      </c>
      <c r="H30" s="2" t="s">
        <v>1</v>
      </c>
    </row>
    <row r="31" spans="1:8">
      <c r="A31" s="4" t="s">
        <v>141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</row>
    <row r="32" spans="1:8">
      <c r="A32" s="9" t="s">
        <v>142</v>
      </c>
      <c r="B32" s="9" t="s">
        <v>64</v>
      </c>
      <c r="C32" s="9" t="s">
        <v>65</v>
      </c>
      <c r="D32" s="9" t="s">
        <v>66</v>
      </c>
      <c r="E32" s="9" t="s">
        <v>67</v>
      </c>
      <c r="F32" s="9" t="s">
        <v>68</v>
      </c>
      <c r="G32" s="9" t="s">
        <v>143</v>
      </c>
      <c r="H32" s="9" t="s">
        <v>144</v>
      </c>
    </row>
    <row r="33" spans="1:8">
      <c r="A33">
        <v>1</v>
      </c>
      <c r="B33" s="23">
        <v>1</v>
      </c>
      <c r="C33" s="23">
        <v>1</v>
      </c>
      <c r="D33" s="23">
        <v>1</v>
      </c>
      <c r="E33" s="23">
        <v>0</v>
      </c>
      <c r="F33" s="23">
        <v>0</v>
      </c>
      <c r="G33" s="10">
        <f t="shared" ref="G33:G48" si="0">SUM(B33:F33)</f>
        <v>3</v>
      </c>
      <c r="H33" s="42">
        <f t="shared" ref="H33:H48" si="1">IF(B33=1,$B$29,1-$B$29)*IF(C33=1,$C$29,1-$C$29)*IF(D33=1,$D$29,1-$D$29)*IF(E33=1,$E$29,1-$E$29)*IF(F33=1,$F$29,1-$F$29)</f>
        <v>0.00241578947368421</v>
      </c>
    </row>
    <row r="34" spans="1:8">
      <c r="A34">
        <v>2</v>
      </c>
      <c r="B34" s="23">
        <v>1</v>
      </c>
      <c r="C34" s="23">
        <v>1</v>
      </c>
      <c r="D34" s="23">
        <v>0</v>
      </c>
      <c r="E34" s="23">
        <v>1</v>
      </c>
      <c r="F34" s="23">
        <v>0</v>
      </c>
      <c r="G34" s="10">
        <f t="shared" si="0"/>
        <v>3</v>
      </c>
      <c r="H34" s="42">
        <f t="shared" si="1"/>
        <v>0.00241578947368421</v>
      </c>
    </row>
    <row r="35" spans="1:8">
      <c r="A35">
        <v>3</v>
      </c>
      <c r="B35" s="23">
        <v>1</v>
      </c>
      <c r="C35" s="23">
        <v>1</v>
      </c>
      <c r="D35" s="23">
        <v>0</v>
      </c>
      <c r="E35" s="23">
        <v>0</v>
      </c>
      <c r="F35" s="23">
        <v>1</v>
      </c>
      <c r="G35" s="10">
        <f t="shared" si="0"/>
        <v>3</v>
      </c>
      <c r="H35" s="42">
        <f t="shared" si="1"/>
        <v>0.00256677631578947</v>
      </c>
    </row>
    <row r="36" spans="1:8">
      <c r="A36">
        <v>4</v>
      </c>
      <c r="B36" s="23">
        <v>1</v>
      </c>
      <c r="C36" s="23">
        <v>0</v>
      </c>
      <c r="D36" s="23">
        <v>1</v>
      </c>
      <c r="E36" s="23">
        <v>1</v>
      </c>
      <c r="F36" s="23">
        <v>0</v>
      </c>
      <c r="G36" s="10">
        <f t="shared" si="0"/>
        <v>3</v>
      </c>
      <c r="H36" s="42">
        <f t="shared" si="1"/>
        <v>0.00241578947368421</v>
      </c>
    </row>
    <row r="37" spans="1:8">
      <c r="A37">
        <v>5</v>
      </c>
      <c r="B37" s="23">
        <v>1</v>
      </c>
      <c r="C37" s="23">
        <v>0</v>
      </c>
      <c r="D37" s="23">
        <v>1</v>
      </c>
      <c r="E37" s="23">
        <v>0</v>
      </c>
      <c r="F37" s="23">
        <v>1</v>
      </c>
      <c r="G37" s="10">
        <f t="shared" si="0"/>
        <v>3</v>
      </c>
      <c r="H37" s="42">
        <f t="shared" si="1"/>
        <v>0.00256677631578947</v>
      </c>
    </row>
    <row r="38" spans="1:8">
      <c r="A38">
        <v>6</v>
      </c>
      <c r="B38" s="23">
        <v>1</v>
      </c>
      <c r="C38" s="23">
        <v>0</v>
      </c>
      <c r="D38" s="23">
        <v>0</v>
      </c>
      <c r="E38" s="23">
        <v>1</v>
      </c>
      <c r="F38" s="23">
        <v>1</v>
      </c>
      <c r="G38" s="10">
        <f t="shared" si="0"/>
        <v>3</v>
      </c>
      <c r="H38" s="42">
        <f t="shared" si="1"/>
        <v>0.00256677631578947</v>
      </c>
    </row>
    <row r="39" spans="1:8">
      <c r="A39">
        <v>7</v>
      </c>
      <c r="B39" s="23">
        <v>0</v>
      </c>
      <c r="C39" s="23">
        <v>1</v>
      </c>
      <c r="D39" s="23">
        <v>1</v>
      </c>
      <c r="E39" s="23">
        <v>1</v>
      </c>
      <c r="F39" s="23">
        <v>0</v>
      </c>
      <c r="G39" s="10">
        <f t="shared" si="0"/>
        <v>3</v>
      </c>
      <c r="H39" s="42">
        <f t="shared" si="1"/>
        <v>0.00241578947368421</v>
      </c>
    </row>
    <row r="40" spans="1:8">
      <c r="A40">
        <v>8</v>
      </c>
      <c r="B40" s="23">
        <v>0</v>
      </c>
      <c r="C40" s="23">
        <v>1</v>
      </c>
      <c r="D40" s="23">
        <v>1</v>
      </c>
      <c r="E40" s="23">
        <v>0</v>
      </c>
      <c r="F40" s="23">
        <v>1</v>
      </c>
      <c r="G40" s="10">
        <f t="shared" si="0"/>
        <v>3</v>
      </c>
      <c r="H40" s="42">
        <f t="shared" si="1"/>
        <v>0.00256677631578947</v>
      </c>
    </row>
    <row r="41" spans="1:8">
      <c r="A41">
        <v>9</v>
      </c>
      <c r="B41" s="23">
        <v>0</v>
      </c>
      <c r="C41" s="23">
        <v>1</v>
      </c>
      <c r="D41" s="23">
        <v>0</v>
      </c>
      <c r="E41" s="23">
        <v>1</v>
      </c>
      <c r="F41" s="23">
        <v>1</v>
      </c>
      <c r="G41" s="10">
        <f t="shared" si="0"/>
        <v>3</v>
      </c>
      <c r="H41" s="42">
        <f t="shared" si="1"/>
        <v>0.00256677631578947</v>
      </c>
    </row>
    <row r="42" spans="1:8">
      <c r="A42">
        <v>10</v>
      </c>
      <c r="B42" s="23">
        <v>0</v>
      </c>
      <c r="C42" s="23">
        <v>0</v>
      </c>
      <c r="D42" s="23">
        <v>1</v>
      </c>
      <c r="E42" s="23">
        <v>1</v>
      </c>
      <c r="F42" s="23">
        <v>1</v>
      </c>
      <c r="G42" s="10">
        <f t="shared" si="0"/>
        <v>3</v>
      </c>
      <c r="H42" s="42">
        <f t="shared" si="1"/>
        <v>0.00256677631578947</v>
      </c>
    </row>
    <row r="43" spans="1:8">
      <c r="A43">
        <v>11</v>
      </c>
      <c r="B43" s="23">
        <v>1</v>
      </c>
      <c r="C43" s="23">
        <v>1</v>
      </c>
      <c r="D43" s="23">
        <v>1</v>
      </c>
      <c r="E43" s="23">
        <v>1</v>
      </c>
      <c r="F43" s="23">
        <v>0</v>
      </c>
      <c r="G43" s="10">
        <f t="shared" si="0"/>
        <v>4</v>
      </c>
      <c r="H43" s="42">
        <f t="shared" si="1"/>
        <v>0.000426315789473684</v>
      </c>
    </row>
    <row r="44" spans="1:8">
      <c r="A44">
        <v>12</v>
      </c>
      <c r="B44" s="23">
        <v>1</v>
      </c>
      <c r="C44" s="23">
        <v>1</v>
      </c>
      <c r="D44" s="23">
        <v>1</v>
      </c>
      <c r="E44" s="23">
        <v>0</v>
      </c>
      <c r="F44" s="23">
        <v>1</v>
      </c>
      <c r="G44" s="10">
        <f t="shared" si="0"/>
        <v>4</v>
      </c>
      <c r="H44" s="42">
        <f t="shared" si="1"/>
        <v>0.000452960526315789</v>
      </c>
    </row>
    <row r="45" spans="1:8">
      <c r="A45">
        <v>13</v>
      </c>
      <c r="B45" s="23">
        <v>1</v>
      </c>
      <c r="C45" s="23">
        <v>1</v>
      </c>
      <c r="D45" s="23">
        <v>0</v>
      </c>
      <c r="E45" s="23">
        <v>1</v>
      </c>
      <c r="F45" s="23">
        <v>1</v>
      </c>
      <c r="G45" s="10">
        <f t="shared" si="0"/>
        <v>4</v>
      </c>
      <c r="H45" s="42">
        <f t="shared" si="1"/>
        <v>0.000452960526315789</v>
      </c>
    </row>
    <row r="46" spans="1:8">
      <c r="A46">
        <v>14</v>
      </c>
      <c r="B46" s="23">
        <v>1</v>
      </c>
      <c r="C46" s="23">
        <v>0</v>
      </c>
      <c r="D46" s="23">
        <v>1</v>
      </c>
      <c r="E46" s="23">
        <v>1</v>
      </c>
      <c r="F46" s="23">
        <v>1</v>
      </c>
      <c r="G46" s="10">
        <f t="shared" si="0"/>
        <v>4</v>
      </c>
      <c r="H46" s="42">
        <f t="shared" si="1"/>
        <v>0.000452960526315789</v>
      </c>
    </row>
    <row r="47" spans="1:8">
      <c r="A47">
        <v>15</v>
      </c>
      <c r="B47" s="23">
        <v>0</v>
      </c>
      <c r="C47" s="23">
        <v>1</v>
      </c>
      <c r="D47" s="23">
        <v>1</v>
      </c>
      <c r="E47" s="23">
        <v>1</v>
      </c>
      <c r="F47" s="23">
        <v>1</v>
      </c>
      <c r="G47" s="10">
        <f t="shared" si="0"/>
        <v>4</v>
      </c>
      <c r="H47" s="42">
        <f t="shared" si="1"/>
        <v>0.000452960526315789</v>
      </c>
    </row>
    <row r="48" spans="1:8">
      <c r="A48">
        <v>16</v>
      </c>
      <c r="B48" s="23">
        <v>1</v>
      </c>
      <c r="C48" s="23">
        <v>1</v>
      </c>
      <c r="D48" s="23">
        <v>1</v>
      </c>
      <c r="E48" s="23">
        <v>1</v>
      </c>
      <c r="F48" s="23">
        <v>1</v>
      </c>
      <c r="G48" s="10">
        <f t="shared" si="0"/>
        <v>5</v>
      </c>
      <c r="H48" s="42">
        <f t="shared" si="1"/>
        <v>7.99342105263158e-5</v>
      </c>
    </row>
    <row r="49" spans="1:8">
      <c r="A49" s="18" t="s">
        <v>145</v>
      </c>
      <c r="B49" s="18" t="s">
        <v>1</v>
      </c>
      <c r="C49" s="18" t="s">
        <v>1</v>
      </c>
      <c r="D49" s="18" t="s">
        <v>1</v>
      </c>
      <c r="E49" s="18" t="s">
        <v>1</v>
      </c>
      <c r="F49" s="18" t="s">
        <v>1</v>
      </c>
      <c r="G49" s="18" t="s">
        <v>1</v>
      </c>
      <c r="H49" s="45">
        <f>SUM(H33:H48)</f>
        <v>0.0273819078947368</v>
      </c>
    </row>
    <row r="50" spans="1:8">
      <c r="A50" s="18" t="s">
        <v>1</v>
      </c>
      <c r="B50" s="18" t="s">
        <v>1</v>
      </c>
      <c r="C50" s="18" t="s">
        <v>1</v>
      </c>
      <c r="D50" s="18" t="s">
        <v>1</v>
      </c>
      <c r="E50" s="18" t="s">
        <v>1</v>
      </c>
      <c r="F50" s="18" t="s">
        <v>1</v>
      </c>
      <c r="G50" s="18" t="s">
        <v>1</v>
      </c>
      <c r="H50" s="24" t="s">
        <v>1</v>
      </c>
    </row>
    <row r="51" spans="1:8">
      <c r="A51" s="13" t="s">
        <v>129</v>
      </c>
      <c r="B51" s="9" t="s">
        <v>130</v>
      </c>
      <c r="C51" s="9" t="s">
        <v>146</v>
      </c>
      <c r="D51" s="9" t="s">
        <v>133</v>
      </c>
      <c r="E51" s="9" t="s">
        <v>147</v>
      </c>
      <c r="F51" s="9" t="s">
        <v>1</v>
      </c>
      <c r="G51" s="9" t="s">
        <v>1</v>
      </c>
      <c r="H51" s="9" t="s">
        <v>1</v>
      </c>
    </row>
    <row r="52" spans="1:8">
      <c r="A52">
        <v>3</v>
      </c>
      <c r="B52" s="23">
        <v>10</v>
      </c>
      <c r="C52" s="43">
        <f>SUMIF($G$33:$G$48,$A52,$H$33:$H$48)</f>
        <v>0.0250638157894737</v>
      </c>
      <c r="D52" s="10">
        <f>E18</f>
        <v>10</v>
      </c>
      <c r="E52" s="42">
        <f>C52*D52</f>
        <v>0.250638157894737</v>
      </c>
      <c r="F52" s="9" t="s">
        <v>1</v>
      </c>
      <c r="G52" s="9" t="s">
        <v>1</v>
      </c>
      <c r="H52" s="9" t="s">
        <v>1</v>
      </c>
    </row>
    <row r="53" spans="1:8">
      <c r="A53">
        <v>4</v>
      </c>
      <c r="B53" s="23">
        <v>5</v>
      </c>
      <c r="C53" s="43">
        <f>SUMIF($G$33:$G$48,$A53,$H$33:$H$48)</f>
        <v>0.00223815789473684</v>
      </c>
      <c r="D53" s="10">
        <f>E19</f>
        <v>15</v>
      </c>
      <c r="E53" s="42">
        <f>C53*D53</f>
        <v>0.0335723684210526</v>
      </c>
      <c r="F53" s="9" t="s">
        <v>1</v>
      </c>
      <c r="G53" s="9" t="s">
        <v>1</v>
      </c>
      <c r="H53" s="9" t="s">
        <v>1</v>
      </c>
    </row>
    <row r="54" spans="1:8">
      <c r="A54">
        <v>5</v>
      </c>
      <c r="B54" s="23">
        <v>1</v>
      </c>
      <c r="C54" s="43">
        <f>SUMIF($G$33:$G$48,$A54,$H$33:$H$48)</f>
        <v>7.99342105263158e-5</v>
      </c>
      <c r="D54" s="10">
        <f>E20</f>
        <v>20</v>
      </c>
      <c r="E54" s="42">
        <f>C54*D54</f>
        <v>0.00159868421052632</v>
      </c>
      <c r="F54" s="9" t="s">
        <v>1</v>
      </c>
      <c r="G54" s="9" t="s">
        <v>1</v>
      </c>
      <c r="H54" s="9" t="s">
        <v>1</v>
      </c>
    </row>
    <row r="55" spans="1:8">
      <c r="A55" s="18" t="s">
        <v>135</v>
      </c>
      <c r="B55" s="18" t="s">
        <v>1</v>
      </c>
      <c r="C55" s="45">
        <f>SUM(C52:C54)</f>
        <v>0.0273819078947368</v>
      </c>
      <c r="D55" s="18" t="s">
        <v>1</v>
      </c>
      <c r="E55" s="43">
        <f>SUM(E52:E54)</f>
        <v>0.285809210526316</v>
      </c>
      <c r="F55" s="9" t="s">
        <v>1</v>
      </c>
      <c r="G55" s="25" t="s">
        <v>148</v>
      </c>
      <c r="H55" s="9" t="s">
        <v>1</v>
      </c>
    </row>
    <row r="56" spans="1:8">
      <c r="A56" s="18" t="s">
        <v>1</v>
      </c>
      <c r="B56" s="18" t="s">
        <v>1</v>
      </c>
      <c r="C56" s="24" t="s">
        <v>1</v>
      </c>
      <c r="D56" s="18" t="s">
        <v>1</v>
      </c>
      <c r="E56" s="16" t="s">
        <v>1</v>
      </c>
      <c r="F56" s="9" t="s">
        <v>1</v>
      </c>
      <c r="G56" s="25" t="s">
        <v>1</v>
      </c>
      <c r="H56" s="9" t="s">
        <v>1</v>
      </c>
    </row>
    <row r="57" spans="1:8">
      <c r="A57" s="3" t="s">
        <v>149</v>
      </c>
      <c r="B57" s="18" t="s">
        <v>1</v>
      </c>
      <c r="C57" s="24" t="s">
        <v>1</v>
      </c>
      <c r="D57" s="18" t="s">
        <v>1</v>
      </c>
      <c r="E57" s="16" t="s">
        <v>1</v>
      </c>
      <c r="F57" s="9" t="s">
        <v>1</v>
      </c>
      <c r="G57" s="25" t="s">
        <v>1</v>
      </c>
      <c r="H57" s="9" t="s">
        <v>1</v>
      </c>
    </row>
    <row r="58" spans="1:8">
      <c r="A58" t="s">
        <v>150</v>
      </c>
      <c r="B58" s="18" t="s">
        <v>1</v>
      </c>
      <c r="C58" s="42">
        <f>滚轴与计数!$B$82*C55</f>
        <v>0.0547638157894737</v>
      </c>
      <c r="D58" s="3" t="s">
        <v>151</v>
      </c>
      <c r="E58" s="16" t="s">
        <v>1</v>
      </c>
      <c r="F58" s="9" t="s">
        <v>1</v>
      </c>
      <c r="G58" s="25" t="s">
        <v>1</v>
      </c>
      <c r="H58" s="9" t="s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M78" evalError="1" twoDigitTextYear="1" numberStoredAsText="1" formula="1" formulaRange="1" unlockedFormula="1" emptyCellReference="1" listDataValidation="1" calculatedColumn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"/>
    </sheetView>
  </sheetViews>
  <sheetFormatPr defaultColWidth="7.69166666666667" defaultRowHeight="18.5" outlineLevelCol="4"/>
  <cols>
    <col min="1" max="1" width="38.2083333333333" customWidth="1"/>
    <col min="2" max="4" width="16.3833333333333" customWidth="1"/>
    <col min="5" max="5" width="41.85" customWidth="1"/>
  </cols>
  <sheetData>
    <row r="1" ht="22.5" spans="1:5">
      <c r="A1" s="1" t="s">
        <v>152</v>
      </c>
      <c r="B1" s="2" t="s">
        <v>1</v>
      </c>
      <c r="C1" s="2" t="s">
        <v>1</v>
      </c>
      <c r="D1" s="2" t="s">
        <v>1</v>
      </c>
      <c r="E1" s="9" t="s">
        <v>1</v>
      </c>
    </row>
    <row r="2" ht="22.5" spans="1:5">
      <c r="A2" s="1" t="s">
        <v>1</v>
      </c>
      <c r="B2" s="2" t="s">
        <v>1</v>
      </c>
      <c r="C2" s="2" t="s">
        <v>1</v>
      </c>
      <c r="D2" s="2" t="s">
        <v>1</v>
      </c>
      <c r="E2" s="9" t="s">
        <v>1</v>
      </c>
    </row>
    <row r="3" spans="1:5">
      <c r="A3" s="4" t="s">
        <v>153</v>
      </c>
      <c r="B3" s="2" t="s">
        <v>1</v>
      </c>
      <c r="C3" s="2" t="s">
        <v>1</v>
      </c>
      <c r="D3" s="2" t="s">
        <v>1</v>
      </c>
      <c r="E3" s="9" t="s">
        <v>1</v>
      </c>
    </row>
    <row r="4" spans="1:5">
      <c r="A4" s="9" t="s">
        <v>123</v>
      </c>
      <c r="B4" s="40">
        <v>3</v>
      </c>
      <c r="C4" s="40">
        <v>4</v>
      </c>
      <c r="D4" s="40">
        <v>5</v>
      </c>
      <c r="E4" s="9" t="s">
        <v>157</v>
      </c>
    </row>
    <row r="5" spans="1:5">
      <c r="A5" t="s">
        <v>158</v>
      </c>
      <c r="B5" s="42">
        <f>Scatter与触发率!$D$18</f>
        <v>0.024384375</v>
      </c>
      <c r="C5" s="42">
        <f>Scatter与触发率!$D$19</f>
        <v>0.0021515625</v>
      </c>
      <c r="D5" s="42">
        <f>Scatter与触发率!$D$20</f>
        <v>7.59375e-5</v>
      </c>
      <c r="E5" s="9" t="s">
        <v>1</v>
      </c>
    </row>
    <row r="6" spans="1:5">
      <c r="A6" t="s">
        <v>159</v>
      </c>
      <c r="B6" s="42">
        <f>Scatter与触发率!$C$52</f>
        <v>0.0250638157894737</v>
      </c>
      <c r="C6" s="42">
        <f>Scatter与触发率!$C$53</f>
        <v>0.00223815789473684</v>
      </c>
      <c r="D6" s="42">
        <f>Scatter与触发率!$C$54</f>
        <v>7.99342105263158e-5</v>
      </c>
      <c r="E6" s="9" t="s">
        <v>1</v>
      </c>
    </row>
    <row r="7" spans="1:5">
      <c r="A7" t="s">
        <v>160</v>
      </c>
      <c r="B7" s="10">
        <f>Scatter与触发率!$E$18</f>
        <v>10</v>
      </c>
      <c r="C7" s="10">
        <f>Scatter与触发率!$E$19</f>
        <v>15</v>
      </c>
      <c r="D7" s="10">
        <f>Scatter与触发率!$E$20</f>
        <v>20</v>
      </c>
      <c r="E7" s="9" t="s">
        <v>1</v>
      </c>
    </row>
    <row r="8" spans="1:5">
      <c r="A8" t="s">
        <v>161</v>
      </c>
      <c r="B8" s="42">
        <f>B6*B7</f>
        <v>0.250638157894737</v>
      </c>
      <c r="C8" s="42">
        <f>C6*C7</f>
        <v>0.0335723684210526</v>
      </c>
      <c r="D8" s="42">
        <f>D6*D7</f>
        <v>0.00159868421052632</v>
      </c>
      <c r="E8" s="9" t="s">
        <v>1</v>
      </c>
    </row>
    <row r="9" spans="1:5">
      <c r="A9" t="s">
        <v>1</v>
      </c>
      <c r="B9" s="8" t="s">
        <v>1</v>
      </c>
      <c r="C9" s="8" t="s">
        <v>1</v>
      </c>
      <c r="D9" s="8" t="s">
        <v>1</v>
      </c>
      <c r="E9" s="9" t="s">
        <v>1</v>
      </c>
    </row>
    <row r="10" spans="1:5">
      <c r="A10" s="15" t="s">
        <v>162</v>
      </c>
      <c r="B10" s="43">
        <f>SUM(B8:D8)</f>
        <v>0.285809210526316</v>
      </c>
      <c r="C10" s="8" t="s">
        <v>1</v>
      </c>
      <c r="D10" s="8" t="s">
        <v>1</v>
      </c>
      <c r="E10" s="9" t="s">
        <v>1</v>
      </c>
    </row>
    <row r="11" spans="1:5">
      <c r="A11" s="15" t="s">
        <v>163</v>
      </c>
      <c r="B11" s="17">
        <f>1/(1-B10)</f>
        <v>1.40018607736028</v>
      </c>
      <c r="C11" s="8" t="s">
        <v>1</v>
      </c>
      <c r="D11" s="8" t="s">
        <v>1</v>
      </c>
      <c r="E11" s="9" t="s">
        <v>1</v>
      </c>
    </row>
    <row r="12" spans="1:5">
      <c r="A12" t="s">
        <v>164</v>
      </c>
      <c r="B12" s="11">
        <f>B7*$B$11</f>
        <v>14.0018607736028</v>
      </c>
      <c r="C12" s="11">
        <f>C7*$B$11</f>
        <v>21.0027911604042</v>
      </c>
      <c r="D12" s="11">
        <f>D7*$B$11</f>
        <v>28.0037215472056</v>
      </c>
      <c r="E12" s="9" t="s">
        <v>1</v>
      </c>
    </row>
    <row r="13" spans="1:5">
      <c r="A13" t="s">
        <v>1</v>
      </c>
      <c r="B13" s="11" t="s">
        <v>1</v>
      </c>
      <c r="C13" s="11" t="s">
        <v>1</v>
      </c>
      <c r="D13" s="11" t="s">
        <v>1</v>
      </c>
      <c r="E13" s="9" t="s">
        <v>1</v>
      </c>
    </row>
    <row r="14" spans="1:5">
      <c r="A14" s="4" t="s">
        <v>165</v>
      </c>
      <c r="B14" s="2" t="s">
        <v>1</v>
      </c>
      <c r="C14" s="2" t="s">
        <v>1</v>
      </c>
      <c r="D14" s="2" t="s">
        <v>1</v>
      </c>
      <c r="E14" s="9" t="s">
        <v>1</v>
      </c>
    </row>
    <row r="15" spans="1:5">
      <c r="A15" t="s">
        <v>166</v>
      </c>
      <c r="B15" s="43">
        <f>单把RTP!$P$23</f>
        <v>1.02276546052632</v>
      </c>
      <c r="C15" s="2" t="s">
        <v>1</v>
      </c>
      <c r="D15" s="2" t="s">
        <v>1</v>
      </c>
      <c r="E15" s="9" t="s">
        <v>1</v>
      </c>
    </row>
    <row r="16" spans="1:5">
      <c r="A16" s="9" t="s">
        <v>123</v>
      </c>
      <c r="B16" s="40">
        <v>3</v>
      </c>
      <c r="C16" s="40">
        <v>4</v>
      </c>
      <c r="D16" s="40">
        <v>5</v>
      </c>
      <c r="E16" s="9" t="s">
        <v>167</v>
      </c>
    </row>
    <row r="17" spans="1:5">
      <c r="A17" t="s">
        <v>168</v>
      </c>
      <c r="B17" s="42">
        <f>B5*$B$15*B12</f>
        <v>0.349199358128103</v>
      </c>
      <c r="C17" s="42">
        <f>C5*$B$15*C12</f>
        <v>0.0462175621051901</v>
      </c>
      <c r="D17" s="42">
        <f>D5*$B$15*D12</f>
        <v>0.00217494409906777</v>
      </c>
      <c r="E17" t="s">
        <v>169</v>
      </c>
    </row>
    <row r="18" spans="1:5">
      <c r="A18" s="18" t="s">
        <v>170</v>
      </c>
      <c r="B18" s="43">
        <f>SUM(B17:D17)</f>
        <v>0.397591864332361</v>
      </c>
      <c r="C18" s="18" t="s">
        <v>1</v>
      </c>
      <c r="D18" s="18" t="s">
        <v>1</v>
      </c>
      <c r="E18" t="s">
        <v>1</v>
      </c>
    </row>
    <row r="19" spans="1:5">
      <c r="A19" s="18" t="s">
        <v>1</v>
      </c>
      <c r="B19" s="16" t="s">
        <v>1</v>
      </c>
      <c r="C19" s="18" t="s">
        <v>1</v>
      </c>
      <c r="D19" s="18" t="s">
        <v>1</v>
      </c>
      <c r="E19" t="s">
        <v>1</v>
      </c>
    </row>
    <row r="20" spans="1:5">
      <c r="A20" s="4" t="s">
        <v>171</v>
      </c>
      <c r="B20" s="2" t="s">
        <v>1</v>
      </c>
      <c r="C20" s="2" t="s">
        <v>1</v>
      </c>
      <c r="D20" s="2" t="s">
        <v>1</v>
      </c>
      <c r="E20" t="s">
        <v>1</v>
      </c>
    </row>
    <row r="21" spans="1:5">
      <c r="A21" t="s">
        <v>172</v>
      </c>
      <c r="B21" s="42">
        <f>单把RTP!$P$12</f>
        <v>0.6500425</v>
      </c>
      <c r="C21" s="2" t="s">
        <v>1</v>
      </c>
      <c r="D21" s="2" t="s">
        <v>1</v>
      </c>
      <c r="E21" t="s">
        <v>1</v>
      </c>
    </row>
    <row r="22" spans="1:5">
      <c r="A22" t="s">
        <v>173</v>
      </c>
      <c r="B22" s="42">
        <f>B18</f>
        <v>0.397591864332361</v>
      </c>
      <c r="C22" s="2" t="s">
        <v>1</v>
      </c>
      <c r="D22" s="2" t="s">
        <v>1</v>
      </c>
      <c r="E22" t="s">
        <v>1</v>
      </c>
    </row>
    <row r="23" spans="1:5">
      <c r="A23" s="19" t="s">
        <v>174</v>
      </c>
      <c r="B23" s="43">
        <f>B21+B22</f>
        <v>1.04763436433236</v>
      </c>
      <c r="C23" s="2" t="s">
        <v>1</v>
      </c>
      <c r="D23" s="2" t="s">
        <v>1</v>
      </c>
      <c r="E23" t="s">
        <v>1</v>
      </c>
    </row>
    <row r="24" spans="1:5">
      <c r="A24" s="19" t="s">
        <v>1</v>
      </c>
      <c r="B24" s="16" t="s">
        <v>1</v>
      </c>
      <c r="C24" s="2" t="s">
        <v>1</v>
      </c>
      <c r="D24" s="2" t="s">
        <v>1</v>
      </c>
      <c r="E24" t="s">
        <v>1</v>
      </c>
    </row>
    <row r="25" spans="1:5">
      <c r="A25" s="4" t="s">
        <v>175</v>
      </c>
      <c r="B25" s="2" t="s">
        <v>1</v>
      </c>
      <c r="C25" s="2" t="s">
        <v>1</v>
      </c>
      <c r="D25" s="2" t="s">
        <v>1</v>
      </c>
      <c r="E25" t="s">
        <v>1</v>
      </c>
    </row>
    <row r="26" spans="1:5">
      <c r="A26" t="s">
        <v>176</v>
      </c>
      <c r="B26" s="20">
        <v>0.6500425</v>
      </c>
      <c r="C26" s="2" t="s">
        <v>1</v>
      </c>
      <c r="D26" s="2" t="s">
        <v>1</v>
      </c>
      <c r="E26" t="s">
        <v>1</v>
      </c>
    </row>
    <row r="27" spans="1:5">
      <c r="A27" t="s">
        <v>177</v>
      </c>
      <c r="B27" s="20">
        <v>1.02276546</v>
      </c>
      <c r="C27" s="2" t="s">
        <v>1</v>
      </c>
      <c r="D27" s="2" t="s">
        <v>1</v>
      </c>
      <c r="E27" t="s">
        <v>1</v>
      </c>
    </row>
    <row r="28" spans="1:5">
      <c r="A28" s="5" t="s">
        <v>178</v>
      </c>
      <c r="B28" s="21">
        <v>1.40018608</v>
      </c>
      <c r="C28" s="2" t="s">
        <v>1</v>
      </c>
      <c r="D28" s="2" t="s">
        <v>1</v>
      </c>
      <c r="E28" t="s">
        <v>1</v>
      </c>
    </row>
    <row r="29" spans="1:5">
      <c r="A29" t="s">
        <v>179</v>
      </c>
      <c r="B29" s="20">
        <v>0.39759186</v>
      </c>
      <c r="C29" s="2" t="s">
        <v>1</v>
      </c>
      <c r="D29" s="2" t="s">
        <v>1</v>
      </c>
      <c r="E29" t="s">
        <v>1</v>
      </c>
    </row>
    <row r="30" spans="1:5">
      <c r="A30" t="s">
        <v>180</v>
      </c>
      <c r="B30" s="20">
        <v>1.04763436</v>
      </c>
      <c r="C30" s="2" t="s">
        <v>1</v>
      </c>
      <c r="D30" s="2" t="s">
        <v>1</v>
      </c>
      <c r="E30" t="s">
        <v>1</v>
      </c>
    </row>
    <row r="31" spans="1:5">
      <c r="A31" t="s">
        <v>181</v>
      </c>
      <c r="B31" s="6">
        <f>B11-B28</f>
        <v>-2.63971933200935e-9</v>
      </c>
      <c r="C31" s="2" t="s">
        <v>1</v>
      </c>
      <c r="D31" s="2" t="s">
        <v>1</v>
      </c>
      <c r="E31" t="s">
        <v>1</v>
      </c>
    </row>
    <row r="32" spans="1:5">
      <c r="A32" t="s">
        <v>182</v>
      </c>
      <c r="B32" s="42">
        <f>B23-B30</f>
        <v>4.33236113650537e-9</v>
      </c>
      <c r="C32" s="2" t="s">
        <v>1</v>
      </c>
      <c r="D32" s="2" t="s">
        <v>1</v>
      </c>
      <c r="E32" t="s">
        <v>1</v>
      </c>
    </row>
    <row r="33" spans="1:5">
      <c r="A33" s="3" t="s">
        <v>183</v>
      </c>
      <c r="B33" s="8" t="s">
        <v>1</v>
      </c>
      <c r="C33" s="2" t="s">
        <v>1</v>
      </c>
      <c r="D33" s="2" t="s">
        <v>1</v>
      </c>
      <c r="E33" t="s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J53" evalError="1" twoDigitTextYear="1" numberStoredAsText="1" formula="1" formulaRange="1" unlockedFormula="1" emptyCellReference="1" listDataValidation="1" calculatedColumn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A1" sqref="A1"/>
    </sheetView>
  </sheetViews>
  <sheetFormatPr defaultColWidth="7.69166666666667" defaultRowHeight="18.5" outlineLevelCol="5"/>
  <cols>
    <col min="1" max="1" width="36.3916666666667" customWidth="1"/>
    <col min="2" max="3" width="16.3833333333333" customWidth="1"/>
    <col min="4" max="5" width="18.2" customWidth="1"/>
    <col min="6" max="6" width="40.0333333333333" customWidth="1"/>
  </cols>
  <sheetData>
    <row r="1" ht="22.5" spans="1:6">
      <c r="A1" s="1" t="s">
        <v>184</v>
      </c>
      <c r="B1" s="2" t="s">
        <v>1</v>
      </c>
      <c r="C1" s="2" t="s">
        <v>1</v>
      </c>
      <c r="D1" s="2" t="s">
        <v>1</v>
      </c>
      <c r="E1" s="3" t="s">
        <v>1</v>
      </c>
      <c r="F1" s="2" t="s">
        <v>1</v>
      </c>
    </row>
    <row r="2" ht="22.5" spans="1:6">
      <c r="A2" s="1" t="s">
        <v>1</v>
      </c>
      <c r="B2" s="2" t="s">
        <v>1</v>
      </c>
      <c r="C2" s="2" t="s">
        <v>1</v>
      </c>
      <c r="D2" s="2" t="s">
        <v>1</v>
      </c>
      <c r="E2" s="3" t="s">
        <v>1</v>
      </c>
      <c r="F2" s="2" t="s">
        <v>1</v>
      </c>
    </row>
    <row r="3" spans="1:6">
      <c r="A3" s="4" t="s">
        <v>185</v>
      </c>
      <c r="B3" s="2" t="s">
        <v>1</v>
      </c>
      <c r="C3" s="2" t="s">
        <v>1</v>
      </c>
      <c r="D3" s="2" t="s">
        <v>1</v>
      </c>
      <c r="E3" s="3" t="s">
        <v>1</v>
      </c>
      <c r="F3" s="2" t="s">
        <v>1</v>
      </c>
    </row>
    <row r="4" spans="1:6">
      <c r="A4" s="5" t="s">
        <v>186</v>
      </c>
      <c r="B4" s="6">
        <f>免费游戏RTP!$B$11</f>
        <v>1.40018607736028</v>
      </c>
      <c r="C4" s="2" t="s">
        <v>1</v>
      </c>
      <c r="D4" s="2" t="s">
        <v>1</v>
      </c>
      <c r="E4" s="3" t="s">
        <v>1</v>
      </c>
      <c r="F4" s="2" t="s">
        <v>1</v>
      </c>
    </row>
    <row r="5" spans="1:6">
      <c r="A5" s="5" t="s">
        <v>187</v>
      </c>
      <c r="B5" s="6">
        <f>B4-1</f>
        <v>0.400186077360281</v>
      </c>
      <c r="C5" s="2" t="s">
        <v>1</v>
      </c>
      <c r="D5" s="2" t="s">
        <v>1</v>
      </c>
      <c r="E5" s="3" t="s">
        <v>1</v>
      </c>
      <c r="F5" s="2" t="s">
        <v>1</v>
      </c>
    </row>
    <row r="6" spans="1:6">
      <c r="A6" t="s">
        <v>188</v>
      </c>
      <c r="B6" s="41">
        <f>B5/B4</f>
        <v>0.285809210526316</v>
      </c>
      <c r="C6" s="2" t="s">
        <v>1</v>
      </c>
      <c r="D6" s="2" t="s">
        <v>1</v>
      </c>
      <c r="E6" s="3" t="s">
        <v>1</v>
      </c>
      <c r="F6" s="2" t="s">
        <v>1</v>
      </c>
    </row>
    <row r="7" spans="1:6">
      <c r="A7" t="s">
        <v>189</v>
      </c>
      <c r="B7" s="42">
        <f>免费游戏RTP!$B$18/免费游戏RTP!$B$11</f>
        <v>0.283956447475843</v>
      </c>
      <c r="C7" s="2" t="s">
        <v>1</v>
      </c>
      <c r="D7" s="2" t="s">
        <v>1</v>
      </c>
      <c r="E7" s="3" t="s">
        <v>190</v>
      </c>
      <c r="F7" s="2" t="s">
        <v>1</v>
      </c>
    </row>
    <row r="8" spans="1:6">
      <c r="A8" t="s">
        <v>1</v>
      </c>
      <c r="B8" s="8" t="s">
        <v>1</v>
      </c>
      <c r="C8" s="2" t="s">
        <v>1</v>
      </c>
      <c r="D8" s="2" t="s">
        <v>1</v>
      </c>
      <c r="E8" s="3" t="s">
        <v>1</v>
      </c>
      <c r="F8" s="2" t="s">
        <v>1</v>
      </c>
    </row>
    <row r="9" spans="1:6">
      <c r="A9" s="4" t="s">
        <v>191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</row>
    <row r="10" spans="1:6">
      <c r="A10" s="9" t="s">
        <v>192</v>
      </c>
      <c r="B10" s="9" t="s">
        <v>193</v>
      </c>
      <c r="C10" s="9" t="s">
        <v>194</v>
      </c>
      <c r="D10" s="9" t="s">
        <v>195</v>
      </c>
      <c r="E10" s="9" t="s">
        <v>196</v>
      </c>
      <c r="F10" s="9" t="s">
        <v>157</v>
      </c>
    </row>
    <row r="11" spans="1:6">
      <c r="A11" s="39">
        <v>3</v>
      </c>
      <c r="B11" s="10">
        <f>免费游戏RTP!B7</f>
        <v>10</v>
      </c>
      <c r="C11" s="11">
        <f>免费游戏RTP!B12</f>
        <v>14.0018607736028</v>
      </c>
      <c r="D11" s="42">
        <f>免费游戏RTP!$B$15</f>
        <v>1.02276546052632</v>
      </c>
      <c r="E11" s="12">
        <f>C11*D11</f>
        <v>14.3206195823392</v>
      </c>
      <c r="F11" s="9" t="s">
        <v>1</v>
      </c>
    </row>
    <row r="12" spans="1:6">
      <c r="A12" s="39">
        <v>4</v>
      </c>
      <c r="B12" s="10">
        <f>免费游戏RTP!C7</f>
        <v>15</v>
      </c>
      <c r="C12" s="11">
        <f>免费游戏RTP!C12</f>
        <v>21.0027911604042</v>
      </c>
      <c r="D12" s="42">
        <f>免费游戏RTP!$B$15</f>
        <v>1.02276546052632</v>
      </c>
      <c r="E12" s="12">
        <f>C12*D12</f>
        <v>21.4809293735089</v>
      </c>
      <c r="F12" s="9" t="s">
        <v>1</v>
      </c>
    </row>
    <row r="13" spans="1:6">
      <c r="A13" s="39">
        <v>5</v>
      </c>
      <c r="B13" s="10">
        <f>免费游戏RTP!D7</f>
        <v>20</v>
      </c>
      <c r="C13" s="11">
        <f>免费游戏RTP!D12</f>
        <v>28.0037215472056</v>
      </c>
      <c r="D13" s="42">
        <f>免费游戏RTP!$B$15</f>
        <v>1.02276546052632</v>
      </c>
      <c r="E13" s="12">
        <f>C13*D13</f>
        <v>28.6412391646785</v>
      </c>
      <c r="F13" s="39">
        <v>5</v>
      </c>
    </row>
    <row r="14" spans="1:6">
      <c r="A14" s="5" t="s">
        <v>1</v>
      </c>
      <c r="B14" s="10" t="s">
        <v>1</v>
      </c>
      <c r="C14" s="11" t="s">
        <v>1</v>
      </c>
      <c r="D14" s="8" t="s">
        <v>1</v>
      </c>
      <c r="E14" s="12" t="s">
        <v>1</v>
      </c>
      <c r="F14" s="5" t="s">
        <v>1</v>
      </c>
    </row>
    <row r="15" spans="1:6">
      <c r="A15" s="4" t="s">
        <v>201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</row>
    <row r="16" spans="1:6">
      <c r="A16" s="9" t="s">
        <v>202</v>
      </c>
      <c r="B16" s="13" t="s">
        <v>203</v>
      </c>
      <c r="C16" s="13" t="s">
        <v>204</v>
      </c>
      <c r="D16" s="9" t="s">
        <v>205</v>
      </c>
      <c r="E16" s="9" t="s">
        <v>206</v>
      </c>
      <c r="F16" s="9" t="s">
        <v>207</v>
      </c>
    </row>
    <row r="17" spans="1:6">
      <c r="A17" s="14">
        <v>0</v>
      </c>
      <c r="B17" s="42">
        <f>A17*免费游戏RTP!$B$10</f>
        <v>0</v>
      </c>
      <c r="C17" s="6">
        <f t="shared" ref="C17:C24" si="0">IF(B17&gt;=1,"发散",1/(1-B17))</f>
        <v>1</v>
      </c>
      <c r="D17" s="42">
        <f>IF(B17&gt;=1,"",(免费游戏RTP!$B$17+免费游戏RTP!$C$17+免费游戏RTP!$D$17)*(1/(1-B17))/免费游戏RTP!$B$11)</f>
        <v>0.283956447475843</v>
      </c>
      <c r="E17" s="42">
        <f>IF(B17&gt;=1,"",免费游戏RTP!$B$21+D17)</f>
        <v>0.933998947475843</v>
      </c>
      <c r="F17" t="s">
        <v>208</v>
      </c>
    </row>
    <row r="18" spans="1:6">
      <c r="A18" s="14">
        <v>0.25</v>
      </c>
      <c r="B18" s="42">
        <f>A18*免费游戏RTP!$B$10</f>
        <v>0.071452302631579</v>
      </c>
      <c r="C18" s="6">
        <f t="shared" si="0"/>
        <v>1.07695060020512</v>
      </c>
      <c r="D18" s="42">
        <f>IF(B18&gt;=1,"",(免费游戏RTP!$B$17+免费游戏RTP!$C$17+免费游戏RTP!$D$17)*(1/(1-B18))/免费游戏RTP!$B$11)</f>
        <v>0.305807066541222</v>
      </c>
      <c r="E18" s="42">
        <f>IF(B18&gt;=1,"",免费游戏RTP!$B$21+D18)</f>
        <v>0.955849566541222</v>
      </c>
      <c r="F18" t="s">
        <v>1</v>
      </c>
    </row>
    <row r="19" spans="1:6">
      <c r="A19" s="14">
        <v>0.5</v>
      </c>
      <c r="B19" s="42">
        <f>A19*免费游戏RTP!$B$10</f>
        <v>0.142904605263158</v>
      </c>
      <c r="C19" s="6">
        <f t="shared" si="0"/>
        <v>1.16673127185222</v>
      </c>
      <c r="D19" s="42">
        <f>IF(B19&gt;=1,"",(免费游戏RTP!$B$17+免费游戏RTP!$C$17+免费游戏RTP!$D$17)*(1/(1-B19))/免费游戏RTP!$B$11)</f>
        <v>0.331300867114129</v>
      </c>
      <c r="E19" s="42">
        <f>IF(B19&gt;=1,"",免费游戏RTP!$B$21+D19)</f>
        <v>0.981343367114129</v>
      </c>
      <c r="F19" t="s">
        <v>1</v>
      </c>
    </row>
    <row r="20" spans="1:6">
      <c r="A20" s="14">
        <v>0.75</v>
      </c>
      <c r="B20" s="42">
        <f>A20*免费游戏RTP!$B$10</f>
        <v>0.214356907894737</v>
      </c>
      <c r="C20" s="6">
        <f t="shared" si="0"/>
        <v>1.27284260505662</v>
      </c>
      <c r="D20" s="42">
        <f>IF(B20&gt;=1,"",(免费游戏RTP!$B$17+免费游戏RTP!$C$17+免费游戏RTP!$D$17)*(1/(1-B20))/免费游戏RTP!$B$11)</f>
        <v>0.361431864327775</v>
      </c>
      <c r="E20" s="42">
        <f>IF(B20&gt;=1,"",免费游戏RTP!$B$21+D20)</f>
        <v>1.01147436432777</v>
      </c>
      <c r="F20" t="s">
        <v>1</v>
      </c>
    </row>
    <row r="21" spans="1:6">
      <c r="A21" s="14">
        <v>1</v>
      </c>
      <c r="B21" s="42">
        <f>A21*免费游戏RTP!$B$10</f>
        <v>0.285809210526316</v>
      </c>
      <c r="C21" s="6">
        <f t="shared" si="0"/>
        <v>1.40018607736028</v>
      </c>
      <c r="D21" s="42">
        <f>IF(B21&gt;=1,"",(免费游戏RTP!$B$17+免费游戏RTP!$C$17+免费游戏RTP!$D$17)*(1/(1-B21))/免费游戏RTP!$B$11)</f>
        <v>0.397591864332361</v>
      </c>
      <c r="E21" s="42">
        <f>IF(B21&gt;=1,"",免费游戏RTP!$B$21+D21)</f>
        <v>1.04763436433236</v>
      </c>
      <c r="F21" t="s">
        <v>209</v>
      </c>
    </row>
    <row r="22" spans="1:6">
      <c r="A22" s="14">
        <v>1.25</v>
      </c>
      <c r="B22" s="42">
        <f>A22*免费游戏RTP!$B$10</f>
        <v>0.357261513157895</v>
      </c>
      <c r="C22" s="6">
        <f t="shared" si="0"/>
        <v>1.5558427268191</v>
      </c>
      <c r="D22" s="42">
        <f>IF(B22&gt;=1,"",(免费游戏RTP!$B$17+免费游戏RTP!$C$17+免费游戏RTP!$D$17)*(1/(1-B22))/免费游戏RTP!$B$11)</f>
        <v>0.441791573538679</v>
      </c>
      <c r="E22" s="42">
        <f>IF(B22&gt;=1,"",免费游戏RTP!$B$21+D22)</f>
        <v>1.09183407353868</v>
      </c>
      <c r="F22" t="s">
        <v>1</v>
      </c>
    </row>
    <row r="23" spans="1:6">
      <c r="A23" s="14">
        <v>1.5</v>
      </c>
      <c r="B23" s="42">
        <f>A23*免费游戏RTP!$B$10</f>
        <v>0.428713815789474</v>
      </c>
      <c r="C23" s="6">
        <f t="shared" si="0"/>
        <v>1.75043616953896</v>
      </c>
      <c r="D23" s="42">
        <f>IF(B23&gt;=1,"",(免费游戏RTP!$B$17+免费游戏RTP!$C$17+免费游戏RTP!$D$17)*(1/(1-B23))/免费游戏RTP!$B$11)</f>
        <v>0.497047636235504</v>
      </c>
      <c r="E23" s="42">
        <f>IF(B23&gt;=1,"",免费游戏RTP!$B$21+D23)</f>
        <v>1.1470901362355</v>
      </c>
      <c r="F23" s="5" t="s">
        <v>210</v>
      </c>
    </row>
    <row r="24" spans="1:6">
      <c r="A24" s="14">
        <v>2</v>
      </c>
      <c r="B24" s="42">
        <f>A24*免费游戏RTP!$B$10</f>
        <v>0.571618421052632</v>
      </c>
      <c r="C24" s="6">
        <f t="shared" si="0"/>
        <v>2.33436741714531</v>
      </c>
      <c r="D24" s="42">
        <f>IF(B24&gt;=1,"",(免费游戏RTP!$B$17+免费游戏RTP!$C$17+免费游戏RTP!$D$17)*(1/(1-B24))/免费游戏RTP!$B$11)</f>
        <v>0.662858678875943</v>
      </c>
      <c r="E24" s="42">
        <f>IF(B24&gt;=1,"",免费游戏RTP!$B$21+D24)</f>
        <v>1.31290117887594</v>
      </c>
      <c r="F24" s="5" t="s">
        <v>210</v>
      </c>
    </row>
    <row r="25" spans="1:6">
      <c r="A25" s="14" t="s">
        <v>1</v>
      </c>
      <c r="B25" s="8" t="s">
        <v>1</v>
      </c>
      <c r="C25" s="6" t="s">
        <v>1</v>
      </c>
      <c r="D25" s="8" t="s">
        <v>1</v>
      </c>
      <c r="E25" s="8" t="s">
        <v>1</v>
      </c>
      <c r="F25" s="5" t="s">
        <v>1</v>
      </c>
    </row>
    <row r="26" spans="1:6">
      <c r="A26" s="3" t="s">
        <v>211</v>
      </c>
      <c r="B26" s="8" t="s">
        <v>1</v>
      </c>
      <c r="C26" s="6" t="s">
        <v>1</v>
      </c>
      <c r="D26" s="8" t="s">
        <v>1</v>
      </c>
      <c r="E26" s="8" t="s">
        <v>1</v>
      </c>
      <c r="F26" s="5" t="s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K46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滚轴与计数</vt:lpstr>
      <vt:lpstr>单把RTP</vt:lpstr>
      <vt:lpstr>Scatter与触发率</vt:lpstr>
      <vt:lpstr>免费游戏RTP</vt:lpstr>
      <vt:lpstr>再触发与波动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cp:revision>0</cp:revision>
  <dcterms:created xsi:type="dcterms:W3CDTF">2026-09-29T05:39:00Z</dcterms:created>
  <dcterms:modified xsi:type="dcterms:W3CDTF">2026-09-29T16:06:43Z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9B68CFC660E543C592BBE4DE1A792C09_12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