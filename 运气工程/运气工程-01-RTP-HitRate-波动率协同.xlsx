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说明" state="visible" r:id="rId4"/>
    <sheet sheetId="2" name="三指标模型" state="visible" r:id="rId5"/>
    <sheet sheetId="3" name="组合对照" state="visible" r:id="rId6"/>
    <sheet sheetId="4" name="空转概率" state="visible" r:id="rId7"/>
    <sheet sheetId="5" name="反推工具" state="visible" r:id="rId8"/>
  </sheets>
  <calcPr calcId="171027"/>
</workbook>
</file>

<file path=xl/sharedStrings.xml><?xml version="1.0" encoding="utf-8"?>
<sst xmlns="http://schemas.openxmlformats.org/spreadsheetml/2006/main" count="418" uniqueCount="124">
  <si>
    <t>运气工程 ① —— Slots 数值系统中的 RTP / Hit Rate / 波动率协同</t>
  </si>
  <si>
    <t xml:space="preserve"> </t>
  </si>
  <si>
    <t>来源：知乎《Slots 数值系统中的 RTP、Hit Rate 和波动率如何协同？》 https://zhuanlan.zhihu.com/p/1919421081430766188</t>
  </si>
  <si>
    <t>专栏：运气工程：Slots 数值研究所  https://zhuanlan.zhihu.com/c_1918334633642287500</t>
  </si>
  <si>
    <t>页签</t>
  </si>
  <si>
    <t>· 三指标模型：单次下注 / Hit Rate / 平均中奖金额 → RTP、庄家优势、命中节奏</t>
  </si>
  <si>
    <t>· 组合对照：同一 RTP 下「高频低奖 / 中频中奖 / 低频高奖」三档体感对照</t>
  </si>
  <si>
    <t>· 空转概率：连续空转 k 转的概率与 95% 分位最长空转</t>
  </si>
  <si>
    <t>· 反推工具：由目标 RTP 反推平均中奖金额或最低 Hit Rate</t>
  </si>
  <si>
    <t>一、三个指标各管什么</t>
  </si>
  <si>
    <t>· RTP（长期平均返还率）：决定玩家长期输赢节奏与「长期稳定感」，是系统盈亏控制的核心。</t>
  </si>
  <si>
    <t>· Hit Rate（中奖频率 / 命中率）：决定某一轮是否出现「中奖判定」，影响中奖感与「没白转」感，</t>
  </si>
  <si>
    <t xml:space="preserve">  是控制局内节奏与体验密度的关键。</t>
  </si>
  <si>
    <t>· 波动率（奖励分布的波动程度）：高波动 = 大奖稀但爽感强；低波动 = 奖励频率均匀。</t>
  </si>
  <si>
    <t xml:space="preserve">  影响爽感起伏与爆点冲击力，进而影响生命周期与收益节奏。</t>
  </si>
  <si>
    <t>二、三者的基本数学逻辑</t>
  </si>
  <si>
    <t>原文核心关系：RTP ≈ Hit Rate × 平均中奖金额</t>
  </si>
  <si>
    <t>（严格写法：RTP = Hit Rate × 平均中奖金额 ÷ 单次投注额）</t>
  </si>
  <si>
    <t>这是数值策划调参的「第一道守门线」：任何调一项参数的动作，都必须在数学上对其它参数做补偿或重构。</t>
  </si>
  <si>
    <t>例如要提高 Hit Rate，就必须降低平均中奖金额，才能保持 RTP 不变。</t>
  </si>
  <si>
    <t>三、同 RTP 下的三种组合（原文为定性描述，本簿给出可算的量化版本）</t>
  </si>
  <si>
    <t>· 高频低奖型：中奖频繁但都是小奖 —— 节奏快、爽感弱 —— 新手场 / 试玩体验</t>
  </si>
  <si>
    <t>· 中频中奖型：有节奏、有爆点，收益波动适中 —— 主力场 / 长期保留</t>
  </si>
  <si>
    <t>· 低频高奖型：中奖次数少但大奖爽感强 —— 高倍场 / 大 R 场</t>
  </si>
  <si>
    <t>四、策划实战（原文要点）</t>
  </si>
  <si>
    <t>1) 玩家阶段与付费深度</t>
  </si>
  <si>
    <t xml:space="preserve">   新手引导期：高 Hit Rate + 低波动，中奖不断，建立留存意愿</t>
  </si>
  <si>
    <t xml:space="preserve">   中度付费期：中 Hit Rate + 中波动，制造节奏变化，维持挑战感</t>
  </si>
  <si>
    <t xml:space="preserve">   高风险高付费期：低 Hit Rate + 高波动，放大爆奖体验，引导追投</t>
  </si>
  <si>
    <t>2) 场次类型：低倍休闲场（高 Hit 低波动）/ 中倍主力场（平衡）/ 高倍挑战场（低 Hit 高波动）</t>
  </si>
  <si>
    <t>3) 玩法机制搭配：Free Game 出现频率高时要重新分配整体 Hit Rate，防止奖励过载；</t>
  </si>
  <si>
    <t xml:space="preserve">   Bonus 属高波动玩法，应限制其总期望在 RTP 可控范围内。</t>
  </si>
  <si>
    <t>五、常见误区（原文）</t>
  </si>
  <si>
    <t>· 误区一：Hit Rate 越高玩家越爽。→ 奖金额小会「中奖无感」，甚至怀疑系统在耍他。</t>
  </si>
  <si>
    <t>· 误区二：RTP 高就能留住玩家。→ RTP 是长期指标，玩家感知的是短期波动与情绪节奏。</t>
  </si>
  <si>
    <t>· 误区三：波动率随便调没关系。→ 波动率影响心理预期管理，高波动 = 高希望 + 高挫败。</t>
  </si>
  <si>
    <t>六、抓取说明</t>
  </si>
  <si>
    <t>本簿内容依据该文标题、正文（经公开转载页还原）与专栏摘要整理；原文配图（3 张）未能读取。</t>
  </si>
  <si>
    <t>文中所有数值均为示例参数，由本簿公式实时算出，可用蓝色输入格自行替换。</t>
  </si>
  <si>
    <t>蓝色 = 可改输入；黑色 = 公式；黄底 = 关键结果。</t>
  </si>
  <si>
    <t>RTP / Hit Rate / 波动率 —— 三指标基本关系（蓝字可改 / 黑字公式 / 黄底结果）</t>
  </si>
  <si>
    <t>【输入】</t>
  </si>
  <si>
    <t>单次下注（信用）</t>
  </si>
  <si>
    <t>中奖率 Hit Rate</t>
  </si>
  <si>
    <t>平均中奖金额（倍注，即每中一次的派彩 ÷ 单次下注）</t>
  </si>
  <si>
    <t>目标 RTP</t>
  </si>
  <si>
    <t>【计算】</t>
  </si>
  <si>
    <t>RTP = Hit Rate × 平均中奖金额 ÷ 单次下注</t>
  </si>
  <si>
    <t>← 原文「第一道守门线」</t>
  </si>
  <si>
    <t>庄家优势 House Edge = 1 − RTP</t>
  </si>
  <si>
    <t>平均多少转中一次 = 1 ÷ Hit Rate</t>
  </si>
  <si>
    <t>每 100 转的中奖次数</t>
  </si>
  <si>
    <t>每 100 转的派彩总额</t>
  </si>
  <si>
    <t>每 100 转的净收益（负 = 玩家净亏）</t>
  </si>
  <si>
    <t>实际 RTP 与目标 RTP 的差</t>
  </si>
  <si>
    <t>【三指标的联动直觉】</t>
  </si>
  <si>
    <t>做法</t>
  </si>
  <si>
    <t>Hit Rate</t>
  </si>
  <si>
    <t>平均中奖金额</t>
  </si>
  <si>
    <t>RTP</t>
  </si>
  <si>
    <t>体感</t>
  </si>
  <si>
    <t>提高中奖率、奖金额不变</t>
  </si>
  <si>
    <t>RTP 上升 → 必须下调奖金额才能守住 96%</t>
  </si>
  <si>
    <t>守住 RTP、提高中奖率</t>
  </si>
  <si>
    <t>奖金额同步下调，中奖更频繁但更小</t>
  </si>
  <si>
    <t>守住 RTP、降低中奖率</t>
  </si>
  <si>
    <t>中奖更少但更大 → 高波动</t>
  </si>
  <si>
    <t>同一 RTP、不同 Hit Rate / 波动率的三档组合</t>
  </si>
  <si>
    <t>【输入】目标 RTP（三档共用）</t>
  </si>
  <si>
    <t>三档的 Hit Rate 不同，平均中奖金额由公式自动补偿，使 RTP 恒定</t>
  </si>
  <si>
    <t>【三档对照】</t>
  </si>
  <si>
    <t>组合类型</t>
  </si>
  <si>
    <t>平均中奖金额(倍注)</t>
  </si>
  <si>
    <t>每 100 转中奖次数</t>
  </si>
  <si>
    <t>每 100 转派彩</t>
  </si>
  <si>
    <t>体验特征</t>
  </si>
  <si>
    <t>适用场景</t>
  </si>
  <si>
    <t>高频低奖型</t>
  </si>
  <si>
    <t>中奖频繁但都是小奖，节奏快、爽感弱</t>
  </si>
  <si>
    <t>新手场 / 试玩体验</t>
  </si>
  <si>
    <t>中频中奖型</t>
  </si>
  <si>
    <t>有节奏、有爆点，收益波动适中</t>
  </si>
  <si>
    <t>主力场 / 长期保留</t>
  </si>
  <si>
    <t>低频高奖型</t>
  </si>
  <si>
    <t>中奖次数少但大奖爽感强，刺激、波动大</t>
  </si>
  <si>
    <t>高倍场 / 大 R 场</t>
  </si>
  <si>
    <t>极端高波动</t>
  </si>
  <si>
    <t>极低频、极端大奖，长期空转感明显</t>
  </si>
  <si>
    <t>高倍挑战场 / 爆奖营销</t>
  </si>
  <si>
    <t>【同 RTP 下的「命中节奏」差异】</t>
  </si>
  <si>
    <t>平均多少转中一次</t>
  </si>
  <si>
    <t>连续不中 10 转的概率</t>
  </si>
  <si>
    <t>连续不中 20 转的概率</t>
  </si>
  <si>
    <t>连续不中 50 转的概率</t>
  </si>
  <si>
    <t>结论：RTP 相同不等于体感相同。Hit Rate 与波动率决定了「中奖频率 × 单次力度」的形状，这才是玩家真正感知到的东西。</t>
  </si>
  <si>
    <t>连续空转（未中奖）概率与 95% 分位最长空转</t>
  </si>
  <si>
    <t>【连续空转 k 转的概率】</t>
  </si>
  <si>
    <t>k</t>
  </si>
  <si>
    <t>概率 (1-HR)^k</t>
  </si>
  <si>
    <t>至少中奖 1 次的概率</t>
  </si>
  <si>
    <t>95% 分位最长空转（第一个概率 &lt; 5% 的 k）</t>
  </si>
  <si>
    <t>99% 分位最长空转（第一个概率 &lt; 1% 的 k）</t>
  </si>
  <si>
    <t>连续 10 转不中的概率</t>
  </si>
  <si>
    <t>【不同 Hit Rate 的最长空转对照】</t>
  </si>
  <si>
    <t>连续 20 转不中</t>
  </si>
  <si>
    <t>连续 50 转不中</t>
  </si>
  <si>
    <t>连续 100 转不中</t>
  </si>
  <si>
    <t>调参反推：RTP / Hit Rate / 平均中奖金额 三者互算</t>
  </si>
  <si>
    <t>【工具一】给定目标 RTP 与 Hit Rate → 需要的平均中奖金额</t>
  </si>
  <si>
    <t>需要的平均中奖金额（倍注）</t>
  </si>
  <si>
    <t>← 公式：平均中奖金额 = RTP ÷ Hit Rate</t>
  </si>
  <si>
    <t>【工具二】给定目标 RTP 与平均中奖金额 → 需要的最低 Hit Rate</t>
  </si>
  <si>
    <t>平均中奖金额（倍注）</t>
  </si>
  <si>
    <t>需要的最低 Hit Rate</t>
  </si>
  <si>
    <t>← 公式：Hit Rate = RTP ÷ 平均中奖金额</t>
  </si>
  <si>
    <t>【工具三】调整 Hit Rate 时的奖金补偿（保持 RTP 不变）</t>
  </si>
  <si>
    <t>原 Hit Rate</t>
  </si>
  <si>
    <t>原平均中奖金额（倍注）</t>
  </si>
  <si>
    <t>原 RTP</t>
  </si>
  <si>
    <t>新 Hit Rate</t>
  </si>
  <si>
    <t>补偿后的平均中奖金额（倍注）</t>
  </si>
  <si>
    <t>平均中奖金额变动幅度</t>
  </si>
  <si>
    <t>校验：新 RTP</t>
  </si>
  <si>
    <t>举例：Hit Rate 从 25% 提到 35%（提升 40%），平均中奖金额必须从 3.84 倍降到 2.74 倍（降 28.6%），RTP 才能守住 96%。这就是原文说的「调一项必须补偿其它项」。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</si>
</sst>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00000%"/>
  </numFmts>
  <fonts count="13" x14ac:knownFonts="1">
    <font>
      <color theme="1"/>
      <family val="2"/>
      <scheme val="minor"/>
      <sz val="11"/>
      <name val="Calibri"/>
    </font>
    <font>
      <b/>
      <color rgb="FF1F4E79"/>
      <sz val="14"/>
      <name val="Noto Sans SC"/>
    </font>
    <font>
      <color rgb="FF808080"/>
      <sz val="11"/>
      <name val="Noto Sans SC"/>
    </font>
    <font>
      <b/>
      <sz val="11"/>
      <name val="Noto Sans SC"/>
    </font>
    <font>
      <sz val="11"/>
      <name val="Calibri"/>
    </font>
    <font>
      <sz val="11"/>
      <name val="Noto Sans SC"/>
    </font>
    <font>
      <b/>
      <color rgb="FF1F4E79"/>
      <sz val="14"/>
      <name val="Cambria"/>
    </font>
    <font>
      <color rgb="FF0000FF"/>
      <sz val="11"/>
      <name val="Cambria"/>
    </font>
    <font>
      <b/>
      <color rgb="FF1F4E79"/>
      <sz val="11"/>
      <name val="Cambria"/>
    </font>
    <font>
      <b/>
      <color rgb="FF1F4E79"/>
      <sz val="11"/>
      <name val="Noto Sans SC"/>
    </font>
    <font>
      <b/>
      <sz val="11"/>
      <name val="Cambria"/>
    </font>
    <font>
      <color rgb="FF000000"/>
      <sz val="11"/>
      <name val="Cambria"/>
    </font>
    <font>
      <color rgb="FF808080"/>
      <sz val="11"/>
      <name val="Cambria"/>
    </font>
  </fonts>
  <fills count="5">
    <fill>
      <patternFill patternType="none"/>
    </fill>
    <fill>
      <patternFill patternType="gray125"/>
    </fill>
    <fill>
      <patternFill patternType="solid">
        <fgColor rgb="FFDEEBF7"/>
      </patternFill>
    </fill>
    <fill>
      <patternFill patternType="solid">
        <fgColor rgb="FFB4C7E7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bottom"/>
    </xf>
    <xf numFmtId="0" fontId="2" fillId="0" borderId="0" xfId="0" applyFont="1" applyAlignment="1">
      <alignment vertical="bottom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bottom"/>
    </xf>
    <xf numFmtId="2" fontId="7" fillId="0" borderId="0" xfId="0" applyNumberFormat="1" applyFont="1" applyAlignment="1">
      <alignment vertical="bottom"/>
    </xf>
    <xf numFmtId="0" fontId="8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3" borderId="0" xfId="0" applyFont="1" applyFill="1" applyAlignment="1">
      <alignment vertical="bottom"/>
    </xf>
    <xf numFmtId="10" fontId="7" fillId="0" borderId="0" xfId="0" applyNumberFormat="1" applyFont="1" applyAlignment="1">
      <alignment vertical="bottom"/>
    </xf>
    <xf numFmtId="0" fontId="4" fillId="0" borderId="0" xfId="0" applyFont="1" applyAlignment="1">
      <alignment vertical="bottom"/>
    </xf>
    <xf numFmtId="10" fontId="10" fillId="4" borderId="0" xfId="0" applyNumberFormat="1" applyFont="1" applyFill="1" applyAlignment="1">
      <alignment vertical="bottom"/>
    </xf>
    <xf numFmtId="10" fontId="11" fillId="0" borderId="0" xfId="0" applyNumberFormat="1" applyFont="1" applyAlignment="1">
      <alignment vertical="bottom"/>
    </xf>
    <xf numFmtId="2" fontId="11" fillId="0" borderId="0" xfId="0" applyNumberFormat="1" applyFont="1" applyAlignment="1">
      <alignment vertical="bottom"/>
    </xf>
    <xf numFmtId="0" fontId="11" fillId="0" borderId="0" xfId="0" applyFont="1" applyAlignment="1">
      <alignment vertical="bottom"/>
    </xf>
    <xf numFmtId="0" fontId="12" fillId="0" borderId="0" xfId="0" applyFont="1" applyAlignment="1">
      <alignment vertical="bottom"/>
    </xf>
    <xf numFmtId="4" fontId="10" fillId="4" borderId="0" xfId="0" applyNumberFormat="1" applyFont="1" applyFill="1" applyAlignment="1">
      <alignment vertical="bottom"/>
    </xf>
    <xf numFmtId="2" fontId="10" fillId="4" borderId="0" xfId="0" applyNumberFormat="1" applyFont="1" applyFill="1" applyAlignment="1">
      <alignment vertical="bottom"/>
    </xf>
    <xf numFmtId="164" applyNumberFormat="1" fontId="7" fillId="0" borderId="0" xfId="0" applyFont="1" applyAlignment="1">
      <alignment vertical="bottom"/>
    </xf>
    <xf numFmtId="164" applyNumberFormat="1" fontId="10" fillId="4" borderId="0" xfId="0" applyFont="1" applyFill="1" applyAlignment="1">
      <alignment vertical="bottom"/>
    </xf>
    <xf numFmtId="164" applyNumberFormat="1" fontId="11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7"/>
  <sheetFormatPr defaultRowHeight="15" outlineLevelRow="0" outlineLevelCol="0" x14ac:dyDescent="55"/>
  <cols>
    <col min="1" max="1" width="42.142857142857146" customWidth="1"/>
    <col min="2" max="24" width="13.571428571428571" customWidth="1"/>
  </cols>
  <sheetData>
    <row r="1" ht="18.75" customHeight="1" spans="1:1" x14ac:dyDescent="0.25">
      <c r="A1" s="1" t="s">
        <v>0</v>
      </c>
    </row>
    <row r="2" spans="1:1" x14ac:dyDescent="0.25">
      <c r="A2" s="1" t="s">
        <v>1</v>
      </c>
    </row>
    <row r="3" ht="15.75" customHeight="1" spans="1:1" x14ac:dyDescent="0.25">
      <c r="A3" s="2" t="s">
        <v>2</v>
      </c>
    </row>
    <row r="4" ht="15.75" customHeight="1" spans="1:1" x14ac:dyDescent="0.25">
      <c r="A4" s="2" t="s">
        <v>3</v>
      </c>
    </row>
    <row r="5" spans="1:1" x14ac:dyDescent="0.25">
      <c r="A5" s="2" t="s">
        <v>1</v>
      </c>
    </row>
    <row r="6" ht="15" customHeight="1" spans="1:1" x14ac:dyDescent="0.25">
      <c r="A6" s="3" t="s">
        <v>4</v>
      </c>
    </row>
    <row r="7" ht="15.75" customHeight="1" spans="1:1" x14ac:dyDescent="0.25">
      <c r="A7" s="4" t="s">
        <v>5</v>
      </c>
    </row>
    <row r="8" ht="15.75" customHeight="1" spans="1:1" x14ac:dyDescent="0.25">
      <c r="A8" s="4" t="s">
        <v>6</v>
      </c>
    </row>
    <row r="9" ht="15.75" customHeight="1" spans="1:1" x14ac:dyDescent="0.25">
      <c r="A9" s="4" t="s">
        <v>7</v>
      </c>
    </row>
    <row r="10" ht="15.75" customHeight="1" spans="1:1" x14ac:dyDescent="0.25">
      <c r="A10" s="4" t="s">
        <v>8</v>
      </c>
    </row>
    <row r="11" ht="15" customHeight="1" spans="1:1" x14ac:dyDescent="0.25">
      <c r="A11" s="4" t="s">
        <v>1</v>
      </c>
    </row>
    <row r="12" ht="15" customHeight="1" spans="1:1" x14ac:dyDescent="0.25">
      <c r="A12" s="3" t="s">
        <v>9</v>
      </c>
    </row>
    <row r="13" ht="15.75" customHeight="1" spans="1:1" x14ac:dyDescent="0.25">
      <c r="A13" s="4" t="s">
        <v>10</v>
      </c>
    </row>
    <row r="14" ht="15.75" customHeight="1" spans="1:1" x14ac:dyDescent="0.25">
      <c r="A14" s="4" t="s">
        <v>11</v>
      </c>
    </row>
    <row r="15" ht="15" customHeight="1" spans="1:1" x14ac:dyDescent="0.25">
      <c r="A15" s="5" t="s">
        <v>12</v>
      </c>
    </row>
    <row r="16" ht="15.75" customHeight="1" spans="1:1" x14ac:dyDescent="0.25">
      <c r="A16" s="4" t="s">
        <v>13</v>
      </c>
    </row>
    <row r="17" ht="15" customHeight="1" spans="1:1" x14ac:dyDescent="0.25">
      <c r="A17" s="5" t="s">
        <v>14</v>
      </c>
    </row>
    <row r="18" ht="15" customHeight="1" spans="1:1" x14ac:dyDescent="0.25">
      <c r="A18" s="5" t="s">
        <v>1</v>
      </c>
    </row>
    <row r="19" ht="15" customHeight="1" spans="1:1" x14ac:dyDescent="0.25">
      <c r="A19" s="3" t="s">
        <v>15</v>
      </c>
    </row>
    <row r="20" ht="15.75" customHeight="1" spans="1:1" x14ac:dyDescent="0.25">
      <c r="A20" s="5" t="s">
        <v>16</v>
      </c>
    </row>
    <row r="21" ht="15.75" customHeight="1" spans="1:1" x14ac:dyDescent="0.25">
      <c r="A21" s="5" t="s">
        <v>17</v>
      </c>
    </row>
    <row r="22" ht="15" customHeight="1" spans="1:1" x14ac:dyDescent="0.25">
      <c r="A22" s="5" t="s">
        <v>18</v>
      </c>
    </row>
    <row r="23" ht="15.75" customHeight="1" spans="1:1" x14ac:dyDescent="0.25">
      <c r="A23" s="5" t="s">
        <v>19</v>
      </c>
    </row>
    <row r="24" ht="15" customHeight="1" spans="1:1" x14ac:dyDescent="0.25">
      <c r="A24" s="5" t="s">
        <v>1</v>
      </c>
    </row>
    <row r="25" ht="15.75" customHeight="1" spans="1:1" x14ac:dyDescent="0.25">
      <c r="A25" s="3" t="s">
        <v>20</v>
      </c>
    </row>
    <row r="26" ht="15.75" customHeight="1" spans="1:1" x14ac:dyDescent="0.25">
      <c r="A26" s="4" t="s">
        <v>21</v>
      </c>
    </row>
    <row r="27" ht="15.75" customHeight="1" spans="1:1" x14ac:dyDescent="0.25">
      <c r="A27" s="4" t="s">
        <v>22</v>
      </c>
    </row>
    <row r="28" ht="15.75" customHeight="1" spans="1:1" x14ac:dyDescent="0.25">
      <c r="A28" s="4" t="s">
        <v>23</v>
      </c>
    </row>
    <row r="29" ht="15" customHeight="1" spans="1:1" x14ac:dyDescent="0.25">
      <c r="A29" s="5" t="s">
        <v>1</v>
      </c>
    </row>
    <row r="30" ht="15" customHeight="1" spans="1:1" x14ac:dyDescent="0.25">
      <c r="A30" s="3" t="s">
        <v>24</v>
      </c>
    </row>
    <row r="31" ht="15.75" customHeight="1" spans="1:1" x14ac:dyDescent="0.25">
      <c r="A31" s="4" t="s">
        <v>25</v>
      </c>
    </row>
    <row r="32" ht="15.75" customHeight="1" spans="1:1" x14ac:dyDescent="0.25">
      <c r="A32" s="5" t="s">
        <v>26</v>
      </c>
    </row>
    <row r="33" ht="15.75" customHeight="1" spans="1:1" x14ac:dyDescent="0.25">
      <c r="A33" s="5" t="s">
        <v>27</v>
      </c>
    </row>
    <row r="34" ht="15.75" customHeight="1" spans="1:1" x14ac:dyDescent="0.25">
      <c r="A34" s="5" t="s">
        <v>28</v>
      </c>
    </row>
    <row r="35" ht="15.75" customHeight="1" spans="1:1" x14ac:dyDescent="0.25">
      <c r="A35" s="4" t="s">
        <v>29</v>
      </c>
    </row>
    <row r="36" ht="15.75" customHeight="1" spans="1:1" x14ac:dyDescent="0.25">
      <c r="A36" s="4" t="s">
        <v>30</v>
      </c>
    </row>
    <row r="37" ht="15.75" customHeight="1" spans="1:1" x14ac:dyDescent="0.25">
      <c r="A37" s="4" t="s">
        <v>31</v>
      </c>
    </row>
    <row r="38" ht="15" customHeight="1" spans="1:1" x14ac:dyDescent="0.25">
      <c r="A38" s="5" t="s">
        <v>1</v>
      </c>
    </row>
    <row r="39" ht="15" customHeight="1" spans="1:1" x14ac:dyDescent="0.25">
      <c r="A39" s="3" t="s">
        <v>32</v>
      </c>
    </row>
    <row r="40" ht="15.75" customHeight="1" spans="1:1" x14ac:dyDescent="0.25">
      <c r="A40" s="4" t="s">
        <v>33</v>
      </c>
    </row>
    <row r="41" ht="15.75" customHeight="1" spans="1:1" x14ac:dyDescent="0.25">
      <c r="A41" s="4" t="s">
        <v>34</v>
      </c>
    </row>
    <row r="42" ht="15.75" customHeight="1" spans="1:1" x14ac:dyDescent="0.25">
      <c r="A42" s="4" t="s">
        <v>35</v>
      </c>
    </row>
    <row r="43" ht="15" customHeight="1" spans="1:1" x14ac:dyDescent="0.25">
      <c r="A43" s="5" t="s">
        <v>1</v>
      </c>
    </row>
    <row r="44" ht="15" customHeight="1" spans="1:1" x14ac:dyDescent="0.25">
      <c r="A44" s="3" t="s">
        <v>36</v>
      </c>
    </row>
    <row r="45" ht="15.75" customHeight="1" spans="1:1" x14ac:dyDescent="0.25">
      <c r="A45" s="5" t="s">
        <v>37</v>
      </c>
    </row>
    <row r="46" ht="15" customHeight="1" spans="1:1" x14ac:dyDescent="0.25">
      <c r="A46" s="5" t="s">
        <v>38</v>
      </c>
    </row>
    <row r="47" ht="15.75" customHeight="1" spans="1:1" x14ac:dyDescent="0.25">
      <c r="A47" s="5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  <ignoredErrors>
    <ignoredError sqref="A1:F67" evalError="1" twoDigitTextYear="1" numberStoredAsText="1" formula="1" formulaRange="1" unlockedFormula="1" emptyCellReference="1" listDataValidation="1" calculatedColumn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cols>
    <col min="1" max="1" width="40" customWidth="1"/>
    <col min="2" max="2" width="14.571428571428571" customWidth="1"/>
    <col min="3" max="3" width="42.142857142857146" customWidth="1"/>
    <col min="4" max="5" width="12.714285714285714" customWidth="1"/>
    <col min="6" max="24" width="13.571428571428571" customWidth="1"/>
  </cols>
  <sheetData>
    <row r="1" ht="18.75" customHeight="1" spans="1:5" x14ac:dyDescent="0.25">
      <c r="A1" s="6" t="s">
        <v>40</v>
      </c>
      <c r="B1" s="7" t="s">
        <v>1</v>
      </c>
      <c r="C1" s="2" t="s">
        <v>1</v>
      </c>
      <c r="D1" s="8" t="s">
        <v>1</v>
      </c>
      <c r="E1" s="9" t="s">
        <v>1</v>
      </c>
    </row>
    <row r="2" spans="1:5" x14ac:dyDescent="0.25">
      <c r="A2" s="6" t="s">
        <v>1</v>
      </c>
      <c r="B2" s="7" t="s">
        <v>1</v>
      </c>
      <c r="C2" s="2" t="s">
        <v>1</v>
      </c>
      <c r="D2" s="8" t="s">
        <v>1</v>
      </c>
      <c r="E2" s="9" t="s">
        <v>1</v>
      </c>
    </row>
    <row r="3" ht="15" customHeight="1" spans="1:5" x14ac:dyDescent="0.25">
      <c r="A3" s="10" t="s">
        <v>41</v>
      </c>
      <c r="B3" s="7" t="s">
        <v>1</v>
      </c>
      <c r="C3" s="2" t="s">
        <v>1</v>
      </c>
      <c r="D3" s="8" t="s">
        <v>1</v>
      </c>
      <c r="E3" s="9" t="s">
        <v>1</v>
      </c>
    </row>
    <row r="4" ht="15" customHeight="1" spans="1:5" x14ac:dyDescent="0.25">
      <c r="A4" t="s">
        <v>42</v>
      </c>
      <c r="B4" s="7">
        <v>1</v>
      </c>
      <c r="C4" s="2" t="s">
        <v>1</v>
      </c>
      <c r="D4" s="8" t="s">
        <v>1</v>
      </c>
      <c r="E4" s="9" t="s">
        <v>1</v>
      </c>
    </row>
    <row r="5" ht="15.75" customHeight="1" spans="1:5" x14ac:dyDescent="0.25">
      <c r="A5" t="s">
        <v>43</v>
      </c>
      <c r="B5" s="11">
        <v>0.25</v>
      </c>
      <c r="C5" s="2" t="s">
        <v>1</v>
      </c>
      <c r="D5" s="8" t="s">
        <v>1</v>
      </c>
      <c r="E5" s="9" t="s">
        <v>1</v>
      </c>
    </row>
    <row r="6" ht="15.75" customHeight="1" spans="1:5" x14ac:dyDescent="0.25">
      <c r="A6" t="s">
        <v>44</v>
      </c>
      <c r="B6" s="7">
        <v>3.84</v>
      </c>
      <c r="C6" s="2" t="s">
        <v>1</v>
      </c>
      <c r="D6" s="8" t="s">
        <v>1</v>
      </c>
      <c r="E6" s="9" t="s">
        <v>1</v>
      </c>
    </row>
    <row r="7" ht="15.75" customHeight="1" spans="1:5" x14ac:dyDescent="0.25">
      <c r="A7" t="s">
        <v>45</v>
      </c>
      <c r="B7" s="11">
        <v>0.96</v>
      </c>
      <c r="C7" s="2" t="s">
        <v>1</v>
      </c>
      <c r="D7" s="8" t="s">
        <v>1</v>
      </c>
      <c r="E7" s="9" t="s">
        <v>1</v>
      </c>
    </row>
    <row r="8" spans="1:5" x14ac:dyDescent="0.25">
      <c r="A8" t="s">
        <v>1</v>
      </c>
      <c r="B8" s="11" t="s">
        <v>1</v>
      </c>
      <c r="C8" s="2" t="s">
        <v>1</v>
      </c>
      <c r="D8" s="8" t="s">
        <v>1</v>
      </c>
      <c r="E8" s="9" t="s">
        <v>1</v>
      </c>
    </row>
    <row r="9" ht="15" customHeight="1" spans="1:5" x14ac:dyDescent="0.25">
      <c r="A9" s="10" t="s">
        <v>46</v>
      </c>
      <c r="B9" s="11" t="s">
        <v>1</v>
      </c>
      <c r="C9" s="2" t="s">
        <v>1</v>
      </c>
      <c r="D9" s="8" t="s">
        <v>1</v>
      </c>
      <c r="E9" s="9" t="s">
        <v>1</v>
      </c>
    </row>
    <row r="10" ht="15.75" customHeight="1" spans="1:5" x14ac:dyDescent="0.25">
      <c r="A10" s="12" t="s">
        <v>47</v>
      </c>
      <c r="B10" s="21">
        <f>B5*B6/B4</f>
      </c>
      <c r="C10" s="2" t="s">
        <v>48</v>
      </c>
      <c r="D10" s="8" t="s">
        <v>1</v>
      </c>
      <c r="E10" s="9" t="s">
        <v>1</v>
      </c>
    </row>
    <row r="11" ht="15.75" customHeight="1" spans="1:5" x14ac:dyDescent="0.25">
      <c r="A11" t="s">
        <v>49</v>
      </c>
      <c r="B11" s="22">
        <f>1-B10</f>
      </c>
      <c r="C11" s="2" t="s">
        <v>1</v>
      </c>
      <c r="D11" s="8" t="s">
        <v>1</v>
      </c>
      <c r="E11" s="9" t="s">
        <v>1</v>
      </c>
    </row>
    <row r="12" ht="15.75" customHeight="1" spans="1:5" x14ac:dyDescent="0.25">
      <c r="A12" t="s">
        <v>50</v>
      </c>
      <c r="B12" s="15">
        <f>1/B5</f>
      </c>
      <c r="C12" s="2" t="s">
        <v>1</v>
      </c>
      <c r="D12" s="8" t="s">
        <v>1</v>
      </c>
      <c r="E12" s="9" t="s">
        <v>1</v>
      </c>
    </row>
    <row r="13" ht="15.75" customHeight="1" spans="1:5" x14ac:dyDescent="0.25">
      <c r="A13" t="s">
        <v>51</v>
      </c>
      <c r="B13" s="15">
        <f>B5*100</f>
      </c>
      <c r="C13" s="2" t="s">
        <v>1</v>
      </c>
      <c r="D13" s="8" t="s">
        <v>1</v>
      </c>
      <c r="E13" s="9" t="s">
        <v>1</v>
      </c>
    </row>
    <row r="14" ht="15.75" customHeight="1" spans="1:5" x14ac:dyDescent="0.25">
      <c r="A14" t="s">
        <v>52</v>
      </c>
      <c r="B14" s="15">
        <f>B13*B6</f>
      </c>
      <c r="C14" s="2" t="s">
        <v>1</v>
      </c>
      <c r="D14" s="8" t="s">
        <v>1</v>
      </c>
      <c r="E14" s="9" t="s">
        <v>1</v>
      </c>
    </row>
    <row r="15" ht="15.75" customHeight="1" spans="1:5" x14ac:dyDescent="0.25">
      <c r="A15" t="s">
        <v>53</v>
      </c>
      <c r="B15" s="15">
        <f>100*B4-B14</f>
      </c>
      <c r="C15" s="2" t="s">
        <v>1</v>
      </c>
      <c r="D15" s="8" t="s">
        <v>1</v>
      </c>
      <c r="E15" s="9" t="s">
        <v>1</v>
      </c>
    </row>
    <row r="16" ht="15.75" customHeight="1" spans="1:5" x14ac:dyDescent="0.25">
      <c r="A16" t="s">
        <v>54</v>
      </c>
      <c r="B16" s="22">
        <f>B10-B7</f>
      </c>
      <c r="C16" s="2" t="s">
        <v>1</v>
      </c>
      <c r="D16" s="8" t="s">
        <v>1</v>
      </c>
      <c r="E16" s="9" t="s">
        <v>1</v>
      </c>
    </row>
    <row r="17" spans="1:5" x14ac:dyDescent="0.25">
      <c r="A17" t="s">
        <v>1</v>
      </c>
      <c r="B17" s="14" t="s">
        <v>1</v>
      </c>
      <c r="C17" s="2" t="s">
        <v>1</v>
      </c>
      <c r="D17" s="8" t="s">
        <v>1</v>
      </c>
      <c r="E17" s="9" t="s">
        <v>1</v>
      </c>
    </row>
    <row r="18" ht="15" customHeight="1" spans="1:5" x14ac:dyDescent="0.25">
      <c r="A18" s="10" t="s">
        <v>55</v>
      </c>
      <c r="B18" s="14" t="s">
        <v>1</v>
      </c>
      <c r="C18" s="2" t="s">
        <v>1</v>
      </c>
      <c r="D18" s="8" t="s">
        <v>1</v>
      </c>
      <c r="E18" s="9" t="s">
        <v>1</v>
      </c>
    </row>
    <row r="19" ht="15" customHeight="1" spans="1:5" x14ac:dyDescent="0.25">
      <c r="A19" s="9" t="s">
        <v>56</v>
      </c>
      <c r="B19" s="8" t="s">
        <v>57</v>
      </c>
      <c r="C19" s="9" t="s">
        <v>58</v>
      </c>
      <c r="D19" s="8" t="s">
        <v>59</v>
      </c>
      <c r="E19" s="9" t="s">
        <v>60</v>
      </c>
    </row>
    <row r="20" ht="15.75" customHeight="1" spans="1:5" x14ac:dyDescent="0.25">
      <c r="A20" t="s">
        <v>61</v>
      </c>
      <c r="B20" s="16">
        <f>B5*1.4</f>
      </c>
      <c r="C20" s="15">
        <f>B6</f>
      </c>
      <c r="D20" s="22">
        <f>B20*C20/B4</f>
      </c>
      <c r="E20" s="17" t="s">
        <v>62</v>
      </c>
    </row>
    <row r="21" ht="15.75" customHeight="1" spans="1:5" x14ac:dyDescent="0.25">
      <c r="A21" t="s">
        <v>63</v>
      </c>
      <c r="B21" s="16">
        <f>B5*1.4</f>
      </c>
      <c r="C21" s="16">
        <f>$B$7/B21</f>
      </c>
      <c r="D21" s="22">
        <f>B21*C21/B4</f>
      </c>
      <c r="E21" s="2" t="s">
        <v>64</v>
      </c>
    </row>
    <row r="22" ht="15.75" customHeight="1" spans="1:5" x14ac:dyDescent="0.25">
      <c r="A22" t="s">
        <v>65</v>
      </c>
      <c r="B22" s="16">
        <f>B5*0.4</f>
      </c>
      <c r="C22" s="16">
        <f>$B$7/B22</f>
      </c>
      <c r="D22" s="22">
        <f>B22*C22/B4</f>
      </c>
      <c r="E22" s="2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  <ignoredErrors>
    <ignoredError sqref="A1:J42" evalError="1" twoDigitTextYear="1" numberStoredAsText="1" formula="1" formulaRange="1" unlockedFormula="1" emptyCellReference="1" listDataValidation="1" calculatedColumn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15" outlineLevelRow="0" outlineLevelCol="0" x14ac:dyDescent="55"/>
  <cols>
    <col min="1" max="1" width="14.571428571428571" customWidth="1"/>
    <col min="2" max="2" width="12.714285714285714" customWidth="1"/>
    <col min="3" max="3" width="16.428571428571427" customWidth="1"/>
    <col min="4" max="4" width="10.857142857142858" customWidth="1"/>
    <col min="5" max="5" width="16.428571428571427" customWidth="1"/>
    <col min="6" max="6" width="14.571428571428571" customWidth="1"/>
    <col min="7" max="7" width="36.42857142857143" customWidth="1"/>
    <col min="8" max="8" width="27.285714285714285" customWidth="1"/>
    <col min="9" max="24" width="13.571428571428571" customWidth="1"/>
  </cols>
  <sheetData>
    <row r="1" ht="18.75" customHeight="1" spans="1:8" x14ac:dyDescent="0.25">
      <c r="A1" s="1" t="s">
        <v>67</v>
      </c>
      <c r="B1" s="11" t="s">
        <v>1</v>
      </c>
      <c r="C1" s="2" t="s">
        <v>1</v>
      </c>
      <c r="D1" s="8" t="s">
        <v>1</v>
      </c>
      <c r="E1" s="9" t="s">
        <v>1</v>
      </c>
      <c r="F1" s="9" t="s">
        <v>1</v>
      </c>
      <c r="G1" s="9" t="s">
        <v>1</v>
      </c>
      <c r="H1" s="9" t="s">
        <v>1</v>
      </c>
    </row>
    <row r="2" spans="1:8" x14ac:dyDescent="0.25">
      <c r="A2" s="1" t="s">
        <v>1</v>
      </c>
      <c r="B2" s="11" t="s">
        <v>1</v>
      </c>
      <c r="C2" s="2" t="s">
        <v>1</v>
      </c>
      <c r="D2" s="8" t="s">
        <v>1</v>
      </c>
      <c r="E2" s="9" t="s">
        <v>1</v>
      </c>
      <c r="F2" s="9" t="s">
        <v>1</v>
      </c>
      <c r="G2" s="9" t="s">
        <v>1</v>
      </c>
      <c r="H2" s="9" t="s">
        <v>1</v>
      </c>
    </row>
    <row r="3" ht="15.75" customHeight="1" spans="1:8" x14ac:dyDescent="0.25">
      <c r="A3" s="10" t="s">
        <v>68</v>
      </c>
      <c r="B3" s="11" t="s">
        <v>1</v>
      </c>
      <c r="C3" s="2" t="s">
        <v>1</v>
      </c>
      <c r="D3" s="8" t="s">
        <v>1</v>
      </c>
      <c r="E3" s="9" t="s">
        <v>1</v>
      </c>
      <c r="F3" s="9" t="s">
        <v>1</v>
      </c>
      <c r="G3" s="9" t="s">
        <v>1</v>
      </c>
      <c r="H3" s="9" t="s">
        <v>1</v>
      </c>
    </row>
    <row r="4" ht="15.75" customHeight="1" spans="1:8" x14ac:dyDescent="0.25">
      <c r="A4" t="s">
        <v>45</v>
      </c>
      <c r="B4" s="11">
        <v>0.96</v>
      </c>
      <c r="C4" s="2" t="s">
        <v>69</v>
      </c>
      <c r="D4" s="8" t="s">
        <v>1</v>
      </c>
      <c r="E4" s="9" t="s">
        <v>1</v>
      </c>
      <c r="F4" s="9" t="s">
        <v>1</v>
      </c>
      <c r="G4" s="9" t="s">
        <v>1</v>
      </c>
      <c r="H4" s="9" t="s">
        <v>1</v>
      </c>
    </row>
    <row r="5" spans="1:8" x14ac:dyDescent="0.25">
      <c r="A5" t="s">
        <v>1</v>
      </c>
      <c r="B5" s="11" t="s">
        <v>1</v>
      </c>
      <c r="C5" s="2" t="s">
        <v>1</v>
      </c>
      <c r="D5" s="8" t="s">
        <v>1</v>
      </c>
      <c r="E5" s="9" t="s">
        <v>1</v>
      </c>
      <c r="F5" s="9" t="s">
        <v>1</v>
      </c>
      <c r="G5" s="9" t="s">
        <v>1</v>
      </c>
      <c r="H5" s="9" t="s">
        <v>1</v>
      </c>
    </row>
    <row r="6" ht="15" customHeight="1" spans="1:8" x14ac:dyDescent="0.25">
      <c r="A6" s="10" t="s">
        <v>70</v>
      </c>
      <c r="B6" s="11" t="s">
        <v>1</v>
      </c>
      <c r="C6" s="2" t="s">
        <v>1</v>
      </c>
      <c r="D6" s="8" t="s">
        <v>1</v>
      </c>
      <c r="E6" s="9" t="s">
        <v>1</v>
      </c>
      <c r="F6" s="9" t="s">
        <v>1</v>
      </c>
      <c r="G6" s="9" t="s">
        <v>1</v>
      </c>
      <c r="H6" s="9" t="s">
        <v>1</v>
      </c>
    </row>
    <row r="7" ht="15.75" customHeight="1" spans="1:8" x14ac:dyDescent="0.25">
      <c r="A7" s="9" t="s">
        <v>71</v>
      </c>
      <c r="B7" s="8" t="s">
        <v>57</v>
      </c>
      <c r="C7" s="9" t="s">
        <v>72</v>
      </c>
      <c r="D7" s="8" t="s">
        <v>59</v>
      </c>
      <c r="E7" s="9" t="s">
        <v>73</v>
      </c>
      <c r="F7" s="9" t="s">
        <v>74</v>
      </c>
      <c r="G7" s="9" t="s">
        <v>75</v>
      </c>
      <c r="H7" s="9" t="s">
        <v>76</v>
      </c>
    </row>
    <row r="8" ht="15.75" customHeight="1" spans="1:8" x14ac:dyDescent="0.25">
      <c r="A8" t="s">
        <v>77</v>
      </c>
      <c r="B8" s="11">
        <v>0.45</v>
      </c>
      <c r="C8" s="15">
        <f>$B$4/B8</f>
      </c>
      <c r="D8" s="21">
        <f>B8*C8</f>
      </c>
      <c r="E8" s="15">
        <f>B8*100</f>
      </c>
      <c r="F8" s="15">
        <f>E8*C8</f>
      </c>
      <c r="G8" t="s">
        <v>78</v>
      </c>
      <c r="H8" t="s">
        <v>79</v>
      </c>
    </row>
    <row r="9" ht="15.75" customHeight="1" spans="1:8" x14ac:dyDescent="0.25">
      <c r="A9" t="s">
        <v>80</v>
      </c>
      <c r="B9" s="11">
        <v>0.25</v>
      </c>
      <c r="C9" s="15">
        <f>$B$4/B9</f>
      </c>
      <c r="D9" s="21">
        <f>B9*C9</f>
      </c>
      <c r="E9" s="15">
        <f>B9*100</f>
      </c>
      <c r="F9" s="15">
        <f>E9*C9</f>
      </c>
      <c r="G9" t="s">
        <v>81</v>
      </c>
      <c r="H9" t="s">
        <v>82</v>
      </c>
    </row>
    <row r="10" ht="15.75" customHeight="1" spans="1:8" x14ac:dyDescent="0.25">
      <c r="A10" t="s">
        <v>83</v>
      </c>
      <c r="B10" s="11">
        <v>0.08</v>
      </c>
      <c r="C10" s="15">
        <f>$B$4/B10</f>
      </c>
      <c r="D10" s="21">
        <f>B10*C10</f>
      </c>
      <c r="E10" s="15">
        <f>B10*100</f>
      </c>
      <c r="F10" s="15">
        <f>E10*C10</f>
      </c>
      <c r="G10" t="s">
        <v>84</v>
      </c>
      <c r="H10" t="s">
        <v>85</v>
      </c>
    </row>
    <row r="11" ht="15.75" customHeight="1" spans="1:8" x14ac:dyDescent="0.25">
      <c r="A11" t="s">
        <v>86</v>
      </c>
      <c r="B11" s="11">
        <v>0.02</v>
      </c>
      <c r="C11" s="15">
        <f>$B$4/B11</f>
      </c>
      <c r="D11" s="21">
        <f>B11*C11</f>
      </c>
      <c r="E11" s="15">
        <f>B11*100</f>
      </c>
      <c r="F11" s="15">
        <f>E11*C11</f>
      </c>
      <c r="G11" t="s">
        <v>87</v>
      </c>
      <c r="H11" t="s">
        <v>88</v>
      </c>
    </row>
    <row r="12" spans="1:8" x14ac:dyDescent="0.25">
      <c r="A12" t="s">
        <v>1</v>
      </c>
      <c r="B12" s="11" t="s">
        <v>1</v>
      </c>
      <c r="C12" s="15" t="s">
        <v>1</v>
      </c>
      <c r="D12" s="13" t="s">
        <v>1</v>
      </c>
      <c r="E12" s="15" t="s">
        <v>1</v>
      </c>
      <c r="F12" s="15" t="s">
        <v>1</v>
      </c>
      <c r="G12" t="s">
        <v>1</v>
      </c>
      <c r="H12" t="s">
        <v>1</v>
      </c>
    </row>
    <row r="13" ht="15.75" customHeight="1" spans="1:8" x14ac:dyDescent="0.25">
      <c r="A13" s="10" t="s">
        <v>89</v>
      </c>
      <c r="B13" s="11" t="s">
        <v>1</v>
      </c>
      <c r="C13" s="15" t="s">
        <v>1</v>
      </c>
      <c r="D13" s="13" t="s">
        <v>1</v>
      </c>
      <c r="E13" s="15" t="s">
        <v>1</v>
      </c>
      <c r="F13" s="15" t="s">
        <v>1</v>
      </c>
      <c r="G13" t="s">
        <v>1</v>
      </c>
      <c r="H13" t="s">
        <v>1</v>
      </c>
    </row>
    <row r="14" ht="15.75" customHeight="1" spans="1:8" x14ac:dyDescent="0.25">
      <c r="A14" s="9" t="s">
        <v>71</v>
      </c>
      <c r="B14" s="8" t="s">
        <v>57</v>
      </c>
      <c r="C14" s="9" t="s">
        <v>90</v>
      </c>
      <c r="D14" s="9" t="s">
        <v>91</v>
      </c>
      <c r="E14" s="9" t="s">
        <v>92</v>
      </c>
      <c r="F14" s="9" t="s">
        <v>93</v>
      </c>
      <c r="G14" s="9" t="s">
        <v>1</v>
      </c>
      <c r="H14" s="9" t="s">
        <v>1</v>
      </c>
    </row>
    <row r="15" ht="15" customHeight="1" spans="1:8" x14ac:dyDescent="0.25">
      <c r="A15" t="s">
        <v>77</v>
      </c>
      <c r="B15" s="22">
        <f>B8</f>
      </c>
      <c r="C15" s="15">
        <f>1/B15</f>
      </c>
      <c r="D15" s="22">
        <f>(1-B15)^10</f>
      </c>
      <c r="E15" s="22">
        <f>(1-B15)^20</f>
      </c>
      <c r="F15" s="22">
        <f>(1-B15)^50</f>
      </c>
      <c r="G15" s="9" t="s">
        <v>1</v>
      </c>
      <c r="H15" s="9" t="s">
        <v>1</v>
      </c>
    </row>
    <row r="16" ht="15" customHeight="1" spans="1:8" x14ac:dyDescent="0.25">
      <c r="A16" t="s">
        <v>80</v>
      </c>
      <c r="B16" s="22">
        <f>B9</f>
      </c>
      <c r="C16" s="15">
        <f>1/B16</f>
      </c>
      <c r="D16" s="22">
        <f>(1-B16)^10</f>
      </c>
      <c r="E16" s="22">
        <f>(1-B16)^20</f>
      </c>
      <c r="F16" s="22">
        <f>(1-B16)^50</f>
      </c>
      <c r="G16" s="9" t="s">
        <v>1</v>
      </c>
      <c r="H16" s="9" t="s">
        <v>1</v>
      </c>
    </row>
    <row r="17" ht="15" customHeight="1" spans="1:8" x14ac:dyDescent="0.25">
      <c r="A17" t="s">
        <v>83</v>
      </c>
      <c r="B17" s="22">
        <f>B10</f>
      </c>
      <c r="C17" s="15">
        <f>1/B17</f>
      </c>
      <c r="D17" s="22">
        <f>(1-B17)^10</f>
      </c>
      <c r="E17" s="22">
        <f>(1-B17)^20</f>
      </c>
      <c r="F17" s="22">
        <f>(1-B17)^50</f>
      </c>
      <c r="G17" s="9" t="s">
        <v>1</v>
      </c>
      <c r="H17" s="9" t="s">
        <v>1</v>
      </c>
    </row>
    <row r="18" ht="15" customHeight="1" spans="1:8" x14ac:dyDescent="0.25">
      <c r="A18" t="s">
        <v>86</v>
      </c>
      <c r="B18" s="22">
        <f>B11</f>
      </c>
      <c r="C18" s="15">
        <f>1/B18</f>
      </c>
      <c r="D18" s="22">
        <f>(1-B18)^10</f>
      </c>
      <c r="E18" s="22">
        <f>(1-B18)^20</f>
      </c>
      <c r="F18" s="22">
        <f>(1-B18)^50</f>
      </c>
      <c r="G18" s="9" t="s">
        <v>1</v>
      </c>
      <c r="H18" s="9" t="s">
        <v>1</v>
      </c>
    </row>
    <row r="19" spans="1:8" x14ac:dyDescent="0.25">
      <c r="A19" t="s">
        <v>1</v>
      </c>
      <c r="B19" s="14" t="s">
        <v>1</v>
      </c>
      <c r="C19" s="15" t="s">
        <v>1</v>
      </c>
      <c r="D19" s="14" t="s">
        <v>1</v>
      </c>
      <c r="E19" s="14" t="s">
        <v>1</v>
      </c>
      <c r="F19" s="14" t="s">
        <v>1</v>
      </c>
      <c r="G19" s="9" t="s">
        <v>1</v>
      </c>
      <c r="H19" s="9" t="s">
        <v>1</v>
      </c>
    </row>
    <row r="20" ht="15.75" customHeight="1" spans="1:8" x14ac:dyDescent="0.25">
      <c r="A20" s="2" t="s">
        <v>94</v>
      </c>
      <c r="B20" s="14" t="s">
        <v>1</v>
      </c>
      <c r="C20" s="15" t="s">
        <v>1</v>
      </c>
      <c r="D20" s="14" t="s">
        <v>1</v>
      </c>
      <c r="E20" s="14" t="s">
        <v>1</v>
      </c>
      <c r="F20" s="14" t="s">
        <v>1</v>
      </c>
      <c r="G20" s="9" t="s">
        <v>1</v>
      </c>
      <c r="H20" s="9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  <ignoredErrors>
    <ignoredError sqref="A1:M40" evalError="1" twoDigitTextYear="1" numberStoredAsText="1" formula="1" formulaRange="1" unlockedFormula="1" emptyCellReference="1" listDataValidation="1" calculatedColumn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"/>
  <sheetFormatPr defaultRowHeight="15" outlineLevelRow="0" outlineLevelCol="0" x14ac:dyDescent="55"/>
  <cols>
    <col min="1" max="1" width="9.285714285714286" customWidth="1"/>
    <col min="2" max="4" width="18.142857142857142" customWidth="1"/>
    <col min="5" max="5" width="41.857142857142854" customWidth="1"/>
    <col min="6" max="24" width="13.571428571428571" customWidth="1"/>
  </cols>
  <sheetData>
    <row r="1" ht="18.75" customHeight="1" spans="1:5" x14ac:dyDescent="0.25">
      <c r="A1" s="1" t="s">
        <v>95</v>
      </c>
      <c r="B1" s="11" t="s">
        <v>1</v>
      </c>
      <c r="C1" s="9" t="s">
        <v>1</v>
      </c>
      <c r="D1" s="9" t="s">
        <v>1</v>
      </c>
      <c r="E1" s="9" t="s">
        <v>1</v>
      </c>
    </row>
    <row r="2" spans="1:5" x14ac:dyDescent="0.25">
      <c r="A2" s="1" t="s">
        <v>1</v>
      </c>
      <c r="B2" s="11" t="s">
        <v>1</v>
      </c>
      <c r="C2" s="9" t="s">
        <v>1</v>
      </c>
      <c r="D2" s="9" t="s">
        <v>1</v>
      </c>
      <c r="E2" s="9" t="s">
        <v>1</v>
      </c>
    </row>
    <row r="3" ht="15" customHeight="1" spans="1:5" x14ac:dyDescent="0.25">
      <c r="A3" s="10" t="s">
        <v>41</v>
      </c>
      <c r="B3" s="11" t="s">
        <v>1</v>
      </c>
      <c r="C3" s="9" t="s">
        <v>1</v>
      </c>
      <c r="D3" s="9" t="s">
        <v>1</v>
      </c>
      <c r="E3" s="9" t="s">
        <v>1</v>
      </c>
    </row>
    <row r="4" ht="15" customHeight="1" spans="1:5" x14ac:dyDescent="0.25">
      <c r="A4" s="12" t="s">
        <v>57</v>
      </c>
      <c r="B4" s="11">
        <v>0.25</v>
      </c>
      <c r="C4" s="9" t="s">
        <v>1</v>
      </c>
      <c r="D4" s="9" t="s">
        <v>1</v>
      </c>
      <c r="E4" s="9" t="s">
        <v>1</v>
      </c>
    </row>
    <row r="5" spans="1:5" x14ac:dyDescent="0.25">
      <c r="A5" s="12" t="s">
        <v>1</v>
      </c>
      <c r="B5" s="11" t="s">
        <v>1</v>
      </c>
      <c r="C5" s="9" t="s">
        <v>1</v>
      </c>
      <c r="D5" s="9" t="s">
        <v>1</v>
      </c>
      <c r="E5" s="9" t="s">
        <v>1</v>
      </c>
    </row>
    <row r="6" ht="15.75" customHeight="1" spans="1:5" x14ac:dyDescent="0.25">
      <c r="A6" s="10" t="s">
        <v>96</v>
      </c>
      <c r="B6" s="11" t="s">
        <v>1</v>
      </c>
      <c r="C6" s="9" t="s">
        <v>1</v>
      </c>
      <c r="D6" s="9" t="s">
        <v>1</v>
      </c>
      <c r="E6" s="9" t="s">
        <v>1</v>
      </c>
    </row>
    <row r="7" ht="15.75" customHeight="1" spans="1:5" x14ac:dyDescent="0.25">
      <c r="A7" s="8" t="s">
        <v>97</v>
      </c>
      <c r="B7" s="9" t="s">
        <v>98</v>
      </c>
      <c r="C7" s="9" t="s">
        <v>99</v>
      </c>
      <c r="D7" s="9" t="s">
        <v>1</v>
      </c>
      <c r="E7" s="9" t="s">
        <v>1</v>
      </c>
    </row>
    <row r="8" ht="15" customHeight="1" spans="1:5" x14ac:dyDescent="0.25">
      <c r="A8">
        <v>1</v>
      </c>
      <c r="B8" s="22">
        <f>(1-$B$4)^A8</f>
      </c>
      <c r="C8" s="22">
        <f>1-B8</f>
      </c>
      <c r="D8" s="9" t="s">
        <v>1</v>
      </c>
      <c r="E8" s="9" t="s">
        <v>1</v>
      </c>
    </row>
    <row r="9" ht="15" customHeight="1" spans="1:5" x14ac:dyDescent="0.25">
      <c r="A9">
        <v>2</v>
      </c>
      <c r="B9" s="22">
        <f>(1-$B$4)^A9</f>
      </c>
      <c r="C9" s="22">
        <f>1-B9</f>
      </c>
      <c r="D9" s="9" t="s">
        <v>1</v>
      </c>
      <c r="E9" s="9" t="s">
        <v>1</v>
      </c>
    </row>
    <row r="10" ht="15" customHeight="1" spans="1:5" x14ac:dyDescent="0.25">
      <c r="A10">
        <v>3</v>
      </c>
      <c r="B10" s="22">
        <f>(1-$B$4)^A10</f>
      </c>
      <c r="C10" s="22">
        <f>1-B10</f>
      </c>
      <c r="D10" s="9" t="s">
        <v>1</v>
      </c>
      <c r="E10" s="9" t="s">
        <v>1</v>
      </c>
    </row>
    <row r="11" ht="15" customHeight="1" spans="1:5" x14ac:dyDescent="0.25">
      <c r="A11">
        <v>4</v>
      </c>
      <c r="B11" s="22">
        <f>(1-$B$4)^A11</f>
      </c>
      <c r="C11" s="22">
        <f>1-B11</f>
      </c>
      <c r="D11" s="9" t="s">
        <v>1</v>
      </c>
      <c r="E11" s="9" t="s">
        <v>1</v>
      </c>
    </row>
    <row r="12" ht="15" customHeight="1" spans="1:5" x14ac:dyDescent="0.25">
      <c r="A12">
        <v>5</v>
      </c>
      <c r="B12" s="22">
        <f>(1-$B$4)^A12</f>
      </c>
      <c r="C12" s="22">
        <f>1-B12</f>
      </c>
      <c r="D12" s="9" t="s">
        <v>1</v>
      </c>
      <c r="E12" s="9" t="s">
        <v>1</v>
      </c>
    </row>
    <row r="13" ht="15" customHeight="1" spans="1:5" x14ac:dyDescent="0.25">
      <c r="A13">
        <v>6</v>
      </c>
      <c r="B13" s="22">
        <f>(1-$B$4)^A13</f>
      </c>
      <c r="C13" s="22">
        <f>1-B13</f>
      </c>
      <c r="D13" s="9" t="s">
        <v>1</v>
      </c>
      <c r="E13" s="9" t="s">
        <v>1</v>
      </c>
    </row>
    <row r="14" ht="15" customHeight="1" spans="1:5" x14ac:dyDescent="0.25">
      <c r="A14">
        <v>7</v>
      </c>
      <c r="B14" s="22">
        <f>(1-$B$4)^A14</f>
      </c>
      <c r="C14" s="22">
        <f>1-B14</f>
      </c>
      <c r="D14" s="9" t="s">
        <v>1</v>
      </c>
      <c r="E14" s="9" t="s">
        <v>1</v>
      </c>
    </row>
    <row r="15" ht="15" customHeight="1" spans="1:5" x14ac:dyDescent="0.25">
      <c r="A15">
        <v>8</v>
      </c>
      <c r="B15" s="22">
        <f>(1-$B$4)^A15</f>
      </c>
      <c r="C15" s="22">
        <f>1-B15</f>
      </c>
      <c r="D15" s="9" t="s">
        <v>1</v>
      </c>
      <c r="E15" s="9" t="s">
        <v>1</v>
      </c>
    </row>
    <row r="16" ht="15" customHeight="1" spans="1:5" x14ac:dyDescent="0.25">
      <c r="A16">
        <v>9</v>
      </c>
      <c r="B16" s="22">
        <f>(1-$B$4)^A16</f>
      </c>
      <c r="C16" s="22">
        <f>1-B16</f>
      </c>
      <c r="D16" s="9" t="s">
        <v>1</v>
      </c>
      <c r="E16" s="9" t="s">
        <v>1</v>
      </c>
    </row>
    <row r="17" ht="15" customHeight="1" spans="1:5" x14ac:dyDescent="0.25">
      <c r="A17">
        <v>10</v>
      </c>
      <c r="B17" s="22">
        <f>(1-$B$4)^A17</f>
      </c>
      <c r="C17" s="22">
        <f>1-B17</f>
      </c>
      <c r="D17" s="9" t="s">
        <v>1</v>
      </c>
      <c r="E17" s="9" t="s">
        <v>1</v>
      </c>
    </row>
    <row r="18" ht="15" customHeight="1" spans="1:5" x14ac:dyDescent="0.25">
      <c r="A18">
        <v>11</v>
      </c>
      <c r="B18" s="22">
        <f>(1-$B$4)^A18</f>
      </c>
      <c r="C18" s="22">
        <f>1-B18</f>
      </c>
      <c r="D18" s="9" t="s">
        <v>1</v>
      </c>
      <c r="E18" s="9" t="s">
        <v>1</v>
      </c>
    </row>
    <row r="19" ht="15" customHeight="1" spans="1:5" x14ac:dyDescent="0.25">
      <c r="A19">
        <v>12</v>
      </c>
      <c r="B19" s="22">
        <f>(1-$B$4)^A19</f>
      </c>
      <c r="C19" s="22">
        <f>1-B19</f>
      </c>
      <c r="D19" s="9" t="s">
        <v>1</v>
      </c>
      <c r="E19" s="9" t="s">
        <v>1</v>
      </c>
    </row>
    <row r="20" ht="15" customHeight="1" spans="1:5" x14ac:dyDescent="0.25">
      <c r="A20">
        <v>13</v>
      </c>
      <c r="B20" s="22">
        <f>(1-$B$4)^A20</f>
      </c>
      <c r="C20" s="22">
        <f>1-B20</f>
      </c>
      <c r="D20" s="9" t="s">
        <v>1</v>
      </c>
      <c r="E20" s="9" t="s">
        <v>1</v>
      </c>
    </row>
    <row r="21" ht="15" customHeight="1" spans="1:5" x14ac:dyDescent="0.25">
      <c r="A21">
        <v>14</v>
      </c>
      <c r="B21" s="22">
        <f>(1-$B$4)^A21</f>
      </c>
      <c r="C21" s="22">
        <f>1-B21</f>
      </c>
      <c r="D21" s="9" t="s">
        <v>1</v>
      </c>
      <c r="E21" s="9" t="s">
        <v>1</v>
      </c>
    </row>
    <row r="22" ht="15" customHeight="1" spans="1:5" x14ac:dyDescent="0.25">
      <c r="A22">
        <v>15</v>
      </c>
      <c r="B22" s="22">
        <f>(1-$B$4)^A22</f>
      </c>
      <c r="C22" s="22">
        <f>1-B22</f>
      </c>
      <c r="D22" s="9" t="s">
        <v>1</v>
      </c>
      <c r="E22" s="9" t="s">
        <v>1</v>
      </c>
    </row>
    <row r="23" ht="15" customHeight="1" spans="1:5" x14ac:dyDescent="0.25">
      <c r="A23">
        <v>16</v>
      </c>
      <c r="B23" s="22">
        <f>(1-$B$4)^A23</f>
      </c>
      <c r="C23" s="22">
        <f>1-B23</f>
      </c>
      <c r="D23" s="9" t="s">
        <v>1</v>
      </c>
      <c r="E23" s="9" t="s">
        <v>1</v>
      </c>
    </row>
    <row r="24" ht="15" customHeight="1" spans="1:5" x14ac:dyDescent="0.25">
      <c r="A24">
        <v>17</v>
      </c>
      <c r="B24" s="22">
        <f>(1-$B$4)^A24</f>
      </c>
      <c r="C24" s="22">
        <f>1-B24</f>
      </c>
      <c r="D24" s="9" t="s">
        <v>1</v>
      </c>
      <c r="E24" s="9" t="s">
        <v>1</v>
      </c>
    </row>
    <row r="25" ht="15" customHeight="1" spans="1:5" x14ac:dyDescent="0.25">
      <c r="A25">
        <v>18</v>
      </c>
      <c r="B25" s="22">
        <f>(1-$B$4)^A25</f>
      </c>
      <c r="C25" s="22">
        <f>1-B25</f>
      </c>
      <c r="D25" s="9" t="s">
        <v>1</v>
      </c>
      <c r="E25" s="9" t="s">
        <v>1</v>
      </c>
    </row>
    <row r="26" ht="15" customHeight="1" spans="1:5" x14ac:dyDescent="0.25">
      <c r="A26">
        <v>19</v>
      </c>
      <c r="B26" s="22">
        <f>(1-$B$4)^A26</f>
      </c>
      <c r="C26" s="22">
        <f>1-B26</f>
      </c>
      <c r="D26" s="9" t="s">
        <v>1</v>
      </c>
      <c r="E26" s="9" t="s">
        <v>1</v>
      </c>
    </row>
    <row r="27" ht="15" customHeight="1" spans="1:5" x14ac:dyDescent="0.25">
      <c r="A27">
        <v>20</v>
      </c>
      <c r="B27" s="22">
        <f>(1-$B$4)^A27</f>
      </c>
      <c r="C27" s="22">
        <f>1-B27</f>
      </c>
      <c r="D27" s="9" t="s">
        <v>1</v>
      </c>
      <c r="E27" s="9" t="s">
        <v>1</v>
      </c>
    </row>
    <row r="28" spans="1:5" x14ac:dyDescent="0.25">
      <c r="A28" t="s">
        <v>1</v>
      </c>
      <c r="B28" s="14" t="s">
        <v>1</v>
      </c>
      <c r="C28" s="14" t="s">
        <v>1</v>
      </c>
      <c r="D28" s="9" t="s">
        <v>1</v>
      </c>
      <c r="E28" s="9" t="s">
        <v>1</v>
      </c>
    </row>
    <row r="29" ht="15.75" customHeight="1" spans="1:5" x14ac:dyDescent="0.25">
      <c r="A29" s="12" t="s">
        <v>100</v>
      </c>
      <c r="B29" s="18">
        <f>COUNTIF(B8:B27,"&gt;=0.05")+1</f>
      </c>
      <c r="C29" s="14" t="s">
        <v>1</v>
      </c>
      <c r="D29" s="9" t="s">
        <v>1</v>
      </c>
      <c r="E29" s="9" t="s">
        <v>1</v>
      </c>
    </row>
    <row r="30" ht="15.75" customHeight="1" spans="1:5" x14ac:dyDescent="0.25">
      <c r="A30" s="12" t="s">
        <v>101</v>
      </c>
      <c r="B30" s="18">
        <f>COUNTIF(B8:B27,"&gt;=0.01")+1</f>
      </c>
      <c r="C30" s="14" t="s">
        <v>1</v>
      </c>
      <c r="D30" s="9" t="s">
        <v>1</v>
      </c>
      <c r="E30" s="9" t="s">
        <v>1</v>
      </c>
    </row>
    <row r="31" ht="15.75" customHeight="1" spans="1:5" x14ac:dyDescent="0.25">
      <c r="A31" t="s">
        <v>102</v>
      </c>
      <c r="B31" s="22">
        <f>(1-$B$4)^10</f>
      </c>
      <c r="C31" s="14" t="s">
        <v>1</v>
      </c>
      <c r="D31" s="9" t="s">
        <v>1</v>
      </c>
      <c r="E31" s="9" t="s">
        <v>1</v>
      </c>
    </row>
    <row r="32" spans="1:5" x14ac:dyDescent="0.25">
      <c r="A32" t="s">
        <v>1</v>
      </c>
      <c r="B32" s="14" t="s">
        <v>1</v>
      </c>
      <c r="C32" s="14" t="s">
        <v>1</v>
      </c>
      <c r="D32" s="9" t="s">
        <v>1</v>
      </c>
      <c r="E32" s="9" t="s">
        <v>1</v>
      </c>
    </row>
    <row r="33" ht="15.75" customHeight="1" spans="1:5" x14ac:dyDescent="0.25">
      <c r="A33" s="10" t="s">
        <v>103</v>
      </c>
      <c r="B33" s="14" t="s">
        <v>1</v>
      </c>
      <c r="C33" s="14" t="s">
        <v>1</v>
      </c>
      <c r="D33" s="9" t="s">
        <v>1</v>
      </c>
      <c r="E33" s="9" t="s">
        <v>1</v>
      </c>
    </row>
    <row r="34" ht="15.75" customHeight="1" spans="1:5" x14ac:dyDescent="0.25">
      <c r="A34" s="8" t="s">
        <v>57</v>
      </c>
      <c r="B34" s="9" t="s">
        <v>90</v>
      </c>
      <c r="C34" s="9" t="s">
        <v>104</v>
      </c>
      <c r="D34" s="9" t="s">
        <v>105</v>
      </c>
      <c r="E34" s="9" t="s">
        <v>106</v>
      </c>
    </row>
    <row r="35" ht="15" customHeight="1" spans="1:5" x14ac:dyDescent="0.25">
      <c r="A35" s="11">
        <v>0.45</v>
      </c>
      <c r="B35" s="15">
        <f>1/A35</f>
      </c>
      <c r="C35" s="22">
        <f>(1-A35)^20</f>
      </c>
      <c r="D35" s="22">
        <f>(1-A35)^50</f>
      </c>
      <c r="E35" s="22">
        <f>(1-A35)^100</f>
      </c>
    </row>
    <row r="36" ht="15" customHeight="1" spans="1:5" x14ac:dyDescent="0.25">
      <c r="A36" s="11">
        <v>0.25</v>
      </c>
      <c r="B36" s="15">
        <f>1/A36</f>
      </c>
      <c r="C36" s="22">
        <f>(1-A36)^20</f>
      </c>
      <c r="D36" s="22">
        <f>(1-A36)^50</f>
      </c>
      <c r="E36" s="22">
        <f>(1-A36)^100</f>
      </c>
    </row>
    <row r="37" ht="15" customHeight="1" spans="1:5" x14ac:dyDescent="0.25">
      <c r="A37" s="11">
        <v>0.15</v>
      </c>
      <c r="B37" s="15">
        <f>1/A37</f>
      </c>
      <c r="C37" s="22">
        <f>(1-A37)^20</f>
      </c>
      <c r="D37" s="22">
        <f>(1-A37)^50</f>
      </c>
      <c r="E37" s="22">
        <f>(1-A37)^100</f>
      </c>
    </row>
    <row r="38" ht="15" customHeight="1" spans="1:5" x14ac:dyDescent="0.25">
      <c r="A38" s="11">
        <v>0.08</v>
      </c>
      <c r="B38" s="15">
        <f>1/A38</f>
      </c>
      <c r="C38" s="22">
        <f>(1-A38)^20</f>
      </c>
      <c r="D38" s="22">
        <f>(1-A38)^50</f>
      </c>
      <c r="E38" s="22">
        <f>(1-A38)^100</f>
      </c>
    </row>
    <row r="39" ht="15" customHeight="1" spans="1:5" x14ac:dyDescent="0.25">
      <c r="A39" s="11">
        <v>0.02</v>
      </c>
      <c r="B39" s="15">
        <f>1/A39</f>
      </c>
      <c r="C39" s="22">
        <f>(1-A39)^20</f>
      </c>
      <c r="D39" s="22">
        <f>(1-A39)^50</f>
      </c>
      <c r="E39" s="22">
        <f>(1-A39)^100</f>
      </c>
    </row>
  </sheetData>
  <pageMargins left="0.7" right="0.7" top="0.75" bottom="0.75" header="0.3" footer="0.3"/>
  <pageSetup orientation="portrait" horizontalDpi="4294967295" verticalDpi="4294967295" scale="100" fitToWidth="1" fitToHeight="1"/>
  <ignoredErrors>
    <ignoredError sqref="A1:J59" evalError="1" twoDigitTextYear="1" numberStoredAsText="1" formula="1" formulaRange="1" unlockedFormula="1" emptyCellReference="1" listDataValidation="1" calculatedColumn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FormatPr defaultRowHeight="15" outlineLevelRow="0" outlineLevelCol="0" x14ac:dyDescent="55"/>
  <cols>
    <col min="1" max="1" width="66.14285714285714" customWidth="1"/>
    <col min="2" max="2" width="14.571428571428571" customWidth="1"/>
    <col min="3" max="3" width="42.142857142857146" customWidth="1"/>
    <col min="4" max="24" width="13.571428571428571" customWidth="1"/>
  </cols>
  <sheetData>
    <row r="1" ht="18.75" customHeight="1" spans="1:3" x14ac:dyDescent="0.25">
      <c r="A1" s="1" t="s">
        <v>107</v>
      </c>
      <c r="B1" s="11" t="s">
        <v>1</v>
      </c>
      <c r="C1" s="2" t="s">
        <v>1</v>
      </c>
    </row>
    <row r="2" spans="1:3" x14ac:dyDescent="0.25">
      <c r="A2" s="1" t="s">
        <v>1</v>
      </c>
      <c r="B2" s="11" t="s">
        <v>1</v>
      </c>
      <c r="C2" s="2" t="s">
        <v>1</v>
      </c>
    </row>
    <row r="3" ht="15.75" customHeight="1" spans="1:3" x14ac:dyDescent="0.25">
      <c r="A3" s="10" t="s">
        <v>108</v>
      </c>
      <c r="B3" s="11" t="s">
        <v>1</v>
      </c>
      <c r="C3" s="2" t="s">
        <v>1</v>
      </c>
    </row>
    <row r="4" ht="15.75" customHeight="1" spans="1:3" x14ac:dyDescent="0.25">
      <c r="A4" t="s">
        <v>45</v>
      </c>
      <c r="B4" s="11">
        <v>0.96</v>
      </c>
      <c r="C4" s="2" t="s">
        <v>1</v>
      </c>
    </row>
    <row r="5" ht="15" customHeight="1" spans="1:3" x14ac:dyDescent="0.25">
      <c r="A5" s="12" t="s">
        <v>57</v>
      </c>
      <c r="B5" s="11">
        <v>0.25</v>
      </c>
      <c r="C5" s="2" t="s">
        <v>1</v>
      </c>
    </row>
    <row r="6" ht="15.75" customHeight="1" spans="1:3" x14ac:dyDescent="0.25">
      <c r="A6" t="s">
        <v>109</v>
      </c>
      <c r="B6" s="19">
        <f>B4/B5</f>
      </c>
      <c r="C6" s="2" t="s">
        <v>110</v>
      </c>
    </row>
    <row r="7" spans="1:3" x14ac:dyDescent="0.25">
      <c r="A7" t="s">
        <v>1</v>
      </c>
      <c r="B7" s="19" t="s">
        <v>1</v>
      </c>
      <c r="C7" s="2" t="s">
        <v>1</v>
      </c>
    </row>
    <row r="8" ht="15.75" customHeight="1" spans="1:3" x14ac:dyDescent="0.25">
      <c r="A8" s="10" t="s">
        <v>111</v>
      </c>
      <c r="B8" s="19" t="s">
        <v>1</v>
      </c>
      <c r="C8" s="2" t="s">
        <v>1</v>
      </c>
    </row>
    <row r="9" ht="15.75" customHeight="1" spans="1:3" x14ac:dyDescent="0.25">
      <c r="A9" t="s">
        <v>45</v>
      </c>
      <c r="B9" s="11">
        <v>0.96</v>
      </c>
      <c r="C9" s="2" t="s">
        <v>1</v>
      </c>
    </row>
    <row r="10" ht="15" customHeight="1" spans="1:3" x14ac:dyDescent="0.25">
      <c r="A10" t="s">
        <v>112</v>
      </c>
      <c r="B10" s="7">
        <v>3.84</v>
      </c>
      <c r="C10" s="2" t="s">
        <v>1</v>
      </c>
    </row>
    <row r="11" ht="15.75" customHeight="1" spans="1:3" x14ac:dyDescent="0.25">
      <c r="A11" t="s">
        <v>113</v>
      </c>
      <c r="B11" s="21">
        <f>B9/B10</f>
      </c>
      <c r="C11" s="2" t="s">
        <v>114</v>
      </c>
    </row>
    <row r="12" spans="1:3" x14ac:dyDescent="0.25">
      <c r="A12" t="s">
        <v>1</v>
      </c>
      <c r="B12" s="13" t="s">
        <v>1</v>
      </c>
      <c r="C12" s="2" t="s">
        <v>1</v>
      </c>
    </row>
    <row r="13" ht="15.75" customHeight="1" spans="1:3" x14ac:dyDescent="0.25">
      <c r="A13" s="10" t="s">
        <v>115</v>
      </c>
      <c r="B13" s="13" t="s">
        <v>1</v>
      </c>
      <c r="C13" s="2" t="s">
        <v>1</v>
      </c>
    </row>
    <row r="14" ht="15.75" customHeight="1" spans="1:3" x14ac:dyDescent="0.25">
      <c r="A14" t="s">
        <v>116</v>
      </c>
      <c r="B14" s="11">
        <v>0.25</v>
      </c>
      <c r="C14" s="2" t="s">
        <v>1</v>
      </c>
    </row>
    <row r="15" ht="15" customHeight="1" spans="1:3" x14ac:dyDescent="0.25">
      <c r="A15" t="s">
        <v>117</v>
      </c>
      <c r="B15" s="7">
        <v>3.84</v>
      </c>
      <c r="C15" s="2" t="s">
        <v>1</v>
      </c>
    </row>
    <row r="16" ht="15.75" customHeight="1" spans="1:3" x14ac:dyDescent="0.25">
      <c r="A16" t="s">
        <v>118</v>
      </c>
      <c r="B16" s="21">
        <f>B14*B15</f>
      </c>
      <c r="C16" s="2" t="s">
        <v>1</v>
      </c>
    </row>
    <row r="17" spans="1:3" x14ac:dyDescent="0.25">
      <c r="A17" t="s">
        <v>1</v>
      </c>
      <c r="B17" s="13" t="s">
        <v>1</v>
      </c>
      <c r="C17" s="2" t="s">
        <v>1</v>
      </c>
    </row>
    <row r="18" ht="15.75" customHeight="1" spans="1:3" x14ac:dyDescent="0.25">
      <c r="A18" t="s">
        <v>119</v>
      </c>
      <c r="B18" s="11">
        <v>0.35</v>
      </c>
      <c r="C18" s="2" t="s">
        <v>1</v>
      </c>
    </row>
    <row r="19" ht="15" customHeight="1" spans="1:3" x14ac:dyDescent="0.25">
      <c r="A19" t="s">
        <v>120</v>
      </c>
      <c r="B19" s="19">
        <f>B16/B18</f>
      </c>
      <c r="C19" s="2" t="s">
        <v>1</v>
      </c>
    </row>
    <row r="20" ht="15" customHeight="1" spans="1:3" x14ac:dyDescent="0.25">
      <c r="A20" t="s">
        <v>121</v>
      </c>
      <c r="B20" s="22">
        <f>B19/B15-1</f>
      </c>
      <c r="C20" s="2" t="s">
        <v>1</v>
      </c>
    </row>
    <row r="21" ht="15.75" customHeight="1" spans="1:3" x14ac:dyDescent="0.25">
      <c r="A21" t="s">
        <v>122</v>
      </c>
      <c r="B21" s="22">
        <f>B18*B19</f>
      </c>
      <c r="C21" s="2" t="s">
        <v>1</v>
      </c>
    </row>
    <row r="22" spans="1:3" x14ac:dyDescent="0.25">
      <c r="A22" t="s">
        <v>1</v>
      </c>
      <c r="B22" s="14" t="s">
        <v>1</v>
      </c>
      <c r="C22" s="2" t="s">
        <v>1</v>
      </c>
    </row>
    <row r="23" ht="15.75" customHeight="1" spans="1:3" x14ac:dyDescent="0.25">
      <c r="A23" s="2" t="s">
        <v>123</v>
      </c>
      <c r="B23" s="14" t="s">
        <v>1</v>
      </c>
      <c r="C23" s="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  <ignoredErrors>
    <ignoredError sqref="A1:H43" evalError="1" twoDigitTextYear="1" numberStoredAsText="1" formula="1" formulaRange="1" unlockedFormula="1" emptyCellReference="1" listDataValidation="1" calculatedColumn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说明</vt:lpstr>
      <vt:lpstr>三指标模型</vt:lpstr>
      <vt:lpstr>组合对照</vt:lpstr>
      <vt:lpstr>空转概率</vt:lpstr>
      <vt:lpstr>反推工具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2026-09-29T16:01:02Z</dcterms:created>
  <dcterms:modified xsi:type="dcterms:W3CDTF">2026-09-29T16:01:02Z</dcterms:modified>
</cp:coreProperties>
</file>