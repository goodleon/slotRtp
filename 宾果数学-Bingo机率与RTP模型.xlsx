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Bingo 机率+赔率→RTP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<sst xmlns="http://schemas.openxmlformats.org/spreadsheetml/2006/main" count="1826" uniqueCount="280">
  <si>
    <t>宾果数学 —— BINGO 宾果玩法、机率与 RTP 模型</t>
  </si>
  <si>
    <t xml:space="preserve"> </t>
  </si>
  <si>
    <t>来源</t>
  </si>
  <si>
    <t>来源：SLOT设计王《賓果 BINGO》 https://ezslotdesign.com/bingo/ （原文作者：天橋下說書的小生，2018.09.10，阅读约 5 分钟）</t>
  </si>
  <si>
    <t>归类：站点「其它博弈設計」分类，不属于老虎机系列，故以独立系列「宾果数学-」命名（比照同目录的「骰宝数学-SicBo计算模型」「捕鱼游戏数学-PartⅠ~Ⅳ」），不并入「老虎机数学入门 Part Ⅰ~Ⅵ」。</t>
  </si>
  <si>
    <t>页签</t>
  </si>
  <si>
    <t>· 说明：原文整理 + 参数速查 + 公式速查 + 色标（本页）</t>
  </si>
  <si>
    <t>· Bingo 机率+赔率→RTP：单一图案机率 → 具名图案 → 线条容斥 → 赔率表与 RTP（口径 A）→ 只赔最高档（口径 B）→ Extra Ball 敏感度 → 多卡模式 → 传统美式／童年版／英式参数与对照</t>
  </si>
  <si>
    <t>用法</t>
  </si>
  <si>
    <t>1) 在「Bingo 机率+赔率→RTP」第 1~10 行「基本参数」区填球池号码总数 N、首轮开球数 B、卡片栏数／列数、卡片张数与单卡单价（现为原文 Video Bingo 示范参数：N＝90、B＝30、3×5 卡）。</t>
  </si>
  <si>
    <t>2) 第 13~28 行「单一图案机率表」自动算出「指定 k 格全中」的机率（k＝1~15），第 30~36 行「具名图案」再把它对应到四角／横线／竖线／外框／全卡。</t>
  </si>
  <si>
    <t>3) 第 38~42 行「线条容斥」用容斥求「多条线取任一」的机率；第 44~52 行「赔率表与 RTP（口径 A）」填各图案赔率（蓝字，倍）即得 RTP 与目标差额。</t>
  </si>
  <si>
    <t>4) 第 54~61 行「口径 B」把同一组赔率改成「只赔完成的最大档」；第 63~69 行「Extra Ball」扫 B＝25~45；第 71~78 行「多卡模式」；第 80~130 行传统美式／童年版／英式参数与原文对照。</t>
  </si>
  <si>
    <t>计算要点</t>
  </si>
  <si>
    <t>· 单一图案命中机率（指定 k 格全中）＝ Π(B−j)/(N−j)，j ＝ 0…k−1，也等于 C(N−k, B−k) ÷ C(N, B)：这就是「不放回抽样」的超几何分布。</t>
  </si>
  <si>
    <t>· 分母 C(N, B) ＝ 从 N 个号码里开出 B 个的所有组合数；分子 C(N−k, B−k) ＝ 先把指定 k 格占掉，剩下 B−k 球从其余 N−k 个号码里出。</t>
  </si>
  <si>
    <t>· 同一家族的线（3 条横线彼此不共用格、5 条竖线彼此不共用格）可用容斥精确求「任一条中」：ΣP − Σ两两交集 + Σ三三交集 − …。</t>
  </si>
  <si>
    <t>· 跨家族（横线 ∩ 竖线）只共用 1 格，单组交集 ＝ 7 格 ＝ P7；但 3×5 ＝ 15 组配对要做高阶容斥，无法用单一公式表达，本簿只做同家族，跨家族留待仿真。</t>
  </si>
  <si>
    <t>· 嵌套图案（四角 ⊂ 外框 ⊂ 全卡）：规则若是「只赔最高档」，第 i 档要用「恰好最高档」机率 ＝ P(第 i 档) − P(更高档)；规则若是「各自赔付、可累加」，直接 Σ P × 赔率 就精确（期望值具线性性，图案重叠不影响加总）。</t>
  </si>
  <si>
    <t>· Extra Ball：把开球数 B 往上加，机率成长很快（四角：B＝30 → 1.07%，B＝35 → 2.05%，B＝45 → 5.83%），所以「让玩家付费买额外球」对营运方是很有价值的机制。</t>
  </si>
  <si>
    <t>预设参数下的示例结果（N＝90、B＝30、3×5 卡）</t>
  </si>
  <si>
    <t>单一格 33.3333% ｜ 单一竖线(3 格) 3.4559% ｜ 四角(4 格) 1.0725% ｜ 单一横线(5 格) 0.3243% ｜ 外框(12 格) 0.0000316% ｜ 全卡(15 格) 0.00000034%</t>
  </si>
  <si>
    <t>容斥后：任一横线（3 条）0.9712% ｜ 任一竖线（5 条）16.3460%</t>
  </si>
  <si>
    <t>赔率表预设（四角 35、任一横线 20、任一竖线 2、外框 5000、全卡 200000）→ 口径 A 合计 RTP ≈ 89.88%；口径 B（只赔最高档，嵌套链）≈ 37.76%。</t>
  </si>
  <si>
    <t>校验</t>
  </si>
  <si>
    <t>校验：2026-09-29 已用 LibreOffice 重算全簿 155 个公式，0 个公式错误（无参照错误、除零、类型不符、数值溢出与查无值等错误值）；上列「示例结果」与第 2 个页签的计算值逐项一致。</t>
  </si>
  <si>
    <t>重要声明</t>
  </si>
  <si>
    <t>原文《賓果 BINGO》是玩家向的科普／经验介绍文，全文没有任何赔率表、机率、RTP 或数学公式。本簿第 2 个页签的机率与 RTP 模型，是编者依原文给出的结构参数（卡片格式、球池大小、开球数、Pattern 机制、Extra Ball）自行补建的示范模型，非原文内容；原文的定性结论见下方 0~10 节的整理。</t>
  </si>
  <si>
    <t>色标</t>
  </si>
  <si>
    <t>蓝色字 ＝ 可改输入；黑色字 ＝ 公式；黄底 ＝ 关键结果；浅蓝底 ＝ 表头；浅黄底 ＝ 模式／规则选择；灰底 ＝ 对照原文或外部参考值。</t>
  </si>
  <si>
    <t>本簿区块位置（第 2 个页签）</t>
  </si>
  <si>
    <t>基本参数 第1~10行；单一图案命中机率 第12~28行；具名图案 第30~36行；线条图案：多条线「取任一」＝ 容斥 第38~42行；赔率表与 RTP（口径 A：完成的图案各自赔付、可累加） 第44~52行；口径 B：只赔「完成的最大档」 第54~61行；Extra Ball 敏感度 第63~69行；多卡模式 第71~78行；传统美式宾果 第80~88行；童年版 第90~102行；英式宾果 第104~111行；对照原文（结构参数，硬编码） 第113~117行；特性比较（原文表） 第119~123行；一致性检查（本簿参数 vs 原文） 第125~130行</t>
  </si>
  <si>
    <t>── 文章整理（依据 https://ezslotdesign.com/bingo/ 页面内容）──</t>
  </si>
  <si>
    <t>賓果 BINGO —— 玩法分类、乐趣与 Video Bingo</t>
  </si>
  <si>
    <t>来源文章：&lt;https://ezslotdesign.com/bingo/&gt;（SLOT设计王 · 其它博弈設計，繁体中文）</t>
  </si>
  <si>
    <t>原文作者：天橋下說書的小生 ｜ 原文日期：2018.09.10 ｜ 阅读约 5 分钟 ｜ 封面照 Photo by Bret Lama / Unsplash</t>
  </si>
  <si>
    <t>整理日期：2026-09-29 ｜ 原文 4 张配图已下载到 images/bingo/ 并嵌入本页。</t>
  </si>
  <si>
    <t>0. 一句话概括</t>
  </si>
  <si>
    <t>宾果（Bingo）是行之已久、老少咸宜的游戏。从纸笔画的 5×5 童年卡、商场里的浮球机团体赛，到电子化的 Video Bingo，核心都是「开出的号码对中卡上的格子，完成指定图形就中奖」。原文介绍美式／英式两大类与 Video Bingo 的规则差异，并比较两种游戏的特性。</t>
  </si>
  <si>
    <t>1. 传统宾果（童年玩法）</t>
  </si>
  <si>
    <t>小时候与朋友拿出纸笔，画出 5 × 5 的宾果卡，在每格随机填上 1 至 25 的号码，轮流叫号并在卡上圈出位置；某条线上 5 个位置的号码都中，代表「中了一线」，最先完成 5 条线的人获胜。</t>
  </si>
  <si>
    <t>· 线的定义：5 条水平线 ＋ 5 条垂直线 ＋ 2 条对角线，共 12 条。这就是最传统、广为人知的玩法，也称【美式宾果】。</t>
  </si>
  <si>
    <t>[图片] 传统宾果示意图 —— images/bingo/01-image-42.png（原文 image-42）</t>
  </si>
  <si>
    <t>2. 宾果的乐趣在哪里？（菲律宾商场的团体赛）</t>
  </si>
  <si>
    <t>作者因工作到菲律宾出差，在某购物中心休息区看到一台浮球机（开出宾果球的机器），随后许多人陆续就坐、场内有兜售宾果卡。询问后才知道整点的宾果活动即将开始。</t>
  </si>
  <si>
    <t>参与者带着自备的「印章」（盖宾果卡号码用），把买来的宾果卡整齐黏在桌上；时间一到，团体竞赛开始：主持人先宣布该局中奖的图案（Pattern）与奖金，并告知率先举手的人才能获奖。</t>
  </si>
  <si>
    <t>比赛过程中主持人除了念号也会与现场互动；随着开出的号码越来越多，离中奖机会越来越近，气氛紧张刺激。第一位玩家举手后，工作人员随即停止开球并上前确认宾果卡是否中奖，确认后主持人便恭喜得奖者，得奖人也享受着众人注视的目光 —— 这就是宾果好玩的地方。</t>
  </si>
  <si>
    <t>3. 宾果的分类：美式 vs 英式</t>
  </si>
  <si>
    <t>除了【美式宾果】，另外还有【英式宾果】，也非常受玩家喜爱。两者的规则差异如下表（原文表 1）：</t>
  </si>
  <si>
    <t>对比项</t>
  </si>
  <si>
    <t>美式宾果</t>
  </si>
  <si>
    <t>英式宾果</t>
  </si>
  <si>
    <t>宾果卡格式</t>
  </si>
  <si>
    <t>5 x 5</t>
  </si>
  <si>
    <t>3 x 9</t>
  </si>
  <si>
    <t>卡上的中奖号码个数</t>
  </si>
  <si>
    <t>24（中间为 FREE）</t>
  </si>
  <si>
    <t>卡上号码排列</t>
  </si>
  <si>
    <t>随机</t>
  </si>
  <si>
    <t>号码由小到大</t>
  </si>
  <si>
    <t>总号码球数</t>
  </si>
  <si>
    <t>1 到 75</t>
  </si>
  <si>
    <t>1 到 90</t>
  </si>
  <si>
    <t>中奖规则</t>
  </si>
  <si>
    <t>通常为单一奖项：全中（House）</t>
  </si>
  <si>
    <t>一张卡可中三个奖项</t>
  </si>
  <si>
    <t>[图片] 美式／英式宾果卡对照 —— images/bingo/02-image-43.png（原文 image-43）</t>
  </si>
  <si>
    <t>由上面可以得出两种游戏的特性比较（原文表 2）：</t>
  </si>
  <si>
    <t>游戏节奏慢</t>
  </si>
  <si>
    <t>游戏节奏快</t>
  </si>
  <si>
    <t>不易同时玩多张卡片</t>
  </si>
  <si>
    <t>适合同时间玩多张卡片</t>
  </si>
  <si>
    <t>规则较容易理解</t>
  </si>
  <si>
    <t>初学者不易上手</t>
  </si>
  <si>
    <t>4. 电子版本推荐：Pumpkin Bingo</t>
  </si>
  <si>
    <t>除纸本外，两类宾果也被广泛设计成电子游戏版本：拜网络、社群软件与智能手机发达之赐，玩家可直接在电脑或手机下载游戏，与其他玩家竞争互动。原文推荐一款在市场上相当著名的游戏【Pumpkin Bingo】。</t>
  </si>
  <si>
    <t>规则：在一定时间内，宾果球会随机出现在画面中，玩家要一个个确认该号码是否出现在宾果卡上，正确则加分、反向判断（错误）则扣分；游戏同时提供加时道具与陷阱。最后依玩家的反应与正确性给分，并可与其他玩家（朋友）比较，增加乐趣与竞赛互动性。</t>
  </si>
  <si>
    <t>[图片] Pumpkin Bingo —— images/bingo/03-image-44-opt.webp（原文 image-44）</t>
  </si>
  <si>
    <t>5. 另一种热门玩法：Video Bingo</t>
  </si>
  <si>
    <t>此种游戏较常见的规则为：</t>
  </si>
  <si>
    <t>· 1. 游戏中使用的球号为 60 或 90 个。</t>
  </si>
  <si>
    <t>· 2. 宾果卡为 3 x 5，卡号随机产生，玩家可买 1 张或多张宾果卡。</t>
  </si>
  <si>
    <t>· 3. 开始游戏时，30 颗球随机开出，并将卡片上中的号码自动标记。</t>
  </si>
  <si>
    <t>· 4. 游戏中提供多个图案（Pattern）与对应的奖项。</t>
  </si>
  <si>
    <t>· 5. 前 30 球开完后，依一定规则提供额外的球（Extra Ball），让玩家选择是否额外付费购买。</t>
  </si>
  <si>
    <t>与美式、英式宾果相比，此游戏具有以下特性：</t>
  </si>
  <si>
    <t>· 1. 游戏速度更快。</t>
  </si>
  <si>
    <t>· 2. 提供多个图案与奖项，提高中奖金额与机会。</t>
  </si>
  <si>
    <t>· 3. 提供额外球（Extra Ball）让玩家购买，更增加游戏中大奖的机会。</t>
  </si>
  <si>
    <t>· 4. 游戏的娱乐性更高。</t>
  </si>
  <si>
    <t>盛行地区：墨西哥、巴西、菲律宾。市场上较有名的供应商为《Zitro》，可上其官网看相关作品。</t>
  </si>
  <si>
    <t>[图片] Video Bingo —— images/bingo/04-image-45-opt.webp（原文 image-45）</t>
  </si>
  <si>
    <t>6. 总结</t>
  </si>
  <si>
    <t>宾果在游戏趣味性上更胜于传统的博弈游戏；不同国家流行的宾果游戏也有所区别。作者仅就自身经验做简略介绍，有兴趣的读者可花些时间研究其中的魅力。</t>
  </si>
  <si>
    <t>7. 原文结构参数速查（供第 2 个页签核对）</t>
  </si>
  <si>
    <t>模式</t>
  </si>
  <si>
    <t>卡格式</t>
  </si>
  <si>
    <t>卡上号码数</t>
  </si>
  <si>
    <t>号码排列</t>
  </si>
  <si>
    <t>球池</t>
  </si>
  <si>
    <t>开球数</t>
  </si>
  <si>
    <t>24（中间 FREE）</t>
  </si>
  <si>
    <t>1 ~ 75</t>
  </si>
  <si>
    <t>无固定（竞速制）</t>
  </si>
  <si>
    <t>通常单一奖项：全中（House）</t>
  </si>
  <si>
    <t>1 ~ 90</t>
  </si>
  <si>
    <t>Video Bingo</t>
  </si>
  <si>
    <t>3 x 5</t>
  </si>
  <si>
    <t>卡号随机</t>
  </si>
  <si>
    <t>60 或 90</t>
  </si>
  <si>
    <t>30（＋ Extra Ball）</t>
  </si>
  <si>
    <t>多个图案（Pattern）与对应奖项</t>
  </si>
  <si>
    <t>8. 术语表</t>
  </si>
  <si>
    <t>术语</t>
  </si>
  <si>
    <t>含义</t>
  </si>
  <si>
    <t>賓果 / Bingo</t>
  </si>
  <si>
    <t>宾果</t>
  </si>
  <si>
    <t>美式賓果</t>
  </si>
  <si>
    <t>American Bingo：5×5、1~75、24 个号码、中心 FREE</t>
  </si>
  <si>
    <t>英式賓果</t>
  </si>
  <si>
    <t>British Bingo：3×9、1~90、15 个号码，一卡可中三奖</t>
  </si>
  <si>
    <t>FREE</t>
  </si>
  <si>
    <t>美式宾果卡正中央的免费格（不必开出即算中）</t>
  </si>
  <si>
    <t>House</t>
  </si>
  <si>
    <t>全中，美式宾果常见的单一奖项</t>
  </si>
  <si>
    <t>浮球機</t>
  </si>
  <si>
    <t>开出宾果球的机器</t>
  </si>
  <si>
    <t>圖案 / Pattern</t>
  </si>
  <si>
    <t>中奖图形（如一线、四角、外框、全卡）</t>
  </si>
  <si>
    <t>Extra Ball</t>
  </si>
  <si>
    <t>额外球：前 30 球开完后，可付费加购的球</t>
  </si>
  <si>
    <t>电子／视频宾果，卡为 3×5，球池 60 或 90</t>
  </si>
  <si>
    <t>Pumpkin Bingo</t>
  </si>
  <si>
    <t>一款知名的电子宾果游戏（反应＋正确性给分）</t>
  </si>
  <si>
    <t>9. 配图清单（images/bingo/）</t>
  </si>
  <si>
    <t>文件</t>
  </si>
  <si>
    <t>原文图</t>
  </si>
  <si>
    <t>内容</t>
  </si>
  <si>
    <t>01-image-42.png</t>
  </si>
  <si>
    <t>image-42</t>
  </si>
  <si>
    <t>传统宾果示意图</t>
  </si>
  <si>
    <t>02-image-43.png</t>
  </si>
  <si>
    <t>image-43</t>
  </si>
  <si>
    <t>美式／英式宾果对照图</t>
  </si>
  <si>
    <t>03-image-44-opt.webp</t>
  </si>
  <si>
    <t>image-44</t>
  </si>
  <si>
    <t>04-image-45-opt.webp</t>
  </si>
  <si>
    <t>image-45</t>
  </si>
  <si>
    <t>10. 参考链接</t>
  </si>
  <si>
    <t>· 本篇原文：&lt;https://ezslotdesign.com/bingo/&gt;</t>
  </si>
  <si>
    <t>· 文末合作文章：遊戲評測-星城彩色賓果 &lt;https://ezslotdesign.com/xinstars-bingo-review/&gt;</t>
  </si>
  <si>
    <t>· Video Bingo 供应商：Zitro &lt;https://zitrogames.com/video-bingo/&gt;</t>
  </si>
  <si>
    <t>【基本参数】</t>
  </si>
  <si>
    <t>项目</t>
  </si>
  <si>
    <t>值</t>
  </si>
  <si>
    <t>说明</t>
  </si>
  <si>
    <t>球池号码总数 N</t>
  </si>
  <si>
    <t>蓝字＝可改输入；1 ~ 90（Video Bingo 常见 60 或 90）</t>
  </si>
  <si>
    <t>首轮开球数 B</t>
  </si>
  <si>
    <t>Video Bingo 开 30 球</t>
  </si>
  <si>
    <t>卡片栏数</t>
  </si>
  <si>
    <t>3×5 卡</t>
  </si>
  <si>
    <t>卡片列数</t>
  </si>
  <si>
    <t>卡片格数（卡上号码个数）</t>
  </si>
  <si>
    <t>公式</t>
  </si>
  <si>
    <t>卡片张数</t>
  </si>
  <si>
    <t>单卡单价（注码）</t>
  </si>
  <si>
    <t>RTP 以此为 1 单位</t>
  </si>
  <si>
    <t>所有开球组合数 C(N, B)</t>
  </si>
  <si>
    <t>机率的分母</t>
  </si>
  <si>
    <t>【单一图案命中机率】指定 k 格全中 ＝ Π(B−j)/(N−j) ＝ C(N−k, B−k) ÷ C(N, B)（超几何分布）</t>
  </si>
  <si>
    <t>图案格数 k</t>
  </si>
  <si>
    <t>组合数 C(N−k, B−k)</t>
  </si>
  <si>
    <t>命中机率</t>
  </si>
  <si>
    <t>期望出现 1 次所需张数（1/机率）</t>
  </si>
  <si>
    <t>【具名图案】（引用上表）</t>
  </si>
  <si>
    <t>图案</t>
  </si>
  <si>
    <t>格数 k</t>
  </si>
  <si>
    <t>四角（4 Corners）</t>
  </si>
  <si>
    <t>卡片的 4 个角落</t>
  </si>
  <si>
    <t>单一横线（1 Line）</t>
  </si>
  <si>
    <t>同一列的 5 格</t>
  </si>
  <si>
    <t>单一竖线（1 Column）</t>
  </si>
  <si>
    <t>同一栏的 3 格</t>
  </si>
  <si>
    <t>外框（Border）</t>
  </si>
  <si>
    <t>上下两列各 5 格 ＋ 中列左右各 1 格 ＝ 12 格</t>
  </si>
  <si>
    <t>全卡（Full House）</t>
  </si>
  <si>
    <t>15 格全中</t>
  </si>
  <si>
    <t>【线条图案：多条线「取任一」＝ 容斥】</t>
  </si>
  <si>
    <t>算式</t>
  </si>
  <si>
    <t>任一横线（3 条，彼此不共用格）</t>
  </si>
  <si>
    <t>3·P5 − 3·P10 + P15</t>
  </si>
  <si>
    <t>三条列线彼此不共用格：两两交集 ＝ 10 格、三条全中 ＝ 15 格</t>
  </si>
  <si>
    <t>任一竖线（5 条，彼此不共用格）</t>
  </si>
  <si>
    <t>5·P3 − 10·P6 + 10·P9 − 5·P12 + P15</t>
  </si>
  <si>
    <t>五条栏线彼此不共用格</t>
  </si>
  <si>
    <t>注：跨家族（横线 ∩ 竖线）只共用 1 格 → 单组交集 ＝ 7 格 ＝ P7；但 3×5 ＝ 15 组配对要做高阶容斥，无法用单一公式表示，需仿真，本簿不列。</t>
  </si>
  <si>
    <t>【赔率表与 RTP（口径 A：完成的图案各自赔付、可累加）】</t>
  </si>
  <si>
    <t>赔率（倍）</t>
  </si>
  <si>
    <t>RTP 贡献</t>
  </si>
  <si>
    <t>占总 RTP 比重</t>
  </si>
  <si>
    <t>四角</t>
  </si>
  <si>
    <t>任一横线</t>
  </si>
  <si>
    <t>任一竖线</t>
  </si>
  <si>
    <t>外框</t>
  </si>
  <si>
    <t>全卡</t>
  </si>
  <si>
    <t>合计 RTP（口径 A）</t>
  </si>
  <si>
    <t>目标 RTP</t>
  </si>
  <si>
    <t>差额（实际 − 目标）</t>
  </si>
  <si>
    <t>【口径 B：只赔「完成的最大档」】嵌套链 四角 ⊂ 外框 ⊂ 全卡，可精确计算</t>
  </si>
  <si>
    <t>等级</t>
  </si>
  <si>
    <t>图案（格数）</t>
  </si>
  <si>
    <t>完成机率</t>
  </si>
  <si>
    <t>恰好最高档机率</t>
  </si>
  <si>
    <t>T1</t>
  </si>
  <si>
    <t>四角（4 格）</t>
  </si>
  <si>
    <t>T2</t>
  </si>
  <si>
    <t>外框（12 格）</t>
  </si>
  <si>
    <t>T3</t>
  </si>
  <si>
    <t>全卡（15 格）</t>
  </si>
  <si>
    <t>合计（口径 B）</t>
  </si>
  <si>
    <t>对照：同样 3 个嵌套图案改用「各自赔付、累加」</t>
  </si>
  <si>
    <t>差异（累加 − 只赔最高档）</t>
  </si>
  <si>
    <t>差额＝已完成大图案时、被重复涵盖的小图案赔付</t>
  </si>
  <si>
    <t>【Extra Ball 敏感度】改变开球数 B（其余参数不变）</t>
  </si>
  <si>
    <t>开球数 B</t>
  </si>
  <si>
    <t>P(单一竖线 k=3)</t>
  </si>
  <si>
    <t>P(四角 k=4)</t>
  </si>
  <si>
    <t>P(单一横线 k=5)</t>
  </si>
  <si>
    <t>P(全卡 k=15)</t>
  </si>
  <si>
    <t>四角机率 ÷ B=30 的倍数</t>
  </si>
  <si>
    <t>【多卡模式】以「四角」为中奖定义；赔付采口径 B 的嵌套链</t>
  </si>
  <si>
    <t>单卡中奖机率</t>
  </si>
  <si>
    <t>期望中奖卡数</t>
  </si>
  <si>
    <t>至少中一张（假设各卡独立）</t>
  </si>
  <si>
    <t>RTP（不随张数改变）</t>
  </si>
  <si>
    <t>注：同一局各卡共用同一批开球 → 各卡命中正相关，「至少中一张」的实际机率会高于上表（独立假设）之值，精确值需仿真。</t>
  </si>
  <si>
    <t>【传统美式宾果】N＝75 / 5×5 卡、24 个号码 ＋ 中心 FREE / 12 条线</t>
  </si>
  <si>
    <t>机率</t>
  </si>
  <si>
    <t>卡上中奖号码个数（中心 FREE）</t>
  </si>
  <si>
    <t>5×5 ＝ 25 格，中心免开</t>
  </si>
  <si>
    <t>蓝字可改</t>
  </si>
  <si>
    <t>全中（House）</t>
  </si>
  <si>
    <t>原文：美式通常只有单一奖项＝全中</t>
  </si>
  <si>
    <t>单一指定线（5 格）</t>
  </si>
  <si>
    <t>任一条线（5 横＋5 竖＋2 斜）</t>
  </si>
  <si>
    <t>含 FREE 的线（实际只需 4 格）</t>
  </si>
  <si>
    <t>中心 FREE 已算中，故只需 4 个号码</t>
  </si>
  <si>
    <t>注：12 条线共用格（非互斥），且主办方在有人中奖时即停开球 → 属竞速制，没有「固定开球数」下的单一机率。</t>
  </si>
  <si>
    <t>【童年版】5×5 卡、号码 1 ~ 25、先完成 5 条线者胜</t>
  </si>
  <si>
    <t>球池 N（＝卡上格数 25）</t>
  </si>
  <si>
    <t>每格填 1~25、不重复</t>
  </si>
  <si>
    <t>被叫号次数 b</t>
  </si>
  <si>
    <t>指定一条线（5 格）于 b 次叫号后完成</t>
  </si>
  <si>
    <t>12 条线 ＝ 5 横 ＋ 5 竖 ＋ 2 斜</t>
  </si>
  <si>
    <t>叫号次数 b</t>
  </si>
  <si>
    <t>指定线（5 格）完成机率</t>
  </si>
  <si>
    <t>相对 b=15 的倍数</t>
  </si>
  <si>
    <t>注：12 条线彼此共用格，且规则为「先完成 5 条线者胜」→ 竞速制；精确机率需容斥或仿真，本表只给单一线（5 格）的机率。</t>
  </si>
  <si>
    <t>【英式宾果】N＝90 / 3×9 卡、15 个号码；一张卡可中三个奖项</t>
  </si>
  <si>
    <t>卡上号码个数（3 列 × 每列 5 个）</t>
  </si>
  <si>
    <t>卡上号码由小到大排列</t>
  </si>
  <si>
    <t>与上方 Video Bingo 共用参数</t>
  </si>
  <si>
    <t>与上方共用</t>
  </si>
  <si>
    <t>单一指定列（5 格）完成</t>
  </si>
  <si>
    <t>一列 5 个号码全中 ＝ 一个奖项</t>
  </si>
  <si>
    <t>三列任一完成（容斥；三列彼此不共用号码）</t>
  </si>
  <si>
    <t>同「任一横线」算式（N、B 相同）</t>
  </si>
  <si>
    <t>注：原文「一张卡可中三个奖项」＝ 三条列线各自的奖项。</t>
  </si>
  <si>
    <t>【对照原文（结构参数，硬编码）】</t>
  </si>
  <si>
    <t>无固定（竞速）</t>
  </si>
  <si>
    <t>【特性比较（原文表）】</t>
  </si>
  <si>
    <t>【一致性检查（本簿参数 vs 原文）】</t>
  </si>
  <si>
    <t>检查项</t>
  </si>
  <si>
    <t>本簿</t>
  </si>
  <si>
    <t>原文</t>
  </si>
  <si>
    <t>差异</t>
  </si>
  <si>
    <t>Video 球池 N</t>
  </si>
  <si>
    <t>卡片格数 3×5</t>
  </si>
  <si>
    <t>美式卡格数（含 FREE）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</si>
</sst>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rgb="FF000000"/>
      <name val="微软雅黑"/>
      <charset val="134"/>
    </font>
    <font>
      <sz val="11"/>
      <color rgb="FF0000FF"/>
      <name val="微软雅黑"/>
      <charset val="134"/>
    </font>
    <font>
      <sz val="10"/>
      <color rgb="FF606060"/>
      <name val="微软雅黑"/>
      <charset val="134"/>
    </font>
    <font>
      <b/>
      <sz val="11"/>
      <color rgb="FF000000"/>
      <name val="微软雅黑"/>
      <charset val="134"/>
    </font>
    <font>
      <b/>
      <sz val="14"/>
      <color rgb="FF1F4E79"/>
      <name val="微软雅黑"/>
      <charset val="134"/>
    </font>
    <font>
      <b/>
      <sz val="10"/>
      <color rgb="FF1F4E79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4">
    <xf numFmtId="0" fontId="0" fillId="0" borderId="0" xfId="0"/>
    <xf numFmtId="49" fontId="1" fillId="2" borderId="0" xfId="0" applyNumberFormat="1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vertical="center"/>
    </xf>
    <xf numFmtId="10" fontId="5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top" wrapText="1"/>
    </xf>
    <xf numFmtId="4" fontId="2" fillId="6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vertical="top" wrapText="1"/>
    </xf>
    <xf numFmtId="49" fontId="7" fillId="3" borderId="0" xfId="0" applyNumberFormat="1" applyFont="1" applyFill="1" applyAlignment="1">
      <alignment horizontal="center" vertical="top" wrapText="1"/>
    </xf>
    <xf numFmtId="49" fontId="5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/>
    </xf>
    <xf numFmtId="49" fontId="8" fillId="0" borderId="0" xfId="0" applyNumberFormat="1" applyFont="1" applyAlignment="1">
      <alignment vertical="top" wrapText="1"/>
    </xf>
    <xf numFmtId="49" fontId="9" fillId="0" borderId="0" xfId="0" applyNumberFormat="1" applyFont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49" fontId="10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horizontal="center" vertical="top"/>
    </xf>
    <xf numFmtId="0" fontId="1" fillId="2" borderId="0" xfId="0" applyNumberFormat="1" applyFont="1" applyFill="1" applyAlignment="1">
      <alignment horizontal="left" vertical="center" wrapText="1"/>
    </xf>
    <xf numFmtId="0" fontId="6" fillId="0" borderId="0" xfId="0" applyNumberFormat="1" applyFont="1" applyAlignment="1">
      <alignment vertical="top" wrapText="1"/>
    </xf>
    <xf numFmtId="0" fontId="7" fillId="3" borderId="0" xfId="0" applyNumberFormat="1" applyFont="1" applyFill="1" applyAlignment="1">
      <alignment horizontal="center" vertical="top" wrapText="1"/>
    </xf>
    <xf numFmtId="0" fontId="5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vertical="top"/>
    </xf>
    <xf numFmtId="0" fontId="8" fillId="0" borderId="0" xfId="0" applyNumberFormat="1" applyFont="1" applyAlignment="1">
      <alignment vertical="top" wrapText="1"/>
    </xf>
    <xf numFmtId="0" fontId="9" fillId="0" borderId="0" xfId="0" applyNumberFormat="1" applyFont="1" applyAlignment="1">
      <alignment vertical="top" wrapText="1"/>
    </xf>
    <xf numFmtId="0" fontId="10" fillId="0" borderId="0" xfId="0" applyNumberFormat="1" applyFont="1" applyAlignment="1">
      <alignment vertical="top" wrapText="1"/>
    </xf>
    <xf numFmtId="0" fontId="10" fillId="0" borderId="0" xfId="0" applyNumberFormat="1" applyFont="1" applyAlignment="1">
      <alignment horizontal="center" vertical="top" wrapText="1"/>
    </xf>
    <xf numFmtId="0" fontId="10" fillId="0" borderId="0" xfId="0" applyNumberFormat="1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50</xdr:row>
      <xdr:rowOff>0</xdr:rowOff>
    </xdr:from>
    <xdr:to>
      <xdr:col>0</xdr:col>
      <xdr:colOff>421427</xdr:colOff>
      <xdr:row>50</xdr:row>
      <xdr:rowOff>2879999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14360525"/>
          <a:ext cx="421005" cy="2879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421427</xdr:colOff>
      <xdr:row>88</xdr:row>
      <xdr:rowOff>1567498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26552525"/>
          <a:ext cx="421005" cy="15671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421427</xdr:colOff>
      <xdr:row>111</xdr:row>
      <xdr:rowOff>3749999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33210500"/>
          <a:ext cx="421005" cy="3749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421427</xdr:colOff>
      <xdr:row>157</xdr:row>
      <xdr:rowOff>2827498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47593250"/>
          <a:ext cx="421005" cy="2827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10"/>
  <sheetViews>
    <sheetView workbookViewId="0">
      <selection activeCell="A1" sqref="A1:G1"/>
    </sheetView>
  </sheetViews>
  <sheetFormatPr defaultColWidth="9" defaultRowHeight="14"/>
  <cols>
    <col min="1" max="1" width="42.1454545454545" customWidth="1"/>
    <col min="2" max="2" width="14.5727272727273" customWidth="1"/>
    <col min="3" max="5" width="12.7181818181818" customWidth="1"/>
    <col min="6" max="7" width="13" customWidth="1"/>
    <col min="8" max="45" width="13.5727272727273" customWidth="1"/>
  </cols>
  <sheetData>
    <row r="1" ht="20.25" customHeight="1" spans="1:11">
      <c r="A1" s="34" t="s">
        <v>0</v>
      </c>
      <c r="B1" s="34"/>
      <c r="C1" s="34"/>
      <c r="D1" s="34"/>
      <c r="E1" s="34"/>
      <c r="F1" s="34"/>
      <c r="G1" s="34"/>
    </row>
    <row r="2" ht="20" spans="1:11">
      <c r="A2" s="34" t="s">
        <v>1</v>
      </c>
      <c r="B2" s="35" t="s">
        <v>1</v>
      </c>
      <c r="C2" s="35" t="s">
        <v>1</v>
      </c>
      <c r="D2" s="35" t="s">
        <v>1</v>
      </c>
      <c r="E2" s="35" t="s">
        <v>1</v>
      </c>
      <c r="F2" s="35" t="s">
        <v>1</v>
      </c>
      <c r="G2" s="35" t="s">
        <v>1</v>
      </c>
    </row>
    <row r="3" ht="16.5" customHeight="1" spans="1:11">
      <c r="A3" s="36" t="s">
        <v>2</v>
      </c>
      <c r="B3" s="35" t="s">
        <v>1</v>
      </c>
      <c r="C3" s="35" t="s">
        <v>1</v>
      </c>
      <c r="D3" s="35" t="s">
        <v>1</v>
      </c>
      <c r="E3" s="35" t="s">
        <v>1</v>
      </c>
      <c r="F3" s="35" t="s">
        <v>1</v>
      </c>
      <c r="G3" s="35" t="s">
        <v>1</v>
      </c>
    </row>
    <row r="4" ht="30.75" customHeight="1" spans="1:11">
      <c r="A4" s="37" t="s">
        <v>3</v>
      </c>
      <c r="B4" s="37"/>
      <c r="C4" s="37"/>
      <c r="D4" s="37"/>
      <c r="E4" s="37"/>
      <c r="F4" s="37"/>
      <c r="G4" s="35" t="s">
        <v>1</v>
      </c>
    </row>
    <row r="5" ht="15" customHeight="1" spans="1:11">
      <c r="A5" s="38" t="s">
        <v>4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16.5" customHeight="1" spans="1:11">
      <c r="A6" s="36" t="s">
        <v>5</v>
      </c>
      <c r="B6" s="35" t="s">
        <v>1</v>
      </c>
      <c r="C6" s="35" t="s">
        <v>1</v>
      </c>
      <c r="D6" s="35" t="s">
        <v>1</v>
      </c>
      <c r="E6" s="35" t="s">
        <v>1</v>
      </c>
      <c r="F6" s="35" t="s">
        <v>1</v>
      </c>
      <c r="G6" s="35" t="s">
        <v>1</v>
      </c>
    </row>
    <row r="7" ht="16.5" customHeight="1" spans="1:11">
      <c r="A7" s="37" t="s">
        <v>6</v>
      </c>
      <c r="B7" s="35" t="s">
        <v>1</v>
      </c>
      <c r="C7" s="35" t="s">
        <v>1</v>
      </c>
      <c r="D7" s="35" t="s">
        <v>1</v>
      </c>
      <c r="E7" s="35" t="s">
        <v>1</v>
      </c>
      <c r="F7" s="35" t="s">
        <v>1</v>
      </c>
      <c r="G7" s="35" t="s">
        <v>1</v>
      </c>
    </row>
    <row r="8" ht="15" customHeight="1" spans="1:11">
      <c r="A8" s="38" t="s">
        <v>7</v>
      </c>
      <c r="B8" s="38"/>
      <c r="C8" s="38"/>
      <c r="D8" s="38"/>
      <c r="E8" s="38"/>
      <c r="F8" s="38"/>
      <c r="G8" s="38"/>
      <c r="H8" s="38"/>
      <c r="I8" s="38"/>
    </row>
    <row r="9" ht="16.5" spans="1:11">
      <c r="A9" s="37" t="s">
        <v>1</v>
      </c>
      <c r="B9" s="35" t="s">
        <v>1</v>
      </c>
      <c r="C9" s="35" t="s">
        <v>1</v>
      </c>
      <c r="D9" s="35" t="s">
        <v>1</v>
      </c>
      <c r="E9" s="35" t="s">
        <v>1</v>
      </c>
      <c r="F9" s="35" t="s">
        <v>1</v>
      </c>
      <c r="G9" s="35" t="s">
        <v>1</v>
      </c>
    </row>
    <row r="10" ht="16.5" customHeight="1" spans="1:11">
      <c r="A10" s="36" t="s">
        <v>8</v>
      </c>
      <c r="B10" s="35" t="s">
        <v>1</v>
      </c>
      <c r="C10" s="35" t="s">
        <v>1</v>
      </c>
      <c r="D10" s="35" t="s">
        <v>1</v>
      </c>
      <c r="E10" s="35" t="s">
        <v>1</v>
      </c>
      <c r="F10" s="35" t="s">
        <v>1</v>
      </c>
      <c r="G10" s="35" t="s">
        <v>1</v>
      </c>
    </row>
    <row r="11" ht="45.75" customHeight="1" spans="1:11">
      <c r="A11" s="37" t="s">
        <v>9</v>
      </c>
      <c r="B11" s="37"/>
      <c r="C11" s="37"/>
      <c r="D11" s="37"/>
      <c r="E11" s="37"/>
      <c r="F11" s="37"/>
      <c r="G11" s="37"/>
      <c r="H11" s="37"/>
      <c r="I11" s="37"/>
      <c r="J11" s="37"/>
    </row>
    <row r="12" ht="30.75" customHeight="1" spans="1:11">
      <c r="A12" s="37" t="s">
        <v>10</v>
      </c>
      <c r="B12" s="37"/>
      <c r="C12" s="37"/>
      <c r="D12" s="37"/>
      <c r="E12" s="37"/>
      <c r="F12" s="37"/>
      <c r="G12" s="37"/>
    </row>
    <row r="13" ht="30.75" customHeight="1" spans="1:11">
      <c r="A13" s="37" t="s">
        <v>11</v>
      </c>
      <c r="B13" s="37"/>
      <c r="C13" s="37"/>
      <c r="D13" s="37"/>
      <c r="E13" s="37"/>
      <c r="F13" s="37"/>
      <c r="G13" s="37"/>
    </row>
    <row r="14" ht="45.75" customHeight="1" spans="1:11">
      <c r="A14" s="37" t="s">
        <v>12</v>
      </c>
      <c r="B14" s="37"/>
      <c r="C14" s="37"/>
      <c r="D14" s="37"/>
      <c r="E14" s="37"/>
      <c r="F14" s="37"/>
      <c r="G14" s="37"/>
      <c r="H14" s="37"/>
      <c r="I14" s="37"/>
      <c r="J14" s="37"/>
    </row>
    <row r="15" ht="16.5" spans="1:11">
      <c r="A15" s="37" t="s">
        <v>1</v>
      </c>
      <c r="B15" s="35" t="s">
        <v>1</v>
      </c>
      <c r="C15" s="35" t="s">
        <v>1</v>
      </c>
      <c r="D15" s="35" t="s">
        <v>1</v>
      </c>
      <c r="E15" s="35" t="s">
        <v>1</v>
      </c>
      <c r="F15" s="35" t="s">
        <v>1</v>
      </c>
      <c r="G15" s="35" t="s">
        <v>1</v>
      </c>
    </row>
    <row r="16" ht="16.5" customHeight="1" spans="1:11">
      <c r="A16" s="36" t="s">
        <v>13</v>
      </c>
      <c r="B16" s="35" t="s">
        <v>1</v>
      </c>
      <c r="C16" s="35" t="s">
        <v>1</v>
      </c>
      <c r="D16" s="35" t="s">
        <v>1</v>
      </c>
      <c r="E16" s="35" t="s">
        <v>1</v>
      </c>
      <c r="F16" s="35" t="s">
        <v>1</v>
      </c>
      <c r="G16" s="35" t="s">
        <v>1</v>
      </c>
    </row>
    <row r="17" ht="30.75" customHeight="1" spans="1:23">
      <c r="A17" s="37" t="s">
        <v>14</v>
      </c>
      <c r="B17" s="37"/>
      <c r="C17" s="37"/>
      <c r="D17" s="37"/>
      <c r="E17" s="37"/>
      <c r="F17" s="37"/>
      <c r="G17" s="35" t="s">
        <v>1</v>
      </c>
    </row>
    <row r="18" ht="30.75" customHeight="1" spans="1:23">
      <c r="A18" s="37" t="s">
        <v>15</v>
      </c>
      <c r="B18" s="37"/>
      <c r="C18" s="37"/>
      <c r="D18" s="37"/>
      <c r="E18" s="37"/>
      <c r="F18" s="37"/>
      <c r="G18" s="35" t="s">
        <v>1</v>
      </c>
    </row>
    <row r="19" ht="30.75" customHeight="1" spans="1:23">
      <c r="A19" s="37" t="s">
        <v>16</v>
      </c>
      <c r="B19" s="37"/>
      <c r="C19" s="37"/>
      <c r="D19" s="37"/>
      <c r="E19" s="37"/>
      <c r="F19" s="37"/>
      <c r="G19" s="35" t="s">
        <v>1</v>
      </c>
    </row>
    <row r="20" ht="30.75" customHeight="1" spans="1:23">
      <c r="A20" s="37" t="s">
        <v>17</v>
      </c>
      <c r="B20" s="37"/>
      <c r="C20" s="37"/>
      <c r="D20" s="37"/>
      <c r="E20" s="37"/>
      <c r="F20" s="37"/>
      <c r="G20" s="37"/>
      <c r="H20" s="37"/>
    </row>
    <row r="21" ht="15" customHeight="1" spans="1:23">
      <c r="A21" s="38" t="s">
        <v>18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ht="30.75" customHeight="1" spans="1:23">
      <c r="A22" s="37" t="s">
        <v>19</v>
      </c>
      <c r="B22" s="37"/>
      <c r="C22" s="37"/>
      <c r="D22" s="37"/>
      <c r="E22" s="37"/>
      <c r="F22" s="37"/>
      <c r="G22" s="37"/>
      <c r="H22" s="37"/>
    </row>
    <row r="23" ht="16.5" spans="1:23">
      <c r="A23" s="37" t="s">
        <v>1</v>
      </c>
      <c r="B23" s="35" t="s">
        <v>1</v>
      </c>
      <c r="C23" s="35" t="s">
        <v>1</v>
      </c>
      <c r="D23" s="35" t="s">
        <v>1</v>
      </c>
      <c r="E23" s="35" t="s">
        <v>1</v>
      </c>
      <c r="F23" s="35" t="s">
        <v>1</v>
      </c>
      <c r="G23" s="35" t="s">
        <v>1</v>
      </c>
    </row>
    <row r="24" ht="16.5" customHeight="1" spans="1:23">
      <c r="A24" s="36" t="s">
        <v>20</v>
      </c>
      <c r="B24" s="35" t="s">
        <v>1</v>
      </c>
      <c r="C24" s="35" t="s">
        <v>1</v>
      </c>
      <c r="D24" s="35" t="s">
        <v>1</v>
      </c>
      <c r="E24" s="35" t="s">
        <v>1</v>
      </c>
      <c r="F24" s="35" t="s">
        <v>1</v>
      </c>
      <c r="G24" s="35" t="s">
        <v>1</v>
      </c>
    </row>
    <row r="25" ht="30.75" customHeight="1" spans="1:23">
      <c r="A25" s="37" t="s">
        <v>21</v>
      </c>
      <c r="B25" s="37"/>
      <c r="C25" s="37"/>
      <c r="D25" s="37"/>
      <c r="E25" s="37"/>
      <c r="F25" s="37"/>
      <c r="G25" s="37"/>
    </row>
    <row r="26" ht="16.5" customHeight="1" spans="1:23">
      <c r="A26" s="37" t="s">
        <v>22</v>
      </c>
      <c r="B26" s="35" t="s">
        <v>1</v>
      </c>
      <c r="C26" s="35" t="s">
        <v>1</v>
      </c>
      <c r="D26" s="35" t="s">
        <v>1</v>
      </c>
      <c r="E26" s="35" t="s">
        <v>1</v>
      </c>
      <c r="F26" s="35" t="s">
        <v>1</v>
      </c>
      <c r="G26" s="35" t="s">
        <v>1</v>
      </c>
    </row>
    <row r="27" ht="30.75" customHeight="1" spans="1:23">
      <c r="A27" s="37" t="s">
        <v>23</v>
      </c>
      <c r="B27" s="37"/>
      <c r="C27" s="37"/>
      <c r="D27" s="37"/>
      <c r="E27" s="37"/>
      <c r="F27" s="37"/>
      <c r="G27" s="37"/>
    </row>
    <row r="28" ht="16.5" customHeight="1" spans="1:23">
      <c r="A28" s="36" t="s">
        <v>24</v>
      </c>
      <c r="B28" s="35" t="s">
        <v>1</v>
      </c>
      <c r="C28" s="35" t="s">
        <v>1</v>
      </c>
      <c r="D28" s="35" t="s">
        <v>1</v>
      </c>
      <c r="E28" s="35" t="s">
        <v>1</v>
      </c>
      <c r="F28" s="35" t="s">
        <v>1</v>
      </c>
      <c r="G28" s="35" t="s">
        <v>1</v>
      </c>
    </row>
    <row r="29" ht="45.75" customHeight="1" spans="1:23">
      <c r="A29" s="37" t="s">
        <v>25</v>
      </c>
      <c r="B29" s="37"/>
      <c r="C29" s="37"/>
      <c r="D29" s="37"/>
      <c r="E29" s="37"/>
      <c r="F29" s="37"/>
      <c r="G29" s="37"/>
      <c r="H29" s="37"/>
      <c r="I29" s="37"/>
      <c r="J29" s="37"/>
    </row>
    <row r="30" ht="16.5" spans="1:23">
      <c r="A30" s="37" t="s">
        <v>1</v>
      </c>
      <c r="B30" s="35" t="s">
        <v>1</v>
      </c>
      <c r="C30" s="35" t="s">
        <v>1</v>
      </c>
      <c r="D30" s="35" t="s">
        <v>1</v>
      </c>
      <c r="E30" s="35" t="s">
        <v>1</v>
      </c>
      <c r="F30" s="35" t="s">
        <v>1</v>
      </c>
      <c r="G30" s="35" t="s">
        <v>1</v>
      </c>
    </row>
    <row r="31" ht="16.5" customHeight="1" spans="1:23">
      <c r="A31" s="36" t="s">
        <v>26</v>
      </c>
      <c r="B31" s="35" t="s">
        <v>1</v>
      </c>
      <c r="C31" s="35" t="s">
        <v>1</v>
      </c>
      <c r="D31" s="35" t="s">
        <v>1</v>
      </c>
      <c r="E31" s="35" t="s">
        <v>1</v>
      </c>
      <c r="F31" s="35" t="s">
        <v>1</v>
      </c>
      <c r="G31" s="35" t="s">
        <v>1</v>
      </c>
    </row>
    <row r="32" ht="15" customHeight="1" spans="1:23">
      <c r="A32" s="38" t="s">
        <v>27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</row>
    <row r="33" ht="16.5" spans="1:45">
      <c r="A33" s="37" t="s">
        <v>1</v>
      </c>
      <c r="B33" s="35" t="s">
        <v>1</v>
      </c>
      <c r="C33" s="35" t="s">
        <v>1</v>
      </c>
      <c r="D33" s="35" t="s">
        <v>1</v>
      </c>
      <c r="E33" s="35" t="s">
        <v>1</v>
      </c>
      <c r="F33" s="35" t="s">
        <v>1</v>
      </c>
      <c r="G33" s="35" t="s">
        <v>1</v>
      </c>
    </row>
    <row r="34" ht="16.5" customHeight="1" spans="1:45">
      <c r="A34" s="36" t="s">
        <v>28</v>
      </c>
      <c r="B34" s="35" t="s">
        <v>1</v>
      </c>
      <c r="C34" s="35" t="s">
        <v>1</v>
      </c>
      <c r="D34" s="35" t="s">
        <v>1</v>
      </c>
      <c r="E34" s="35" t="s">
        <v>1</v>
      </c>
      <c r="F34" s="35" t="s">
        <v>1</v>
      </c>
      <c r="G34" s="35" t="s">
        <v>1</v>
      </c>
    </row>
    <row r="35" ht="30.75" customHeight="1" spans="1:45">
      <c r="A35" s="37" t="s">
        <v>29</v>
      </c>
      <c r="B35" s="37"/>
      <c r="C35" s="37"/>
      <c r="D35" s="37"/>
      <c r="E35" s="37"/>
      <c r="F35" s="37"/>
      <c r="G35" s="35" t="s">
        <v>1</v>
      </c>
    </row>
    <row r="36" ht="16.5" spans="1:45">
      <c r="A36" s="37" t="s">
        <v>1</v>
      </c>
      <c r="B36" s="35" t="s">
        <v>1</v>
      </c>
      <c r="C36" s="35" t="s">
        <v>1</v>
      </c>
      <c r="D36" s="35" t="s">
        <v>1</v>
      </c>
      <c r="E36" s="35" t="s">
        <v>1</v>
      </c>
      <c r="F36" s="35" t="s">
        <v>1</v>
      </c>
      <c r="G36" s="35" t="s">
        <v>1</v>
      </c>
    </row>
    <row r="37" ht="16.5" customHeight="1" spans="1:45">
      <c r="A37" s="36" t="s">
        <v>30</v>
      </c>
      <c r="B37" s="35" t="s">
        <v>1</v>
      </c>
      <c r="C37" s="35" t="s">
        <v>1</v>
      </c>
      <c r="D37" s="35" t="s">
        <v>1</v>
      </c>
      <c r="E37" s="35" t="s">
        <v>1</v>
      </c>
      <c r="F37" s="35" t="s">
        <v>1</v>
      </c>
      <c r="G37" s="35" t="s">
        <v>1</v>
      </c>
    </row>
    <row r="38" ht="15" customHeight="1" spans="1:45">
      <c r="A38" s="38" t="s">
        <v>31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</row>
    <row r="39" ht="16.5" spans="1:45">
      <c r="A39" s="37" t="s">
        <v>1</v>
      </c>
      <c r="B39" s="35" t="s">
        <v>1</v>
      </c>
      <c r="C39" s="35" t="s">
        <v>1</v>
      </c>
      <c r="D39" s="35" t="s">
        <v>1</v>
      </c>
      <c r="E39" s="35" t="s">
        <v>1</v>
      </c>
      <c r="F39" s="35" t="s">
        <v>1</v>
      </c>
      <c r="G39" s="35" t="s">
        <v>1</v>
      </c>
    </row>
    <row r="40" ht="17.25" customHeight="1" spans="1:45">
      <c r="A40" s="39" t="s">
        <v>32</v>
      </c>
      <c r="B40" s="35" t="s">
        <v>1</v>
      </c>
      <c r="C40" s="35" t="s">
        <v>1</v>
      </c>
      <c r="D40" s="35" t="s">
        <v>1</v>
      </c>
      <c r="E40" s="35" t="s">
        <v>1</v>
      </c>
      <c r="F40" s="35" t="s">
        <v>1</v>
      </c>
      <c r="G40" s="35" t="s">
        <v>1</v>
      </c>
    </row>
    <row r="41" ht="20.25" customHeight="1" spans="1:45">
      <c r="A41" s="34" t="s">
        <v>33</v>
      </c>
      <c r="B41" s="35" t="s">
        <v>1</v>
      </c>
      <c r="C41" s="35" t="s">
        <v>1</v>
      </c>
      <c r="D41" s="35" t="s">
        <v>1</v>
      </c>
      <c r="E41" s="35" t="s">
        <v>1</v>
      </c>
      <c r="F41" s="35" t="s">
        <v>1</v>
      </c>
      <c r="G41" s="35" t="s">
        <v>1</v>
      </c>
    </row>
    <row r="42" ht="16.5" customHeight="1" spans="1:45">
      <c r="A42" s="40" t="s">
        <v>34</v>
      </c>
      <c r="B42" s="40"/>
      <c r="C42" s="40"/>
      <c r="D42" s="35" t="s">
        <v>1</v>
      </c>
      <c r="E42" s="35" t="s">
        <v>1</v>
      </c>
      <c r="F42" s="35" t="s">
        <v>1</v>
      </c>
      <c r="G42" s="35" t="s">
        <v>1</v>
      </c>
    </row>
    <row r="43" ht="30.75" customHeight="1" spans="1:45">
      <c r="A43" s="40" t="s">
        <v>35</v>
      </c>
      <c r="B43" s="40"/>
      <c r="C43" s="40"/>
      <c r="D43" s="40"/>
      <c r="E43" s="40"/>
      <c r="F43" s="35" t="s">
        <v>1</v>
      </c>
      <c r="G43" s="35" t="s">
        <v>1</v>
      </c>
    </row>
    <row r="44" ht="16.5" customHeight="1" spans="1:45">
      <c r="A44" s="40" t="s">
        <v>36</v>
      </c>
      <c r="B44" s="35" t="s">
        <v>1</v>
      </c>
      <c r="C44" s="35" t="s">
        <v>1</v>
      </c>
      <c r="D44" s="35" t="s">
        <v>1</v>
      </c>
      <c r="E44" s="35" t="s">
        <v>1</v>
      </c>
      <c r="F44" s="35" t="s">
        <v>1</v>
      </c>
      <c r="G44" s="35" t="s">
        <v>1</v>
      </c>
    </row>
    <row r="45" ht="16.5" customHeight="1" spans="1:45">
      <c r="A45" s="37" t="s">
        <v>37</v>
      </c>
      <c r="B45" s="35" t="s">
        <v>1</v>
      </c>
      <c r="C45" s="35" t="s">
        <v>1</v>
      </c>
      <c r="D45" s="35" t="s">
        <v>1</v>
      </c>
      <c r="E45" s="35" t="s">
        <v>1</v>
      </c>
      <c r="F45" s="35" t="s">
        <v>1</v>
      </c>
      <c r="G45" s="35" t="s">
        <v>1</v>
      </c>
    </row>
    <row r="46" ht="15" customHeight="1" spans="1:45">
      <c r="A46" s="38" t="s">
        <v>38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</row>
    <row r="47" ht="17.25" customHeight="1" spans="1:45">
      <c r="A47" s="39" t="s">
        <v>39</v>
      </c>
      <c r="B47" s="35" t="s">
        <v>1</v>
      </c>
      <c r="C47" s="35" t="s">
        <v>1</v>
      </c>
      <c r="D47" s="35" t="s">
        <v>1</v>
      </c>
      <c r="E47" s="35" t="s">
        <v>1</v>
      </c>
      <c r="F47" s="35" t="s">
        <v>1</v>
      </c>
      <c r="G47" s="35" t="s">
        <v>1</v>
      </c>
    </row>
    <row r="48" ht="45.75" customHeight="1" spans="1:45">
      <c r="A48" s="37" t="s">
        <v>40</v>
      </c>
      <c r="B48" s="37"/>
      <c r="C48" s="37"/>
      <c r="D48" s="37"/>
      <c r="E48" s="37"/>
      <c r="F48" s="37"/>
      <c r="G48" s="37"/>
      <c r="H48" s="37"/>
      <c r="I48" s="37"/>
      <c r="J48" s="37"/>
    </row>
    <row r="49" ht="30.75" customHeight="1" spans="1:7">
      <c r="A49" s="37" t="s">
        <v>41</v>
      </c>
      <c r="B49" s="37"/>
      <c r="C49" s="37"/>
      <c r="D49" s="37"/>
      <c r="E49" s="37"/>
      <c r="F49" s="35" t="s">
        <v>1</v>
      </c>
      <c r="G49" s="35" t="s">
        <v>1</v>
      </c>
    </row>
    <row r="50" ht="16.5" customHeight="1" spans="1:7">
      <c r="A50" s="37" t="s">
        <v>42</v>
      </c>
      <c r="B50" s="35" t="s">
        <v>1</v>
      </c>
      <c r="C50" s="35" t="s">
        <v>1</v>
      </c>
      <c r="D50" s="35" t="s">
        <v>1</v>
      </c>
      <c r="E50" s="35" t="s">
        <v>1</v>
      </c>
      <c r="F50" s="35" t="s">
        <v>1</v>
      </c>
      <c r="G50" s="35" t="s">
        <v>1</v>
      </c>
    </row>
    <row r="51" ht="288" customHeight="1" spans="1:7">
      <c r="A51" s="37" t="s">
        <v>1</v>
      </c>
      <c r="B51" s="35" t="s">
        <v>1</v>
      </c>
      <c r="C51" s="35" t="s">
        <v>1</v>
      </c>
      <c r="D51" s="35" t="s">
        <v>1</v>
      </c>
      <c r="E51" s="35" t="s">
        <v>1</v>
      </c>
      <c r="F51" s="35" t="s">
        <v>1</v>
      </c>
      <c r="G51" s="35" t="s">
        <v>1</v>
      </c>
    </row>
    <row r="52" ht="16.5" spans="1:7">
      <c r="A52" s="37" t="s">
        <v>1</v>
      </c>
      <c r="B52" s="35" t="s">
        <v>1</v>
      </c>
      <c r="C52" s="35" t="s">
        <v>1</v>
      </c>
      <c r="D52" s="35" t="s">
        <v>1</v>
      </c>
      <c r="E52" s="35" t="s">
        <v>1</v>
      </c>
      <c r="F52" s="35" t="s">
        <v>1</v>
      </c>
      <c r="G52" s="35" t="s">
        <v>1</v>
      </c>
    </row>
    <row r="53" ht="16.5" spans="1:7">
      <c r="A53" s="37" t="s">
        <v>1</v>
      </c>
      <c r="B53" s="35" t="s">
        <v>1</v>
      </c>
      <c r="C53" s="35" t="s">
        <v>1</v>
      </c>
      <c r="D53" s="35" t="s">
        <v>1</v>
      </c>
      <c r="E53" s="35" t="s">
        <v>1</v>
      </c>
      <c r="F53" s="35" t="s">
        <v>1</v>
      </c>
      <c r="G53" s="35" t="s">
        <v>1</v>
      </c>
    </row>
    <row r="54" ht="16.5" spans="1:7">
      <c r="A54" s="37" t="s">
        <v>1</v>
      </c>
      <c r="B54" s="35" t="s">
        <v>1</v>
      </c>
      <c r="C54" s="35" t="s">
        <v>1</v>
      </c>
      <c r="D54" s="35" t="s">
        <v>1</v>
      </c>
      <c r="E54" s="35" t="s">
        <v>1</v>
      </c>
      <c r="F54" s="35" t="s">
        <v>1</v>
      </c>
      <c r="G54" s="35" t="s">
        <v>1</v>
      </c>
    </row>
    <row r="55" ht="16.5" spans="1:7">
      <c r="A55" s="37" t="s">
        <v>1</v>
      </c>
      <c r="B55" s="35" t="s">
        <v>1</v>
      </c>
      <c r="C55" s="35" t="s">
        <v>1</v>
      </c>
      <c r="D55" s="35" t="s">
        <v>1</v>
      </c>
      <c r="E55" s="35" t="s">
        <v>1</v>
      </c>
      <c r="F55" s="35" t="s">
        <v>1</v>
      </c>
      <c r="G55" s="35" t="s">
        <v>1</v>
      </c>
    </row>
    <row r="56" ht="16.5" spans="1:7">
      <c r="A56" s="37" t="s">
        <v>1</v>
      </c>
      <c r="B56" s="35" t="s">
        <v>1</v>
      </c>
      <c r="C56" s="35" t="s">
        <v>1</v>
      </c>
      <c r="D56" s="35" t="s">
        <v>1</v>
      </c>
      <c r="E56" s="35" t="s">
        <v>1</v>
      </c>
      <c r="F56" s="35" t="s">
        <v>1</v>
      </c>
      <c r="G56" s="35" t="s">
        <v>1</v>
      </c>
    </row>
    <row r="57" ht="16.5" spans="1:7">
      <c r="A57" s="37" t="s">
        <v>1</v>
      </c>
      <c r="B57" s="35" t="s">
        <v>1</v>
      </c>
      <c r="C57" s="35" t="s">
        <v>1</v>
      </c>
      <c r="D57" s="35" t="s">
        <v>1</v>
      </c>
      <c r="E57" s="35" t="s">
        <v>1</v>
      </c>
      <c r="F57" s="35" t="s">
        <v>1</v>
      </c>
      <c r="G57" s="35" t="s">
        <v>1</v>
      </c>
    </row>
    <row r="58" ht="16.5" spans="1:7">
      <c r="A58" s="37" t="s">
        <v>1</v>
      </c>
      <c r="B58" s="35" t="s">
        <v>1</v>
      </c>
      <c r="C58" s="35" t="s">
        <v>1</v>
      </c>
      <c r="D58" s="35" t="s">
        <v>1</v>
      </c>
      <c r="E58" s="35" t="s">
        <v>1</v>
      </c>
      <c r="F58" s="35" t="s">
        <v>1</v>
      </c>
      <c r="G58" s="35" t="s">
        <v>1</v>
      </c>
    </row>
    <row r="59" ht="16.5" spans="1:7">
      <c r="A59" s="37" t="s">
        <v>1</v>
      </c>
      <c r="B59" s="35" t="s">
        <v>1</v>
      </c>
      <c r="C59" s="35" t="s">
        <v>1</v>
      </c>
      <c r="D59" s="35" t="s">
        <v>1</v>
      </c>
      <c r="E59" s="35" t="s">
        <v>1</v>
      </c>
      <c r="F59" s="35" t="s">
        <v>1</v>
      </c>
      <c r="G59" s="35" t="s">
        <v>1</v>
      </c>
    </row>
    <row r="60" ht="16.5" spans="1:7">
      <c r="A60" s="37" t="s">
        <v>1</v>
      </c>
      <c r="B60" s="35" t="s">
        <v>1</v>
      </c>
      <c r="C60" s="35" t="s">
        <v>1</v>
      </c>
      <c r="D60" s="35" t="s">
        <v>1</v>
      </c>
      <c r="E60" s="35" t="s">
        <v>1</v>
      </c>
      <c r="F60" s="35" t="s">
        <v>1</v>
      </c>
      <c r="G60" s="35" t="s">
        <v>1</v>
      </c>
    </row>
    <row r="61" ht="16.5" spans="1:7">
      <c r="A61" s="37" t="s">
        <v>1</v>
      </c>
      <c r="B61" s="35" t="s">
        <v>1</v>
      </c>
      <c r="C61" s="35" t="s">
        <v>1</v>
      </c>
      <c r="D61" s="35" t="s">
        <v>1</v>
      </c>
      <c r="E61" s="35" t="s">
        <v>1</v>
      </c>
      <c r="F61" s="35" t="s">
        <v>1</v>
      </c>
      <c r="G61" s="35" t="s">
        <v>1</v>
      </c>
    </row>
    <row r="62" ht="16.5" spans="1:7">
      <c r="A62" s="37" t="s">
        <v>1</v>
      </c>
      <c r="B62" s="35" t="s">
        <v>1</v>
      </c>
      <c r="C62" s="35" t="s">
        <v>1</v>
      </c>
      <c r="D62" s="35" t="s">
        <v>1</v>
      </c>
      <c r="E62" s="35" t="s">
        <v>1</v>
      </c>
      <c r="F62" s="35" t="s">
        <v>1</v>
      </c>
      <c r="G62" s="35" t="s">
        <v>1</v>
      </c>
    </row>
    <row r="63" ht="16.5" spans="1:7">
      <c r="A63" s="37" t="s">
        <v>1</v>
      </c>
      <c r="B63" s="35" t="s">
        <v>1</v>
      </c>
      <c r="C63" s="35" t="s">
        <v>1</v>
      </c>
      <c r="D63" s="35" t="s">
        <v>1</v>
      </c>
      <c r="E63" s="35" t="s">
        <v>1</v>
      </c>
      <c r="F63" s="35" t="s">
        <v>1</v>
      </c>
      <c r="G63" s="35" t="s">
        <v>1</v>
      </c>
    </row>
    <row r="64" ht="16.5" spans="1:7">
      <c r="A64" s="37" t="s">
        <v>1</v>
      </c>
      <c r="B64" s="35" t="s">
        <v>1</v>
      </c>
      <c r="C64" s="35" t="s">
        <v>1</v>
      </c>
      <c r="D64" s="35" t="s">
        <v>1</v>
      </c>
      <c r="E64" s="35" t="s">
        <v>1</v>
      </c>
      <c r="F64" s="35" t="s">
        <v>1</v>
      </c>
      <c r="G64" s="35" t="s">
        <v>1</v>
      </c>
    </row>
    <row r="65" ht="16.5" spans="1:19">
      <c r="A65" s="37" t="s">
        <v>1</v>
      </c>
      <c r="B65" s="35" t="s">
        <v>1</v>
      </c>
      <c r="C65" s="35" t="s">
        <v>1</v>
      </c>
      <c r="D65" s="35" t="s">
        <v>1</v>
      </c>
      <c r="E65" s="35" t="s">
        <v>1</v>
      </c>
      <c r="F65" s="35" t="s">
        <v>1</v>
      </c>
      <c r="G65" s="35" t="s">
        <v>1</v>
      </c>
    </row>
    <row r="66" ht="16.5" spans="1:19">
      <c r="A66" s="37" t="s">
        <v>1</v>
      </c>
      <c r="B66" s="35" t="s">
        <v>1</v>
      </c>
      <c r="C66" s="35" t="s">
        <v>1</v>
      </c>
      <c r="D66" s="35" t="s">
        <v>1</v>
      </c>
      <c r="E66" s="35" t="s">
        <v>1</v>
      </c>
      <c r="F66" s="35" t="s">
        <v>1</v>
      </c>
      <c r="G66" s="35" t="s">
        <v>1</v>
      </c>
    </row>
    <row r="67" ht="16.5" spans="1:19">
      <c r="A67" s="37" t="s">
        <v>1</v>
      </c>
      <c r="B67" s="35" t="s">
        <v>1</v>
      </c>
      <c r="C67" s="35" t="s">
        <v>1</v>
      </c>
      <c r="D67" s="35" t="s">
        <v>1</v>
      </c>
      <c r="E67" s="35" t="s">
        <v>1</v>
      </c>
      <c r="F67" s="35" t="s">
        <v>1</v>
      </c>
      <c r="G67" s="35" t="s">
        <v>1</v>
      </c>
    </row>
    <row r="68" ht="16.5" spans="1:19">
      <c r="A68" s="37" t="s">
        <v>1</v>
      </c>
      <c r="B68" s="35" t="s">
        <v>1</v>
      </c>
      <c r="C68" s="35" t="s">
        <v>1</v>
      </c>
      <c r="D68" s="35" t="s">
        <v>1</v>
      </c>
      <c r="E68" s="35" t="s">
        <v>1</v>
      </c>
      <c r="F68" s="35" t="s">
        <v>1</v>
      </c>
      <c r="G68" s="35" t="s">
        <v>1</v>
      </c>
    </row>
    <row r="69" ht="16.5" spans="1:19">
      <c r="A69" s="37" t="s">
        <v>1</v>
      </c>
      <c r="B69" s="35" t="s">
        <v>1</v>
      </c>
      <c r="C69" s="35" t="s">
        <v>1</v>
      </c>
      <c r="D69" s="35" t="s">
        <v>1</v>
      </c>
      <c r="E69" s="35" t="s">
        <v>1</v>
      </c>
      <c r="F69" s="35" t="s">
        <v>1</v>
      </c>
      <c r="G69" s="35" t="s">
        <v>1</v>
      </c>
    </row>
    <row r="70" ht="16.5" spans="1:19">
      <c r="A70" s="37" t="s">
        <v>1</v>
      </c>
      <c r="B70" s="35" t="s">
        <v>1</v>
      </c>
      <c r="C70" s="35" t="s">
        <v>1</v>
      </c>
      <c r="D70" s="35" t="s">
        <v>1</v>
      </c>
      <c r="E70" s="35" t="s">
        <v>1</v>
      </c>
      <c r="F70" s="35" t="s">
        <v>1</v>
      </c>
      <c r="G70" s="35" t="s">
        <v>1</v>
      </c>
    </row>
    <row r="71" ht="16.5" spans="1:19">
      <c r="A71" s="37" t="s">
        <v>1</v>
      </c>
      <c r="B71" s="35" t="s">
        <v>1</v>
      </c>
      <c r="C71" s="35" t="s">
        <v>1</v>
      </c>
      <c r="D71" s="35" t="s">
        <v>1</v>
      </c>
      <c r="E71" s="35" t="s">
        <v>1</v>
      </c>
      <c r="F71" s="35" t="s">
        <v>1</v>
      </c>
      <c r="G71" s="35" t="s">
        <v>1</v>
      </c>
    </row>
    <row r="72" ht="16.5" spans="1:19">
      <c r="A72" s="37" t="s">
        <v>1</v>
      </c>
      <c r="B72" s="35" t="s">
        <v>1</v>
      </c>
      <c r="C72" s="35" t="s">
        <v>1</v>
      </c>
      <c r="D72" s="35" t="s">
        <v>1</v>
      </c>
      <c r="E72" s="35" t="s">
        <v>1</v>
      </c>
      <c r="F72" s="35" t="s">
        <v>1</v>
      </c>
      <c r="G72" s="35" t="s">
        <v>1</v>
      </c>
    </row>
    <row r="73" ht="16.5" spans="1:19">
      <c r="A73" s="37" t="s">
        <v>1</v>
      </c>
      <c r="B73" s="35" t="s">
        <v>1</v>
      </c>
      <c r="C73" s="35" t="s">
        <v>1</v>
      </c>
      <c r="D73" s="35" t="s">
        <v>1</v>
      </c>
      <c r="E73" s="35" t="s">
        <v>1</v>
      </c>
      <c r="F73" s="35" t="s">
        <v>1</v>
      </c>
      <c r="G73" s="35" t="s">
        <v>1</v>
      </c>
    </row>
    <row r="74" ht="16.5" spans="1:19">
      <c r="A74" s="37" t="s">
        <v>1</v>
      </c>
      <c r="B74" s="35" t="s">
        <v>1</v>
      </c>
      <c r="C74" s="35" t="s">
        <v>1</v>
      </c>
      <c r="D74" s="35" t="s">
        <v>1</v>
      </c>
      <c r="E74" s="35" t="s">
        <v>1</v>
      </c>
      <c r="F74" s="35" t="s">
        <v>1</v>
      </c>
      <c r="G74" s="35" t="s">
        <v>1</v>
      </c>
    </row>
    <row r="75" ht="16.5" spans="1:19">
      <c r="A75" s="37" t="s">
        <v>1</v>
      </c>
      <c r="B75" s="35" t="s">
        <v>1</v>
      </c>
      <c r="C75" s="35" t="s">
        <v>1</v>
      </c>
      <c r="D75" s="35" t="s">
        <v>1</v>
      </c>
      <c r="E75" s="35" t="s">
        <v>1</v>
      </c>
      <c r="F75" s="35" t="s">
        <v>1</v>
      </c>
      <c r="G75" s="35" t="s">
        <v>1</v>
      </c>
    </row>
    <row r="76" ht="17.25" customHeight="1" spans="1:19">
      <c r="A76" s="39" t="s">
        <v>43</v>
      </c>
      <c r="B76" s="35" t="s">
        <v>1</v>
      </c>
      <c r="C76" s="35" t="s">
        <v>1</v>
      </c>
      <c r="D76" s="35" t="s">
        <v>1</v>
      </c>
      <c r="E76" s="35" t="s">
        <v>1</v>
      </c>
      <c r="F76" s="35" t="s">
        <v>1</v>
      </c>
      <c r="G76" s="35" t="s">
        <v>1</v>
      </c>
    </row>
    <row r="77" ht="30.75" customHeight="1" spans="1:19">
      <c r="A77" s="37" t="s">
        <v>44</v>
      </c>
      <c r="B77" s="37"/>
      <c r="C77" s="37"/>
      <c r="D77" s="37"/>
      <c r="E77" s="37"/>
      <c r="F77" s="37"/>
      <c r="G77" s="37"/>
      <c r="H77" s="37"/>
    </row>
    <row r="78" ht="15" customHeight="1" spans="1:19">
      <c r="A78" s="38" t="s">
        <v>45</v>
      </c>
      <c r="B78" s="38"/>
      <c r="C78" s="38"/>
      <c r="D78" s="38"/>
      <c r="E78" s="38"/>
      <c r="F78" s="38"/>
      <c r="G78" s="38"/>
      <c r="H78" s="38"/>
      <c r="I78" s="38"/>
    </row>
    <row r="79" ht="15" customHeight="1" spans="1:19">
      <c r="A79" s="38" t="s">
        <v>46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</row>
    <row r="80" ht="17.25" customHeight="1" spans="1:19">
      <c r="A80" s="39" t="s">
        <v>47</v>
      </c>
      <c r="B80" s="35" t="s">
        <v>1</v>
      </c>
      <c r="C80" s="35" t="s">
        <v>1</v>
      </c>
      <c r="D80" s="35" t="s">
        <v>1</v>
      </c>
      <c r="E80" s="35" t="s">
        <v>1</v>
      </c>
      <c r="F80" s="35" t="s">
        <v>1</v>
      </c>
      <c r="G80" s="35" t="s">
        <v>1</v>
      </c>
    </row>
    <row r="81" ht="30.75" customHeight="1" spans="1:7">
      <c r="A81" s="37" t="s">
        <v>48</v>
      </c>
      <c r="B81" s="37"/>
      <c r="C81" s="37"/>
      <c r="D81" s="37"/>
      <c r="E81" s="35" t="s">
        <v>1</v>
      </c>
      <c r="F81" s="35" t="s">
        <v>1</v>
      </c>
      <c r="G81" s="35" t="s">
        <v>1</v>
      </c>
    </row>
    <row r="82" ht="15" customHeight="1" spans="1:7">
      <c r="A82" s="35" t="s">
        <v>49</v>
      </c>
      <c r="B82" s="35" t="s">
        <v>50</v>
      </c>
      <c r="C82" s="35" t="s">
        <v>51</v>
      </c>
      <c r="D82" s="35" t="s">
        <v>1</v>
      </c>
      <c r="E82" s="35" t="s">
        <v>1</v>
      </c>
      <c r="F82" s="35" t="s">
        <v>1</v>
      </c>
      <c r="G82" s="35" t="s">
        <v>1</v>
      </c>
    </row>
    <row r="83" ht="15" customHeight="1" spans="1:7">
      <c r="A83" s="41" t="s">
        <v>52</v>
      </c>
      <c r="B83" s="42" t="s">
        <v>53</v>
      </c>
      <c r="C83" s="42" t="s">
        <v>54</v>
      </c>
      <c r="D83" s="35" t="s">
        <v>1</v>
      </c>
      <c r="E83" s="35" t="s">
        <v>1</v>
      </c>
      <c r="F83" s="35" t="s">
        <v>1</v>
      </c>
      <c r="G83" s="35" t="s">
        <v>1</v>
      </c>
    </row>
    <row r="84" ht="30" customHeight="1" spans="1:7">
      <c r="A84" s="41" t="s">
        <v>55</v>
      </c>
      <c r="B84" s="42" t="s">
        <v>56</v>
      </c>
      <c r="C84" s="42">
        <v>15</v>
      </c>
      <c r="D84" s="35" t="s">
        <v>1</v>
      </c>
      <c r="E84" s="35" t="s">
        <v>1</v>
      </c>
      <c r="F84" s="35" t="s">
        <v>1</v>
      </c>
      <c r="G84" s="35" t="s">
        <v>1</v>
      </c>
    </row>
    <row r="85" ht="15" customHeight="1" spans="1:7">
      <c r="A85" s="41" t="s">
        <v>57</v>
      </c>
      <c r="B85" s="42" t="s">
        <v>58</v>
      </c>
      <c r="C85" s="42" t="s">
        <v>59</v>
      </c>
      <c r="D85" s="35" t="s">
        <v>1</v>
      </c>
      <c r="E85" s="35" t="s">
        <v>1</v>
      </c>
      <c r="F85" s="35" t="s">
        <v>1</v>
      </c>
      <c r="G85" s="35" t="s">
        <v>1</v>
      </c>
    </row>
    <row r="86" ht="15" customHeight="1" spans="1:7">
      <c r="A86" s="41" t="s">
        <v>60</v>
      </c>
      <c r="B86" s="42" t="s">
        <v>61</v>
      </c>
      <c r="C86" s="42" t="s">
        <v>62</v>
      </c>
      <c r="D86" s="35" t="s">
        <v>1</v>
      </c>
      <c r="E86" s="35" t="s">
        <v>1</v>
      </c>
      <c r="F86" s="35" t="s">
        <v>1</v>
      </c>
      <c r="G86" s="35" t="s">
        <v>1</v>
      </c>
    </row>
    <row r="87" ht="45" customHeight="1" spans="1:7">
      <c r="A87" s="41" t="s">
        <v>63</v>
      </c>
      <c r="B87" s="42" t="s">
        <v>64</v>
      </c>
      <c r="C87" s="42" t="s">
        <v>65</v>
      </c>
      <c r="D87" s="42"/>
      <c r="E87" s="35" t="s">
        <v>1</v>
      </c>
      <c r="F87" s="35" t="s">
        <v>1</v>
      </c>
      <c r="G87" s="35" t="s">
        <v>1</v>
      </c>
    </row>
    <row r="88" ht="15" customHeight="1" spans="1:7">
      <c r="A88" s="38" t="s">
        <v>66</v>
      </c>
    </row>
    <row r="89" ht="156.75" customHeight="1" spans="1:7">
      <c r="A89" s="37" t="s">
        <v>1</v>
      </c>
      <c r="B89" s="42" t="s">
        <v>1</v>
      </c>
      <c r="C89" s="42" t="s">
        <v>1</v>
      </c>
      <c r="D89" s="35" t="s">
        <v>1</v>
      </c>
      <c r="E89" s="35" t="s">
        <v>1</v>
      </c>
      <c r="F89" s="35" t="s">
        <v>1</v>
      </c>
      <c r="G89" s="35" t="s">
        <v>1</v>
      </c>
    </row>
    <row r="90" ht="16.5" spans="1:7">
      <c r="A90" s="37" t="s">
        <v>1</v>
      </c>
      <c r="B90" s="42" t="s">
        <v>1</v>
      </c>
      <c r="C90" s="42" t="s">
        <v>1</v>
      </c>
      <c r="D90" s="35" t="s">
        <v>1</v>
      </c>
      <c r="E90" s="35" t="s">
        <v>1</v>
      </c>
      <c r="F90" s="35" t="s">
        <v>1</v>
      </c>
      <c r="G90" s="35" t="s">
        <v>1</v>
      </c>
    </row>
    <row r="91" ht="16.5" spans="1:7">
      <c r="A91" s="37" t="s">
        <v>1</v>
      </c>
      <c r="B91" s="42" t="s">
        <v>1</v>
      </c>
      <c r="C91" s="42" t="s">
        <v>1</v>
      </c>
      <c r="D91" s="35" t="s">
        <v>1</v>
      </c>
      <c r="E91" s="35" t="s">
        <v>1</v>
      </c>
      <c r="F91" s="35" t="s">
        <v>1</v>
      </c>
      <c r="G91" s="35" t="s">
        <v>1</v>
      </c>
    </row>
    <row r="92" ht="16.5" spans="1:7">
      <c r="A92" s="37" t="s">
        <v>1</v>
      </c>
      <c r="B92" s="42" t="s">
        <v>1</v>
      </c>
      <c r="C92" s="42" t="s">
        <v>1</v>
      </c>
      <c r="D92" s="35" t="s">
        <v>1</v>
      </c>
      <c r="E92" s="35" t="s">
        <v>1</v>
      </c>
      <c r="F92" s="35" t="s">
        <v>1</v>
      </c>
      <c r="G92" s="35" t="s">
        <v>1</v>
      </c>
    </row>
    <row r="93" ht="16.5" spans="1:7">
      <c r="A93" s="37" t="s">
        <v>1</v>
      </c>
      <c r="B93" s="42" t="s">
        <v>1</v>
      </c>
      <c r="C93" s="42" t="s">
        <v>1</v>
      </c>
      <c r="D93" s="35" t="s">
        <v>1</v>
      </c>
      <c r="E93" s="35" t="s">
        <v>1</v>
      </c>
      <c r="F93" s="35" t="s">
        <v>1</v>
      </c>
      <c r="G93" s="35" t="s">
        <v>1</v>
      </c>
    </row>
    <row r="94" ht="16.5" spans="1:7">
      <c r="A94" s="37" t="s">
        <v>1</v>
      </c>
      <c r="B94" s="42" t="s">
        <v>1</v>
      </c>
      <c r="C94" s="42" t="s">
        <v>1</v>
      </c>
      <c r="D94" s="35" t="s">
        <v>1</v>
      </c>
      <c r="E94" s="35" t="s">
        <v>1</v>
      </c>
      <c r="F94" s="35" t="s">
        <v>1</v>
      </c>
      <c r="G94" s="35" t="s">
        <v>1</v>
      </c>
    </row>
    <row r="95" ht="16.5" spans="1:7">
      <c r="A95" s="37" t="s">
        <v>1</v>
      </c>
      <c r="B95" s="42" t="s">
        <v>1</v>
      </c>
      <c r="C95" s="42" t="s">
        <v>1</v>
      </c>
      <c r="D95" s="35" t="s">
        <v>1</v>
      </c>
      <c r="E95" s="35" t="s">
        <v>1</v>
      </c>
      <c r="F95" s="35" t="s">
        <v>1</v>
      </c>
      <c r="G95" s="35" t="s">
        <v>1</v>
      </c>
    </row>
    <row r="96" ht="16.5" spans="1:7">
      <c r="A96" s="37" t="s">
        <v>1</v>
      </c>
      <c r="B96" s="42" t="s">
        <v>1</v>
      </c>
      <c r="C96" s="42" t="s">
        <v>1</v>
      </c>
      <c r="D96" s="35" t="s">
        <v>1</v>
      </c>
      <c r="E96" s="35" t="s">
        <v>1</v>
      </c>
      <c r="F96" s="35" t="s">
        <v>1</v>
      </c>
      <c r="G96" s="35" t="s">
        <v>1</v>
      </c>
    </row>
    <row r="97" ht="16.5" spans="1:17">
      <c r="A97" s="37" t="s">
        <v>1</v>
      </c>
      <c r="B97" s="42" t="s">
        <v>1</v>
      </c>
      <c r="C97" s="42" t="s">
        <v>1</v>
      </c>
      <c r="D97" s="35" t="s">
        <v>1</v>
      </c>
      <c r="E97" s="35" t="s">
        <v>1</v>
      </c>
      <c r="F97" s="35" t="s">
        <v>1</v>
      </c>
      <c r="G97" s="35" t="s">
        <v>1</v>
      </c>
    </row>
    <row r="98" ht="16.5" spans="1:17">
      <c r="A98" s="37" t="s">
        <v>1</v>
      </c>
      <c r="B98" s="42" t="s">
        <v>1</v>
      </c>
      <c r="C98" s="42" t="s">
        <v>1</v>
      </c>
      <c r="D98" s="35" t="s">
        <v>1</v>
      </c>
      <c r="E98" s="35" t="s">
        <v>1</v>
      </c>
      <c r="F98" s="35" t="s">
        <v>1</v>
      </c>
      <c r="G98" s="35" t="s">
        <v>1</v>
      </c>
    </row>
    <row r="99" ht="16.5" spans="1:17">
      <c r="A99" s="37" t="s">
        <v>1</v>
      </c>
      <c r="B99" s="42" t="s">
        <v>1</v>
      </c>
      <c r="C99" s="42" t="s">
        <v>1</v>
      </c>
      <c r="D99" s="35" t="s">
        <v>1</v>
      </c>
      <c r="E99" s="35" t="s">
        <v>1</v>
      </c>
      <c r="F99" s="35" t="s">
        <v>1</v>
      </c>
      <c r="G99" s="35" t="s">
        <v>1</v>
      </c>
    </row>
    <row r="100" ht="16.5" spans="1:17">
      <c r="A100" s="37" t="s">
        <v>1</v>
      </c>
      <c r="B100" s="42" t="s">
        <v>1</v>
      </c>
      <c r="C100" s="42" t="s">
        <v>1</v>
      </c>
      <c r="D100" s="35" t="s">
        <v>1</v>
      </c>
      <c r="E100" s="35" t="s">
        <v>1</v>
      </c>
      <c r="F100" s="35" t="s">
        <v>1</v>
      </c>
      <c r="G100" s="35" t="s">
        <v>1</v>
      </c>
    </row>
    <row r="101" ht="16.5" spans="1:17">
      <c r="A101" s="37" t="s">
        <v>1</v>
      </c>
      <c r="B101" s="42" t="s">
        <v>1</v>
      </c>
      <c r="C101" s="42" t="s">
        <v>1</v>
      </c>
      <c r="D101" s="35" t="s">
        <v>1</v>
      </c>
      <c r="E101" s="35" t="s">
        <v>1</v>
      </c>
      <c r="F101" s="35" t="s">
        <v>1</v>
      </c>
      <c r="G101" s="35" t="s">
        <v>1</v>
      </c>
    </row>
    <row r="102" ht="16.5" spans="1:17">
      <c r="A102" s="37" t="s">
        <v>1</v>
      </c>
      <c r="B102" s="42" t="s">
        <v>1</v>
      </c>
      <c r="C102" s="42" t="s">
        <v>1</v>
      </c>
      <c r="D102" s="35" t="s">
        <v>1</v>
      </c>
      <c r="E102" s="35" t="s">
        <v>1</v>
      </c>
      <c r="F102" s="35" t="s">
        <v>1</v>
      </c>
      <c r="G102" s="35" t="s">
        <v>1</v>
      </c>
    </row>
    <row r="103" ht="16.5" customHeight="1" spans="1:17">
      <c r="A103" s="37" t="s">
        <v>67</v>
      </c>
      <c r="B103" s="42" t="s">
        <v>1</v>
      </c>
      <c r="C103" s="42" t="s">
        <v>1</v>
      </c>
      <c r="D103" s="35" t="s">
        <v>1</v>
      </c>
      <c r="E103" s="35" t="s">
        <v>1</v>
      </c>
      <c r="F103" s="35" t="s">
        <v>1</v>
      </c>
      <c r="G103" s="35" t="s">
        <v>1</v>
      </c>
    </row>
    <row r="104" ht="15" customHeight="1" spans="1:17">
      <c r="A104" s="35" t="s">
        <v>50</v>
      </c>
      <c r="B104" s="35" t="s">
        <v>51</v>
      </c>
      <c r="C104" s="42" t="s">
        <v>1</v>
      </c>
      <c r="D104" s="35" t="s">
        <v>1</v>
      </c>
      <c r="E104" s="35" t="s">
        <v>1</v>
      </c>
      <c r="F104" s="35" t="s">
        <v>1</v>
      </c>
      <c r="G104" s="35" t="s">
        <v>1</v>
      </c>
    </row>
    <row r="105" ht="15" customHeight="1" spans="1:17">
      <c r="A105" s="41" t="s">
        <v>68</v>
      </c>
      <c r="B105" s="42" t="s">
        <v>69</v>
      </c>
      <c r="C105" s="42" t="s">
        <v>1</v>
      </c>
      <c r="D105" s="35" t="s">
        <v>1</v>
      </c>
      <c r="E105" s="35" t="s">
        <v>1</v>
      </c>
      <c r="F105" s="35" t="s">
        <v>1</v>
      </c>
      <c r="G105" s="35" t="s">
        <v>1</v>
      </c>
    </row>
    <row r="106" ht="27.75" customHeight="1" spans="1:17">
      <c r="A106" s="41" t="s">
        <v>70</v>
      </c>
      <c r="B106" s="42" t="s">
        <v>71</v>
      </c>
      <c r="C106" s="42"/>
      <c r="D106" s="35" t="s">
        <v>1</v>
      </c>
      <c r="E106" s="35" t="s">
        <v>1</v>
      </c>
      <c r="F106" s="35" t="s">
        <v>1</v>
      </c>
      <c r="G106" s="35" t="s">
        <v>1</v>
      </c>
    </row>
    <row r="107" ht="15" customHeight="1" spans="1:17">
      <c r="A107" s="41" t="s">
        <v>72</v>
      </c>
      <c r="B107" s="42" t="s">
        <v>73</v>
      </c>
      <c r="C107" s="42" t="s">
        <v>1</v>
      </c>
      <c r="D107" s="35" t="s">
        <v>1</v>
      </c>
      <c r="E107" s="35" t="s">
        <v>1</v>
      </c>
      <c r="F107" s="35" t="s">
        <v>1</v>
      </c>
      <c r="G107" s="35" t="s">
        <v>1</v>
      </c>
    </row>
    <row r="108" ht="17.25" customHeight="1" spans="1:17">
      <c r="A108" s="39" t="s">
        <v>74</v>
      </c>
      <c r="B108" s="42" t="s">
        <v>1</v>
      </c>
      <c r="C108" s="42" t="s">
        <v>1</v>
      </c>
      <c r="D108" s="35" t="s">
        <v>1</v>
      </c>
      <c r="E108" s="35" t="s">
        <v>1</v>
      </c>
      <c r="F108" s="35" t="s">
        <v>1</v>
      </c>
      <c r="G108" s="35" t="s">
        <v>1</v>
      </c>
    </row>
    <row r="109" ht="15" customHeight="1" spans="1:17">
      <c r="A109" s="38" t="s">
        <v>75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</row>
    <row r="110" ht="15" customHeight="1" spans="1:17">
      <c r="A110" s="38" t="s">
        <v>76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</row>
    <row r="111" ht="16.5" customHeight="1" spans="1:17">
      <c r="A111" s="37" t="s">
        <v>77</v>
      </c>
      <c r="B111" s="42" t="s">
        <v>1</v>
      </c>
      <c r="C111" s="42" t="s">
        <v>1</v>
      </c>
      <c r="D111" s="35" t="s">
        <v>1</v>
      </c>
      <c r="E111" s="35" t="s">
        <v>1</v>
      </c>
      <c r="F111" s="35" t="s">
        <v>1</v>
      </c>
      <c r="G111" s="35" t="s">
        <v>1</v>
      </c>
    </row>
    <row r="112" ht="375" customHeight="1" spans="1:17">
      <c r="A112" s="37" t="s">
        <v>1</v>
      </c>
      <c r="B112" s="42" t="s">
        <v>1</v>
      </c>
      <c r="C112" s="42" t="s">
        <v>1</v>
      </c>
      <c r="D112" s="35" t="s">
        <v>1</v>
      </c>
      <c r="E112" s="35" t="s">
        <v>1</v>
      </c>
      <c r="F112" s="35" t="s">
        <v>1</v>
      </c>
      <c r="G112" s="35" t="s">
        <v>1</v>
      </c>
    </row>
    <row r="113" ht="16.5" spans="1:7">
      <c r="A113" s="37" t="s">
        <v>1</v>
      </c>
      <c r="B113" s="42" t="s">
        <v>1</v>
      </c>
      <c r="C113" s="42" t="s">
        <v>1</v>
      </c>
      <c r="D113" s="35" t="s">
        <v>1</v>
      </c>
      <c r="E113" s="35" t="s">
        <v>1</v>
      </c>
      <c r="F113" s="35" t="s">
        <v>1</v>
      </c>
      <c r="G113" s="35" t="s">
        <v>1</v>
      </c>
    </row>
    <row r="114" ht="16.5" spans="1:7">
      <c r="A114" s="37" t="s">
        <v>1</v>
      </c>
      <c r="B114" s="42" t="s">
        <v>1</v>
      </c>
      <c r="C114" s="42" t="s">
        <v>1</v>
      </c>
      <c r="D114" s="35" t="s">
        <v>1</v>
      </c>
      <c r="E114" s="35" t="s">
        <v>1</v>
      </c>
      <c r="F114" s="35" t="s">
        <v>1</v>
      </c>
      <c r="G114" s="35" t="s">
        <v>1</v>
      </c>
    </row>
    <row r="115" ht="16.5" spans="1:7">
      <c r="A115" s="37" t="s">
        <v>1</v>
      </c>
      <c r="B115" s="42" t="s">
        <v>1</v>
      </c>
      <c r="C115" s="42" t="s">
        <v>1</v>
      </c>
      <c r="D115" s="35" t="s">
        <v>1</v>
      </c>
      <c r="E115" s="35" t="s">
        <v>1</v>
      </c>
      <c r="F115" s="35" t="s">
        <v>1</v>
      </c>
      <c r="G115" s="35" t="s">
        <v>1</v>
      </c>
    </row>
    <row r="116" ht="16.5" spans="1:7">
      <c r="A116" s="37" t="s">
        <v>1</v>
      </c>
      <c r="B116" s="42" t="s">
        <v>1</v>
      </c>
      <c r="C116" s="42" t="s">
        <v>1</v>
      </c>
      <c r="D116" s="35" t="s">
        <v>1</v>
      </c>
      <c r="E116" s="35" t="s">
        <v>1</v>
      </c>
      <c r="F116" s="35" t="s">
        <v>1</v>
      </c>
      <c r="G116" s="35" t="s">
        <v>1</v>
      </c>
    </row>
    <row r="117" ht="16.5" spans="1:7">
      <c r="A117" s="37" t="s">
        <v>1</v>
      </c>
      <c r="B117" s="42" t="s">
        <v>1</v>
      </c>
      <c r="C117" s="42" t="s">
        <v>1</v>
      </c>
      <c r="D117" s="35" t="s">
        <v>1</v>
      </c>
      <c r="E117" s="35" t="s">
        <v>1</v>
      </c>
      <c r="F117" s="35" t="s">
        <v>1</v>
      </c>
      <c r="G117" s="35" t="s">
        <v>1</v>
      </c>
    </row>
    <row r="118" ht="16.5" spans="1:7">
      <c r="A118" s="37" t="s">
        <v>1</v>
      </c>
      <c r="B118" s="42" t="s">
        <v>1</v>
      </c>
      <c r="C118" s="42" t="s">
        <v>1</v>
      </c>
      <c r="D118" s="35" t="s">
        <v>1</v>
      </c>
      <c r="E118" s="35" t="s">
        <v>1</v>
      </c>
      <c r="F118" s="35" t="s">
        <v>1</v>
      </c>
      <c r="G118" s="35" t="s">
        <v>1</v>
      </c>
    </row>
    <row r="119" ht="16.5" spans="1:7">
      <c r="A119" s="37" t="s">
        <v>1</v>
      </c>
      <c r="B119" s="42" t="s">
        <v>1</v>
      </c>
      <c r="C119" s="42" t="s">
        <v>1</v>
      </c>
      <c r="D119" s="35" t="s">
        <v>1</v>
      </c>
      <c r="E119" s="35" t="s">
        <v>1</v>
      </c>
      <c r="F119" s="35" t="s">
        <v>1</v>
      </c>
      <c r="G119" s="35" t="s">
        <v>1</v>
      </c>
    </row>
    <row r="120" ht="16.5" spans="1:7">
      <c r="A120" s="37" t="s">
        <v>1</v>
      </c>
      <c r="B120" s="42" t="s">
        <v>1</v>
      </c>
      <c r="C120" s="42" t="s">
        <v>1</v>
      </c>
      <c r="D120" s="35" t="s">
        <v>1</v>
      </c>
      <c r="E120" s="35" t="s">
        <v>1</v>
      </c>
      <c r="F120" s="35" t="s">
        <v>1</v>
      </c>
      <c r="G120" s="35" t="s">
        <v>1</v>
      </c>
    </row>
    <row r="121" ht="16.5" spans="1:7">
      <c r="A121" s="37" t="s">
        <v>1</v>
      </c>
      <c r="B121" s="42" t="s">
        <v>1</v>
      </c>
      <c r="C121" s="42" t="s">
        <v>1</v>
      </c>
      <c r="D121" s="35" t="s">
        <v>1</v>
      </c>
      <c r="E121" s="35" t="s">
        <v>1</v>
      </c>
      <c r="F121" s="35" t="s">
        <v>1</v>
      </c>
      <c r="G121" s="35" t="s">
        <v>1</v>
      </c>
    </row>
    <row r="122" ht="16.5" spans="1:7">
      <c r="A122" s="37" t="s">
        <v>1</v>
      </c>
      <c r="B122" s="42" t="s">
        <v>1</v>
      </c>
      <c r="C122" s="42" t="s">
        <v>1</v>
      </c>
      <c r="D122" s="35" t="s">
        <v>1</v>
      </c>
      <c r="E122" s="35" t="s">
        <v>1</v>
      </c>
      <c r="F122" s="35" t="s">
        <v>1</v>
      </c>
      <c r="G122" s="35" t="s">
        <v>1</v>
      </c>
    </row>
    <row r="123" ht="16.5" spans="1:7">
      <c r="A123" s="37" t="s">
        <v>1</v>
      </c>
      <c r="B123" s="42" t="s">
        <v>1</v>
      </c>
      <c r="C123" s="42" t="s">
        <v>1</v>
      </c>
      <c r="D123" s="35" t="s">
        <v>1</v>
      </c>
      <c r="E123" s="35" t="s">
        <v>1</v>
      </c>
      <c r="F123" s="35" t="s">
        <v>1</v>
      </c>
      <c r="G123" s="35" t="s">
        <v>1</v>
      </c>
    </row>
    <row r="124" ht="16.5" spans="1:7">
      <c r="A124" s="37" t="s">
        <v>1</v>
      </c>
      <c r="B124" s="42" t="s">
        <v>1</v>
      </c>
      <c r="C124" s="42" t="s">
        <v>1</v>
      </c>
      <c r="D124" s="35" t="s">
        <v>1</v>
      </c>
      <c r="E124" s="35" t="s">
        <v>1</v>
      </c>
      <c r="F124" s="35" t="s">
        <v>1</v>
      </c>
      <c r="G124" s="35" t="s">
        <v>1</v>
      </c>
    </row>
    <row r="125" ht="16.5" spans="1:7">
      <c r="A125" s="37" t="s">
        <v>1</v>
      </c>
      <c r="B125" s="42" t="s">
        <v>1</v>
      </c>
      <c r="C125" s="42" t="s">
        <v>1</v>
      </c>
      <c r="D125" s="35" t="s">
        <v>1</v>
      </c>
      <c r="E125" s="35" t="s">
        <v>1</v>
      </c>
      <c r="F125" s="35" t="s">
        <v>1</v>
      </c>
      <c r="G125" s="35" t="s">
        <v>1</v>
      </c>
    </row>
    <row r="126" ht="16.5" spans="1:7">
      <c r="A126" s="37" t="s">
        <v>1</v>
      </c>
      <c r="B126" s="42" t="s">
        <v>1</v>
      </c>
      <c r="C126" s="42" t="s">
        <v>1</v>
      </c>
      <c r="D126" s="35" t="s">
        <v>1</v>
      </c>
      <c r="E126" s="35" t="s">
        <v>1</v>
      </c>
      <c r="F126" s="35" t="s">
        <v>1</v>
      </c>
      <c r="G126" s="35" t="s">
        <v>1</v>
      </c>
    </row>
    <row r="127" ht="16.5" spans="1:7">
      <c r="A127" s="37" t="s">
        <v>1</v>
      </c>
      <c r="B127" s="42" t="s">
        <v>1</v>
      </c>
      <c r="C127" s="42" t="s">
        <v>1</v>
      </c>
      <c r="D127" s="35" t="s">
        <v>1</v>
      </c>
      <c r="E127" s="35" t="s">
        <v>1</v>
      </c>
      <c r="F127" s="35" t="s">
        <v>1</v>
      </c>
      <c r="G127" s="35" t="s">
        <v>1</v>
      </c>
    </row>
    <row r="128" ht="16.5" spans="1:7">
      <c r="A128" s="37" t="s">
        <v>1</v>
      </c>
      <c r="B128" s="42" t="s">
        <v>1</v>
      </c>
      <c r="C128" s="42" t="s">
        <v>1</v>
      </c>
      <c r="D128" s="35" t="s">
        <v>1</v>
      </c>
      <c r="E128" s="35" t="s">
        <v>1</v>
      </c>
      <c r="F128" s="35" t="s">
        <v>1</v>
      </c>
      <c r="G128" s="35" t="s">
        <v>1</v>
      </c>
    </row>
    <row r="129" ht="16.5" spans="1:7">
      <c r="A129" s="37" t="s">
        <v>1</v>
      </c>
      <c r="B129" s="42" t="s">
        <v>1</v>
      </c>
      <c r="C129" s="42" t="s">
        <v>1</v>
      </c>
      <c r="D129" s="35" t="s">
        <v>1</v>
      </c>
      <c r="E129" s="35" t="s">
        <v>1</v>
      </c>
      <c r="F129" s="35" t="s">
        <v>1</v>
      </c>
      <c r="G129" s="35" t="s">
        <v>1</v>
      </c>
    </row>
    <row r="130" ht="16.5" spans="1:7">
      <c r="A130" s="37" t="s">
        <v>1</v>
      </c>
      <c r="B130" s="42" t="s">
        <v>1</v>
      </c>
      <c r="C130" s="42" t="s">
        <v>1</v>
      </c>
      <c r="D130" s="35" t="s">
        <v>1</v>
      </c>
      <c r="E130" s="35" t="s">
        <v>1</v>
      </c>
      <c r="F130" s="35" t="s">
        <v>1</v>
      </c>
      <c r="G130" s="35" t="s">
        <v>1</v>
      </c>
    </row>
    <row r="131" ht="16.5" spans="1:7">
      <c r="A131" s="37" t="s">
        <v>1</v>
      </c>
      <c r="B131" s="42" t="s">
        <v>1</v>
      </c>
      <c r="C131" s="42" t="s">
        <v>1</v>
      </c>
      <c r="D131" s="35" t="s">
        <v>1</v>
      </c>
      <c r="E131" s="35" t="s">
        <v>1</v>
      </c>
      <c r="F131" s="35" t="s">
        <v>1</v>
      </c>
      <c r="G131" s="35" t="s">
        <v>1</v>
      </c>
    </row>
    <row r="132" ht="16.5" spans="1:7">
      <c r="A132" s="37" t="s">
        <v>1</v>
      </c>
      <c r="B132" s="42" t="s">
        <v>1</v>
      </c>
      <c r="C132" s="42" t="s">
        <v>1</v>
      </c>
      <c r="D132" s="35" t="s">
        <v>1</v>
      </c>
      <c r="E132" s="35" t="s">
        <v>1</v>
      </c>
      <c r="F132" s="35" t="s">
        <v>1</v>
      </c>
      <c r="G132" s="35" t="s">
        <v>1</v>
      </c>
    </row>
    <row r="133" ht="16.5" spans="1:7">
      <c r="A133" s="37" t="s">
        <v>1</v>
      </c>
      <c r="B133" s="42" t="s">
        <v>1</v>
      </c>
      <c r="C133" s="42" t="s">
        <v>1</v>
      </c>
      <c r="D133" s="35" t="s">
        <v>1</v>
      </c>
      <c r="E133" s="35" t="s">
        <v>1</v>
      </c>
      <c r="F133" s="35" t="s">
        <v>1</v>
      </c>
      <c r="G133" s="35" t="s">
        <v>1</v>
      </c>
    </row>
    <row r="134" ht="16.5" spans="1:7">
      <c r="A134" s="37" t="s">
        <v>1</v>
      </c>
      <c r="B134" s="42" t="s">
        <v>1</v>
      </c>
      <c r="C134" s="42" t="s">
        <v>1</v>
      </c>
      <c r="D134" s="35" t="s">
        <v>1</v>
      </c>
      <c r="E134" s="35" t="s">
        <v>1</v>
      </c>
      <c r="F134" s="35" t="s">
        <v>1</v>
      </c>
      <c r="G134" s="35" t="s">
        <v>1</v>
      </c>
    </row>
    <row r="135" ht="16.5" spans="1:7">
      <c r="A135" s="37" t="s">
        <v>1</v>
      </c>
      <c r="B135" s="42" t="s">
        <v>1</v>
      </c>
      <c r="C135" s="42" t="s">
        <v>1</v>
      </c>
      <c r="D135" s="35" t="s">
        <v>1</v>
      </c>
      <c r="E135" s="35" t="s">
        <v>1</v>
      </c>
      <c r="F135" s="35" t="s">
        <v>1</v>
      </c>
      <c r="G135" s="35" t="s">
        <v>1</v>
      </c>
    </row>
    <row r="136" ht="16.5" spans="1:7">
      <c r="A136" s="37" t="s">
        <v>1</v>
      </c>
      <c r="B136" s="42" t="s">
        <v>1</v>
      </c>
      <c r="C136" s="42" t="s">
        <v>1</v>
      </c>
      <c r="D136" s="35" t="s">
        <v>1</v>
      </c>
      <c r="E136" s="35" t="s">
        <v>1</v>
      </c>
      <c r="F136" s="35" t="s">
        <v>1</v>
      </c>
      <c r="G136" s="35" t="s">
        <v>1</v>
      </c>
    </row>
    <row r="137" ht="16.5" spans="1:7">
      <c r="A137" s="37" t="s">
        <v>1</v>
      </c>
      <c r="B137" s="42" t="s">
        <v>1</v>
      </c>
      <c r="C137" s="42" t="s">
        <v>1</v>
      </c>
      <c r="D137" s="35" t="s">
        <v>1</v>
      </c>
      <c r="E137" s="35" t="s">
        <v>1</v>
      </c>
      <c r="F137" s="35" t="s">
        <v>1</v>
      </c>
      <c r="G137" s="35" t="s">
        <v>1</v>
      </c>
    </row>
    <row r="138" ht="16.5" spans="1:7">
      <c r="A138" s="37" t="s">
        <v>1</v>
      </c>
      <c r="B138" s="42" t="s">
        <v>1</v>
      </c>
      <c r="C138" s="42" t="s">
        <v>1</v>
      </c>
      <c r="D138" s="35" t="s">
        <v>1</v>
      </c>
      <c r="E138" s="35" t="s">
        <v>1</v>
      </c>
      <c r="F138" s="35" t="s">
        <v>1</v>
      </c>
      <c r="G138" s="35" t="s">
        <v>1</v>
      </c>
    </row>
    <row r="139" ht="16.5" spans="1:7">
      <c r="A139" s="37" t="s">
        <v>1</v>
      </c>
      <c r="B139" s="42" t="s">
        <v>1</v>
      </c>
      <c r="C139" s="42" t="s">
        <v>1</v>
      </c>
      <c r="D139" s="35" t="s">
        <v>1</v>
      </c>
      <c r="E139" s="35" t="s">
        <v>1</v>
      </c>
      <c r="F139" s="35" t="s">
        <v>1</v>
      </c>
      <c r="G139" s="35" t="s">
        <v>1</v>
      </c>
    </row>
    <row r="140" ht="16.5" spans="1:7">
      <c r="A140" s="37" t="s">
        <v>1</v>
      </c>
      <c r="B140" s="42" t="s">
        <v>1</v>
      </c>
      <c r="C140" s="42" t="s">
        <v>1</v>
      </c>
      <c r="D140" s="35" t="s">
        <v>1</v>
      </c>
      <c r="E140" s="35" t="s">
        <v>1</v>
      </c>
      <c r="F140" s="35" t="s">
        <v>1</v>
      </c>
      <c r="G140" s="35" t="s">
        <v>1</v>
      </c>
    </row>
    <row r="141" ht="16.5" spans="1:7">
      <c r="A141" s="37" t="s">
        <v>1</v>
      </c>
      <c r="B141" s="42" t="s">
        <v>1</v>
      </c>
      <c r="C141" s="42" t="s">
        <v>1</v>
      </c>
      <c r="D141" s="35" t="s">
        <v>1</v>
      </c>
      <c r="E141" s="35" t="s">
        <v>1</v>
      </c>
      <c r="F141" s="35" t="s">
        <v>1</v>
      </c>
      <c r="G141" s="35" t="s">
        <v>1</v>
      </c>
    </row>
    <row r="142" ht="16.5" spans="1:7">
      <c r="A142" s="37" t="s">
        <v>1</v>
      </c>
      <c r="B142" s="42" t="s">
        <v>1</v>
      </c>
      <c r="C142" s="42" t="s">
        <v>1</v>
      </c>
      <c r="D142" s="35" t="s">
        <v>1</v>
      </c>
      <c r="E142" s="35" t="s">
        <v>1</v>
      </c>
      <c r="F142" s="35" t="s">
        <v>1</v>
      </c>
      <c r="G142" s="35" t="s">
        <v>1</v>
      </c>
    </row>
    <row r="143" ht="16.5" spans="1:7">
      <c r="A143" s="37" t="s">
        <v>1</v>
      </c>
      <c r="B143" s="42" t="s">
        <v>1</v>
      </c>
      <c r="C143" s="42" t="s">
        <v>1</v>
      </c>
      <c r="D143" s="35" t="s">
        <v>1</v>
      </c>
      <c r="E143" s="35" t="s">
        <v>1</v>
      </c>
      <c r="F143" s="35" t="s">
        <v>1</v>
      </c>
      <c r="G143" s="35" t="s">
        <v>1</v>
      </c>
    </row>
    <row r="144" ht="17.25" customHeight="1" spans="1:7">
      <c r="A144" s="39" t="s">
        <v>78</v>
      </c>
      <c r="B144" s="42" t="s">
        <v>1</v>
      </c>
      <c r="C144" s="42" t="s">
        <v>1</v>
      </c>
      <c r="D144" s="35" t="s">
        <v>1</v>
      </c>
      <c r="E144" s="35" t="s">
        <v>1</v>
      </c>
      <c r="F144" s="35" t="s">
        <v>1</v>
      </c>
      <c r="G144" s="35" t="s">
        <v>1</v>
      </c>
    </row>
    <row r="145" ht="16.5" customHeight="1" spans="1:7">
      <c r="A145" s="37" t="s">
        <v>79</v>
      </c>
      <c r="B145" s="42" t="s">
        <v>1</v>
      </c>
      <c r="C145" s="42" t="s">
        <v>1</v>
      </c>
      <c r="D145" s="35" t="s">
        <v>1</v>
      </c>
      <c r="E145" s="35" t="s">
        <v>1</v>
      </c>
      <c r="F145" s="35" t="s">
        <v>1</v>
      </c>
      <c r="G145" s="35" t="s">
        <v>1</v>
      </c>
    </row>
    <row r="146" ht="16.5" customHeight="1" spans="1:7">
      <c r="A146" s="37" t="s">
        <v>80</v>
      </c>
      <c r="B146" s="42" t="s">
        <v>1</v>
      </c>
      <c r="C146" s="42" t="s">
        <v>1</v>
      </c>
      <c r="D146" s="35" t="s">
        <v>1</v>
      </c>
      <c r="E146" s="35" t="s">
        <v>1</v>
      </c>
      <c r="F146" s="35" t="s">
        <v>1</v>
      </c>
      <c r="G146" s="35" t="s">
        <v>1</v>
      </c>
    </row>
    <row r="147" ht="16.5" customHeight="1" spans="1:7">
      <c r="A147" s="37" t="s">
        <v>81</v>
      </c>
      <c r="B147" s="42" t="s">
        <v>1</v>
      </c>
      <c r="C147" s="42" t="s">
        <v>1</v>
      </c>
      <c r="D147" s="35" t="s">
        <v>1</v>
      </c>
      <c r="E147" s="35" t="s">
        <v>1</v>
      </c>
      <c r="F147" s="35" t="s">
        <v>1</v>
      </c>
      <c r="G147" s="35" t="s">
        <v>1</v>
      </c>
    </row>
    <row r="148" ht="16.5" customHeight="1" spans="1:7">
      <c r="A148" s="37" t="s">
        <v>82</v>
      </c>
      <c r="B148" s="42" t="s">
        <v>1</v>
      </c>
      <c r="C148" s="42" t="s">
        <v>1</v>
      </c>
      <c r="D148" s="35" t="s">
        <v>1</v>
      </c>
      <c r="E148" s="35" t="s">
        <v>1</v>
      </c>
      <c r="F148" s="35" t="s">
        <v>1</v>
      </c>
      <c r="G148" s="35" t="s">
        <v>1</v>
      </c>
    </row>
    <row r="149" ht="16.5" customHeight="1" spans="1:7">
      <c r="A149" s="37" t="s">
        <v>83</v>
      </c>
      <c r="B149" s="42" t="s">
        <v>1</v>
      </c>
      <c r="C149" s="42" t="s">
        <v>1</v>
      </c>
      <c r="D149" s="35" t="s">
        <v>1</v>
      </c>
      <c r="E149" s="35" t="s">
        <v>1</v>
      </c>
      <c r="F149" s="35" t="s">
        <v>1</v>
      </c>
      <c r="G149" s="35" t="s">
        <v>1</v>
      </c>
    </row>
    <row r="150" ht="16.5" customHeight="1" spans="1:7">
      <c r="A150" s="37" t="s">
        <v>84</v>
      </c>
      <c r="B150" s="37"/>
      <c r="C150" s="37"/>
      <c r="D150" s="35" t="s">
        <v>1</v>
      </c>
      <c r="E150" s="35" t="s">
        <v>1</v>
      </c>
      <c r="F150" s="35" t="s">
        <v>1</v>
      </c>
      <c r="G150" s="35" t="s">
        <v>1</v>
      </c>
    </row>
    <row r="151" ht="16.5" customHeight="1" spans="1:7">
      <c r="A151" s="37" t="s">
        <v>85</v>
      </c>
      <c r="B151" s="42" t="s">
        <v>1</v>
      </c>
      <c r="C151" s="42" t="s">
        <v>1</v>
      </c>
      <c r="D151" s="35" t="s">
        <v>1</v>
      </c>
      <c r="E151" s="35" t="s">
        <v>1</v>
      </c>
      <c r="F151" s="35" t="s">
        <v>1</v>
      </c>
      <c r="G151" s="35" t="s">
        <v>1</v>
      </c>
    </row>
    <row r="152" ht="16.5" customHeight="1" spans="1:7">
      <c r="A152" s="37" t="s">
        <v>86</v>
      </c>
      <c r="B152" s="42" t="s">
        <v>1</v>
      </c>
      <c r="C152" s="42" t="s">
        <v>1</v>
      </c>
      <c r="D152" s="35" t="s">
        <v>1</v>
      </c>
      <c r="E152" s="35" t="s">
        <v>1</v>
      </c>
      <c r="F152" s="35" t="s">
        <v>1</v>
      </c>
      <c r="G152" s="35" t="s">
        <v>1</v>
      </c>
    </row>
    <row r="153" ht="16.5" customHeight="1" spans="1:7">
      <c r="A153" s="37" t="s">
        <v>87</v>
      </c>
      <c r="B153" s="42" t="s">
        <v>1</v>
      </c>
      <c r="C153" s="42" t="s">
        <v>1</v>
      </c>
      <c r="D153" s="35" t="s">
        <v>1</v>
      </c>
      <c r="E153" s="35" t="s">
        <v>1</v>
      </c>
      <c r="F153" s="35" t="s">
        <v>1</v>
      </c>
      <c r="G153" s="35" t="s">
        <v>1</v>
      </c>
    </row>
    <row r="154" ht="16.5" customHeight="1" spans="1:7">
      <c r="A154" s="37" t="s">
        <v>88</v>
      </c>
      <c r="B154" s="42" t="s">
        <v>1</v>
      </c>
      <c r="C154" s="42" t="s">
        <v>1</v>
      </c>
      <c r="D154" s="35" t="s">
        <v>1</v>
      </c>
      <c r="E154" s="35" t="s">
        <v>1</v>
      </c>
      <c r="F154" s="35" t="s">
        <v>1</v>
      </c>
      <c r="G154" s="35" t="s">
        <v>1</v>
      </c>
    </row>
    <row r="155" ht="16.5" customHeight="1" spans="1:7">
      <c r="A155" s="37" t="s">
        <v>89</v>
      </c>
      <c r="B155" s="42" t="s">
        <v>1</v>
      </c>
      <c r="C155" s="42" t="s">
        <v>1</v>
      </c>
      <c r="D155" s="35" t="s">
        <v>1</v>
      </c>
      <c r="E155" s="35" t="s">
        <v>1</v>
      </c>
      <c r="F155" s="35" t="s">
        <v>1</v>
      </c>
      <c r="G155" s="35" t="s">
        <v>1</v>
      </c>
    </row>
    <row r="156" ht="30.75" customHeight="1" spans="1:7">
      <c r="A156" s="37" t="s">
        <v>90</v>
      </c>
      <c r="B156" s="37"/>
      <c r="C156" s="37"/>
      <c r="D156" s="35" t="s">
        <v>1</v>
      </c>
      <c r="E156" s="35" t="s">
        <v>1</v>
      </c>
      <c r="F156" s="35" t="s">
        <v>1</v>
      </c>
      <c r="G156" s="35" t="s">
        <v>1</v>
      </c>
    </row>
    <row r="157" ht="16.5" customHeight="1" spans="1:7">
      <c r="A157" s="37" t="s">
        <v>91</v>
      </c>
      <c r="B157" s="42" t="s">
        <v>1</v>
      </c>
      <c r="C157" s="42" t="s">
        <v>1</v>
      </c>
      <c r="D157" s="35" t="s">
        <v>1</v>
      </c>
      <c r="E157" s="35" t="s">
        <v>1</v>
      </c>
      <c r="F157" s="35" t="s">
        <v>1</v>
      </c>
      <c r="G157" s="35" t="s">
        <v>1</v>
      </c>
    </row>
    <row r="158" ht="282.75" customHeight="1" spans="1:7">
      <c r="A158" s="37" t="s">
        <v>1</v>
      </c>
      <c r="B158" s="42" t="s">
        <v>1</v>
      </c>
      <c r="C158" s="42" t="s">
        <v>1</v>
      </c>
      <c r="D158" s="35" t="s">
        <v>1</v>
      </c>
      <c r="E158" s="35" t="s">
        <v>1</v>
      </c>
      <c r="F158" s="35" t="s">
        <v>1</v>
      </c>
      <c r="G158" s="35" t="s">
        <v>1</v>
      </c>
    </row>
    <row r="159" ht="16.5" spans="1:7">
      <c r="A159" s="37" t="s">
        <v>1</v>
      </c>
      <c r="B159" s="42" t="s">
        <v>1</v>
      </c>
      <c r="C159" s="42" t="s">
        <v>1</v>
      </c>
      <c r="D159" s="35" t="s">
        <v>1</v>
      </c>
      <c r="E159" s="35" t="s">
        <v>1</v>
      </c>
      <c r="F159" s="35" t="s">
        <v>1</v>
      </c>
      <c r="G159" s="35" t="s">
        <v>1</v>
      </c>
    </row>
    <row r="160" ht="16.5" spans="1:7">
      <c r="A160" s="37" t="s">
        <v>1</v>
      </c>
      <c r="B160" s="42" t="s">
        <v>1</v>
      </c>
      <c r="C160" s="42" t="s">
        <v>1</v>
      </c>
      <c r="D160" s="35" t="s">
        <v>1</v>
      </c>
      <c r="E160" s="35" t="s">
        <v>1</v>
      </c>
      <c r="F160" s="35" t="s">
        <v>1</v>
      </c>
      <c r="G160" s="35" t="s">
        <v>1</v>
      </c>
    </row>
    <row r="161" ht="16.5" spans="1:7">
      <c r="A161" s="37" t="s">
        <v>1</v>
      </c>
      <c r="B161" s="42" t="s">
        <v>1</v>
      </c>
      <c r="C161" s="42" t="s">
        <v>1</v>
      </c>
      <c r="D161" s="35" t="s">
        <v>1</v>
      </c>
      <c r="E161" s="35" t="s">
        <v>1</v>
      </c>
      <c r="F161" s="35" t="s">
        <v>1</v>
      </c>
      <c r="G161" s="35" t="s">
        <v>1</v>
      </c>
    </row>
    <row r="162" ht="16.5" spans="1:7">
      <c r="A162" s="37" t="s">
        <v>1</v>
      </c>
      <c r="B162" s="42" t="s">
        <v>1</v>
      </c>
      <c r="C162" s="42" t="s">
        <v>1</v>
      </c>
      <c r="D162" s="35" t="s">
        <v>1</v>
      </c>
      <c r="E162" s="35" t="s">
        <v>1</v>
      </c>
      <c r="F162" s="35" t="s">
        <v>1</v>
      </c>
      <c r="G162" s="35" t="s">
        <v>1</v>
      </c>
    </row>
    <row r="163" ht="16.5" spans="1:7">
      <c r="A163" s="37" t="s">
        <v>1</v>
      </c>
      <c r="B163" s="42" t="s">
        <v>1</v>
      </c>
      <c r="C163" s="42" t="s">
        <v>1</v>
      </c>
      <c r="D163" s="35" t="s">
        <v>1</v>
      </c>
      <c r="E163" s="35" t="s">
        <v>1</v>
      </c>
      <c r="F163" s="35" t="s">
        <v>1</v>
      </c>
      <c r="G163" s="35" t="s">
        <v>1</v>
      </c>
    </row>
    <row r="164" ht="16.5" spans="1:7">
      <c r="A164" s="37" t="s">
        <v>1</v>
      </c>
      <c r="B164" s="42" t="s">
        <v>1</v>
      </c>
      <c r="C164" s="42" t="s">
        <v>1</v>
      </c>
      <c r="D164" s="35" t="s">
        <v>1</v>
      </c>
      <c r="E164" s="35" t="s">
        <v>1</v>
      </c>
      <c r="F164" s="35" t="s">
        <v>1</v>
      </c>
      <c r="G164" s="35" t="s">
        <v>1</v>
      </c>
    </row>
    <row r="165" ht="16.5" spans="1:7">
      <c r="A165" s="37" t="s">
        <v>1</v>
      </c>
      <c r="B165" s="42" t="s">
        <v>1</v>
      </c>
      <c r="C165" s="42" t="s">
        <v>1</v>
      </c>
      <c r="D165" s="35" t="s">
        <v>1</v>
      </c>
      <c r="E165" s="35" t="s">
        <v>1</v>
      </c>
      <c r="F165" s="35" t="s">
        <v>1</v>
      </c>
      <c r="G165" s="35" t="s">
        <v>1</v>
      </c>
    </row>
    <row r="166" ht="16.5" spans="1:7">
      <c r="A166" s="37" t="s">
        <v>1</v>
      </c>
      <c r="B166" s="42" t="s">
        <v>1</v>
      </c>
      <c r="C166" s="42" t="s">
        <v>1</v>
      </c>
      <c r="D166" s="35" t="s">
        <v>1</v>
      </c>
      <c r="E166" s="35" t="s">
        <v>1</v>
      </c>
      <c r="F166" s="35" t="s">
        <v>1</v>
      </c>
      <c r="G166" s="35" t="s">
        <v>1</v>
      </c>
    </row>
    <row r="167" ht="16.5" spans="1:7">
      <c r="A167" s="37" t="s">
        <v>1</v>
      </c>
      <c r="B167" s="42" t="s">
        <v>1</v>
      </c>
      <c r="C167" s="42" t="s">
        <v>1</v>
      </c>
      <c r="D167" s="35" t="s">
        <v>1</v>
      </c>
      <c r="E167" s="35" t="s">
        <v>1</v>
      </c>
      <c r="F167" s="35" t="s">
        <v>1</v>
      </c>
      <c r="G167" s="35" t="s">
        <v>1</v>
      </c>
    </row>
    <row r="168" ht="16.5" spans="1:7">
      <c r="A168" s="37" t="s">
        <v>1</v>
      </c>
      <c r="B168" s="42" t="s">
        <v>1</v>
      </c>
      <c r="C168" s="42" t="s">
        <v>1</v>
      </c>
      <c r="D168" s="35" t="s">
        <v>1</v>
      </c>
      <c r="E168" s="35" t="s">
        <v>1</v>
      </c>
      <c r="F168" s="35" t="s">
        <v>1</v>
      </c>
      <c r="G168" s="35" t="s">
        <v>1</v>
      </c>
    </row>
    <row r="169" ht="16.5" spans="1:7">
      <c r="A169" s="37" t="s">
        <v>1</v>
      </c>
      <c r="B169" s="42" t="s">
        <v>1</v>
      </c>
      <c r="C169" s="42" t="s">
        <v>1</v>
      </c>
      <c r="D169" s="35" t="s">
        <v>1</v>
      </c>
      <c r="E169" s="35" t="s">
        <v>1</v>
      </c>
      <c r="F169" s="35" t="s">
        <v>1</v>
      </c>
      <c r="G169" s="35" t="s">
        <v>1</v>
      </c>
    </row>
    <row r="170" ht="16.5" spans="1:7">
      <c r="A170" s="37" t="s">
        <v>1</v>
      </c>
      <c r="B170" s="42" t="s">
        <v>1</v>
      </c>
      <c r="C170" s="42" t="s">
        <v>1</v>
      </c>
      <c r="D170" s="35" t="s">
        <v>1</v>
      </c>
      <c r="E170" s="35" t="s">
        <v>1</v>
      </c>
      <c r="F170" s="35" t="s">
        <v>1</v>
      </c>
      <c r="G170" s="35" t="s">
        <v>1</v>
      </c>
    </row>
    <row r="171" ht="16.5" spans="1:7">
      <c r="A171" s="37" t="s">
        <v>1</v>
      </c>
      <c r="B171" s="42" t="s">
        <v>1</v>
      </c>
      <c r="C171" s="42" t="s">
        <v>1</v>
      </c>
      <c r="D171" s="35" t="s">
        <v>1</v>
      </c>
      <c r="E171" s="35" t="s">
        <v>1</v>
      </c>
      <c r="F171" s="35" t="s">
        <v>1</v>
      </c>
      <c r="G171" s="35" t="s">
        <v>1</v>
      </c>
    </row>
    <row r="172" ht="16.5" spans="1:7">
      <c r="A172" s="37" t="s">
        <v>1</v>
      </c>
      <c r="B172" s="42" t="s">
        <v>1</v>
      </c>
      <c r="C172" s="42" t="s">
        <v>1</v>
      </c>
      <c r="D172" s="35" t="s">
        <v>1</v>
      </c>
      <c r="E172" s="35" t="s">
        <v>1</v>
      </c>
      <c r="F172" s="35" t="s">
        <v>1</v>
      </c>
      <c r="G172" s="35" t="s">
        <v>1</v>
      </c>
    </row>
    <row r="173" ht="16.5" spans="1:7">
      <c r="A173" s="37" t="s">
        <v>1</v>
      </c>
      <c r="B173" s="42" t="s">
        <v>1</v>
      </c>
      <c r="C173" s="42" t="s">
        <v>1</v>
      </c>
      <c r="D173" s="35" t="s">
        <v>1</v>
      </c>
      <c r="E173" s="35" t="s">
        <v>1</v>
      </c>
      <c r="F173" s="35" t="s">
        <v>1</v>
      </c>
      <c r="G173" s="35" t="s">
        <v>1</v>
      </c>
    </row>
    <row r="174" ht="16.5" spans="1:7">
      <c r="A174" s="37" t="s">
        <v>1</v>
      </c>
      <c r="B174" s="42" t="s">
        <v>1</v>
      </c>
      <c r="C174" s="42" t="s">
        <v>1</v>
      </c>
      <c r="D174" s="35" t="s">
        <v>1</v>
      </c>
      <c r="E174" s="35" t="s">
        <v>1</v>
      </c>
      <c r="F174" s="35" t="s">
        <v>1</v>
      </c>
      <c r="G174" s="35" t="s">
        <v>1</v>
      </c>
    </row>
    <row r="175" ht="16.5" spans="1:7">
      <c r="A175" s="37" t="s">
        <v>1</v>
      </c>
      <c r="B175" s="42" t="s">
        <v>1</v>
      </c>
      <c r="C175" s="42" t="s">
        <v>1</v>
      </c>
      <c r="D175" s="35" t="s">
        <v>1</v>
      </c>
      <c r="E175" s="35" t="s">
        <v>1</v>
      </c>
      <c r="F175" s="35" t="s">
        <v>1</v>
      </c>
      <c r="G175" s="35" t="s">
        <v>1</v>
      </c>
    </row>
    <row r="176" ht="16.5" spans="1:7">
      <c r="A176" s="37" t="s">
        <v>1</v>
      </c>
      <c r="B176" s="42" t="s">
        <v>1</v>
      </c>
      <c r="C176" s="42" t="s">
        <v>1</v>
      </c>
      <c r="D176" s="35" t="s">
        <v>1</v>
      </c>
      <c r="E176" s="35" t="s">
        <v>1</v>
      </c>
      <c r="F176" s="35" t="s">
        <v>1</v>
      </c>
      <c r="G176" s="35" t="s">
        <v>1</v>
      </c>
    </row>
    <row r="177" ht="16.5" spans="1:10">
      <c r="A177" s="37" t="s">
        <v>1</v>
      </c>
      <c r="B177" s="42" t="s">
        <v>1</v>
      </c>
      <c r="C177" s="42" t="s">
        <v>1</v>
      </c>
      <c r="D177" s="35" t="s">
        <v>1</v>
      </c>
      <c r="E177" s="35" t="s">
        <v>1</v>
      </c>
      <c r="F177" s="35" t="s">
        <v>1</v>
      </c>
      <c r="G177" s="35" t="s">
        <v>1</v>
      </c>
    </row>
    <row r="178" ht="16.5" spans="1:10">
      <c r="A178" s="37" t="s">
        <v>1</v>
      </c>
      <c r="B178" s="42" t="s">
        <v>1</v>
      </c>
      <c r="C178" s="42" t="s">
        <v>1</v>
      </c>
      <c r="D178" s="35" t="s">
        <v>1</v>
      </c>
      <c r="E178" s="35" t="s">
        <v>1</v>
      </c>
      <c r="F178" s="35" t="s">
        <v>1</v>
      </c>
      <c r="G178" s="35" t="s">
        <v>1</v>
      </c>
    </row>
    <row r="179" ht="16.5" spans="1:10">
      <c r="A179" s="37" t="s">
        <v>1</v>
      </c>
      <c r="B179" s="42" t="s">
        <v>1</v>
      </c>
      <c r="C179" s="42" t="s">
        <v>1</v>
      </c>
      <c r="D179" s="35" t="s">
        <v>1</v>
      </c>
      <c r="E179" s="35" t="s">
        <v>1</v>
      </c>
      <c r="F179" s="35" t="s">
        <v>1</v>
      </c>
      <c r="G179" s="35" t="s">
        <v>1</v>
      </c>
    </row>
    <row r="180" ht="16.5" spans="1:10">
      <c r="A180" s="37" t="s">
        <v>1</v>
      </c>
      <c r="B180" s="42" t="s">
        <v>1</v>
      </c>
      <c r="C180" s="42" t="s">
        <v>1</v>
      </c>
      <c r="D180" s="35" t="s">
        <v>1</v>
      </c>
      <c r="E180" s="35" t="s">
        <v>1</v>
      </c>
      <c r="F180" s="35" t="s">
        <v>1</v>
      </c>
      <c r="G180" s="35" t="s">
        <v>1</v>
      </c>
    </row>
    <row r="181" ht="16.5" spans="1:10">
      <c r="A181" s="37" t="s">
        <v>1</v>
      </c>
      <c r="B181" s="42" t="s">
        <v>1</v>
      </c>
      <c r="C181" s="42" t="s">
        <v>1</v>
      </c>
      <c r="D181" s="35" t="s">
        <v>1</v>
      </c>
      <c r="E181" s="35" t="s">
        <v>1</v>
      </c>
      <c r="F181" s="35" t="s">
        <v>1</v>
      </c>
      <c r="G181" s="35" t="s">
        <v>1</v>
      </c>
    </row>
    <row r="182" ht="17.25" customHeight="1" spans="1:10">
      <c r="A182" s="39" t="s">
        <v>92</v>
      </c>
      <c r="B182" s="42" t="s">
        <v>1</v>
      </c>
      <c r="C182" s="42" t="s">
        <v>1</v>
      </c>
      <c r="D182" s="35" t="s">
        <v>1</v>
      </c>
      <c r="E182" s="35" t="s">
        <v>1</v>
      </c>
      <c r="F182" s="35" t="s">
        <v>1</v>
      </c>
      <c r="G182" s="35" t="s">
        <v>1</v>
      </c>
    </row>
    <row r="183" ht="30.75" customHeight="1" spans="1:10">
      <c r="A183" s="37" t="s">
        <v>93</v>
      </c>
      <c r="B183" s="37"/>
      <c r="C183" s="37"/>
      <c r="D183" s="37"/>
      <c r="E183" s="37"/>
      <c r="F183" s="37"/>
      <c r="G183" s="37"/>
    </row>
    <row r="184" ht="17.25" customHeight="1" spans="1:10">
      <c r="A184" s="39" t="s">
        <v>94</v>
      </c>
      <c r="B184" s="42" t="s">
        <v>1</v>
      </c>
      <c r="C184" s="42" t="s">
        <v>1</v>
      </c>
      <c r="D184" s="35" t="s">
        <v>1</v>
      </c>
      <c r="E184" s="35" t="s">
        <v>1</v>
      </c>
      <c r="F184" s="35" t="s">
        <v>1</v>
      </c>
      <c r="G184" s="35" t="s">
        <v>1</v>
      </c>
    </row>
    <row r="185" ht="15" customHeight="1" spans="1:10">
      <c r="A185" s="35" t="s">
        <v>95</v>
      </c>
      <c r="B185" s="35" t="s">
        <v>96</v>
      </c>
      <c r="C185" s="35" t="s">
        <v>97</v>
      </c>
      <c r="D185" s="35" t="s">
        <v>98</v>
      </c>
      <c r="E185" s="35" t="s">
        <v>99</v>
      </c>
      <c r="F185" s="35" t="s">
        <v>100</v>
      </c>
      <c r="G185" s="35" t="s">
        <v>63</v>
      </c>
    </row>
    <row r="186" ht="66.75" customHeight="1" spans="1:10">
      <c r="A186" s="41" t="s">
        <v>50</v>
      </c>
      <c r="B186" s="42" t="s">
        <v>53</v>
      </c>
      <c r="C186" s="42" t="s">
        <v>101</v>
      </c>
      <c r="D186" s="42" t="s">
        <v>58</v>
      </c>
      <c r="E186" s="42" t="s">
        <v>102</v>
      </c>
      <c r="F186" s="42" t="s">
        <v>103</v>
      </c>
      <c r="G186" s="42" t="s">
        <v>104</v>
      </c>
      <c r="H186" s="42"/>
      <c r="I186" s="42"/>
    </row>
    <row r="187" ht="41.25" customHeight="1" spans="1:10">
      <c r="A187" s="41" t="s">
        <v>51</v>
      </c>
      <c r="B187" s="42" t="s">
        <v>54</v>
      </c>
      <c r="C187" s="42">
        <v>15</v>
      </c>
      <c r="D187" s="42" t="s">
        <v>59</v>
      </c>
      <c r="E187" s="42" t="s">
        <v>105</v>
      </c>
      <c r="F187" s="42" t="s">
        <v>103</v>
      </c>
      <c r="G187" s="42" t="s">
        <v>65</v>
      </c>
      <c r="H187" s="42"/>
    </row>
    <row r="188" ht="54" customHeight="1" spans="1:10">
      <c r="A188" s="41" t="s">
        <v>106</v>
      </c>
      <c r="B188" s="42" t="s">
        <v>107</v>
      </c>
      <c r="C188" s="42">
        <v>15</v>
      </c>
      <c r="D188" s="42" t="s">
        <v>108</v>
      </c>
      <c r="E188" s="42" t="s">
        <v>109</v>
      </c>
      <c r="F188" s="42" t="s">
        <v>110</v>
      </c>
      <c r="G188" s="43" t="s">
        <v>111</v>
      </c>
      <c r="H188" s="43"/>
      <c r="I188" s="43"/>
      <c r="J188" s="43"/>
    </row>
    <row r="189" ht="17.25" customHeight="1" spans="1:10">
      <c r="A189" s="39" t="s">
        <v>112</v>
      </c>
      <c r="B189" s="42" t="s">
        <v>1</v>
      </c>
      <c r="C189" s="42" t="s">
        <v>1</v>
      </c>
      <c r="D189" s="42" t="s">
        <v>1</v>
      </c>
      <c r="E189" s="42" t="s">
        <v>1</v>
      </c>
      <c r="F189" s="42" t="s">
        <v>1</v>
      </c>
      <c r="G189" s="42" t="s">
        <v>1</v>
      </c>
    </row>
    <row r="190" ht="15" customHeight="1" spans="1:10">
      <c r="A190" s="35" t="s">
        <v>113</v>
      </c>
      <c r="B190" s="35" t="s">
        <v>114</v>
      </c>
      <c r="C190" s="35" t="s">
        <v>1</v>
      </c>
      <c r="D190" s="42" t="s">
        <v>1</v>
      </c>
      <c r="E190" s="42" t="s">
        <v>1</v>
      </c>
      <c r="F190" s="42" t="s">
        <v>1</v>
      </c>
      <c r="G190" s="42" t="s">
        <v>1</v>
      </c>
    </row>
    <row r="191" ht="15" customHeight="1" spans="1:10">
      <c r="A191" s="41" t="s">
        <v>115</v>
      </c>
      <c r="B191" s="42" t="s">
        <v>116</v>
      </c>
      <c r="C191" s="42" t="s">
        <v>1</v>
      </c>
      <c r="D191" s="42" t="s">
        <v>1</v>
      </c>
      <c r="E191" s="42" t="s">
        <v>1</v>
      </c>
      <c r="F191" s="42" t="s">
        <v>1</v>
      </c>
      <c r="G191" s="42" t="s">
        <v>1</v>
      </c>
    </row>
    <row r="192" ht="54" customHeight="1" spans="1:10">
      <c r="A192" s="41" t="s">
        <v>117</v>
      </c>
      <c r="B192" s="42" t="s">
        <v>118</v>
      </c>
      <c r="C192" s="42"/>
      <c r="D192" s="42"/>
      <c r="E192" s="42"/>
      <c r="F192" s="42"/>
      <c r="G192" s="42" t="s">
        <v>1</v>
      </c>
    </row>
    <row r="193" ht="54" customHeight="1" spans="1:7">
      <c r="A193" s="41" t="s">
        <v>119</v>
      </c>
      <c r="B193" s="42" t="s">
        <v>120</v>
      </c>
      <c r="C193" s="42"/>
      <c r="D193" s="42"/>
      <c r="E193" s="42"/>
      <c r="F193" s="42"/>
      <c r="G193" s="42" t="s">
        <v>1</v>
      </c>
    </row>
    <row r="194" ht="41.25" customHeight="1" spans="1:7">
      <c r="A194" s="41" t="s">
        <v>121</v>
      </c>
      <c r="B194" s="42" t="s">
        <v>122</v>
      </c>
      <c r="C194" s="42"/>
      <c r="D194" s="42"/>
      <c r="E194" s="42"/>
      <c r="F194" s="42" t="s">
        <v>1</v>
      </c>
      <c r="G194" s="42" t="s">
        <v>1</v>
      </c>
    </row>
    <row r="195" ht="27.75" customHeight="1" spans="1:7">
      <c r="A195" s="41" t="s">
        <v>123</v>
      </c>
      <c r="B195" s="42" t="s">
        <v>124</v>
      </c>
      <c r="C195" s="42"/>
      <c r="D195" s="42"/>
      <c r="E195" s="42" t="s">
        <v>1</v>
      </c>
      <c r="F195" s="42" t="s">
        <v>1</v>
      </c>
      <c r="G195" s="42" t="s">
        <v>1</v>
      </c>
    </row>
    <row r="196" ht="15" customHeight="1" spans="1:7">
      <c r="A196" s="41" t="s">
        <v>125</v>
      </c>
      <c r="B196" s="42" t="s">
        <v>126</v>
      </c>
      <c r="C196" s="42"/>
      <c r="D196" s="42" t="s">
        <v>1</v>
      </c>
      <c r="E196" s="42" t="s">
        <v>1</v>
      </c>
      <c r="F196" s="42" t="s">
        <v>1</v>
      </c>
      <c r="G196" s="42" t="s">
        <v>1</v>
      </c>
    </row>
    <row r="197" ht="41.25" customHeight="1" spans="1:7">
      <c r="A197" s="41" t="s">
        <v>127</v>
      </c>
      <c r="B197" s="42" t="s">
        <v>128</v>
      </c>
      <c r="C197" s="42"/>
      <c r="D197" s="42"/>
      <c r="E197" s="42"/>
      <c r="F197" s="42" t="s">
        <v>1</v>
      </c>
      <c r="G197" s="42" t="s">
        <v>1</v>
      </c>
    </row>
    <row r="198" ht="41.25" customHeight="1" spans="1:7">
      <c r="A198" s="41" t="s">
        <v>129</v>
      </c>
      <c r="B198" s="42" t="s">
        <v>130</v>
      </c>
      <c r="C198" s="42"/>
      <c r="D198" s="42"/>
      <c r="E198" s="42"/>
      <c r="F198" s="42" t="s">
        <v>1</v>
      </c>
      <c r="G198" s="42" t="s">
        <v>1</v>
      </c>
    </row>
    <row r="199" ht="41.25" customHeight="1" spans="1:7">
      <c r="A199" s="41" t="s">
        <v>106</v>
      </c>
      <c r="B199" s="42" t="s">
        <v>131</v>
      </c>
      <c r="C199" s="42"/>
      <c r="D199" s="42"/>
      <c r="E199" s="42"/>
      <c r="F199" s="42" t="s">
        <v>1</v>
      </c>
      <c r="G199" s="42" t="s">
        <v>1</v>
      </c>
    </row>
    <row r="200" ht="41.25" customHeight="1" spans="1:7">
      <c r="A200" s="41" t="s">
        <v>132</v>
      </c>
      <c r="B200" s="42" t="s">
        <v>133</v>
      </c>
      <c r="C200" s="42"/>
      <c r="D200" s="42"/>
      <c r="E200" s="42"/>
      <c r="F200" s="42" t="s">
        <v>1</v>
      </c>
      <c r="G200" s="42" t="s">
        <v>1</v>
      </c>
    </row>
    <row r="201" ht="17.25" customHeight="1" spans="1:7">
      <c r="A201" s="39" t="s">
        <v>134</v>
      </c>
      <c r="B201" s="42" t="s">
        <v>1</v>
      </c>
      <c r="C201" s="42" t="s">
        <v>1</v>
      </c>
      <c r="D201" s="42" t="s">
        <v>1</v>
      </c>
      <c r="E201" s="42" t="s">
        <v>1</v>
      </c>
      <c r="F201" s="42" t="s">
        <v>1</v>
      </c>
      <c r="G201" s="42" t="s">
        <v>1</v>
      </c>
    </row>
    <row r="202" ht="15" customHeight="1" spans="1:7">
      <c r="A202" s="35" t="s">
        <v>135</v>
      </c>
      <c r="B202" s="35" t="s">
        <v>136</v>
      </c>
      <c r="C202" s="35" t="s">
        <v>137</v>
      </c>
      <c r="D202" s="42" t="s">
        <v>1</v>
      </c>
      <c r="E202" s="42" t="s">
        <v>1</v>
      </c>
      <c r="F202" s="42" t="s">
        <v>1</v>
      </c>
      <c r="G202" s="42" t="s">
        <v>1</v>
      </c>
    </row>
    <row r="203" ht="15" customHeight="1" spans="1:7">
      <c r="A203" s="41" t="s">
        <v>138</v>
      </c>
      <c r="B203" s="42" t="s">
        <v>139</v>
      </c>
      <c r="C203" s="42" t="s">
        <v>140</v>
      </c>
      <c r="D203" s="42"/>
      <c r="E203" s="42" t="s">
        <v>1</v>
      </c>
      <c r="F203" s="42" t="s">
        <v>1</v>
      </c>
      <c r="G203" s="42" t="s">
        <v>1</v>
      </c>
    </row>
    <row r="204" ht="27.75" customHeight="1" spans="1:7">
      <c r="A204" s="41" t="s">
        <v>141</v>
      </c>
      <c r="B204" s="42" t="s">
        <v>142</v>
      </c>
      <c r="C204" s="42" t="s">
        <v>143</v>
      </c>
      <c r="D204" s="42"/>
      <c r="E204" s="42" t="s">
        <v>1</v>
      </c>
      <c r="F204" s="42" t="s">
        <v>1</v>
      </c>
      <c r="G204" s="42" t="s">
        <v>1</v>
      </c>
    </row>
    <row r="205" ht="15" customHeight="1" spans="1:7">
      <c r="A205" s="41" t="s">
        <v>144</v>
      </c>
      <c r="B205" s="42" t="s">
        <v>145</v>
      </c>
      <c r="C205" s="42" t="s">
        <v>132</v>
      </c>
      <c r="D205" s="42"/>
      <c r="E205" s="42" t="s">
        <v>1</v>
      </c>
      <c r="F205" s="42" t="s">
        <v>1</v>
      </c>
      <c r="G205" s="42" t="s">
        <v>1</v>
      </c>
    </row>
    <row r="206" ht="15" customHeight="1" spans="1:7">
      <c r="A206" s="41" t="s">
        <v>146</v>
      </c>
      <c r="B206" s="42" t="s">
        <v>147</v>
      </c>
      <c r="C206" s="42" t="s">
        <v>106</v>
      </c>
      <c r="D206" s="42" t="s">
        <v>1</v>
      </c>
      <c r="E206" s="42" t="s">
        <v>1</v>
      </c>
      <c r="F206" s="42" t="s">
        <v>1</v>
      </c>
      <c r="G206" s="42" t="s">
        <v>1</v>
      </c>
    </row>
    <row r="207" ht="17.25" customHeight="1" spans="1:7">
      <c r="A207" s="39" t="s">
        <v>148</v>
      </c>
      <c r="B207" s="42" t="s">
        <v>1</v>
      </c>
      <c r="C207" s="42" t="s">
        <v>1</v>
      </c>
      <c r="D207" s="42" t="s">
        <v>1</v>
      </c>
      <c r="E207" s="42" t="s">
        <v>1</v>
      </c>
      <c r="F207" s="42" t="s">
        <v>1</v>
      </c>
      <c r="G207" s="42" t="s">
        <v>1</v>
      </c>
    </row>
    <row r="208" ht="16.5" customHeight="1" spans="1:7">
      <c r="A208" s="37" t="s">
        <v>149</v>
      </c>
      <c r="B208" s="42" t="s">
        <v>1</v>
      </c>
      <c r="C208" s="42" t="s">
        <v>1</v>
      </c>
      <c r="D208" s="42" t="s">
        <v>1</v>
      </c>
      <c r="E208" s="42" t="s">
        <v>1</v>
      </c>
      <c r="F208" s="42" t="s">
        <v>1</v>
      </c>
      <c r="G208" s="42" t="s">
        <v>1</v>
      </c>
    </row>
    <row r="209" ht="30.75" customHeight="1" spans="1:7">
      <c r="A209" s="37" t="s">
        <v>150</v>
      </c>
      <c r="B209" s="37"/>
      <c r="C209" s="37"/>
      <c r="D209" s="42" t="s">
        <v>1</v>
      </c>
      <c r="E209" s="42" t="s">
        <v>1</v>
      </c>
      <c r="F209" s="42" t="s">
        <v>1</v>
      </c>
      <c r="G209" s="42" t="s">
        <v>1</v>
      </c>
    </row>
    <row r="210" ht="16.5" customHeight="1" spans="1:7">
      <c r="A210" s="37" t="s">
        <v>151</v>
      </c>
      <c r="B210" s="42" t="s">
        <v>1</v>
      </c>
      <c r="C210" s="42" t="s">
        <v>1</v>
      </c>
      <c r="D210" s="42" t="s">
        <v>1</v>
      </c>
      <c r="E210" s="42" t="s">
        <v>1</v>
      </c>
      <c r="F210" s="42" t="s">
        <v>1</v>
      </c>
      <c r="G210" s="42" t="s">
        <v>1</v>
      </c>
    </row>
  </sheetData>
  <mergeCells count="52">
    <mergeCell ref="A1:G1"/>
    <mergeCell ref="A4:F4"/>
    <mergeCell ref="A5:K5"/>
    <mergeCell ref="A8:I8"/>
    <mergeCell ref="A11:J11"/>
    <mergeCell ref="A12:G12"/>
    <mergeCell ref="A13:G13"/>
    <mergeCell ref="A14:J14"/>
    <mergeCell ref="A17:F17"/>
    <mergeCell ref="A18:F18"/>
    <mergeCell ref="A19:F19"/>
    <mergeCell ref="A20:H20"/>
    <mergeCell ref="A21:N21"/>
    <mergeCell ref="A22:H22"/>
    <mergeCell ref="A25:G25"/>
    <mergeCell ref="A27:G27"/>
    <mergeCell ref="A29:J29"/>
    <mergeCell ref="A32:W32"/>
    <mergeCell ref="A35:F35"/>
    <mergeCell ref="A38:AS38"/>
    <mergeCell ref="A42:C42"/>
    <mergeCell ref="A43:E43"/>
    <mergeCell ref="A46:S46"/>
    <mergeCell ref="A48:J48"/>
    <mergeCell ref="A49:E49"/>
    <mergeCell ref="A77:H77"/>
    <mergeCell ref="A78:I78"/>
    <mergeCell ref="A79:S79"/>
    <mergeCell ref="A81:D81"/>
    <mergeCell ref="C87:D87"/>
    <mergeCell ref="B106:C106"/>
    <mergeCell ref="A109:K109"/>
    <mergeCell ref="A110:Q110"/>
    <mergeCell ref="A150:C150"/>
    <mergeCell ref="A156:C156"/>
    <mergeCell ref="A183:G183"/>
    <mergeCell ref="G186:I186"/>
    <mergeCell ref="G187:H187"/>
    <mergeCell ref="G188:J188"/>
    <mergeCell ref="B192:F192"/>
    <mergeCell ref="B193:F193"/>
    <mergeCell ref="B194:E194"/>
    <mergeCell ref="B195:D195"/>
    <mergeCell ref="B196:C196"/>
    <mergeCell ref="B197:E197"/>
    <mergeCell ref="B198:E198"/>
    <mergeCell ref="B199:E199"/>
    <mergeCell ref="B200:E200"/>
    <mergeCell ref="C203:D203"/>
    <mergeCell ref="C204:D204"/>
    <mergeCell ref="C205:D205"/>
    <mergeCell ref="A209:C209"/>
  </mergeCells>
  <pageMargins left="0.7" right="0.7" top="0.75" bottom="0.75" header="0.3" footer="0.3"/>
  <pageSetup paperSize="1" orientation="portrait"/>
  <headerFooter/>
  <ignoredErrors>
    <ignoredError sqref="A1:AX230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0"/>
  <sheetViews>
    <sheetView tabSelected="1" workbookViewId="0">
      <selection activeCell="A1" sqref="A1:G1"/>
    </sheetView>
  </sheetViews>
  <sheetFormatPr defaultColWidth="9" defaultRowHeight="14"/>
  <cols>
    <col min="1" max="1" width="40" customWidth="1"/>
    <col min="2" max="2" width="45.4545454545455" customWidth="1"/>
    <col min="3" max="4" width="16.4272727272727" customWidth="1"/>
    <col min="5" max="5" width="13.7181818181818" customWidth="1"/>
    <col min="6" max="6" width="18.1454545454545" customWidth="1"/>
    <col min="7" max="7" width="20" customWidth="1"/>
    <col min="8" max="24" width="13.5727272727273" customWidth="1"/>
  </cols>
  <sheetData>
    <row r="1" ht="15" customHeight="1" spans="1:7">
      <c r="A1" s="33" t="s">
        <v>152</v>
      </c>
      <c r="B1" s="33"/>
      <c r="C1" s="33"/>
      <c r="D1" s="33"/>
      <c r="E1" s="33"/>
      <c r="F1" s="33"/>
      <c r="G1" s="33"/>
    </row>
    <row r="2" ht="15" customHeight="1" spans="1:7">
      <c r="A2" s="2" t="s">
        <v>153</v>
      </c>
      <c r="B2" s="2" t="s">
        <v>154</v>
      </c>
      <c r="C2" s="2" t="s">
        <v>155</v>
      </c>
      <c r="D2" s="2" t="s">
        <v>1</v>
      </c>
      <c r="E2" s="2" t="s">
        <v>1</v>
      </c>
      <c r="F2" s="2" t="s">
        <v>1</v>
      </c>
      <c r="G2" s="2" t="s">
        <v>1</v>
      </c>
    </row>
    <row r="3" ht="41.25" customHeight="1" spans="1:7">
      <c r="A3" s="3" t="s">
        <v>156</v>
      </c>
      <c r="B3" s="4">
        <v>90</v>
      </c>
      <c r="C3" s="5" t="s">
        <v>157</v>
      </c>
      <c r="D3" s="5"/>
      <c r="E3" s="5"/>
      <c r="F3" s="5"/>
      <c r="G3" s="2" t="s">
        <v>1</v>
      </c>
    </row>
    <row r="4" ht="27.75" customHeight="1" spans="1:7">
      <c r="A4" s="3" t="s">
        <v>158</v>
      </c>
      <c r="B4" s="4">
        <v>30</v>
      </c>
      <c r="C4" s="5" t="s">
        <v>159</v>
      </c>
      <c r="D4" s="5"/>
      <c r="E4" s="2" t="s">
        <v>1</v>
      </c>
      <c r="F4" s="2" t="s">
        <v>1</v>
      </c>
      <c r="G4" s="2" t="s">
        <v>1</v>
      </c>
    </row>
    <row r="5" ht="15" customHeight="1" spans="1:7">
      <c r="A5" s="3" t="s">
        <v>160</v>
      </c>
      <c r="B5" s="4">
        <v>5</v>
      </c>
      <c r="C5" s="5" t="s">
        <v>161</v>
      </c>
      <c r="D5" s="2" t="s">
        <v>1</v>
      </c>
      <c r="E5" s="2" t="s">
        <v>1</v>
      </c>
      <c r="F5" s="2" t="s">
        <v>1</v>
      </c>
      <c r="G5" s="2" t="s">
        <v>1</v>
      </c>
    </row>
    <row r="6" ht="15" customHeight="1" spans="1:7">
      <c r="A6" s="3" t="s">
        <v>162</v>
      </c>
      <c r="B6" s="4">
        <v>3</v>
      </c>
      <c r="C6" s="5" t="s">
        <v>1</v>
      </c>
      <c r="D6" s="2" t="s">
        <v>1</v>
      </c>
      <c r="E6" s="2" t="s">
        <v>1</v>
      </c>
      <c r="F6" s="2" t="s">
        <v>1</v>
      </c>
      <c r="G6" s="2" t="s">
        <v>1</v>
      </c>
    </row>
    <row r="7" ht="15" customHeight="1" spans="1:7">
      <c r="A7" s="3" t="s">
        <v>163</v>
      </c>
      <c r="B7" s="6">
        <f>B5*B6</f>
        <v>15</v>
      </c>
      <c r="C7" s="5" t="s">
        <v>164</v>
      </c>
      <c r="D7" s="2" t="s">
        <v>1</v>
      </c>
      <c r="E7" s="2" t="s">
        <v>1</v>
      </c>
      <c r="F7" s="2" t="s">
        <v>1</v>
      </c>
      <c r="G7" s="2" t="s">
        <v>1</v>
      </c>
    </row>
    <row r="8" ht="15" customHeight="1" spans="1:7">
      <c r="A8" s="3" t="s">
        <v>165</v>
      </c>
      <c r="B8" s="4">
        <v>1</v>
      </c>
      <c r="C8" s="5" t="s">
        <v>1</v>
      </c>
      <c r="D8" s="2" t="s">
        <v>1</v>
      </c>
      <c r="E8" s="2" t="s">
        <v>1</v>
      </c>
      <c r="F8" s="2" t="s">
        <v>1</v>
      </c>
      <c r="G8" s="2" t="s">
        <v>1</v>
      </c>
    </row>
    <row r="9" ht="15" customHeight="1" spans="1:7">
      <c r="A9" s="3" t="s">
        <v>166</v>
      </c>
      <c r="B9" s="4">
        <v>1</v>
      </c>
      <c r="C9" s="5" t="s">
        <v>167</v>
      </c>
      <c r="D9" s="5"/>
      <c r="E9" s="2" t="s">
        <v>1</v>
      </c>
      <c r="F9" s="2" t="s">
        <v>1</v>
      </c>
      <c r="G9" s="2" t="s">
        <v>1</v>
      </c>
    </row>
    <row r="10" ht="16.5" customHeight="1" spans="1:7">
      <c r="A10" s="3" t="s">
        <v>168</v>
      </c>
      <c r="B10" s="7">
        <f>IF($B$4&gt;$B$3,0,COMBIN($B$3,$B$4))</f>
        <v>6.7313297450658e+23</v>
      </c>
      <c r="C10" s="5" t="s">
        <v>169</v>
      </c>
      <c r="D10" s="2" t="s">
        <v>1</v>
      </c>
      <c r="E10" s="2" t="s">
        <v>1</v>
      </c>
      <c r="F10" s="2" t="s">
        <v>1</v>
      </c>
      <c r="G10" s="2" t="s">
        <v>1</v>
      </c>
    </row>
    <row r="11" ht="16.5" spans="1:7">
      <c r="A11" s="3" t="s">
        <v>1</v>
      </c>
      <c r="B11" s="7" t="s">
        <v>1</v>
      </c>
      <c r="C11" s="5" t="s">
        <v>1</v>
      </c>
      <c r="D11" s="2" t="s">
        <v>1</v>
      </c>
      <c r="E11" s="2" t="s">
        <v>1</v>
      </c>
      <c r="F11" s="2" t="s">
        <v>1</v>
      </c>
      <c r="G11" s="2" t="s">
        <v>1</v>
      </c>
    </row>
    <row r="12" ht="16.5" customHeight="1" spans="1:7">
      <c r="A12" s="33" t="s">
        <v>170</v>
      </c>
      <c r="B12" s="33"/>
      <c r="C12" s="33"/>
      <c r="D12" s="33"/>
      <c r="E12" s="33"/>
      <c r="F12" s="33"/>
      <c r="G12" s="2" t="s">
        <v>1</v>
      </c>
    </row>
    <row r="13" ht="30" customHeight="1" spans="1:7">
      <c r="A13" s="2" t="s">
        <v>171</v>
      </c>
      <c r="B13" s="8" t="s">
        <v>172</v>
      </c>
      <c r="C13" s="2" t="s">
        <v>173</v>
      </c>
      <c r="D13" s="9" t="s">
        <v>174</v>
      </c>
      <c r="E13" s="9"/>
      <c r="F13" s="9"/>
      <c r="G13" s="2" t="s">
        <v>1</v>
      </c>
    </row>
    <row r="14" ht="15" customHeight="1" spans="1:7">
      <c r="A14" s="10">
        <v>1</v>
      </c>
      <c r="B14" s="7">
        <f t="shared" ref="B14:B28" si="0">IF(OR($B$4-A14&lt;0,$B$4&gt;$B$3),0,COMBIN($B$3-A14,$B$4-A14))</f>
        <v>2.2437765816886e+23</v>
      </c>
      <c r="C14" s="11">
        <f t="shared" ref="C14:C28" si="1">IF(OR($B$4-A14&lt;0,$B$10=0),0,B14/$B$10)</f>
        <v>0.333333333333333</v>
      </c>
      <c r="D14" s="6">
        <f t="shared" ref="D14:D28" si="2">IF(C14=0,"",1/C14)</f>
        <v>3</v>
      </c>
      <c r="E14" s="2" t="s">
        <v>1</v>
      </c>
      <c r="F14" s="2" t="s">
        <v>1</v>
      </c>
      <c r="G14" s="2" t="s">
        <v>1</v>
      </c>
    </row>
    <row r="15" ht="15" customHeight="1" spans="1:7">
      <c r="A15" s="10">
        <v>2</v>
      </c>
      <c r="B15" s="7">
        <f t="shared" si="0"/>
        <v>7.31118212010893e+22</v>
      </c>
      <c r="C15" s="11">
        <f t="shared" si="1"/>
        <v>0.108614232209738</v>
      </c>
      <c r="D15" s="6">
        <f t="shared" si="2"/>
        <v>9.20689655172413</v>
      </c>
      <c r="E15" s="2" t="s">
        <v>1</v>
      </c>
      <c r="F15" s="2" t="s">
        <v>1</v>
      </c>
      <c r="G15" s="2" t="s">
        <v>1</v>
      </c>
    </row>
    <row r="16" ht="15" customHeight="1" spans="1:7">
      <c r="A16" s="10">
        <v>3</v>
      </c>
      <c r="B16" s="7">
        <f t="shared" si="0"/>
        <v>2.32628522003466e+22</v>
      </c>
      <c r="C16" s="11">
        <f t="shared" si="1"/>
        <v>0.0345590738849166</v>
      </c>
      <c r="D16" s="6">
        <f t="shared" si="2"/>
        <v>28.935960591133</v>
      </c>
      <c r="E16" s="2" t="s">
        <v>1</v>
      </c>
      <c r="F16" s="2" t="s">
        <v>1</v>
      </c>
      <c r="G16" s="2" t="s">
        <v>1</v>
      </c>
    </row>
    <row r="17" ht="15" customHeight="1" spans="1:7">
      <c r="A17" s="10">
        <v>4</v>
      </c>
      <c r="B17" s="7">
        <f t="shared" si="0"/>
        <v>7.21950585527997e+21</v>
      </c>
      <c r="C17" s="11">
        <f t="shared" si="1"/>
        <v>0.0107252298263534</v>
      </c>
      <c r="D17" s="6">
        <f t="shared" si="2"/>
        <v>93.2380952380952</v>
      </c>
      <c r="E17" s="2" t="s">
        <v>1</v>
      </c>
      <c r="F17" s="2" t="s">
        <v>1</v>
      </c>
      <c r="G17" s="2" t="s">
        <v>1</v>
      </c>
    </row>
    <row r="18" ht="15" customHeight="1" spans="1:7">
      <c r="A18" s="10">
        <v>5</v>
      </c>
      <c r="B18" s="7">
        <f t="shared" si="0"/>
        <v>2.18264130508464e+21</v>
      </c>
      <c r="C18" s="11">
        <f t="shared" si="1"/>
        <v>0.00324251134285104</v>
      </c>
      <c r="D18" s="6">
        <f t="shared" si="2"/>
        <v>308.40293040293</v>
      </c>
      <c r="E18" s="2" t="s">
        <v>1</v>
      </c>
      <c r="F18" s="2" t="s">
        <v>1</v>
      </c>
      <c r="G18" s="2" t="s">
        <v>1</v>
      </c>
    </row>
    <row r="19" ht="15" customHeight="1" spans="1:7">
      <c r="A19" s="10">
        <v>6</v>
      </c>
      <c r="B19" s="7">
        <f t="shared" si="0"/>
        <v>6.41953325024895e+20</v>
      </c>
      <c r="C19" s="11">
        <f t="shared" si="1"/>
        <v>0.000953679806720893</v>
      </c>
      <c r="D19" s="6">
        <f t="shared" si="2"/>
        <v>1048.56996336996</v>
      </c>
      <c r="E19" s="2" t="s">
        <v>1</v>
      </c>
      <c r="F19" s="2" t="s">
        <v>1</v>
      </c>
      <c r="G19" s="2" t="s">
        <v>1</v>
      </c>
    </row>
    <row r="20" ht="15" customHeight="1" spans="1:7">
      <c r="A20" s="10">
        <v>7</v>
      </c>
      <c r="B20" s="7">
        <f t="shared" si="0"/>
        <v>1.83415235721399e+20</v>
      </c>
      <c r="C20" s="11">
        <f t="shared" si="1"/>
        <v>0.000272479944777398</v>
      </c>
      <c r="D20" s="6">
        <f t="shared" si="2"/>
        <v>3669.99487179487</v>
      </c>
      <c r="E20" s="2" t="s">
        <v>1</v>
      </c>
      <c r="F20" s="2" t="s">
        <v>1</v>
      </c>
      <c r="G20" s="2" t="s">
        <v>1</v>
      </c>
    </row>
    <row r="21" ht="15" customHeight="1" spans="1:7">
      <c r="A21" s="10">
        <v>8</v>
      </c>
      <c r="B21" s="7">
        <f t="shared" si="0"/>
        <v>5.08259086938815e+19</v>
      </c>
      <c r="C21" s="11">
        <f t="shared" si="1"/>
        <v>7.55064907214476e-5</v>
      </c>
      <c r="D21" s="6">
        <f t="shared" si="2"/>
        <v>13243.8945373467</v>
      </c>
      <c r="E21" s="2" t="s">
        <v>1</v>
      </c>
      <c r="F21" s="2" t="s">
        <v>1</v>
      </c>
      <c r="G21" s="2" t="s">
        <v>1</v>
      </c>
    </row>
    <row r="22" ht="15" customHeight="1" spans="1:7">
      <c r="A22" s="10">
        <v>9</v>
      </c>
      <c r="B22" s="7">
        <f t="shared" si="0"/>
        <v>1.36362194056755e+19</v>
      </c>
      <c r="C22" s="11">
        <f t="shared" si="1"/>
        <v>2.02578389740469e-5</v>
      </c>
      <c r="D22" s="6">
        <f t="shared" si="2"/>
        <v>49363.6069119286</v>
      </c>
      <c r="E22" s="2" t="s">
        <v>1</v>
      </c>
      <c r="F22" s="2" t="s">
        <v>1</v>
      </c>
      <c r="G22" s="2" t="s">
        <v>1</v>
      </c>
    </row>
    <row r="23" ht="15" customHeight="1" spans="1:7">
      <c r="A23" s="10">
        <v>10</v>
      </c>
      <c r="B23" s="7">
        <f t="shared" si="0"/>
        <v>3.53531614221217e+18</v>
      </c>
      <c r="C23" s="11">
        <f t="shared" si="1"/>
        <v>5.25203232660476e-6</v>
      </c>
      <c r="D23" s="6">
        <f t="shared" si="2"/>
        <v>190402.483803153</v>
      </c>
      <c r="E23" s="2" t="s">
        <v>1</v>
      </c>
      <c r="F23" s="2" t="s">
        <v>1</v>
      </c>
      <c r="G23" s="2" t="s">
        <v>1</v>
      </c>
    </row>
    <row r="24" ht="15" customHeight="1" spans="1:7">
      <c r="A24" s="10">
        <v>11</v>
      </c>
      <c r="B24" s="7">
        <f t="shared" si="0"/>
        <v>8.83829035553044e+17</v>
      </c>
      <c r="C24" s="11">
        <f t="shared" si="1"/>
        <v>1.31300808165119e-6</v>
      </c>
      <c r="D24" s="6">
        <f t="shared" si="2"/>
        <v>761609.935212613</v>
      </c>
      <c r="E24" s="2" t="s">
        <v>1</v>
      </c>
      <c r="F24" s="2" t="s">
        <v>1</v>
      </c>
      <c r="G24" s="2" t="s">
        <v>1</v>
      </c>
    </row>
    <row r="25" ht="15" customHeight="1" spans="1:7">
      <c r="A25" s="10">
        <v>12</v>
      </c>
      <c r="B25" s="7">
        <f t="shared" si="0"/>
        <v>2.12566476905162e+17</v>
      </c>
      <c r="C25" s="11">
        <f t="shared" si="1"/>
        <v>3.15786753814843e-7</v>
      </c>
      <c r="D25" s="6">
        <f t="shared" si="2"/>
        <v>3166693.94114718</v>
      </c>
      <c r="E25" s="2" t="s">
        <v>1</v>
      </c>
      <c r="F25" s="2" t="s">
        <v>1</v>
      </c>
      <c r="G25" s="2" t="s">
        <v>1</v>
      </c>
    </row>
    <row r="26" ht="15" customHeight="1" spans="1:7">
      <c r="A26" s="10">
        <v>13</v>
      </c>
      <c r="B26" s="7">
        <f t="shared" si="0"/>
        <v>4.90538023627298e+16</v>
      </c>
      <c r="C26" s="11">
        <f t="shared" si="1"/>
        <v>7.28738662649638e-8</v>
      </c>
      <c r="D26" s="6">
        <f t="shared" si="2"/>
        <v>13722340.4116378</v>
      </c>
      <c r="E26" s="2" t="s">
        <v>1</v>
      </c>
      <c r="F26" s="2" t="s">
        <v>1</v>
      </c>
      <c r="G26" s="2" t="s">
        <v>1</v>
      </c>
    </row>
    <row r="27" ht="15" customHeight="1" spans="1:7">
      <c r="A27" s="10">
        <v>14</v>
      </c>
      <c r="B27" s="7">
        <f t="shared" si="0"/>
        <v>1.08300602619014e+16</v>
      </c>
      <c r="C27" s="11">
        <f t="shared" si="1"/>
        <v>1.60890354091478e-8</v>
      </c>
      <c r="D27" s="6">
        <f t="shared" si="2"/>
        <v>62154130.0997712</v>
      </c>
      <c r="E27" s="2" t="s">
        <v>1</v>
      </c>
      <c r="F27" s="2" t="s">
        <v>1</v>
      </c>
      <c r="G27" s="2" t="s">
        <v>1</v>
      </c>
    </row>
    <row r="28" ht="15" customHeight="1" spans="1:7">
      <c r="A28" s="10">
        <v>15</v>
      </c>
      <c r="B28" s="7">
        <f t="shared" si="0"/>
        <v>2280012686716080</v>
      </c>
      <c r="C28" s="11">
        <f t="shared" si="1"/>
        <v>3.38716534929428e-9</v>
      </c>
      <c r="D28" s="6">
        <f t="shared" si="2"/>
        <v>295232117.973913</v>
      </c>
      <c r="E28" s="2" t="s">
        <v>1</v>
      </c>
      <c r="F28" s="2" t="s">
        <v>1</v>
      </c>
      <c r="G28" s="2" t="s">
        <v>1</v>
      </c>
    </row>
    <row r="29" ht="16.5" spans="1:7">
      <c r="A29" s="10" t="s">
        <v>1</v>
      </c>
      <c r="B29" s="7" t="s">
        <v>1</v>
      </c>
      <c r="C29" s="11" t="s">
        <v>1</v>
      </c>
      <c r="D29" s="6" t="s">
        <v>1</v>
      </c>
      <c r="E29" s="2" t="s">
        <v>1</v>
      </c>
      <c r="F29" s="2" t="s">
        <v>1</v>
      </c>
      <c r="G29" s="2" t="s">
        <v>1</v>
      </c>
    </row>
    <row r="30" ht="15" customHeight="1" spans="1:7">
      <c r="A30" s="33" t="s">
        <v>175</v>
      </c>
      <c r="B30" s="33"/>
      <c r="C30" s="33"/>
      <c r="D30" s="33"/>
      <c r="E30" s="2" t="s">
        <v>1</v>
      </c>
      <c r="F30" s="2" t="s">
        <v>1</v>
      </c>
      <c r="G30" s="2" t="s">
        <v>1</v>
      </c>
    </row>
    <row r="31" ht="16.5" customHeight="1" spans="1:7">
      <c r="A31" s="2" t="s">
        <v>176</v>
      </c>
      <c r="B31" s="2" t="s">
        <v>155</v>
      </c>
      <c r="C31" s="2" t="s">
        <v>177</v>
      </c>
      <c r="D31" s="2" t="s">
        <v>173</v>
      </c>
      <c r="E31" s="2" t="s">
        <v>1</v>
      </c>
      <c r="F31" s="2" t="s">
        <v>1</v>
      </c>
      <c r="G31" s="2" t="s">
        <v>1</v>
      </c>
    </row>
    <row r="32" ht="30" customHeight="1" spans="1:7">
      <c r="A32" s="3" t="s">
        <v>178</v>
      </c>
      <c r="B32" s="12" t="s">
        <v>179</v>
      </c>
      <c r="C32" s="10">
        <v>4</v>
      </c>
      <c r="D32" s="11">
        <f>C17</f>
        <v>0.0107252298263534</v>
      </c>
      <c r="E32" s="2" t="s">
        <v>1</v>
      </c>
      <c r="F32" s="2" t="s">
        <v>1</v>
      </c>
      <c r="G32" s="2" t="s">
        <v>1</v>
      </c>
    </row>
    <row r="33" ht="16.5" customHeight="1" spans="1:8">
      <c r="A33" s="3" t="s">
        <v>180</v>
      </c>
      <c r="B33" s="3" t="s">
        <v>181</v>
      </c>
      <c r="C33" s="10">
        <v>5</v>
      </c>
      <c r="D33" s="11">
        <f>C18</f>
        <v>0.00324251134285104</v>
      </c>
      <c r="E33" s="2" t="s">
        <v>1</v>
      </c>
      <c r="F33" s="2" t="s">
        <v>1</v>
      </c>
      <c r="G33" s="2" t="s">
        <v>1</v>
      </c>
    </row>
    <row r="34" ht="16.5" customHeight="1" spans="1:8">
      <c r="A34" s="3" t="s">
        <v>182</v>
      </c>
      <c r="B34" s="3" t="s">
        <v>183</v>
      </c>
      <c r="C34" s="10">
        <v>3</v>
      </c>
      <c r="D34" s="11">
        <f>C16</f>
        <v>0.0345590738849166</v>
      </c>
      <c r="E34" s="2" t="s">
        <v>1</v>
      </c>
      <c r="F34" s="2" t="s">
        <v>1</v>
      </c>
      <c r="G34" s="2" t="s">
        <v>1</v>
      </c>
    </row>
    <row r="35" ht="60" customHeight="1" spans="1:8">
      <c r="A35" s="3" t="s">
        <v>184</v>
      </c>
      <c r="B35" s="12" t="s">
        <v>185</v>
      </c>
      <c r="C35" s="10">
        <v>12</v>
      </c>
      <c r="D35" s="11">
        <f>C25</f>
        <v>3.15786753814843e-7</v>
      </c>
      <c r="E35" s="2" t="s">
        <v>1</v>
      </c>
      <c r="F35" s="2" t="s">
        <v>1</v>
      </c>
      <c r="G35" s="2" t="s">
        <v>1</v>
      </c>
    </row>
    <row r="36" ht="16.5" customHeight="1" spans="1:8">
      <c r="A36" s="3" t="s">
        <v>186</v>
      </c>
      <c r="B36" s="3" t="s">
        <v>187</v>
      </c>
      <c r="C36" s="10">
        <v>15</v>
      </c>
      <c r="D36" s="11">
        <f>C28</f>
        <v>3.38716534929428e-9</v>
      </c>
      <c r="E36" s="2" t="s">
        <v>1</v>
      </c>
      <c r="F36" s="2" t="s">
        <v>1</v>
      </c>
      <c r="G36" s="2" t="s">
        <v>1</v>
      </c>
    </row>
    <row r="37" ht="16.5" spans="1:8">
      <c r="A37" s="3" t="s">
        <v>1</v>
      </c>
      <c r="B37" s="3" t="s">
        <v>1</v>
      </c>
      <c r="C37" s="10" t="s">
        <v>1</v>
      </c>
      <c r="D37" s="11" t="s">
        <v>1</v>
      </c>
      <c r="E37" s="2" t="s">
        <v>1</v>
      </c>
      <c r="F37" s="2" t="s">
        <v>1</v>
      </c>
      <c r="G37" s="2" t="s">
        <v>1</v>
      </c>
    </row>
    <row r="38" ht="15" customHeight="1" spans="1:8">
      <c r="A38" s="33" t="s">
        <v>188</v>
      </c>
      <c r="B38" s="33"/>
      <c r="C38" s="33"/>
      <c r="D38" s="33"/>
      <c r="E38" s="2" t="s">
        <v>1</v>
      </c>
      <c r="F38" s="2" t="s">
        <v>1</v>
      </c>
      <c r="G38" s="2" t="s">
        <v>1</v>
      </c>
    </row>
    <row r="39" ht="15" customHeight="1" spans="1:8">
      <c r="A39" s="2" t="s">
        <v>153</v>
      </c>
      <c r="B39" s="2" t="s">
        <v>189</v>
      </c>
      <c r="C39" s="2" t="s">
        <v>173</v>
      </c>
      <c r="D39" s="2" t="s">
        <v>155</v>
      </c>
      <c r="E39" s="2" t="s">
        <v>1</v>
      </c>
      <c r="F39" s="2" t="s">
        <v>1</v>
      </c>
      <c r="G39" s="2" t="s">
        <v>1</v>
      </c>
    </row>
    <row r="40" ht="30" customHeight="1" spans="1:8">
      <c r="A40" s="3" t="s">
        <v>190</v>
      </c>
      <c r="B40" s="12" t="s">
        <v>191</v>
      </c>
      <c r="C40" s="11">
        <f>3*C18-3*C23+C28</f>
        <v>0.00971178131873864</v>
      </c>
      <c r="D40" s="13" t="s">
        <v>192</v>
      </c>
      <c r="E40" s="13"/>
      <c r="F40" s="13"/>
      <c r="G40" s="13"/>
      <c r="H40" s="13"/>
    </row>
    <row r="41" ht="45" customHeight="1" spans="1:8">
      <c r="A41" s="3" t="s">
        <v>193</v>
      </c>
      <c r="B41" s="12" t="s">
        <v>194</v>
      </c>
      <c r="C41" s="11">
        <f>5*C16-10*C19+10*C22-5*C25+C28</f>
        <v>0.163459574200511</v>
      </c>
      <c r="D41" s="13" t="s">
        <v>195</v>
      </c>
      <c r="E41" s="13"/>
      <c r="F41" s="2" t="s">
        <v>1</v>
      </c>
      <c r="G41" s="2" t="s">
        <v>1</v>
      </c>
    </row>
    <row r="42" ht="41.25" customHeight="1" spans="1:8">
      <c r="A42" s="5" t="s">
        <v>196</v>
      </c>
      <c r="B42" s="5"/>
      <c r="C42" s="5"/>
      <c r="D42" s="5"/>
      <c r="E42" s="5"/>
      <c r="F42" s="5"/>
      <c r="G42" s="5"/>
      <c r="H42" s="5"/>
    </row>
    <row r="43" ht="16.5" spans="1:8">
      <c r="A43" s="5" t="s">
        <v>1</v>
      </c>
      <c r="B43" s="3" t="s">
        <v>1</v>
      </c>
      <c r="C43" s="11" t="s">
        <v>1</v>
      </c>
      <c r="D43" s="3" t="s">
        <v>1</v>
      </c>
      <c r="E43" s="2" t="s">
        <v>1</v>
      </c>
      <c r="F43" s="2" t="s">
        <v>1</v>
      </c>
      <c r="G43" s="2" t="s">
        <v>1</v>
      </c>
    </row>
    <row r="44" ht="16.5" customHeight="1" spans="1:8">
      <c r="A44" s="33" t="s">
        <v>197</v>
      </c>
      <c r="B44" s="33"/>
      <c r="C44" s="33"/>
      <c r="D44" s="33"/>
      <c r="E44" s="33"/>
      <c r="F44" s="2" t="s">
        <v>1</v>
      </c>
      <c r="G44" s="2" t="s">
        <v>1</v>
      </c>
    </row>
    <row r="45" ht="16.5" customHeight="1" spans="1:8">
      <c r="A45" s="2" t="s">
        <v>176</v>
      </c>
      <c r="B45" s="2" t="s">
        <v>173</v>
      </c>
      <c r="C45" s="2" t="s">
        <v>198</v>
      </c>
      <c r="D45" s="2" t="s">
        <v>199</v>
      </c>
      <c r="E45" s="2" t="s">
        <v>200</v>
      </c>
      <c r="F45" s="2" t="s">
        <v>1</v>
      </c>
      <c r="G45" s="2" t="s">
        <v>1</v>
      </c>
    </row>
    <row r="46" ht="15" customHeight="1" spans="1:8">
      <c r="A46" s="3" t="s">
        <v>201</v>
      </c>
      <c r="B46" s="11">
        <f>D32</f>
        <v>0.0107252298263534</v>
      </c>
      <c r="C46" s="4">
        <v>35</v>
      </c>
      <c r="D46" s="11">
        <f>B46*C46</f>
        <v>0.37538304392237</v>
      </c>
      <c r="E46" s="11">
        <f>IF($D$51=0,0,D46/$D$51)</f>
        <v>0.417651838388396</v>
      </c>
      <c r="F46" s="2" t="s">
        <v>1</v>
      </c>
      <c r="G46" s="2" t="s">
        <v>1</v>
      </c>
    </row>
    <row r="47" ht="15" customHeight="1" spans="1:8">
      <c r="A47" s="3" t="s">
        <v>202</v>
      </c>
      <c r="B47" s="11">
        <f>C40</f>
        <v>0.00971178131873864</v>
      </c>
      <c r="C47" s="4">
        <v>20</v>
      </c>
      <c r="D47" s="11">
        <f>B47*C47</f>
        <v>0.194235626374773</v>
      </c>
      <c r="E47" s="11">
        <f>IF($D$51=0,0,D47/$D$51)</f>
        <v>0.216106901335485</v>
      </c>
      <c r="F47" s="2" t="s">
        <v>1</v>
      </c>
      <c r="G47" s="2" t="s">
        <v>1</v>
      </c>
    </row>
    <row r="48" ht="15" customHeight="1" spans="1:8">
      <c r="A48" s="3" t="s">
        <v>203</v>
      </c>
      <c r="B48" s="11">
        <f>C41</f>
        <v>0.163459574200511</v>
      </c>
      <c r="C48" s="4">
        <v>2</v>
      </c>
      <c r="D48" s="11">
        <f>B48*C48</f>
        <v>0.326919148401021</v>
      </c>
      <c r="E48" s="11">
        <f>IF($D$51=0,0,D48/$D$51)</f>
        <v>0.363730822541606</v>
      </c>
      <c r="F48" s="2" t="s">
        <v>1</v>
      </c>
      <c r="G48" s="2" t="s">
        <v>1</v>
      </c>
    </row>
    <row r="49" ht="15" customHeight="1" spans="1:7">
      <c r="A49" s="3" t="s">
        <v>204</v>
      </c>
      <c r="B49" s="11">
        <f>D35</f>
        <v>3.15786753814843e-7</v>
      </c>
      <c r="C49" s="4">
        <v>5000</v>
      </c>
      <c r="D49" s="11">
        <f>B49*C49</f>
        <v>0.00157893376907422</v>
      </c>
      <c r="E49" s="11">
        <f>IF($D$51=0,0,D49/$D$51)</f>
        <v>0.00175672450320836</v>
      </c>
      <c r="F49" s="2" t="s">
        <v>1</v>
      </c>
      <c r="G49" s="2" t="s">
        <v>1</v>
      </c>
    </row>
    <row r="50" ht="15" customHeight="1" spans="1:7">
      <c r="A50" s="3" t="s">
        <v>205</v>
      </c>
      <c r="B50" s="11">
        <f>D36</f>
        <v>3.38716534929428e-9</v>
      </c>
      <c r="C50" s="4">
        <v>200000</v>
      </c>
      <c r="D50" s="11">
        <f>B50*C50</f>
        <v>0.000677433069858857</v>
      </c>
      <c r="E50" s="11">
        <f>IF($D$51=0,0,D50/$D$51)</f>
        <v>0.000753713231304494</v>
      </c>
      <c r="F50" s="2" t="s">
        <v>1</v>
      </c>
      <c r="G50" s="2" t="s">
        <v>1</v>
      </c>
    </row>
    <row r="51" ht="16.5" customHeight="1" spans="1:7">
      <c r="A51" s="14" t="s">
        <v>206</v>
      </c>
      <c r="B51" s="11" t="s">
        <v>1</v>
      </c>
      <c r="C51" s="4" t="s">
        <v>1</v>
      </c>
      <c r="D51" s="15">
        <f>SUM(D46:D50)</f>
        <v>0.898794185537097</v>
      </c>
      <c r="E51" s="15">
        <f>SUM(E46:E50)</f>
        <v>1</v>
      </c>
      <c r="F51" s="2" t="s">
        <v>1</v>
      </c>
      <c r="G51" s="2" t="s">
        <v>1</v>
      </c>
    </row>
    <row r="52" ht="30" customHeight="1" spans="1:7">
      <c r="A52" s="3" t="s">
        <v>207</v>
      </c>
      <c r="B52" s="16">
        <v>0.9</v>
      </c>
      <c r="C52" s="12" t="s">
        <v>208</v>
      </c>
      <c r="D52" s="17">
        <f>D51-B52</f>
        <v>-0.0012058144629028</v>
      </c>
      <c r="E52" s="15" t="s">
        <v>1</v>
      </c>
      <c r="F52" s="2" t="s">
        <v>1</v>
      </c>
      <c r="G52" s="2" t="s">
        <v>1</v>
      </c>
    </row>
    <row r="53" ht="16.5" spans="1:7">
      <c r="A53" s="3" t="s">
        <v>1</v>
      </c>
      <c r="B53" s="16" t="s">
        <v>1</v>
      </c>
      <c r="C53" s="3" t="s">
        <v>1</v>
      </c>
      <c r="D53" s="17" t="s">
        <v>1</v>
      </c>
      <c r="E53" s="15" t="s">
        <v>1</v>
      </c>
      <c r="F53" s="2" t="s">
        <v>1</v>
      </c>
      <c r="G53" s="2" t="s">
        <v>1</v>
      </c>
    </row>
    <row r="54" ht="16.5" customHeight="1" spans="1:7">
      <c r="A54" s="33" t="s">
        <v>209</v>
      </c>
      <c r="B54" s="33"/>
      <c r="C54" s="33"/>
      <c r="D54" s="33"/>
      <c r="E54" s="33"/>
      <c r="F54" s="33"/>
      <c r="G54" s="2" t="s">
        <v>1</v>
      </c>
    </row>
    <row r="55" ht="30" customHeight="1" spans="1:7">
      <c r="A55" s="2" t="s">
        <v>210</v>
      </c>
      <c r="B55" s="2" t="s">
        <v>211</v>
      </c>
      <c r="C55" s="2" t="s">
        <v>212</v>
      </c>
      <c r="D55" s="8" t="s">
        <v>213</v>
      </c>
      <c r="E55" s="2" t="s">
        <v>198</v>
      </c>
      <c r="F55" s="2" t="s">
        <v>199</v>
      </c>
      <c r="G55" s="2" t="s">
        <v>1</v>
      </c>
    </row>
    <row r="56" ht="16.5" customHeight="1" spans="1:7">
      <c r="A56" s="18" t="s">
        <v>214</v>
      </c>
      <c r="B56" s="3" t="s">
        <v>215</v>
      </c>
      <c r="C56" s="11">
        <f>D32</f>
        <v>0.0107252298263534</v>
      </c>
      <c r="D56" s="11">
        <f>C56-C57</f>
        <v>0.0107249140395996</v>
      </c>
      <c r="E56" s="4">
        <v>35</v>
      </c>
      <c r="F56" s="11">
        <f>D56*E56</f>
        <v>0.375371991385986</v>
      </c>
      <c r="G56" s="2" t="s">
        <v>1</v>
      </c>
    </row>
    <row r="57" ht="16.5" customHeight="1" spans="1:7">
      <c r="A57" s="18" t="s">
        <v>216</v>
      </c>
      <c r="B57" s="3" t="s">
        <v>217</v>
      </c>
      <c r="C57" s="11">
        <f>D35</f>
        <v>3.15786753814843e-7</v>
      </c>
      <c r="D57" s="11">
        <f>C57-C58</f>
        <v>3.12399588465549e-7</v>
      </c>
      <c r="E57" s="4">
        <v>5000</v>
      </c>
      <c r="F57" s="11">
        <f>D57*E57</f>
        <v>0.00156199794232774</v>
      </c>
      <c r="G57" s="2" t="s">
        <v>1</v>
      </c>
    </row>
    <row r="58" ht="16.5" customHeight="1" spans="1:7">
      <c r="A58" s="18" t="s">
        <v>218</v>
      </c>
      <c r="B58" s="3" t="s">
        <v>219</v>
      </c>
      <c r="C58" s="11">
        <f>D36</f>
        <v>3.38716534929428e-9</v>
      </c>
      <c r="D58" s="11">
        <f>C58</f>
        <v>3.38716534929428e-9</v>
      </c>
      <c r="E58" s="4">
        <v>200000</v>
      </c>
      <c r="F58" s="11">
        <f>D58*E58</f>
        <v>0.000677433069858857</v>
      </c>
      <c r="G58" s="2" t="s">
        <v>1</v>
      </c>
    </row>
    <row r="59" ht="16.5" customHeight="1" spans="1:7">
      <c r="A59" s="14" t="s">
        <v>220</v>
      </c>
      <c r="B59" s="3" t="s">
        <v>1</v>
      </c>
      <c r="C59" s="11" t="s">
        <v>1</v>
      </c>
      <c r="D59" s="11" t="s">
        <v>1</v>
      </c>
      <c r="E59" s="4" t="s">
        <v>1</v>
      </c>
      <c r="F59" s="15">
        <f>SUM(F56:F58)</f>
        <v>0.377611422398173</v>
      </c>
      <c r="G59" s="2" t="s">
        <v>1</v>
      </c>
    </row>
    <row r="60" ht="30" customHeight="1" spans="1:7">
      <c r="A60" s="12" t="s">
        <v>221</v>
      </c>
      <c r="B60" s="11">
        <f>B46*C46+B49*C49+B50*C50</f>
        <v>0.377639410761303</v>
      </c>
      <c r="C60" s="11" t="s">
        <v>1</v>
      </c>
      <c r="D60" s="11" t="s">
        <v>1</v>
      </c>
      <c r="E60" s="4" t="s">
        <v>1</v>
      </c>
      <c r="F60" s="15" t="s">
        <v>1</v>
      </c>
      <c r="G60" s="2" t="s">
        <v>1</v>
      </c>
    </row>
    <row r="61" ht="41.25" customHeight="1" spans="1:7">
      <c r="A61" s="3" t="s">
        <v>222</v>
      </c>
      <c r="B61" s="11">
        <f>B60-F59</f>
        <v>2.79883631299493e-5</v>
      </c>
      <c r="C61" s="5" t="s">
        <v>223</v>
      </c>
      <c r="D61" s="5"/>
      <c r="E61" s="5"/>
      <c r="F61" s="5"/>
      <c r="G61" s="2" t="s">
        <v>1</v>
      </c>
    </row>
    <row r="62" ht="16.5" spans="1:7">
      <c r="A62" s="3" t="s">
        <v>1</v>
      </c>
      <c r="B62" s="11" t="s">
        <v>1</v>
      </c>
      <c r="C62" s="5" t="s">
        <v>1</v>
      </c>
      <c r="D62" s="11" t="s">
        <v>1</v>
      </c>
      <c r="E62" s="4" t="s">
        <v>1</v>
      </c>
      <c r="F62" s="15" t="s">
        <v>1</v>
      </c>
      <c r="G62" s="2" t="s">
        <v>1</v>
      </c>
    </row>
    <row r="63" ht="16.5" customHeight="1" spans="1:7">
      <c r="A63" s="33" t="s">
        <v>224</v>
      </c>
      <c r="B63" s="33"/>
      <c r="C63" s="33"/>
      <c r="D63" s="33"/>
      <c r="E63" s="33"/>
      <c r="F63" s="33"/>
      <c r="G63" s="2" t="s">
        <v>1</v>
      </c>
    </row>
    <row r="64" ht="30" customHeight="1" spans="1:7">
      <c r="A64" s="2" t="s">
        <v>225</v>
      </c>
      <c r="B64" s="8" t="s">
        <v>226</v>
      </c>
      <c r="C64" s="2" t="s">
        <v>227</v>
      </c>
      <c r="D64" s="8" t="s">
        <v>228</v>
      </c>
      <c r="E64" s="2" t="s">
        <v>229</v>
      </c>
      <c r="F64" s="9" t="s">
        <v>230</v>
      </c>
      <c r="G64" s="9"/>
    </row>
    <row r="65" ht="15" customHeight="1" spans="1:7">
      <c r="A65" s="4">
        <v>25</v>
      </c>
      <c r="B65" s="11">
        <f>IF(OR($A65-3&lt;0,$A65&gt;$B$3),0,COMBIN($B$3-3,$A65-3)/COMBIN($B$3,$A65))</f>
        <v>0.0195778004766769</v>
      </c>
      <c r="C65" s="11">
        <f>IF(OR($A65-4&lt;0,$A65&gt;$B$3),0,COMBIN($B$3-4,$A65-4)/COMBIN($B$3,$A65))</f>
        <v>0.00495070816651599</v>
      </c>
      <c r="D65" s="11">
        <f>IF(OR($A65-5&lt;0,$A65&gt;$B$3),0,COMBIN($B$3-5,$A65-5)/COMBIN($B$3,$A65))</f>
        <v>0.00120889385461437</v>
      </c>
      <c r="E65" s="11">
        <f>IF(OR($A65-15&lt;0,$A65&gt;$B$3),0,COMBIN($B$3-15,$A65-15)/COMBIN($B$3,$A65))</f>
        <v>7.13770475904925e-11</v>
      </c>
      <c r="F65" s="7">
        <f>IF($C$66=0,0,C65/$C$66)</f>
        <v>0.461594599525634</v>
      </c>
      <c r="G65" s="2" t="s">
        <v>1</v>
      </c>
    </row>
    <row r="66" ht="15" customHeight="1" spans="1:7">
      <c r="A66" s="4">
        <v>30</v>
      </c>
      <c r="B66" s="11">
        <f>IF(OR($A66-3&lt;0,$A66&gt;$B$3),0,COMBIN($B$3-3,$A66-3)/COMBIN($B$3,$A66))</f>
        <v>0.0345590738849166</v>
      </c>
      <c r="C66" s="11">
        <f>IF(OR($A66-4&lt;0,$A66&gt;$B$3),0,COMBIN($B$3-4,$A66-4)/COMBIN($B$3,$A66))</f>
        <v>0.0107252298263534</v>
      </c>
      <c r="D66" s="11">
        <f>IF(OR($A66-5&lt;0,$A66&gt;$B$3),0,COMBIN($B$3-5,$A66-5)/COMBIN($B$3,$A66))</f>
        <v>0.00324251134285104</v>
      </c>
      <c r="E66" s="11">
        <f>IF(OR($A66-15&lt;0,$A66&gt;$B$3),0,COMBIN($B$3-15,$A66-15)/COMBIN($B$3,$A66))</f>
        <v>3.38716534929428e-9</v>
      </c>
      <c r="F66" s="7">
        <f>IF($C$66=0,0,C66/$C$66)</f>
        <v>1</v>
      </c>
      <c r="G66" s="2" t="s">
        <v>1</v>
      </c>
    </row>
    <row r="67" ht="15" customHeight="1" spans="1:7">
      <c r="A67" s="4">
        <v>35</v>
      </c>
      <c r="B67" s="11">
        <f>IF(OR($A67-3&lt;0,$A67&gt;$B$3),0,COMBIN($B$3-3,$A67-3)/COMBIN($B$3,$A67))</f>
        <v>0.0557116104868914</v>
      </c>
      <c r="C67" s="11">
        <f>IF(OR($A67-4&lt;0,$A67&gt;$B$3),0,COMBIN($B$3-4,$A67-4)/COMBIN($B$3,$A67))</f>
        <v>0.0204916268457532</v>
      </c>
      <c r="D67" s="11">
        <f>IF(OR($A67-5&lt;0,$A67&gt;$B$3),0,COMBIN($B$3-5,$A67-5)/COMBIN($B$3,$A67))</f>
        <v>0.00738651665370171</v>
      </c>
      <c r="E67" s="11">
        <f>IF(OR($A67-15&lt;0,$A67&gt;$B$3),0,COMBIN($B$3-15,$A67-15)/COMBIN($B$3,$A67))</f>
        <v>7.09224884979426e-8</v>
      </c>
      <c r="F67" s="7">
        <f>IF($C$66=0,0,C67/$C$66)</f>
        <v>1.91060025542784</v>
      </c>
      <c r="G67" s="2" t="s">
        <v>1</v>
      </c>
    </row>
    <row r="68" ht="15" customHeight="1" spans="1:7">
      <c r="A68" s="4">
        <v>40</v>
      </c>
      <c r="B68" s="11">
        <f>IF(OR($A68-3&lt;0,$A68&gt;$B$3),0,COMBIN($B$3-3,$A68-3)/COMBIN($B$3,$A68))</f>
        <v>0.0840994211780729</v>
      </c>
      <c r="C68" s="11">
        <f>IF(OR($A68-4&lt;0,$A68&gt;$B$3),0,COMBIN($B$3-4,$A68-4)/COMBIN($B$3,$A68))</f>
        <v>0.0357664205010195</v>
      </c>
      <c r="D68" s="11">
        <f>IF(OR($A68-5&lt;0,$A68&gt;$B$3),0,COMBIN($B$3-5,$A68-5)/COMBIN($B$3,$A68))</f>
        <v>0.0149719899771709</v>
      </c>
      <c r="E68" s="11">
        <f>IF(OR($A68-15&lt;0,$A68&gt;$B$3),0,COMBIN($B$3-15,$A68-15)/COMBIN($B$3,$A68))</f>
        <v>8.7836560910134e-7</v>
      </c>
      <c r="F68" s="7">
        <f>IF($C$66=0,0,C68/$C$66)</f>
        <v>3.33479292099982</v>
      </c>
      <c r="G68" s="2" t="s">
        <v>1</v>
      </c>
    </row>
    <row r="69" ht="15" customHeight="1" spans="1:7">
      <c r="A69" s="4">
        <v>45</v>
      </c>
      <c r="B69" s="11">
        <f>IF(OR($A69-3&lt;0,$A69&gt;$B$3),0,COMBIN($B$3-3,$A69-3)/COMBIN($B$3,$A69))</f>
        <v>0.120786516853933</v>
      </c>
      <c r="C69" s="11">
        <f>IF(OR($A69-4&lt;0,$A69&gt;$B$3),0,COMBIN($B$3-4,$A69-4)/COMBIN($B$3,$A69))</f>
        <v>0.0583107322743123</v>
      </c>
      <c r="D69" s="11">
        <f>IF(OR($A69-5&lt;0,$A69&gt;$B$3),0,COMBIN($B$3-5,$A69-5)/COMBIN($B$3,$A69))</f>
        <v>0.027799302595893</v>
      </c>
      <c r="E69" s="11">
        <f>IF(OR($A69-15&lt;0,$A69&gt;$B$3),0,COMBIN($B$3-15,$A69-15)/COMBIN($B$3,$A69))</f>
        <v>7.5305677530072e-6</v>
      </c>
      <c r="F69" s="7">
        <f>IF($C$66=0,0,C69/$C$66)</f>
        <v>5.4367816091954</v>
      </c>
      <c r="G69" s="2" t="s">
        <v>1</v>
      </c>
    </row>
    <row r="70" ht="16.5" spans="1:7">
      <c r="A70" s="4" t="s">
        <v>1</v>
      </c>
      <c r="B70" s="11" t="s">
        <v>1</v>
      </c>
      <c r="C70" s="11" t="s">
        <v>1</v>
      </c>
      <c r="D70" s="11" t="s">
        <v>1</v>
      </c>
      <c r="E70" s="11" t="s">
        <v>1</v>
      </c>
      <c r="F70" s="7" t="s">
        <v>1</v>
      </c>
      <c r="G70" s="2" t="s">
        <v>1</v>
      </c>
    </row>
    <row r="71" ht="16.5" customHeight="1" spans="1:7">
      <c r="A71" s="33" t="s">
        <v>231</v>
      </c>
      <c r="B71" s="33"/>
      <c r="C71" s="33"/>
      <c r="D71" s="33"/>
      <c r="E71" s="33"/>
      <c r="F71" s="7" t="s">
        <v>1</v>
      </c>
      <c r="G71" s="2" t="s">
        <v>1</v>
      </c>
    </row>
    <row r="72" ht="30" customHeight="1" spans="1:7">
      <c r="A72" s="2" t="s">
        <v>165</v>
      </c>
      <c r="B72" s="2" t="s">
        <v>232</v>
      </c>
      <c r="C72" s="2" t="s">
        <v>233</v>
      </c>
      <c r="D72" s="8" t="s">
        <v>234</v>
      </c>
      <c r="E72" s="9" t="s">
        <v>235</v>
      </c>
      <c r="F72" s="9"/>
      <c r="G72" s="2" t="s">
        <v>1</v>
      </c>
    </row>
    <row r="73" ht="15" customHeight="1" spans="1:7">
      <c r="A73" s="4">
        <v>1</v>
      </c>
      <c r="B73" s="11">
        <f>$D32</f>
        <v>0.0107252298263534</v>
      </c>
      <c r="C73" s="7">
        <f>A73*B73</f>
        <v>0.0107252298263534</v>
      </c>
      <c r="D73" s="11">
        <f>1-(1-B73)^A73</f>
        <v>0.0107252298263534</v>
      </c>
      <c r="E73" s="11">
        <f>$F59</f>
        <v>0.377611422398173</v>
      </c>
      <c r="F73" s="7" t="s">
        <v>1</v>
      </c>
      <c r="G73" s="2" t="s">
        <v>1</v>
      </c>
    </row>
    <row r="74" ht="15" customHeight="1" spans="1:7">
      <c r="A74" s="4">
        <v>2</v>
      </c>
      <c r="B74" s="11">
        <f>$D32</f>
        <v>0.0107252298263534</v>
      </c>
      <c r="C74" s="7">
        <f>A74*B74</f>
        <v>0.0214504596527068</v>
      </c>
      <c r="D74" s="11">
        <f>1-(1-B74)^A74</f>
        <v>0.0213354290978787</v>
      </c>
      <c r="E74" s="11">
        <f>$F59</f>
        <v>0.377611422398173</v>
      </c>
      <c r="F74" s="7" t="s">
        <v>1</v>
      </c>
      <c r="G74" s="2" t="s">
        <v>1</v>
      </c>
    </row>
    <row r="75" ht="15" customHeight="1" spans="1:7">
      <c r="A75" s="4">
        <v>3</v>
      </c>
      <c r="B75" s="11">
        <f>$D32</f>
        <v>0.0107252298263534</v>
      </c>
      <c r="C75" s="7">
        <f>A75*B75</f>
        <v>0.0321756894790603</v>
      </c>
      <c r="D75" s="11">
        <f>1-(1-B75)^A75</f>
        <v>0.0318318315437134</v>
      </c>
      <c r="E75" s="11">
        <f>$F59</f>
        <v>0.377611422398173</v>
      </c>
      <c r="F75" s="7" t="s">
        <v>1</v>
      </c>
      <c r="G75" s="2" t="s">
        <v>1</v>
      </c>
    </row>
    <row r="76" ht="15" customHeight="1" spans="1:7">
      <c r="A76" s="4">
        <v>4</v>
      </c>
      <c r="B76" s="11">
        <f>$D32</f>
        <v>0.0107252298263534</v>
      </c>
      <c r="C76" s="7">
        <f>A76*B76</f>
        <v>0.0429009193054137</v>
      </c>
      <c r="D76" s="11">
        <f>1-(1-B76)^A76</f>
        <v>0.0422156576609667</v>
      </c>
      <c r="E76" s="11">
        <f>$F59</f>
        <v>0.377611422398173</v>
      </c>
      <c r="F76" s="7" t="s">
        <v>1</v>
      </c>
      <c r="G76" s="2" t="s">
        <v>1</v>
      </c>
    </row>
    <row r="77" ht="15" customHeight="1" spans="1:7">
      <c r="A77" s="4">
        <v>5</v>
      </c>
      <c r="B77" s="11">
        <f>$D32</f>
        <v>0.0107252298263534</v>
      </c>
      <c r="C77" s="7">
        <f>A77*B77</f>
        <v>0.0536261491317671</v>
      </c>
      <c r="D77" s="11">
        <f>1-(1-B77)^A77</f>
        <v>0.0524881148566355</v>
      </c>
      <c r="E77" s="11">
        <f>$F59</f>
        <v>0.377611422398173</v>
      </c>
      <c r="F77" s="7" t="s">
        <v>1</v>
      </c>
      <c r="G77" s="2" t="s">
        <v>1</v>
      </c>
    </row>
    <row r="78" ht="41.25" customHeight="1" spans="1:7">
      <c r="A78" s="5" t="s">
        <v>236</v>
      </c>
      <c r="B78" s="5"/>
      <c r="C78" s="5"/>
      <c r="D78" s="5"/>
      <c r="E78" s="5"/>
      <c r="F78" s="5"/>
      <c r="G78" s="5"/>
    </row>
    <row r="79" ht="16.5" spans="1:7">
      <c r="A79" s="5" t="s">
        <v>1</v>
      </c>
      <c r="B79" s="11" t="s">
        <v>1</v>
      </c>
      <c r="C79" s="7" t="s">
        <v>1</v>
      </c>
      <c r="D79" s="11" t="s">
        <v>1</v>
      </c>
      <c r="E79" s="11" t="s">
        <v>1</v>
      </c>
      <c r="F79" s="7" t="s">
        <v>1</v>
      </c>
      <c r="G79" s="2" t="s">
        <v>1</v>
      </c>
    </row>
    <row r="80" ht="16.5" customHeight="1" spans="1:7">
      <c r="A80" s="33" t="s">
        <v>237</v>
      </c>
      <c r="B80" s="33"/>
      <c r="C80" s="33"/>
      <c r="D80" s="33"/>
      <c r="E80" s="11" t="s">
        <v>1</v>
      </c>
      <c r="F80" s="7" t="s">
        <v>1</v>
      </c>
      <c r="G80" s="2" t="s">
        <v>1</v>
      </c>
    </row>
    <row r="81" ht="15" customHeight="1" spans="1:7">
      <c r="A81" s="2" t="s">
        <v>153</v>
      </c>
      <c r="B81" s="2" t="s">
        <v>154</v>
      </c>
      <c r="C81" s="2" t="s">
        <v>238</v>
      </c>
      <c r="D81" s="2" t="s">
        <v>155</v>
      </c>
      <c r="E81" s="11" t="s">
        <v>1</v>
      </c>
      <c r="F81" s="7" t="s">
        <v>1</v>
      </c>
      <c r="G81" s="2" t="s">
        <v>1</v>
      </c>
    </row>
    <row r="82" ht="16.5" customHeight="1" spans="1:7">
      <c r="A82" s="3" t="s">
        <v>156</v>
      </c>
      <c r="B82" s="4">
        <v>75</v>
      </c>
      <c r="C82" s="2" t="s">
        <v>1</v>
      </c>
      <c r="D82" s="3" t="s">
        <v>102</v>
      </c>
      <c r="E82" s="11" t="s">
        <v>1</v>
      </c>
      <c r="F82" s="7" t="s">
        <v>1</v>
      </c>
      <c r="G82" s="2" t="s">
        <v>1</v>
      </c>
    </row>
    <row r="83" ht="16.5" customHeight="1" spans="1:7">
      <c r="A83" s="3" t="s">
        <v>239</v>
      </c>
      <c r="B83" s="4">
        <v>24</v>
      </c>
      <c r="C83" s="2" t="s">
        <v>1</v>
      </c>
      <c r="D83" s="13" t="s">
        <v>240</v>
      </c>
      <c r="E83" s="13"/>
      <c r="F83" s="7" t="s">
        <v>1</v>
      </c>
      <c r="G83" s="2" t="s">
        <v>1</v>
      </c>
    </row>
    <row r="84" ht="16.5" customHeight="1" spans="1:7">
      <c r="A84" s="3" t="s">
        <v>225</v>
      </c>
      <c r="B84" s="4">
        <v>60</v>
      </c>
      <c r="C84" s="2" t="s">
        <v>1</v>
      </c>
      <c r="D84" s="3" t="s">
        <v>241</v>
      </c>
      <c r="E84" s="11" t="s">
        <v>1</v>
      </c>
      <c r="F84" s="7" t="s">
        <v>1</v>
      </c>
      <c r="G84" s="2" t="s">
        <v>1</v>
      </c>
    </row>
    <row r="85" ht="16.5" customHeight="1" spans="1:7">
      <c r="A85" s="3" t="s">
        <v>242</v>
      </c>
      <c r="B85" s="4" t="s">
        <v>1</v>
      </c>
      <c r="C85" s="11">
        <f>IF(OR($B$84-$B$83&lt;0,$B$84&gt;$B$82),0,COMBIN($B$82-$B$83,$B$84-$B$83)/COMBIN($B$82,$B$84))</f>
        <v>0.00139853398623526</v>
      </c>
      <c r="D85" s="13" t="s">
        <v>243</v>
      </c>
      <c r="E85" s="13"/>
      <c r="F85" s="13"/>
      <c r="G85" s="2" t="s">
        <v>1</v>
      </c>
    </row>
    <row r="86" ht="16.5" customHeight="1" spans="1:7">
      <c r="A86" s="3" t="s">
        <v>244</v>
      </c>
      <c r="B86" s="4" t="s">
        <v>1</v>
      </c>
      <c r="C86" s="11">
        <f>IF(OR($B$84-5&lt;0,$B$84&gt;$B$82),0,COMBIN($B$82-5,$B$84-5)/COMBIN($B$82,$B$84))</f>
        <v>0.316437139435403</v>
      </c>
      <c r="D86" s="13" t="s">
        <v>245</v>
      </c>
      <c r="E86" s="13"/>
      <c r="F86" s="13"/>
      <c r="G86" s="2" t="s">
        <v>1</v>
      </c>
    </row>
    <row r="87" ht="16.5" customHeight="1" spans="1:7">
      <c r="A87" s="3" t="s">
        <v>246</v>
      </c>
      <c r="B87" s="4" t="s">
        <v>1</v>
      </c>
      <c r="C87" s="11">
        <f>IF(OR($B$84-4&lt;0,$B$84&gt;$B$82),0,COMBIN($B$82-4,$B$84-4)/COMBIN($B$82,$B$84))</f>
        <v>0.401197087498457</v>
      </c>
      <c r="D87" s="13" t="s">
        <v>247</v>
      </c>
      <c r="E87" s="13"/>
      <c r="F87" s="13"/>
      <c r="G87" s="2" t="s">
        <v>1</v>
      </c>
    </row>
    <row r="88" ht="41.25" customHeight="1" spans="1:7">
      <c r="A88" s="5" t="s">
        <v>248</v>
      </c>
      <c r="B88" s="5"/>
      <c r="C88" s="5"/>
      <c r="D88" s="5"/>
      <c r="E88" s="5"/>
      <c r="F88" s="5"/>
      <c r="G88" s="5"/>
    </row>
    <row r="89" ht="16.5" spans="1:7">
      <c r="A89" s="5" t="s">
        <v>1</v>
      </c>
      <c r="B89" s="4" t="s">
        <v>1</v>
      </c>
      <c r="C89" s="11" t="s">
        <v>1</v>
      </c>
      <c r="D89" s="3" t="s">
        <v>1</v>
      </c>
      <c r="E89" s="11" t="s">
        <v>1</v>
      </c>
      <c r="F89" s="7" t="s">
        <v>1</v>
      </c>
      <c r="G89" s="2" t="s">
        <v>1</v>
      </c>
    </row>
    <row r="90" ht="16.5" customHeight="1" spans="1:7">
      <c r="A90" s="33" t="s">
        <v>249</v>
      </c>
      <c r="B90" s="33"/>
      <c r="C90" s="33"/>
      <c r="D90" s="33"/>
      <c r="E90" s="11" t="s">
        <v>1</v>
      </c>
      <c r="F90" s="7" t="s">
        <v>1</v>
      </c>
      <c r="G90" s="2" t="s">
        <v>1</v>
      </c>
    </row>
    <row r="91" ht="15" customHeight="1" spans="1:7">
      <c r="A91" s="2" t="s">
        <v>153</v>
      </c>
      <c r="B91" s="2" t="s">
        <v>154</v>
      </c>
      <c r="C91" s="2" t="s">
        <v>238</v>
      </c>
      <c r="D91" s="2" t="s">
        <v>155</v>
      </c>
      <c r="E91" s="11" t="s">
        <v>1</v>
      </c>
      <c r="F91" s="7" t="s">
        <v>1</v>
      </c>
      <c r="G91" s="2" t="s">
        <v>1</v>
      </c>
    </row>
    <row r="92" ht="16.5" customHeight="1" spans="1:7">
      <c r="A92" s="3" t="s">
        <v>250</v>
      </c>
      <c r="B92" s="4">
        <v>25</v>
      </c>
      <c r="C92" s="2" t="s">
        <v>1</v>
      </c>
      <c r="D92" s="13" t="s">
        <v>251</v>
      </c>
      <c r="E92" s="13"/>
      <c r="F92" s="7" t="s">
        <v>1</v>
      </c>
      <c r="G92" s="2" t="s">
        <v>1</v>
      </c>
    </row>
    <row r="93" ht="16.5" customHeight="1" spans="1:7">
      <c r="A93" s="3" t="s">
        <v>252</v>
      </c>
      <c r="B93" s="4">
        <v>15</v>
      </c>
      <c r="C93" s="2" t="s">
        <v>1</v>
      </c>
      <c r="D93" s="3" t="s">
        <v>241</v>
      </c>
      <c r="E93" s="11" t="s">
        <v>1</v>
      </c>
      <c r="F93" s="7" t="s">
        <v>1</v>
      </c>
      <c r="G93" s="2" t="s">
        <v>1</v>
      </c>
    </row>
    <row r="94" ht="16.5" customHeight="1" spans="1:7">
      <c r="A94" s="3" t="s">
        <v>253</v>
      </c>
      <c r="B94" s="4" t="s">
        <v>1</v>
      </c>
      <c r="C94" s="11">
        <f>IF(OR($B$93-5&lt;0,$B$93&gt;$B$92),0,COMBIN($B$92-5,$B$93-5)/COMBIN($B$92,$B$93))</f>
        <v>0.0565217391304348</v>
      </c>
      <c r="D94" s="13" t="s">
        <v>254</v>
      </c>
      <c r="E94" s="13"/>
      <c r="F94" s="13"/>
      <c r="G94" s="2" t="s">
        <v>1</v>
      </c>
    </row>
    <row r="95" ht="16.5" spans="1:7">
      <c r="A95" s="3" t="s">
        <v>1</v>
      </c>
      <c r="B95" s="4" t="s">
        <v>1</v>
      </c>
      <c r="C95" s="11" t="s">
        <v>1</v>
      </c>
      <c r="D95" s="3" t="s">
        <v>1</v>
      </c>
      <c r="E95" s="11" t="s">
        <v>1</v>
      </c>
      <c r="F95" s="7" t="s">
        <v>1</v>
      </c>
      <c r="G95" s="2" t="s">
        <v>1</v>
      </c>
    </row>
    <row r="96" ht="30" customHeight="1" spans="1:7">
      <c r="A96" s="2" t="s">
        <v>255</v>
      </c>
      <c r="B96" s="8" t="s">
        <v>256</v>
      </c>
      <c r="C96" s="2" t="s">
        <v>257</v>
      </c>
      <c r="D96" s="2" t="s">
        <v>1</v>
      </c>
      <c r="E96" s="11" t="s">
        <v>1</v>
      </c>
      <c r="F96" s="7" t="s">
        <v>1</v>
      </c>
      <c r="G96" s="2" t="s">
        <v>1</v>
      </c>
    </row>
    <row r="97" ht="15" customHeight="1" spans="1:7">
      <c r="A97" s="4">
        <v>10</v>
      </c>
      <c r="B97" s="11">
        <f>IF(OR($A97-5&lt;0,$A97&gt;$B$92),0,COMBIN($B$92-5,$A97-5)/COMBIN($B$92,$A97))</f>
        <v>0.00474308300395257</v>
      </c>
      <c r="C97" s="7">
        <f>IF($B$98=0,0,B97/$B$98)</f>
        <v>0.0839160839160839</v>
      </c>
      <c r="D97" s="2" t="s">
        <v>1</v>
      </c>
      <c r="E97" s="11" t="s">
        <v>1</v>
      </c>
      <c r="F97" s="7" t="s">
        <v>1</v>
      </c>
      <c r="G97" s="2" t="s">
        <v>1</v>
      </c>
    </row>
    <row r="98" ht="15" customHeight="1" spans="1:7">
      <c r="A98" s="4">
        <v>15</v>
      </c>
      <c r="B98" s="11">
        <f>IF(OR($A98-5&lt;0,$A98&gt;$B$92),0,COMBIN($B$92-5,$A98-5)/COMBIN($B$92,$A98))</f>
        <v>0.0565217391304348</v>
      </c>
      <c r="C98" s="7">
        <f>IF($B$98=0,0,B98/$B$98)</f>
        <v>1</v>
      </c>
      <c r="D98" s="2" t="s">
        <v>1</v>
      </c>
      <c r="E98" s="11" t="s">
        <v>1</v>
      </c>
      <c r="F98" s="7" t="s">
        <v>1</v>
      </c>
      <c r="G98" s="2" t="s">
        <v>1</v>
      </c>
    </row>
    <row r="99" ht="15" customHeight="1" spans="1:7">
      <c r="A99" s="4">
        <v>18</v>
      </c>
      <c r="B99" s="11">
        <f>IF(OR($A99-5&lt;0,$A99&gt;$B$92),0,COMBIN($B$92-5,$A99-5)/COMBIN($B$92,$A99))</f>
        <v>0.161264822134387</v>
      </c>
      <c r="C99" s="7">
        <f>IF($B$98=0,0,B99/$B$98)</f>
        <v>2.85314685314685</v>
      </c>
      <c r="D99" s="2" t="s">
        <v>1</v>
      </c>
      <c r="E99" s="11" t="s">
        <v>1</v>
      </c>
      <c r="F99" s="7" t="s">
        <v>1</v>
      </c>
      <c r="G99" s="2" t="s">
        <v>1</v>
      </c>
    </row>
    <row r="100" ht="15" customHeight="1" spans="1:7">
      <c r="A100" s="4">
        <v>20</v>
      </c>
      <c r="B100" s="11">
        <f>IF(OR($A100-5&lt;0,$A100&gt;$B$92),0,COMBIN($B$92-5,$A100-5)/COMBIN($B$92,$A100))</f>
        <v>0.291812535290796</v>
      </c>
      <c r="C100" s="7">
        <f>IF($B$98=0,0,B100/$B$98)</f>
        <v>5.16283716283716</v>
      </c>
      <c r="D100" s="2" t="s">
        <v>1</v>
      </c>
      <c r="E100" s="11" t="s">
        <v>1</v>
      </c>
      <c r="F100" s="7" t="s">
        <v>1</v>
      </c>
      <c r="G100" s="2" t="s">
        <v>1</v>
      </c>
    </row>
    <row r="101" ht="15" customHeight="1" spans="1:7">
      <c r="A101" s="4">
        <v>25</v>
      </c>
      <c r="B101" s="11">
        <f>IF(OR($A101-5&lt;0,$A101&gt;$B$92),0,COMBIN($B$92-5,$A101-5)/COMBIN($B$92,$A101))</f>
        <v>1</v>
      </c>
      <c r="C101" s="7">
        <f>IF($B$98=0,0,B101/$B$98)</f>
        <v>17.6923076923077</v>
      </c>
      <c r="D101" s="2" t="s">
        <v>1</v>
      </c>
      <c r="E101" s="11" t="s">
        <v>1</v>
      </c>
      <c r="F101" s="7" t="s">
        <v>1</v>
      </c>
      <c r="G101" s="2" t="s">
        <v>1</v>
      </c>
    </row>
    <row r="102" ht="41.25" customHeight="1" spans="1:7">
      <c r="A102" s="5" t="s">
        <v>258</v>
      </c>
      <c r="B102" s="5"/>
      <c r="C102" s="5"/>
      <c r="D102" s="5"/>
      <c r="E102" s="5"/>
      <c r="F102" s="5"/>
      <c r="G102" s="5"/>
    </row>
    <row r="103" ht="16.5" spans="1:7">
      <c r="A103" s="5" t="s">
        <v>1</v>
      </c>
      <c r="B103" s="11" t="s">
        <v>1</v>
      </c>
      <c r="C103" s="7" t="s">
        <v>1</v>
      </c>
      <c r="D103" s="2" t="s">
        <v>1</v>
      </c>
      <c r="E103" s="11" t="s">
        <v>1</v>
      </c>
      <c r="F103" s="7" t="s">
        <v>1</v>
      </c>
      <c r="G103" s="2" t="s">
        <v>1</v>
      </c>
    </row>
    <row r="104" ht="16.5" customHeight="1" spans="1:7">
      <c r="A104" s="33" t="s">
        <v>259</v>
      </c>
      <c r="B104" s="33"/>
      <c r="C104" s="33"/>
      <c r="D104" s="33"/>
      <c r="E104" s="11" t="s">
        <v>1</v>
      </c>
      <c r="F104" s="7" t="s">
        <v>1</v>
      </c>
      <c r="G104" s="2" t="s">
        <v>1</v>
      </c>
    </row>
    <row r="105" ht="15" customHeight="1" spans="1:7">
      <c r="A105" s="2" t="s">
        <v>153</v>
      </c>
      <c r="B105" s="2" t="s">
        <v>154</v>
      </c>
      <c r="C105" s="2" t="s">
        <v>238</v>
      </c>
      <c r="D105" s="2" t="s">
        <v>155</v>
      </c>
      <c r="E105" s="11" t="s">
        <v>1</v>
      </c>
      <c r="F105" s="7" t="s">
        <v>1</v>
      </c>
      <c r="G105" s="2" t="s">
        <v>1</v>
      </c>
    </row>
    <row r="106" ht="16.5" customHeight="1" spans="1:7">
      <c r="A106" s="3" t="s">
        <v>260</v>
      </c>
      <c r="B106" s="4">
        <v>15</v>
      </c>
      <c r="C106" s="2" t="s">
        <v>1</v>
      </c>
      <c r="D106" s="13" t="s">
        <v>261</v>
      </c>
      <c r="E106" s="13"/>
      <c r="F106" s="7" t="s">
        <v>1</v>
      </c>
      <c r="G106" s="2" t="s">
        <v>1</v>
      </c>
    </row>
    <row r="107" ht="16.5" customHeight="1" spans="1:7">
      <c r="A107" s="3" t="s">
        <v>156</v>
      </c>
      <c r="B107" s="6">
        <f>$B$3</f>
        <v>90</v>
      </c>
      <c r="C107" s="2" t="s">
        <v>1</v>
      </c>
      <c r="D107" s="13" t="s">
        <v>262</v>
      </c>
      <c r="E107" s="13"/>
      <c r="F107" s="13"/>
      <c r="G107" s="2" t="s">
        <v>1</v>
      </c>
    </row>
    <row r="108" ht="16.5" customHeight="1" spans="1:7">
      <c r="A108" s="3" t="s">
        <v>225</v>
      </c>
      <c r="B108" s="6">
        <f>$B$4</f>
        <v>30</v>
      </c>
      <c r="C108" s="2" t="s">
        <v>1</v>
      </c>
      <c r="D108" s="3" t="s">
        <v>263</v>
      </c>
      <c r="E108" s="11" t="s">
        <v>1</v>
      </c>
      <c r="F108" s="7" t="s">
        <v>1</v>
      </c>
      <c r="G108" s="2" t="s">
        <v>1</v>
      </c>
    </row>
    <row r="109" ht="16.5" customHeight="1" spans="1:7">
      <c r="A109" s="3" t="s">
        <v>264</v>
      </c>
      <c r="B109" s="6" t="s">
        <v>1</v>
      </c>
      <c r="C109" s="11">
        <f>IF(OR($B$108-5&lt;0,$B$108&gt;$B$107),0,COMBIN($B$107-5,$B$108-5)/COMBIN($B$107,$B$108))</f>
        <v>0.00324251134285104</v>
      </c>
      <c r="D109" s="13" t="s">
        <v>265</v>
      </c>
      <c r="E109" s="13"/>
      <c r="F109" s="13"/>
      <c r="G109" s="2" t="s">
        <v>1</v>
      </c>
    </row>
    <row r="110" ht="16.5" customHeight="1" spans="1:7">
      <c r="A110" s="3" t="s">
        <v>266</v>
      </c>
      <c r="B110" s="6" t="s">
        <v>1</v>
      </c>
      <c r="C110" s="11">
        <f>C40</f>
        <v>0.00971178131873864</v>
      </c>
      <c r="D110" s="13" t="s">
        <v>267</v>
      </c>
      <c r="E110" s="13"/>
      <c r="F110" s="13"/>
      <c r="G110" s="2" t="s">
        <v>1</v>
      </c>
    </row>
    <row r="111" ht="27.75" customHeight="1" spans="1:7">
      <c r="A111" s="5" t="s">
        <v>268</v>
      </c>
      <c r="B111" s="5"/>
      <c r="C111" s="5"/>
      <c r="D111" s="3" t="s">
        <v>1</v>
      </c>
      <c r="E111" s="11" t="s">
        <v>1</v>
      </c>
      <c r="F111" s="7" t="s">
        <v>1</v>
      </c>
      <c r="G111" s="2" t="s">
        <v>1</v>
      </c>
    </row>
    <row r="112" ht="16.5" spans="1:7">
      <c r="A112" s="5" t="s">
        <v>1</v>
      </c>
      <c r="B112" s="6" t="s">
        <v>1</v>
      </c>
      <c r="C112" s="11" t="s">
        <v>1</v>
      </c>
      <c r="D112" s="3" t="s">
        <v>1</v>
      </c>
      <c r="E112" s="11" t="s">
        <v>1</v>
      </c>
      <c r="F112" s="7" t="s">
        <v>1</v>
      </c>
      <c r="G112" s="2" t="s">
        <v>1</v>
      </c>
    </row>
    <row r="113" ht="15" customHeight="1" spans="1:9">
      <c r="A113" s="33" t="s">
        <v>269</v>
      </c>
      <c r="B113" s="33"/>
      <c r="C113" s="33"/>
      <c r="D113" s="33"/>
      <c r="E113" s="33"/>
      <c r="F113" s="33"/>
      <c r="G113" s="2" t="s">
        <v>1</v>
      </c>
    </row>
    <row r="114" ht="15" customHeight="1" spans="1:9">
      <c r="A114" s="2" t="s">
        <v>95</v>
      </c>
      <c r="B114" s="2" t="s">
        <v>96</v>
      </c>
      <c r="C114" s="2" t="s">
        <v>97</v>
      </c>
      <c r="D114" s="2" t="s">
        <v>98</v>
      </c>
      <c r="E114" s="2" t="s">
        <v>99</v>
      </c>
      <c r="F114" s="2" t="s">
        <v>100</v>
      </c>
      <c r="G114" s="2" t="s">
        <v>63</v>
      </c>
    </row>
    <row r="115" ht="16.5" customHeight="1" spans="1:9">
      <c r="A115" s="19" t="s">
        <v>50</v>
      </c>
      <c r="B115" s="19" t="s">
        <v>53</v>
      </c>
      <c r="C115" s="19" t="s">
        <v>101</v>
      </c>
      <c r="D115" s="19" t="s">
        <v>58</v>
      </c>
      <c r="E115" s="19" t="s">
        <v>102</v>
      </c>
      <c r="F115" s="19" t="s">
        <v>270</v>
      </c>
      <c r="G115" s="20" t="s">
        <v>104</v>
      </c>
      <c r="H115" s="20"/>
    </row>
    <row r="116" ht="15" customHeight="1" spans="1:9">
      <c r="A116" s="19" t="s">
        <v>51</v>
      </c>
      <c r="B116" s="19" t="s">
        <v>54</v>
      </c>
      <c r="C116" s="19">
        <v>15</v>
      </c>
      <c r="D116" s="19" t="s">
        <v>59</v>
      </c>
      <c r="E116" s="19" t="s">
        <v>105</v>
      </c>
      <c r="F116" s="19" t="s">
        <v>270</v>
      </c>
      <c r="G116" s="19" t="s">
        <v>65</v>
      </c>
    </row>
    <row r="117" ht="30" customHeight="1" spans="1:9">
      <c r="A117" s="19" t="s">
        <v>106</v>
      </c>
      <c r="B117" s="19" t="s">
        <v>107</v>
      </c>
      <c r="C117" s="19">
        <v>15</v>
      </c>
      <c r="D117" s="19" t="s">
        <v>108</v>
      </c>
      <c r="E117" s="19" t="s">
        <v>109</v>
      </c>
      <c r="F117" s="21" t="s">
        <v>110</v>
      </c>
      <c r="G117" s="20" t="s">
        <v>111</v>
      </c>
      <c r="H117" s="20"/>
      <c r="I117" s="20"/>
    </row>
    <row r="118" ht="16.5" spans="1:9">
      <c r="A118" s="19" t="s">
        <v>1</v>
      </c>
      <c r="B118" s="19" t="s">
        <v>1</v>
      </c>
      <c r="C118" s="19" t="s">
        <v>1</v>
      </c>
      <c r="D118" s="19" t="s">
        <v>1</v>
      </c>
      <c r="E118" s="19" t="s">
        <v>1</v>
      </c>
      <c r="F118" s="19" t="s">
        <v>1</v>
      </c>
      <c r="G118" s="19" t="s">
        <v>1</v>
      </c>
    </row>
    <row r="119" ht="15" customHeight="1" spans="1:9">
      <c r="A119" s="33" t="s">
        <v>271</v>
      </c>
      <c r="B119" s="33"/>
      <c r="C119" s="33"/>
      <c r="D119" s="19" t="s">
        <v>1</v>
      </c>
      <c r="E119" s="19" t="s">
        <v>1</v>
      </c>
      <c r="F119" s="19" t="s">
        <v>1</v>
      </c>
      <c r="G119" s="19" t="s">
        <v>1</v>
      </c>
    </row>
    <row r="120" ht="15" customHeight="1" spans="1:9">
      <c r="A120" s="2" t="s">
        <v>50</v>
      </c>
      <c r="B120" s="2" t="s">
        <v>51</v>
      </c>
      <c r="C120" s="19" t="s">
        <v>1</v>
      </c>
      <c r="D120" s="19" t="s">
        <v>1</v>
      </c>
      <c r="E120" s="19" t="s">
        <v>1</v>
      </c>
      <c r="F120" s="19" t="s">
        <v>1</v>
      </c>
      <c r="G120" s="19" t="s">
        <v>1</v>
      </c>
    </row>
    <row r="121" ht="15" customHeight="1" spans="1:9">
      <c r="A121" s="19" t="s">
        <v>68</v>
      </c>
      <c r="B121" s="19" t="s">
        <v>69</v>
      </c>
      <c r="C121" s="19" t="s">
        <v>1</v>
      </c>
      <c r="D121" s="19" t="s">
        <v>1</v>
      </c>
      <c r="E121" s="19" t="s">
        <v>1</v>
      </c>
      <c r="F121" s="19" t="s">
        <v>1</v>
      </c>
      <c r="G121" s="19" t="s">
        <v>1</v>
      </c>
    </row>
    <row r="122" ht="15" customHeight="1" spans="1:9">
      <c r="A122" s="19" t="s">
        <v>70</v>
      </c>
      <c r="B122" s="20" t="s">
        <v>71</v>
      </c>
      <c r="C122" s="20"/>
      <c r="D122" s="19" t="s">
        <v>1</v>
      </c>
      <c r="E122" s="19" t="s">
        <v>1</v>
      </c>
      <c r="F122" s="19" t="s">
        <v>1</v>
      </c>
      <c r="G122" s="19" t="s">
        <v>1</v>
      </c>
    </row>
    <row r="123" ht="15" customHeight="1" spans="1:9">
      <c r="A123" s="19" t="s">
        <v>72</v>
      </c>
      <c r="B123" s="20" t="s">
        <v>73</v>
      </c>
      <c r="C123" s="20"/>
      <c r="D123" s="19" t="s">
        <v>1</v>
      </c>
      <c r="E123" s="19" t="s">
        <v>1</v>
      </c>
      <c r="F123" s="19" t="s">
        <v>1</v>
      </c>
      <c r="G123" s="19" t="s">
        <v>1</v>
      </c>
    </row>
    <row r="124" ht="16.5" spans="1:9">
      <c r="A124" s="19" t="s">
        <v>1</v>
      </c>
      <c r="B124" s="19" t="s">
        <v>1</v>
      </c>
      <c r="C124" s="19" t="s">
        <v>1</v>
      </c>
      <c r="D124" s="19" t="s">
        <v>1</v>
      </c>
      <c r="E124" s="19" t="s">
        <v>1</v>
      </c>
      <c r="F124" s="19" t="s">
        <v>1</v>
      </c>
      <c r="G124" s="19" t="s">
        <v>1</v>
      </c>
    </row>
    <row r="125" ht="16.5" customHeight="1" spans="1:9">
      <c r="A125" s="33" t="s">
        <v>272</v>
      </c>
      <c r="B125" s="33"/>
      <c r="C125" s="33"/>
      <c r="D125" s="33"/>
      <c r="E125" s="19" t="s">
        <v>1</v>
      </c>
      <c r="F125" s="19" t="s">
        <v>1</v>
      </c>
      <c r="G125" s="19" t="s">
        <v>1</v>
      </c>
    </row>
    <row r="126" ht="15" customHeight="1" spans="1:9">
      <c r="A126" s="2" t="s">
        <v>273</v>
      </c>
      <c r="B126" s="2" t="s">
        <v>274</v>
      </c>
      <c r="C126" s="2" t="s">
        <v>275</v>
      </c>
      <c r="D126" s="2" t="s">
        <v>276</v>
      </c>
      <c r="E126" s="19" t="s">
        <v>1</v>
      </c>
      <c r="F126" s="19" t="s">
        <v>1</v>
      </c>
      <c r="G126" s="19" t="s">
        <v>1</v>
      </c>
    </row>
    <row r="127" ht="16.5" customHeight="1" spans="1:9">
      <c r="A127" s="3" t="s">
        <v>277</v>
      </c>
      <c r="B127" s="6">
        <f>B3</f>
        <v>90</v>
      </c>
      <c r="C127" s="22">
        <v>90</v>
      </c>
      <c r="D127" s="6">
        <f>B127-C127</f>
        <v>0</v>
      </c>
      <c r="E127" s="19" t="s">
        <v>1</v>
      </c>
      <c r="F127" s="19" t="s">
        <v>1</v>
      </c>
      <c r="G127" s="19" t="s">
        <v>1</v>
      </c>
    </row>
    <row r="128" ht="16.5" customHeight="1" spans="1:9">
      <c r="A128" s="3" t="s">
        <v>158</v>
      </c>
      <c r="B128" s="6">
        <f>B4</f>
        <v>30</v>
      </c>
      <c r="C128" s="22">
        <v>30</v>
      </c>
      <c r="D128" s="6">
        <f>B128-C128</f>
        <v>0</v>
      </c>
      <c r="E128" s="19" t="s">
        <v>1</v>
      </c>
      <c r="F128" s="19" t="s">
        <v>1</v>
      </c>
      <c r="G128" s="19" t="s">
        <v>1</v>
      </c>
    </row>
    <row r="129" ht="16.5" customHeight="1" spans="1:7">
      <c r="A129" s="3" t="s">
        <v>278</v>
      </c>
      <c r="B129" s="6">
        <f>B7</f>
        <v>15</v>
      </c>
      <c r="C129" s="22">
        <v>15</v>
      </c>
      <c r="D129" s="6">
        <f>B129-C129</f>
        <v>0</v>
      </c>
      <c r="E129" s="19" t="s">
        <v>1</v>
      </c>
      <c r="F129" s="19" t="s">
        <v>1</v>
      </c>
      <c r="G129" s="19" t="s">
        <v>1</v>
      </c>
    </row>
    <row r="130" ht="16.5" customHeight="1" spans="1:7">
      <c r="A130" s="3" t="s">
        <v>279</v>
      </c>
      <c r="B130" s="6">
        <f>B83+1</f>
        <v>25</v>
      </c>
      <c r="C130" s="22">
        <v>25</v>
      </c>
      <c r="D130" s="6">
        <f>B130-C130</f>
        <v>0</v>
      </c>
      <c r="E130" s="19" t="s">
        <v>1</v>
      </c>
      <c r="F130" s="19" t="s">
        <v>1</v>
      </c>
      <c r="G130" s="19" t="s">
        <v>1</v>
      </c>
    </row>
  </sheetData>
  <mergeCells count="42">
    <mergeCell ref="A1:G1"/>
    <mergeCell ref="C3:F3"/>
    <mergeCell ref="C4:D4"/>
    <mergeCell ref="C9:D9"/>
    <mergeCell ref="A12:F12"/>
    <mergeCell ref="D13:F13"/>
    <mergeCell ref="A30:D30"/>
    <mergeCell ref="A38:D38"/>
    <mergeCell ref="D40:H40"/>
    <mergeCell ref="D41:E41"/>
    <mergeCell ref="A42:H42"/>
    <mergeCell ref="A44:E44"/>
    <mergeCell ref="A54:F54"/>
    <mergeCell ref="C61:F61"/>
    <mergeCell ref="A63:F63"/>
    <mergeCell ref="F64:G64"/>
    <mergeCell ref="A71:E71"/>
    <mergeCell ref="E72:F72"/>
    <mergeCell ref="A78:G78"/>
    <mergeCell ref="A80:D80"/>
    <mergeCell ref="D83:E83"/>
    <mergeCell ref="D85:F85"/>
    <mergeCell ref="D86:F86"/>
    <mergeCell ref="D87:F87"/>
    <mergeCell ref="A88:G88"/>
    <mergeCell ref="A90:D90"/>
    <mergeCell ref="D92:E92"/>
    <mergeCell ref="D94:F94"/>
    <mergeCell ref="A102:G102"/>
    <mergeCell ref="A104:D104"/>
    <mergeCell ref="D106:E106"/>
    <mergeCell ref="D107:F107"/>
    <mergeCell ref="D109:F109"/>
    <mergeCell ref="D110:F110"/>
    <mergeCell ref="A111:C111"/>
    <mergeCell ref="A113:F113"/>
    <mergeCell ref="G115:H115"/>
    <mergeCell ref="G117:I117"/>
    <mergeCell ref="A119:C119"/>
    <mergeCell ref="B122:C122"/>
    <mergeCell ref="B123:C123"/>
    <mergeCell ref="A125:D125"/>
  </mergeCells>
  <pageMargins left="0.7" right="0.7" top="0.75" bottom="0.75" header="0.3" footer="0.3"/>
  <pageSetup paperSize="1" orientation="portrait"/>
  <headerFooter/>
  <ignoredErrors>
    <ignoredError sqref="A1:N150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Bingo 机率+赔率→RTP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wcx_o</cp:lastModifiedBy>
  <dcterms:created xsi:type="dcterms:W3CDTF">2026-09-29T15:45:00Z</dcterms:created>
  <dcterms:modified xsi:type="dcterms:W3CDTF">2026-09-29T16:00:08Z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E03F024827BC476A989B1CFCFDEB7DE8_12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