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<sst xmlns="http://schemas.openxmlformats.org/spreadsheetml/2006/main" count="212" uniqueCount="161">
  <si>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07 —— </t>
    </r>
    <r>
      <rPr>
        <b val="true"/>
        <sz val="14"/>
        <color rgb="FF1F4E79"/>
        <rFont val="Noto Sans SC"/>
        <family val="2"/>
        <charset val="134"/>
      </rPr>
      <t xml:space="preserve">数值篇：</t>
    </r>
    <r>
      <rPr>
        <b val="true"/>
        <sz val="14"/>
        <color rgb="FF1F4E79"/>
        <rFont val="Cambria"/>
        <family val="0"/>
        <charset val="1"/>
      </rPr>
      <t xml:space="preserve">Wild Symbols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</si>
  <si>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Wild Symbols</t>
    </r>
    <r>
      <rPr>
        <sz val="11"/>
        <color rgb="FF808080"/>
        <rFont val="Noto Sans SC"/>
        <family val="2"/>
        <charset val="134"/>
      </rPr>
      <t xml:space="preserve">》  </t>
    </r>
    <r>
      <rPr>
        <sz val="11"/>
        <color rgb="FF808080"/>
        <rFont val="Cambria"/>
        <family val="0"/>
        <charset val="1"/>
      </rPr>
      <t xml:space="preserve">https://zhuanlan.zhihu.com/p/624144171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</si>
  <si>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</si>
  <si>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</si>
  <si>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</si>
  <si>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</si>
  <si>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</si>
  <si>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</si>
  <si>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</si>
  <si>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images/slots/624144171-NN.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</si>
  <si>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</si>
  <si>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</si>
  <si>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</si>
  <si>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百搭图标本身一般没有中奖组合与赔付倍数，但在计算时可以被视为任意图标；同一局中它可以分别</t>
    </r>
  </si>
  <si>
    <r>
      <rPr>
        <sz val="11"/>
        <color theme="1"/>
        <rFont val="Noto Sans SC"/>
        <family val="2"/>
        <charset val="134"/>
      </rPr>
      <t xml:space="preserve">  在多条中奖线上被当作不同图标（原文例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  <charset val="134"/>
      </rPr>
      <t xml:space="preserve">：一条线上当 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、另一条线上当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，两条线都能中）。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</si>
  <si>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含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的固定卷轴算法：读各图标「出现数」时要在基础数量上加上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的数量；</t>
    </r>
  </si>
  <si>
    <t xml:space="preserve">  但算总事件数时必须用卷轴本身的图标个数（每列格数），不能用各图标出现数之和；</t>
  </si>
  <si>
    <t xml:space="preserve">  算「不出现数」时同样用 实际图标总数 − 该图标出现数。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</si>
  <si>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概率设置（随机卷轴）口径更简单：算出现概率时加上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的出现概率；算不出现概率时仍以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SC"/>
        <family val="2"/>
        <charset val="134"/>
      </rPr>
      <t xml:space="preserve">为基数。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</si>
  <si>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本例（原文配图）：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列 </t>
    </r>
    <r>
      <rPr>
        <sz val="11"/>
        <color theme="1"/>
        <rFont val="Calibri"/>
        <family val="2"/>
        <charset val="1"/>
      </rPr>
      <t xml:space="preserve">× 7 </t>
    </r>
    <r>
      <rPr>
        <sz val="11"/>
        <color theme="1"/>
        <rFont val="Noto Sans SC"/>
        <family val="2"/>
        <charset val="134"/>
      </rPr>
      <t xml:space="preserve">停，每列 </t>
    </r>
    <r>
      <rPr>
        <sz val="11"/>
        <color theme="1"/>
        <rFont val="Calibri"/>
        <family val="2"/>
        <charset val="1"/>
      </rPr>
      <t xml:space="preserve">J/Q/K </t>
    </r>
    <r>
      <rPr>
        <sz val="11"/>
        <color theme="1"/>
        <rFont val="Noto Sans SC"/>
        <family val="2"/>
        <charset val="134"/>
      </rPr>
      <t xml:space="preserve">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 ＋ </t>
    </r>
    <r>
      <rPr>
        <sz val="11"/>
        <color theme="1"/>
        <rFont val="Calibri"/>
        <family val="2"/>
        <charset val="1"/>
      </rPr>
      <t xml:space="preserve">Wild 1 </t>
    </r>
    <r>
      <rPr>
        <sz val="11"/>
        <color theme="1"/>
        <rFont val="Noto Sans SC"/>
        <family val="2"/>
        <charset val="134"/>
      </rPr>
      <t xml:space="preserve">个 → 各图标出现数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、不出现数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SC"/>
        <family val="2"/>
        <charset val="134"/>
      </rPr>
      <t xml:space="preserve">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</si>
  <si>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</si>
  <si>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在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游戏中，经常能够看见带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或</t>
    </r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SC"/>
        <family val="2"/>
        <charset val="134"/>
      </rPr>
      <t xml:space="preserve">字样的图标</t>
    </r>
  </si>
  <si>
    <r>
      <rPr>
        <sz val="11"/>
        <color theme="1"/>
        <rFont val="Noto Sans SC"/>
        <family val="2"/>
        <charset val="134"/>
      </rPr>
      <t xml:space="preserve">这些图标就是百搭图标（</t>
    </r>
    <r>
      <rPr>
        <sz val="11"/>
        <color theme="1"/>
        <rFont val="Calibri"/>
        <family val="2"/>
        <charset val="1"/>
      </rPr>
      <t xml:space="preserve">Wild Symbols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</si>
  <si>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624144171-01.jpg</t>
    </r>
  </si>
  <si>
    <t xml:space="preserve">百搭图标一般情况下本身没有中奖组合和赔付倍数</t>
  </si>
  <si>
    <t xml:space="preserve">其能够在计算时被视为任意图标</t>
  </si>
  <si>
    <r>
      <rPr>
        <sz val="11"/>
        <color theme="1"/>
        <rFont val="Noto Sans SC"/>
        <family val="2"/>
        <charset val="134"/>
      </rPr>
      <t xml:space="preserve">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：如下图所示，青色方块为该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的中奖线</t>
    </r>
  </si>
  <si>
    <r>
      <rPr>
        <sz val="11"/>
        <color theme="1"/>
        <rFont val="Noto Sans SC"/>
        <family val="2"/>
        <charset val="134"/>
      </rPr>
      <t xml:space="preserve">当图标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按照左侧方式在中奖线上排列时</t>
    </r>
  </si>
  <si>
    <r>
      <rPr>
        <sz val="11"/>
        <color theme="1"/>
        <rFont val="Noto Sans SC"/>
        <family val="2"/>
        <charset val="134"/>
      </rPr>
      <t xml:space="preserve">因为第二列不是图标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，因此被判定为不满足中奖条件</t>
    </r>
  </si>
  <si>
    <r>
      <rPr>
        <sz val="11"/>
        <color theme="1"/>
        <rFont val="Noto Sans SC"/>
        <family val="2"/>
        <charset val="134"/>
      </rPr>
      <t xml:space="preserve">但是当第二列出现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时，其能够被视为图标</t>
    </r>
    <r>
      <rPr>
        <sz val="11"/>
        <color theme="1"/>
        <rFont val="Calibri"/>
        <family val="2"/>
        <charset val="1"/>
      </rPr>
      <t xml:space="preserve">J</t>
    </r>
  </si>
  <si>
    <t xml:space="preserve">此时即可如右侧图片所示，满足中奖条件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</si>
  <si>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624144171-02.jpg</t>
    </r>
  </si>
  <si>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图标的百搭效果在单次摇奖中并不唯一</t>
    </r>
  </si>
  <si>
    <t xml:space="preserve">而是能够被视为多种图标</t>
  </si>
  <si>
    <r>
      <rPr>
        <sz val="11"/>
        <color theme="1"/>
        <rFont val="Noto Sans SC"/>
        <family val="2"/>
        <charset val="134"/>
      </rPr>
      <t xml:space="preserve">例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  <charset val="134"/>
      </rPr>
      <t xml:space="preserve">：如下图所示，该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有黄色和青色两条中奖线，在第二列和第四列的第二行相交</t>
    </r>
  </si>
  <si>
    <r>
      <rPr>
        <sz val="11"/>
        <color theme="1"/>
        <rFont val="Noto Sans SC"/>
        <family val="2"/>
        <charset val="134"/>
      </rPr>
      <t xml:space="preserve">假设两条中奖线上分别出现了图标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和图标</t>
    </r>
    <r>
      <rPr>
        <sz val="11"/>
        <color theme="1"/>
        <rFont val="Calibri"/>
        <family val="2"/>
        <charset val="1"/>
      </rPr>
      <t xml:space="preserve">K</t>
    </r>
  </si>
  <si>
    <t xml:space="preserve">但是在第二列和第四列的第二行出现的并不是这两个图标</t>
  </si>
  <si>
    <t xml:space="preserve">此时两条中奖线均没有中奖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</si>
  <si>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624144171-03.jpg</t>
    </r>
  </si>
  <si>
    <r>
      <rPr>
        <sz val="11"/>
        <color theme="1"/>
        <rFont val="Noto Sans SC"/>
        <family val="2"/>
        <charset val="134"/>
      </rPr>
      <t xml:space="preserve">当第二列和第四列的第二行出现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图标时</t>
    </r>
  </si>
  <si>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图标在两条中奖线中分别被视为图标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和图标</t>
    </r>
    <r>
      <rPr>
        <sz val="11"/>
        <color theme="1"/>
        <rFont val="Calibri"/>
        <family val="2"/>
        <charset val="1"/>
      </rPr>
      <t xml:space="preserve">K</t>
    </r>
  </si>
  <si>
    <t xml:space="preserve">两条中奖线都能中奖</t>
  </si>
  <si>
    <r>
      <rPr>
        <sz val="11"/>
        <color theme="1"/>
        <rFont val="Noto Sans SC"/>
        <family val="2"/>
        <charset val="134"/>
      </rPr>
      <t xml:space="preserve">数值计算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固定卷轴</t>
    </r>
  </si>
  <si>
    <r>
      <rPr>
        <sz val="11"/>
        <color theme="1"/>
        <rFont val="Noto Sans SC"/>
        <family val="2"/>
        <charset val="134"/>
      </rPr>
      <t xml:space="preserve">添加了</t>
    </r>
    <r>
      <rPr>
        <sz val="11"/>
        <color theme="1"/>
        <rFont val="Calibri"/>
        <family val="2"/>
        <charset val="1"/>
      </rPr>
      <t xml:space="preserve">Wild Symbols</t>
    </r>
    <r>
      <rPr>
        <sz val="11"/>
        <color theme="1"/>
        <rFont val="Noto Sans SC"/>
        <family val="2"/>
        <charset val="134"/>
      </rPr>
      <t xml:space="preserve">作为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计算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时需要注意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对其他图标出现几率的影响</t>
    </r>
  </si>
  <si>
    <r>
      <rPr>
        <sz val="11"/>
        <color theme="1"/>
        <rFont val="Noto Sans SC"/>
        <family val="2"/>
        <charset val="134"/>
      </rPr>
      <t xml:space="preserve">以以下固定卷轴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为例：</t>
    </r>
  </si>
  <si>
    <r>
      <rPr>
        <sz val="11"/>
        <color theme="1"/>
        <rFont val="Calibri"/>
        <family val="2"/>
        <charset val="1"/>
      </rPr>
      <t xml:space="preserve"> Slots </t>
    </r>
    <r>
      <rPr>
        <sz val="11"/>
        <color theme="1"/>
        <rFont val="Noto Sans SC"/>
        <family val="2"/>
        <charset val="134"/>
      </rPr>
      <t xml:space="preserve">尺寸：</t>
    </r>
    <r>
      <rPr>
        <sz val="11"/>
        <color theme="1"/>
        <rFont val="Calibri"/>
        <family val="2"/>
        <charset val="1"/>
      </rPr>
      <t xml:space="preserve">3*5</t>
    </r>
  </si>
  <si>
    <r>
      <rPr>
        <sz val="11"/>
        <color theme="1"/>
        <rFont val="Noto Sans SC"/>
        <family val="2"/>
        <charset val="134"/>
      </rPr>
      <t xml:space="preserve">图标：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Wild</t>
    </r>
  </si>
  <si>
    <t xml:space="preserve">固定卷轴排列如下：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</si>
  <si>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624144171-04.png</t>
    </r>
  </si>
  <si>
    <r>
      <rPr>
        <sz val="11"/>
        <color theme="1"/>
        <rFont val="Noto Sans SC"/>
        <family val="2"/>
        <charset val="134"/>
      </rPr>
      <t xml:space="preserve">在读取含有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的固定卷轴图标数时，需要在每个图标基础数量的基础上添加</t>
    </r>
    <r>
      <rPr>
        <sz val="11"/>
        <color theme="1"/>
        <rFont val="Calibri"/>
        <family val="2"/>
        <charset val="1"/>
      </rPr>
      <t xml:space="preserve">Wild</t>
    </r>
  </si>
  <si>
    <t xml:space="preserve">并且在计算总事件数时一定要使用卷轴本身的图标个数，而不是每个图标事件数之和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</si>
  <si>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624144171-05.jpg</t>
    </r>
  </si>
  <si>
    <t xml:space="preserve">同理，在计算图标不出现的事件数时，也需要用实际图标总数减去图标出现的事件数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</si>
  <si>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624144171-06.jpg</t>
    </r>
  </si>
  <si>
    <r>
      <rPr>
        <sz val="11"/>
        <color theme="1"/>
        <rFont val="Noto Sans SC"/>
        <family val="2"/>
        <charset val="134"/>
      </rPr>
      <t xml:space="preserve">接下来的步骤就和普通的</t>
    </r>
    <r>
      <rPr>
        <sz val="11"/>
        <color theme="1"/>
        <rFont val="Calibri"/>
        <family val="2"/>
        <charset val="1"/>
      </rPr>
      <t xml:space="preserve">3*5Line Slots </t>
    </r>
    <r>
      <rPr>
        <sz val="11"/>
        <color theme="1"/>
        <rFont val="Noto Sans SC"/>
        <family val="2"/>
        <charset val="134"/>
      </rPr>
      <t xml:space="preserve">一致，该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计算步骤如下：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</si>
  <si>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624144171-07.jpg</t>
    </r>
  </si>
  <si>
    <r>
      <rPr>
        <sz val="11"/>
        <color theme="1"/>
        <rFont val="Noto Sans SC"/>
        <family val="2"/>
        <charset val="134"/>
      </rPr>
      <t xml:space="preserve">数值计算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概率设置</t>
    </r>
  </si>
  <si>
    <t xml:space="preserve">使用概率设置时相对更加简单</t>
  </si>
  <si>
    <r>
      <rPr>
        <sz val="11"/>
        <color theme="1"/>
        <rFont val="Noto Sans SC"/>
        <family val="2"/>
        <charset val="134"/>
      </rPr>
      <t xml:space="preserve">在计算出现的概率时加上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的出现概率</t>
    </r>
  </si>
  <si>
    <r>
      <rPr>
        <sz val="11"/>
        <color theme="1"/>
        <rFont val="Noto Sans SC"/>
        <family val="2"/>
        <charset val="134"/>
      </rPr>
      <t xml:space="preserve">并在计算不出现概率时，依旧使用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SC"/>
        <family val="2"/>
        <charset val="134"/>
      </rPr>
      <t xml:space="preserve">做为基数即可</t>
    </r>
  </si>
  <si>
    <t xml:space="preserve">得到以下计算步骤：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</si>
  <si>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08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624144171-08.jpg</t>
    </r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</si>
  <si>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</si>
  <si>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624144171-01.jpg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</si>
  <si>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624144171-02.jpg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</si>
  <si>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624144171-03.jpg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</si>
  <si>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624144171-04.png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</si>
  <si>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624144171-05.jpg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</si>
  <si>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06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624144171-06.jpg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</si>
  <si>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07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624144171-07.jpg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</si>
  <si>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08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624144171-08.jpg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</si>
  <si>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</si>
  <si>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</si>
  <si>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</si>
  <si>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</si>
  <si>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</si>
  <si>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</si>
  <si>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Wild Symbols</t>
    </r>
    <r>
      <rPr>
        <sz val="11"/>
        <color rgb="FF808080"/>
        <rFont val="Noto Sans SC"/>
        <family val="2"/>
        <charset val="134"/>
      </rPr>
      <t xml:space="preserve">》</t>
    </r>
    <r>
      <rPr>
        <sz val="11"/>
        <color rgb="FF808080"/>
        <rFont val="Cambria"/>
        <family val="0"/>
        <charset val="1"/>
      </rPr>
      <t xml:space="preserve">, https://zhuanlan.zhihu.com/p/624144171</t>
    </r>
  </si>
  <si>
    <r>
      <rPr>
        <b val="true"/>
        <sz val="14"/>
        <color rgb="FF1F4E79"/>
        <rFont val="Noto Sans SC"/>
        <family val="2"/>
        <charset val="134"/>
      </rPr>
      <t xml:space="preserve">数值篇 </t>
    </r>
    <r>
      <rPr>
        <b val="true"/>
        <sz val="14"/>
        <color rgb="FF1F4E79"/>
        <rFont val="Cambria"/>
        <family val="0"/>
        <charset val="1"/>
      </rPr>
      <t xml:space="preserve">· Wild Symbols —— </t>
    </r>
    <r>
      <rPr>
        <b val="true"/>
        <sz val="14"/>
        <color rgb="FF1F4E79"/>
        <rFont val="Noto Sans SC"/>
        <family val="2"/>
        <charset val="134"/>
      </rPr>
      <t xml:space="preserve">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</si>
  <si>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】基本参数</t>
    </r>
  </si>
  <si>
    <t xml:space="preserve">项目</t>
  </si>
  <si>
    <t xml:space="preserve">数值</t>
  </si>
  <si>
    <t xml:space="preserve">玩法</t>
  </si>
  <si>
    <r>
      <rPr>
        <sz val="11"/>
        <color rgb="FF0000FF"/>
        <rFont val="Cambria"/>
        <family val="0"/>
        <charset val="1"/>
      </rPr>
      <t xml:space="preserve">3*5 Line Slots </t>
    </r>
    <r>
      <rPr>
        <sz val="11"/>
        <color rgb="FF0000FF"/>
        <rFont val="Noto Sans SC"/>
        <family val="2"/>
        <charset val="134"/>
      </rPr>
      <t xml:space="preserve">＋ </t>
    </r>
    <r>
      <rPr>
        <sz val="11"/>
        <color rgb="FF0000FF"/>
        <rFont val="Cambria"/>
        <family val="0"/>
        <charset val="1"/>
      </rPr>
      <t xml:space="preserve">Wild</t>
    </r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</si>
  <si>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行 </t>
    </r>
    <r>
      <rPr>
        <sz val="11"/>
        <color theme="1"/>
        <rFont val="Calibri"/>
        <family val="2"/>
        <charset val="1"/>
      </rPr>
      <t xml:space="preserve">× 5 </t>
    </r>
    <r>
      <rPr>
        <sz val="11"/>
        <color theme="1"/>
        <rFont val="Noto Sans SC"/>
        <family val="2"/>
        <charset val="134"/>
      </rPr>
      <t xml:space="preserve">列</t>
    </r>
  </si>
  <si>
    <t xml:space="preserve">卷轴列数</t>
  </si>
  <si>
    <t xml:space="preserve">窗口行数</t>
  </si>
  <si>
    <t xml:space="preserve">每列停位数</t>
  </si>
  <si>
    <r>
      <rPr>
        <sz val="11"/>
        <color theme="1"/>
        <rFont val="Noto Sans SC"/>
        <family val="2"/>
        <charset val="134"/>
      </rPr>
      <t xml:space="preserve">每列 </t>
    </r>
    <r>
      <rPr>
        <sz val="11"/>
        <color theme="1"/>
        <rFont val="Calibri"/>
        <family val="2"/>
        <charset val="1"/>
      </rPr>
      <t xml:space="preserve">J2 </t>
    </r>
    <r>
      <rPr>
        <sz val="11"/>
        <color theme="1"/>
        <rFont val="Noto Sans SC"/>
        <family val="2"/>
        <charset val="134"/>
      </rPr>
      <t xml:space="preserve">＋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SC"/>
        <family val="2"/>
        <charset val="134"/>
      </rPr>
      <t xml:space="preserve">＋ </t>
    </r>
    <r>
      <rPr>
        <sz val="11"/>
        <color theme="1"/>
        <rFont val="Calibri"/>
        <family val="2"/>
        <charset val="1"/>
      </rPr>
      <t xml:space="preserve">K2 </t>
    </r>
    <r>
      <rPr>
        <sz val="11"/>
        <color theme="1"/>
        <rFont val="Noto Sans SC"/>
        <family val="2"/>
        <charset val="134"/>
      </rPr>
      <t xml:space="preserve">＋ </t>
    </r>
    <r>
      <rPr>
        <sz val="11"/>
        <color theme="1"/>
        <rFont val="Calibri"/>
        <family val="2"/>
        <charset val="1"/>
      </rPr>
      <t xml:space="preserve">Wild1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7</t>
    </r>
  </si>
  <si>
    <t xml:space="preserve">卷轴类型</t>
  </si>
  <si>
    <t xml:space="preserve">固定卷轴</t>
  </si>
  <si>
    <t xml:space="preserve">总事件数</t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</si>
  <si>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7⁵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16807</t>
    </r>
    <r>
      <rPr>
        <sz val="11"/>
        <color theme="1"/>
        <rFont val="Noto Sans SC"/>
        <family val="2"/>
        <charset val="134"/>
      </rPr>
      <t xml:space="preserve">（用每列格数，不用图标数之和）</t>
    </r>
  </si>
  <si>
    <t xml:space="preserve">赔付基数</t>
  </si>
  <si>
    <t xml:space="preserve">Line Bet</t>
  </si>
  <si>
    <r>
      <rPr>
        <sz val="11"/>
        <color theme="1"/>
        <rFont val="Noto Sans SC"/>
        <family val="2"/>
        <charset val="134"/>
      </rPr>
      <t xml:space="preserve">沿用 </t>
    </r>
    <r>
      <rPr>
        <sz val="11"/>
        <color theme="1"/>
        <rFont val="Calibri"/>
        <family val="2"/>
        <charset val="1"/>
      </rPr>
      <t xml:space="preserve">3*5 </t>
    </r>
    <r>
      <rPr>
        <sz val="11"/>
        <color theme="1"/>
        <rFont val="Noto Sans SC"/>
        <family val="2"/>
        <charset val="134"/>
      </rPr>
      <t xml:space="preserve">篇示例倍数（原文未在正文给出）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</si>
  <si>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】固定卷轴排列（</t>
    </r>
    <r>
      <rPr>
        <b val="true"/>
        <sz val="11"/>
        <color rgb="FF1F4E79"/>
        <rFont val="Cambria"/>
        <family val="0"/>
        <charset val="1"/>
      </rPr>
      <t xml:space="preserve">5 </t>
    </r>
    <r>
      <rPr>
        <b val="true"/>
        <sz val="11"/>
        <color rgb="FF1F4E79"/>
        <rFont val="Noto Sans SC"/>
        <family val="2"/>
        <charset val="134"/>
      </rPr>
      <t xml:space="preserve">列 </t>
    </r>
    <r>
      <rPr>
        <b val="true"/>
        <sz val="11"/>
        <color rgb="FF1F4E79"/>
        <rFont val="Cambria"/>
        <family val="0"/>
        <charset val="1"/>
      </rPr>
      <t xml:space="preserve">× 7 </t>
    </r>
    <r>
      <rPr>
        <b val="true"/>
        <sz val="11"/>
        <color rgb="FF1F4E79"/>
        <rFont val="Noto Sans SC"/>
        <family val="2"/>
        <charset val="134"/>
      </rPr>
      <t xml:space="preserve">停，按原文配图转录；蓝字可改）</t>
    </r>
  </si>
  <si>
    <t xml:space="preserve">停位</t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</si>
  <si>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1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</si>
  <si>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2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</si>
  <si>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3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</si>
  <si>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4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</si>
  <si>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5</t>
    </r>
  </si>
  <si>
    <t xml:space="preserve">Wild</t>
  </si>
  <si>
    <t xml:space="preserve">Q</t>
  </si>
  <si>
    <t xml:space="preserve">K</t>
  </si>
  <si>
    <t xml:space="preserve">J</t>
  </si>
  <si>
    <t xml:space="preserve">每列格数</t>
  </si>
  <si>
    <r>
      <rPr>
        <sz val="11"/>
        <color theme="1"/>
        <rFont val="Noto Sans SC"/>
        <family val="2"/>
        <charset val="134"/>
      </rPr>
      <t xml:space="preserve">应与【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】每列停位数一致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</si>
  <si>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】各图标「出现数」＝ 基础图标数 ＋ 该列 </t>
    </r>
    <r>
      <rPr>
        <b val="true"/>
        <sz val="11"/>
        <color rgb="FF1F4E79"/>
        <rFont val="Cambria"/>
        <family val="0"/>
        <charset val="1"/>
      </rPr>
      <t xml:space="preserve">Wild </t>
    </r>
    <r>
      <rPr>
        <b val="true"/>
        <sz val="11"/>
        <color rgb="FF1F4E79"/>
        <rFont val="Noto Sans SC"/>
        <family val="2"/>
        <charset val="134"/>
      </rPr>
      <t xml:space="preserve">数（原文核心步骤）</t>
    </r>
  </si>
  <si>
    <t xml:space="preserve">图标</t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</si>
  <si>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出现数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</si>
  <si>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出现数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</si>
  <si>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出现数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</si>
  <si>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出现数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</si>
  <si>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出现数</t>
    </r>
  </si>
  <si>
    <t xml:space="preserve">不出现数</t>
  </si>
  <si>
    <r>
      <rPr>
        <sz val="11"/>
        <color theme="1"/>
        <rFont val="Noto Sans SC"/>
        <family val="2"/>
        <charset val="134"/>
      </rPr>
      <t xml:space="preserve">出现数 ＝ 基础数 ＋ 该列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数；不出现数 ＝ 每列格数 − 出现数</t>
    </r>
  </si>
  <si>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（参考）</t>
    </r>
  </si>
  <si>
    <t xml:space="preserve">—</t>
  </si>
  <si>
    <t xml:space="preserve">百搭本身无赔付；它增加的是其他图标的出现数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</si>
  <si>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】各中奖组合的事件数（出现数含 </t>
    </r>
    <r>
      <rPr>
        <b val="true"/>
        <sz val="11"/>
        <color rgb="FF1F4E79"/>
        <rFont val="Cambria"/>
        <family val="0"/>
        <charset val="1"/>
      </rPr>
      <t xml:space="preserve">Wild</t>
    </r>
    <r>
      <rPr>
        <b val="true"/>
        <sz val="11"/>
        <color rgb="FF1F4E79"/>
        <rFont val="Noto Sans SC"/>
        <family val="2"/>
        <charset val="134"/>
      </rPr>
      <t xml:space="preserve">；不出现数用 实际图标总数 相减）</t>
    </r>
  </si>
  <si>
    <t xml:space="preserve">中奖组合</t>
  </si>
  <si>
    <t xml:space="preserve">事件数</t>
  </si>
  <si>
    <t xml:space="preserve">中奖率</t>
  </si>
  <si>
    <t xml:space="preserve">赔付倍数</t>
  </si>
  <si>
    <r>
      <rPr>
        <b val="true"/>
        <sz val="11"/>
        <color rgb="FF1F4E79"/>
        <rFont val="Cambria"/>
        <family val="0"/>
        <charset val="1"/>
      </rPr>
      <t xml:space="preserve">RTP </t>
    </r>
    <r>
      <rPr>
        <b val="true"/>
        <sz val="11"/>
        <color rgb="FF1F4E79"/>
        <rFont val="Noto Sans SC"/>
        <family val="2"/>
        <charset val="134"/>
      </rPr>
      <t xml:space="preserve">贡献</t>
    </r>
  </si>
  <si>
    <r>
      <rPr>
        <b val="true"/>
        <sz val="11"/>
        <rFont val="Noto Sans SC"/>
        <family val="2"/>
        <charset val="134"/>
      </rPr>
      <t xml:space="preserve">合计 </t>
    </r>
    <r>
      <rPr>
        <b val="true"/>
        <sz val="11"/>
        <rFont val="Cambria"/>
        <family val="0"/>
        <charset val="1"/>
      </rPr>
      <t xml:space="preserve">RTP</t>
    </r>
  </si>
  <si>
    <r>
      <rPr>
        <sz val="11"/>
        <color rgb="FF808080"/>
        <rFont val="Noto Sans SC"/>
        <family val="2"/>
        <charset val="134"/>
      </rPr>
      <t xml:space="preserve">说明：本表赔付倍数沿用同项目《老虎机数学入门》示例（</t>
    </r>
    <r>
      <rPr>
        <sz val="11"/>
        <color rgb="FF808080"/>
        <rFont val="Cambria"/>
        <family val="0"/>
        <charset val="1"/>
      </rPr>
      <t xml:space="preserve">J 5/20/75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Q 5/25/100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K 5/30/100</t>
    </r>
    <r>
      <rPr>
        <sz val="11"/>
        <color rgb="FF808080"/>
        <rFont val="Noto Sans SC"/>
        <family val="2"/>
        <charset val="134"/>
      </rPr>
      <t xml:space="preserve">），原文正文未给出含 </t>
    </r>
    <r>
      <rPr>
        <sz val="11"/>
        <color rgb="FF808080"/>
        <rFont val="Cambria"/>
        <family val="0"/>
        <charset val="1"/>
      </rPr>
      <t xml:space="preserve">Wild </t>
    </r>
    <r>
      <rPr>
        <sz val="11"/>
        <color rgb="FF808080"/>
        <rFont val="Noto Sans SC"/>
        <family val="2"/>
        <charset val="134"/>
      </rPr>
      <t xml:space="preserve">的赔付表（只给方法）；因 </t>
    </r>
    <r>
      <rPr>
        <sz val="11"/>
        <color rgb="FF808080"/>
        <rFont val="Cambria"/>
        <family val="0"/>
        <charset val="1"/>
      </rPr>
      <t xml:space="preserve">Wild </t>
    </r>
    <r>
      <rPr>
        <sz val="11"/>
        <color rgb="FF808080"/>
        <rFont val="Noto Sans SC"/>
        <family val="2"/>
        <charset val="134"/>
      </rPr>
      <t xml:space="preserve">让每个图标的出现数从 </t>
    </r>
    <r>
      <rPr>
        <sz val="11"/>
        <color rgb="FF808080"/>
        <rFont val="Cambria"/>
        <family val="0"/>
        <charset val="1"/>
      </rPr>
      <t xml:space="preserve">2 </t>
    </r>
    <r>
      <rPr>
        <sz val="11"/>
        <color rgb="FF808080"/>
        <rFont val="Noto Sans SC"/>
        <family val="2"/>
        <charset val="134"/>
      </rPr>
      <t xml:space="preserve">升到 </t>
    </r>
    <r>
      <rPr>
        <sz val="11"/>
        <color rgb="FF808080"/>
        <rFont val="Cambria"/>
        <family val="0"/>
        <charset val="1"/>
      </rPr>
      <t xml:space="preserve">3</t>
    </r>
    <r>
      <rPr>
        <sz val="11"/>
        <color rgb="FF808080"/>
        <rFont val="Noto Sans SC"/>
        <family val="2"/>
        <charset val="134"/>
      </rPr>
      <t xml:space="preserve">，同一套倍数下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会明显偏高，所以下面给出目标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反算。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</si>
  <si>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】目标 </t>
    </r>
    <r>
      <rPr>
        <b val="true"/>
        <sz val="11"/>
        <color rgb="FF1F4E79"/>
        <rFont val="Cambria"/>
        <family val="0"/>
        <charset val="1"/>
      </rPr>
      <t xml:space="preserve">RTP </t>
    </r>
    <r>
      <rPr>
        <b val="true"/>
        <sz val="11"/>
        <color rgb="FF1F4E79"/>
        <rFont val="Noto Sans SC"/>
        <family val="2"/>
        <charset val="134"/>
      </rPr>
      <t xml:space="preserve">反算（统一缩放赔付倍数）</t>
    </r>
  </si>
  <si>
    <r>
      <rPr>
        <sz val="11"/>
        <color theme="1"/>
        <rFont val="Noto Sans SC"/>
        <family val="2"/>
        <charset val="134"/>
      </rPr>
      <t xml:space="preserve">当前 </t>
    </r>
    <r>
      <rPr>
        <sz val="11"/>
        <color theme="1"/>
        <rFont val="Calibri"/>
        <family val="2"/>
        <charset val="1"/>
      </rPr>
      <t xml:space="preserve">RTP</t>
    </r>
  </si>
  <si>
    <t xml:space="preserve">由本簿卷轴与示例赔付表算出</t>
  </si>
  <si>
    <r>
      <rPr>
        <sz val="11"/>
        <color theme="1"/>
        <rFont val="Noto Sans SC"/>
        <family val="2"/>
        <charset val="134"/>
      </rPr>
      <t xml:space="preserve">目标 </t>
    </r>
    <r>
      <rPr>
        <sz val="11"/>
        <color theme="1"/>
        <rFont val="Calibri"/>
        <family val="2"/>
        <charset val="1"/>
      </rPr>
      <t xml:space="preserve">RTP</t>
    </r>
  </si>
  <si>
    <t xml:space="preserve">蓝字可改</t>
  </si>
  <si>
    <t xml:space="preserve">统一赔付缩放系数</t>
  </si>
  <si>
    <r>
      <rPr>
        <sz val="11"/>
        <color theme="1"/>
        <rFont val="Noto Sans SC"/>
        <family val="2"/>
        <charset val="134"/>
      </rPr>
      <t xml:space="preserve">示例赔付倍数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该系数即可落到目标 </t>
    </r>
    <r>
      <rPr>
        <sz val="11"/>
        <color theme="1"/>
        <rFont val="Calibri"/>
        <family val="2"/>
        <charset val="1"/>
      </rPr>
      <t xml:space="preserve">RTP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</si>
  <si>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6</t>
    </r>
    <r>
      <rPr>
        <b val="true"/>
        <sz val="11"/>
        <color rgb="FF1F4E79"/>
        <rFont val="Noto Sans SC"/>
        <family val="2"/>
        <charset val="134"/>
      </rPr>
      <t xml:space="preserve">】概率设置口径（随机卷轴：出现概率加 </t>
    </r>
    <r>
      <rPr>
        <b val="true"/>
        <sz val="11"/>
        <color rgb="FF1F4E79"/>
        <rFont val="Cambria"/>
        <family val="0"/>
        <charset val="1"/>
      </rPr>
      <t xml:space="preserve">Wild</t>
    </r>
    <r>
      <rPr>
        <b val="true"/>
        <sz val="11"/>
        <color rgb="FF1F4E79"/>
        <rFont val="Noto Sans SC"/>
        <family val="2"/>
        <charset val="134"/>
      </rPr>
      <t xml:space="preserve">，不出现概率仍以 </t>
    </r>
    <r>
      <rPr>
        <b val="true"/>
        <sz val="11"/>
        <color rgb="FF1F4E79"/>
        <rFont val="Cambria"/>
        <family val="0"/>
        <charset val="1"/>
      </rPr>
      <t xml:space="preserve">100% </t>
    </r>
    <r>
      <rPr>
        <b val="true"/>
        <sz val="11"/>
        <color rgb="FF1F4E79"/>
        <rFont val="Noto Sans SC"/>
        <family val="2"/>
        <charset val="134"/>
      </rPr>
      <t xml:space="preserve">为基数）</t>
    </r>
  </si>
  <si>
    <t xml:space="preserve">每列基础图标概率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</si>
  <si>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/ 7 </t>
    </r>
    <r>
      <rPr>
        <sz val="11"/>
        <color theme="1"/>
        <rFont val="Noto Sans SC"/>
        <family val="2"/>
        <charset val="134"/>
      </rPr>
      <t xml:space="preserve">停</t>
    </r>
  </si>
  <si>
    <r>
      <rPr>
        <sz val="11"/>
        <color theme="1"/>
        <rFont val="Noto Sans SC"/>
        <family val="2"/>
        <charset val="134"/>
      </rPr>
      <t xml:space="preserve">每列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概率</t>
    </r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</si>
  <si>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/ 7 </t>
    </r>
    <r>
      <rPr>
        <sz val="11"/>
        <color theme="1"/>
        <rFont val="Noto Sans SC"/>
        <family val="2"/>
        <charset val="134"/>
      </rPr>
      <t xml:space="preserve">停</t>
    </r>
  </si>
  <si>
    <r>
      <rPr>
        <sz val="11"/>
        <color theme="1"/>
        <rFont val="Noto Sans SC"/>
        <family val="2"/>
        <charset val="134"/>
      </rPr>
      <t xml:space="preserve">出现概率（含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</si>
  <si>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＝ 基础概率 ＋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概率</t>
    </r>
  </si>
  <si>
    <t xml:space="preserve">不出现概率</t>
  </si>
  <si>
    <r>
      <rPr>
        <sz val="11"/>
        <color theme="1"/>
        <rFont val="Noto Sans SC"/>
        <family val="2"/>
        <charset val="134"/>
      </rPr>
      <t xml:space="preserve">原文：以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SC"/>
        <family val="2"/>
        <charset val="134"/>
      </rPr>
      <t xml:space="preserve">为基数相减</t>
    </r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</si>
  <si>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连概率</t>
    </r>
  </si>
  <si>
    <r>
      <rPr>
        <sz val="11"/>
        <color theme="1"/>
        <rFont val="Noto Sans SC"/>
        <family val="2"/>
        <charset val="134"/>
      </rPr>
      <t xml:space="preserve">出现³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不出现（第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列）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</si>
  <si>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连概率</t>
    </r>
  </si>
  <si>
    <r>
      <rPr>
        <sz val="11"/>
        <color theme="1"/>
        <rFont val="Noto Sans SC"/>
        <family val="2"/>
        <charset val="134"/>
      </rPr>
      <t xml:space="preserve">出现⁴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不出现（第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列）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</si>
  <si>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连概率</t>
    </r>
  </si>
  <si>
    <t xml:space="preserve">出现⁵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</si>
  <si>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7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</si>
  <si>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</si>
  <si>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t xml:space="preserve">结果</t>
  </si>
  <si>
    <r>
      <rPr>
        <sz val="11"/>
        <color theme="1"/>
        <rFont val="Noto Sans SC"/>
        <family val="2"/>
        <charset val="134"/>
      </rPr>
      <t xml:space="preserve">每列格数一致且等于【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】设定</t>
    </r>
  </si>
  <si>
    <r>
      <rPr>
        <sz val="11"/>
        <color theme="1"/>
        <rFont val="Noto Sans SC"/>
        <family val="2"/>
        <charset val="134"/>
      </rPr>
      <t xml:space="preserve">各列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数一致</t>
    </r>
  </si>
  <si>
    <r>
      <rPr>
        <sz val="11"/>
        <color theme="1"/>
        <rFont val="Noto Sans SC"/>
        <family val="2"/>
        <charset val="134"/>
      </rPr>
      <t xml:space="preserve">本例每列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Wild</t>
    </r>
  </si>
  <si>
    <r>
      <rPr>
        <sz val="11"/>
        <color theme="1"/>
        <rFont val="Noto Sans SC"/>
        <family val="2"/>
        <charset val="134"/>
      </rPr>
      <t xml:space="preserve">总事件数用每列格数（</t>
    </r>
    <r>
      <rPr>
        <sz val="11"/>
        <color theme="1"/>
        <rFont val="Calibri"/>
        <family val="2"/>
        <charset val="1"/>
      </rPr>
      <t xml:space="preserve">7⁵</t>
    </r>
    <r>
      <rPr>
        <sz val="11"/>
        <color theme="1"/>
        <rFont val="Noto Sans SC"/>
        <family val="2"/>
        <charset val="134"/>
      </rPr>
      <t xml:space="preserve">），不用图标数之和</t>
    </r>
  </si>
  <si>
    <t xml:space="preserve">原文：一定要用卷轴本身的图标个数</t>
  </si>
  <si>
    <t xml:space="preserve">三档事件数互不重复且合计 ≤ 总事件数</t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</si>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</sst>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000"/>
    <numFmt numFmtId="168" formatCode="0.0000%"/>
    <numFmt numFmtId="169" formatCode="0.0000000000%"/>
  </numFmts>
  <fonts count="1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SC"/>
      <family val="2"/>
      <charset val="134"/>
    </font>
    <font>
      <sz val="11"/>
      <color rgb="FF000000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applyNumberFormat="1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applyNumberFormat="1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applyNumberFormat="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8" customFormat="false" ht="15" hidden="false" customHeight="false" outlineLevel="0" collapsed="false">
      <c r="A8" s="4" t="s">
        <v>5</v>
      </c>
    </row>
    <row r="9" customFormat="false" ht="29" hidden="false" customHeight="false" outlineLevel="0" collapsed="false">
      <c r="A9" s="28" t="s">
        <v>6</v>
      </c>
    </row>
    <row r="10" customFormat="false" ht="29" hidden="false" customHeight="false" outlineLevel="0" collapsed="false">
      <c r="A10" s="28" t="s">
        <v>7</v>
      </c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4" t="s">
        <v>8</v>
      </c>
    </row>
    <row r="13" customFormat="false" ht="15" hidden="false" customHeight="1" outlineLevel="0" collapsed="false">
      <c r="A13" s="29" t="s">
        <v>9</v>
      </c>
      <c r="B13" s="6"/>
      <c r="C13" s="6"/>
    </row>
    <row r="14" customFormat="false" ht="42" hidden="false" customHeight="false" outlineLevel="0" collapsed="false">
      <c r="A14" s="28" t="s">
        <v>10</v>
      </c>
    </row>
    <row r="15" customFormat="false" ht="15" hidden="false" customHeight="1" outlineLevel="0" collapsed="false">
      <c r="A15" s="29" t="s">
        <v>11</v>
      </c>
      <c r="B15" s="6"/>
      <c r="C15" s="6"/>
    </row>
    <row r="16" customFormat="false" ht="15" hidden="false" customHeight="false" outlineLevel="0" collapsed="false">
      <c r="A16" s="5"/>
    </row>
    <row r="17" customFormat="false" ht="15" hidden="false" customHeight="false" outlineLevel="0" collapsed="false">
      <c r="A17" s="4" t="s">
        <v>12</v>
      </c>
    </row>
    <row r="18" customFormat="false" ht="29" hidden="false" customHeight="false" outlineLevel="0" collapsed="false">
      <c r="A18" s="28" t="s">
        <v>13</v>
      </c>
    </row>
    <row r="19" customFormat="false" ht="30" hidden="false" customHeight="false" outlineLevel="0" collapsed="false">
      <c r="A19" s="30" t="s">
        <v>14</v>
      </c>
    </row>
    <row r="20" customFormat="false" ht="30" hidden="false" customHeight="false" outlineLevel="0" collapsed="false">
      <c r="A20" s="28" t="s">
        <v>15</v>
      </c>
    </row>
    <row r="21" customFormat="false" ht="28" hidden="false" customHeight="false" outlineLevel="0" collapsed="false">
      <c r="A21" s="30" t="s">
        <v>16</v>
      </c>
    </row>
    <row r="22" customFormat="false" ht="28" hidden="false" customHeight="false" outlineLevel="0" collapsed="false">
      <c r="A22" s="30" t="s">
        <v>17</v>
      </c>
    </row>
    <row r="23" customFormat="false" ht="43" hidden="false" customHeight="false" outlineLevel="0" collapsed="false">
      <c r="A23" s="28" t="s">
        <v>18</v>
      </c>
    </row>
    <row r="24" customFormat="false" ht="30" hidden="false" customHeight="false" outlineLevel="0" collapsed="false">
      <c r="A24" s="28" t="s">
        <v>19</v>
      </c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7"/>
    </row>
    <row r="28" customFormat="false" ht="29" hidden="false" customHeight="false" outlineLevel="0" collapsed="false">
      <c r="A28" s="30" t="s">
        <v>21</v>
      </c>
    </row>
    <row r="29" customFormat="false" ht="16" hidden="false" customHeight="false" outlineLevel="0" collapsed="false">
      <c r="A29" s="7" t="s">
        <v>22</v>
      </c>
    </row>
    <row r="30" customFormat="false" ht="15" hidden="false" customHeight="false" outlineLevel="0" collapsed="false">
      <c r="A30" s="7"/>
    </row>
    <row r="31" customFormat="false" ht="16" hidden="false" customHeight="false" outlineLevel="0" collapsed="false">
      <c r="A31" s="7" t="s">
        <v>23</v>
      </c>
    </row>
    <row r="32" customFormat="false" ht="15" hidden="false" customHeight="false" outlineLevel="0" collapsed="false">
      <c r="A32" s="7"/>
    </row>
    <row r="33" customFormat="false" ht="15" hidden="false" customHeight="false" outlineLevel="0" collapsed="false">
      <c r="A33" s="30" t="s">
        <v>24</v>
      </c>
    </row>
    <row r="34" customFormat="false" ht="15" hidden="false" customHeight="false" outlineLevel="0" collapsed="false">
      <c r="A34" s="7" t="s">
        <v>25</v>
      </c>
    </row>
    <row r="35" customFormat="false" ht="16" hidden="false" customHeight="false" outlineLevel="0" collapsed="false">
      <c r="A35" s="30" t="s">
        <v>26</v>
      </c>
    </row>
    <row r="36" customFormat="false" ht="16" hidden="false" customHeight="false" outlineLevel="0" collapsed="false">
      <c r="A36" s="7" t="s">
        <v>27</v>
      </c>
    </row>
    <row r="37" customFormat="false" ht="29" hidden="false" customHeight="false" outlineLevel="0" collapsed="false">
      <c r="A37" s="30" t="s">
        <v>28</v>
      </c>
    </row>
    <row r="38" customFormat="false" ht="16" hidden="false" customHeight="false" outlineLevel="0" collapsed="false">
      <c r="A38" s="30" t="s">
        <v>29</v>
      </c>
    </row>
    <row r="39" customFormat="false" ht="15" hidden="false" customHeight="false" outlineLevel="0" collapsed="false">
      <c r="A39" s="7" t="s">
        <v>30</v>
      </c>
    </row>
    <row r="40" customFormat="false" ht="15" hidden="false" customHeight="false" outlineLevel="0" collapsed="false">
      <c r="A40" s="7"/>
    </row>
    <row r="41" customFormat="false" ht="16" hidden="false" customHeight="false" outlineLevel="0" collapsed="false">
      <c r="A41" s="7" t="s">
        <v>31</v>
      </c>
    </row>
    <row r="42" customFormat="false" ht="15" hidden="false" customHeight="false" outlineLevel="0" collapsed="false">
      <c r="A42" s="7"/>
    </row>
    <row r="43" customFormat="false" ht="16" hidden="false" customHeight="false" outlineLevel="0" collapsed="false">
      <c r="A43" s="5" t="s">
        <v>32</v>
      </c>
    </row>
    <row r="44" customFormat="false" ht="15" hidden="false" customHeight="false" outlineLevel="0" collapsed="false">
      <c r="A44" s="7" t="s">
        <v>33</v>
      </c>
    </row>
    <row r="45" customFormat="false" ht="29" hidden="false" customHeight="false" outlineLevel="0" collapsed="false">
      <c r="A45" s="30" t="s">
        <v>34</v>
      </c>
    </row>
    <row r="46" customFormat="false" ht="16" hidden="false" customHeight="false" outlineLevel="0" collapsed="false">
      <c r="A46" s="7" t="s">
        <v>35</v>
      </c>
    </row>
    <row r="47" customFormat="false" ht="28" hidden="false" customHeight="false" outlineLevel="0" collapsed="false">
      <c r="A47" s="30" t="s">
        <v>36</v>
      </c>
    </row>
    <row r="48" customFormat="false" ht="15" hidden="false" customHeight="false" outlineLevel="0" collapsed="false">
      <c r="A48" s="7" t="s">
        <v>37</v>
      </c>
    </row>
    <row r="49" customFormat="false" ht="15" hidden="false" customHeight="false" outlineLevel="0" collapsed="false">
      <c r="A49" s="7"/>
    </row>
    <row r="50" customFormat="false" ht="16" hidden="false" customHeight="false" outlineLevel="0" collapsed="false">
      <c r="A50" s="7" t="s">
        <v>38</v>
      </c>
    </row>
    <row r="51" customFormat="false" ht="15" hidden="false" customHeight="false" outlineLevel="0" collapsed="false">
      <c r="A51" s="7"/>
    </row>
    <row r="52" customFormat="false" ht="16" hidden="false" customHeight="false" outlineLevel="0" collapsed="false">
      <c r="A52" s="7" t="s">
        <v>39</v>
      </c>
    </row>
    <row r="53" customFormat="false" ht="16" hidden="false" customHeight="false" outlineLevel="0" collapsed="false">
      <c r="A53" s="28" t="s">
        <v>40</v>
      </c>
    </row>
    <row r="54" customFormat="false" ht="15" hidden="false" customHeight="false" outlineLevel="0" collapsed="false">
      <c r="A54" s="7" t="s">
        <v>41</v>
      </c>
    </row>
    <row r="55" customFormat="false" ht="16" hidden="false" customHeight="false" outlineLevel="0" collapsed="false">
      <c r="A55" s="7" t="s">
        <v>42</v>
      </c>
    </row>
    <row r="56" customFormat="false" ht="30" hidden="false" customHeight="false" outlineLevel="0" collapsed="false">
      <c r="A56" s="30" t="s">
        <v>43</v>
      </c>
    </row>
    <row r="57" customFormat="false" ht="16" hidden="false" customHeight="false" outlineLevel="0" collapsed="false">
      <c r="A57" s="7" t="s">
        <v>44</v>
      </c>
    </row>
    <row r="58" customFormat="false" ht="16" hidden="false" customHeight="false" outlineLevel="0" collapsed="false">
      <c r="A58" s="5" t="s">
        <v>45</v>
      </c>
    </row>
    <row r="59" customFormat="false" ht="16" hidden="false" customHeight="false" outlineLevel="0" collapsed="false">
      <c r="A59" s="7" t="s">
        <v>46</v>
      </c>
    </row>
    <row r="60" customFormat="false" ht="15" hidden="false" customHeight="false" outlineLevel="0" collapsed="false">
      <c r="A60" s="7" t="s">
        <v>47</v>
      </c>
    </row>
    <row r="61" customFormat="false" ht="15" hidden="false" customHeight="false" outlineLevel="0" collapsed="false">
      <c r="A61" s="7"/>
    </row>
    <row r="62" customFormat="false" ht="16" hidden="false" customHeight="false" outlineLevel="0" collapsed="false">
      <c r="A62" s="7" t="s">
        <v>48</v>
      </c>
    </row>
    <row r="63" customFormat="false" ht="15" hidden="false" customHeight="false" outlineLevel="0" collapsed="false">
      <c r="A63" s="7"/>
    </row>
    <row r="64" customFormat="false" ht="30" hidden="false" customHeight="false" outlineLevel="0" collapsed="false">
      <c r="A64" s="30" t="s">
        <v>49</v>
      </c>
    </row>
    <row r="65" customFormat="false" ht="28" hidden="false" customHeight="false" outlineLevel="0" collapsed="false">
      <c r="A65" s="30" t="s">
        <v>50</v>
      </c>
    </row>
    <row r="66" customFormat="false" ht="15" hidden="false" customHeight="false" outlineLevel="0" collapsed="false">
      <c r="A66" s="7"/>
    </row>
    <row r="67" customFormat="false" ht="16" hidden="false" customHeight="false" outlineLevel="0" collapsed="false">
      <c r="A67" s="7" t="s">
        <v>51</v>
      </c>
    </row>
    <row r="68" customFormat="false" ht="15" hidden="false" customHeight="false" outlineLevel="0" collapsed="false">
      <c r="A68" s="7"/>
    </row>
    <row r="69" customFormat="false" ht="28" hidden="false" customHeight="false" outlineLevel="0" collapsed="false">
      <c r="A69" s="30" t="s">
        <v>52</v>
      </c>
    </row>
    <row r="70" customFormat="false" ht="15" hidden="false" customHeight="false" outlineLevel="0" collapsed="false">
      <c r="A70" s="7"/>
    </row>
    <row r="71" customFormat="false" ht="16" hidden="false" customHeight="false" outlineLevel="0" collapsed="false">
      <c r="A71" s="7" t="s">
        <v>53</v>
      </c>
    </row>
    <row r="72" customFormat="false" ht="15" hidden="false" customHeight="false" outlineLevel="0" collapsed="false">
      <c r="A72" s="7"/>
    </row>
    <row r="73" customFormat="false" ht="30" hidden="false" customHeight="false" outlineLevel="0" collapsed="false">
      <c r="A73" s="30" t="s">
        <v>54</v>
      </c>
    </row>
    <row r="74" customFormat="false" ht="15" hidden="false" customHeight="false" outlineLevel="0" collapsed="false">
      <c r="A74" s="7"/>
    </row>
    <row r="75" customFormat="false" ht="16" hidden="false" customHeight="false" outlineLevel="0" collapsed="false">
      <c r="A75" s="7" t="s">
        <v>55</v>
      </c>
    </row>
    <row r="76" customFormat="false" ht="15" hidden="false" customHeight="false" outlineLevel="0" collapsed="false">
      <c r="A76" s="7"/>
    </row>
    <row r="77" customFormat="false" ht="16" hidden="false" customHeight="false" outlineLevel="0" collapsed="false">
      <c r="A77" s="7" t="s">
        <v>56</v>
      </c>
    </row>
    <row r="78" customFormat="false" ht="15" hidden="false" customHeight="false" outlineLevel="0" collapsed="false">
      <c r="A78" s="7" t="s">
        <v>57</v>
      </c>
    </row>
    <row r="79" customFormat="false" ht="16" hidden="false" customHeight="false" outlineLevel="0" collapsed="false">
      <c r="A79" s="7" t="s">
        <v>58</v>
      </c>
    </row>
    <row r="80" customFormat="false" ht="29" hidden="false" customHeight="false" outlineLevel="0" collapsed="false">
      <c r="A80" s="30" t="s">
        <v>59</v>
      </c>
    </row>
    <row r="81" customFormat="false" ht="15" hidden="false" customHeight="false" outlineLevel="0" collapsed="false">
      <c r="A81" s="7" t="s">
        <v>60</v>
      </c>
    </row>
    <row r="82" customFormat="false" ht="15" hidden="false" customHeight="false" outlineLevel="0" collapsed="false">
      <c r="A82" s="7"/>
    </row>
    <row r="83" customFormat="false" ht="16" hidden="false" customHeight="false" outlineLevel="0" collapsed="false">
      <c r="A83" s="7" t="s">
        <v>61</v>
      </c>
    </row>
    <row r="85" customFormat="false" ht="15.5" hidden="false" customHeight="false" outlineLevel="0" collapsed="false">
      <c r="A85" s="31" t="s">
        <v>62</v>
      </c>
    </row>
    <row r="86" customFormat="false" ht="15.5" hidden="false" customHeight="false" outlineLevel="0" collapsed="false">
      <c r="A86" s="2" t="s">
        <v>63</v>
      </c>
    </row>
    <row r="87" customFormat="false" ht="15.5" hidden="false" customHeight="false" outlineLevel="0" collapsed="false">
      <c r="A87" s="2" t="s">
        <v>64</v>
      </c>
    </row>
    <row r="88" customFormat="false" ht="15.5" hidden="false" customHeight="false" outlineLevel="0" collapsed="false">
      <c r="A88" s="2" t="s">
        <v>65</v>
      </c>
    </row>
    <row r="89" customFormat="false" ht="15.5" hidden="false" customHeight="false" outlineLevel="0" collapsed="false">
      <c r="A89" s="2" t="s">
        <v>66</v>
      </c>
    </row>
    <row r="90" customFormat="false" ht="15.5" hidden="false" customHeight="false" outlineLevel="0" collapsed="false">
      <c r="A90" s="2" t="s">
        <v>67</v>
      </c>
    </row>
    <row r="91" customFormat="false" ht="15.5" hidden="false" customHeight="false" outlineLevel="0" collapsed="false">
      <c r="A91" s="2" t="s">
        <v>68</v>
      </c>
    </row>
    <row r="92" customFormat="false" ht="15.5" hidden="false" customHeight="false" outlineLevel="0" collapsed="false">
      <c r="A92" s="2" t="s">
        <v>69</v>
      </c>
    </row>
    <row r="93" customFormat="false" ht="15.5" hidden="false" customHeight="false" outlineLevel="0" collapsed="false">
      <c r="A93" s="2" t="s">
        <v>70</v>
      </c>
    </row>
    <row r="95" customFormat="false" ht="15" hidden="false" customHeight="false" outlineLevel="0" collapsed="false">
      <c r="A95" s="4" t="s">
        <v>71</v>
      </c>
    </row>
    <row r="96" customFormat="false" ht="30" hidden="false" customHeight="false" outlineLevel="0" collapsed="false">
      <c r="A96" s="30" t="s">
        <v>72</v>
      </c>
    </row>
    <row r="97" customFormat="false" ht="28" hidden="false" customHeight="false" outlineLevel="0" collapsed="false">
      <c r="A97" s="30" t="s">
        <v>73</v>
      </c>
    </row>
    <row r="98" customFormat="false" ht="15" hidden="false" customHeight="false" outlineLevel="0" collapsed="false">
      <c r="A98" s="7"/>
    </row>
    <row r="99" customFormat="false" ht="15" hidden="false" customHeight="false" outlineLevel="0" collapsed="false">
      <c r="A99" s="4" t="s">
        <v>74</v>
      </c>
    </row>
    <row r="100" customFormat="false" ht="28" hidden="false" customHeight="false" outlineLevel="0" collapsed="false">
      <c r="A100" s="30" t="s">
        <v>75</v>
      </c>
    </row>
    <row r="101" customFormat="false" ht="29" hidden="false" customHeight="false" outlineLevel="0" collapsed="false">
      <c r="A101" s="30" t="s">
        <v>76</v>
      </c>
    </row>
    <row r="103" customFormat="false" ht="15.5" hidden="false" customHeight="false" outlineLevel="0" collapsed="false">
      <c r="A103" s="8" t="s">
        <v>77</v>
      </c>
    </row>
  </sheetData>
  <mergeCells count="4">
    <mergeCell ref="A5:L5"/>
    <mergeCell ref="A6:J6"/>
    <mergeCell ref="A13:I13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I123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9" width="27.31"/>
    <col collapsed="false" customWidth="true" hidden="false" outlineLevel="0" max="7" min="2" style="9" width="14.56"/>
    <col collapsed="false" customWidth="true" hidden="false" outlineLevel="0" max="8" min="8" style="9" width="49.13"/>
  </cols>
  <sheetData>
    <row r="1" customFormat="false" ht="19" hidden="false" customHeight="false" outlineLevel="0" collapsed="false">
      <c r="A1" s="10" t="s">
        <v>78</v>
      </c>
      <c r="B1" s="10"/>
      <c r="C1" s="10"/>
      <c r="D1" s="10"/>
      <c r="E1" s="10"/>
      <c r="F1" s="10"/>
      <c r="G1" s="10"/>
      <c r="H1" s="10"/>
    </row>
    <row r="3" customFormat="false" ht="15.5" hidden="false" customHeight="false" outlineLevel="0" collapsed="false">
      <c r="A3" s="11" t="s">
        <v>79</v>
      </c>
      <c r="B3" s="11"/>
      <c r="C3" s="11"/>
      <c r="D3" s="12"/>
      <c r="E3" s="12"/>
      <c r="F3" s="12"/>
      <c r="G3" s="12"/>
      <c r="H3" s="12"/>
    </row>
    <row r="4" customFormat="false" ht="15" hidden="false" customHeight="false" outlineLevel="0" collapsed="false">
      <c r="A4" s="13" t="s">
        <v>80</v>
      </c>
      <c r="B4" s="13" t="s">
        <v>81</v>
      </c>
      <c r="C4" s="13" t="s">
        <v>74</v>
      </c>
    </row>
    <row r="5" customFormat="false" ht="16" hidden="false" customHeight="false" outlineLevel="0" collapsed="false">
      <c r="A5" s="9" t="s">
        <v>82</v>
      </c>
      <c r="B5" s="14" t="s">
        <v>83</v>
      </c>
      <c r="C5" s="32">
        <v>3</v>
      </c>
    </row>
    <row r="6" customFormat="false" ht="15" hidden="false" customHeight="false" outlineLevel="0" collapsed="false">
      <c r="A6" s="9" t="s">
        <v>85</v>
      </c>
      <c r="B6" s="14" t="n">
        <v>5</v>
      </c>
    </row>
    <row r="7" customFormat="false" ht="15" hidden="false" customHeight="false" outlineLevel="0" collapsed="false">
      <c r="A7" s="9" t="s">
        <v>86</v>
      </c>
      <c r="B7" s="14" t="n">
        <v>3</v>
      </c>
    </row>
    <row r="8" customFormat="false" ht="16" hidden="false" customHeight="false" outlineLevel="0" collapsed="false">
      <c r="A8" s="9" t="s">
        <v>87</v>
      </c>
      <c r="B8" s="14" t="n">
        <v>7</v>
      </c>
      <c r="C8" s="16" t="s">
        <v>88</v>
      </c>
      <c r="D8" s="16"/>
      <c r="E8" s="16"/>
    </row>
    <row r="9" customFormat="false" ht="15" hidden="false" customHeight="false" outlineLevel="0" collapsed="false">
      <c r="A9" s="9" t="s">
        <v>89</v>
      </c>
      <c r="B9" s="17" t="s">
        <v>90</v>
      </c>
    </row>
    <row r="10" customFormat="false" ht="16" hidden="false" customHeight="false" outlineLevel="0" collapsed="false">
      <c r="A10" s="9" t="s">
        <v>91</v>
      </c>
      <c r="B10" s="18" t="n">
        <f aca="false">B8^B6</f>
        <v>16807</v>
      </c>
      <c r="C10" s="16" t="s">
        <v>92</v>
      </c>
      <c r="D10" s="16"/>
      <c r="E10" s="16"/>
      <c r="F10" s="16"/>
    </row>
    <row r="11" customFormat="false" ht="16" hidden="false" customHeight="false" outlineLevel="0" collapsed="false">
      <c r="A11" s="9" t="s">
        <v>93</v>
      </c>
      <c r="B11" s="15" t="s">
        <v>94</v>
      </c>
      <c r="C11" s="16" t="s">
        <v>95</v>
      </c>
      <c r="D11" s="16"/>
      <c r="E11" s="16"/>
      <c r="F11" s="16"/>
    </row>
    <row r="13" customFormat="false" ht="15.5" hidden="false" customHeight="false" outlineLevel="0" collapsed="false">
      <c r="A13" s="11" t="s">
        <v>96</v>
      </c>
      <c r="B13" s="11"/>
      <c r="C13" s="11"/>
      <c r="D13" s="11"/>
      <c r="E13" s="11"/>
      <c r="F13" s="11"/>
      <c r="G13" s="12"/>
      <c r="H13" s="12"/>
    </row>
    <row r="14" customFormat="false" ht="15.5" hidden="false" customHeight="false" outlineLevel="0" collapsed="false">
      <c r="A14" s="13" t="s">
        <v>97</v>
      </c>
      <c r="B14" s="13" t="s">
        <v>98</v>
      </c>
      <c r="C14" s="13" t="s">
        <v>99</v>
      </c>
      <c r="D14" s="13" t="s">
        <v>100</v>
      </c>
      <c r="E14" s="13" t="s">
        <v>101</v>
      </c>
      <c r="F14" s="13" t="s">
        <v>102</v>
      </c>
      <c r="G14" s="13"/>
    </row>
    <row r="15" customFormat="false" ht="15" hidden="false" customHeight="false" outlineLevel="0" collapsed="false">
      <c r="A15" s="9" t="n">
        <v>1</v>
      </c>
      <c r="B15" s="14" t="s">
        <v>103</v>
      </c>
      <c r="C15" s="14" t="s">
        <v>104</v>
      </c>
      <c r="D15" s="14" t="s">
        <v>105</v>
      </c>
      <c r="E15" s="14" t="s">
        <v>105</v>
      </c>
      <c r="F15" s="14" t="s">
        <v>106</v>
      </c>
    </row>
    <row r="16" customFormat="false" ht="15" hidden="false" customHeight="false" outlineLevel="0" collapsed="false">
      <c r="A16" s="9" t="n">
        <v>2</v>
      </c>
      <c r="B16" s="14" t="s">
        <v>106</v>
      </c>
      <c r="C16" s="14" t="s">
        <v>103</v>
      </c>
      <c r="D16" s="14" t="s">
        <v>106</v>
      </c>
      <c r="E16" s="14" t="s">
        <v>104</v>
      </c>
      <c r="F16" s="14" t="s">
        <v>105</v>
      </c>
    </row>
    <row r="17" customFormat="false" ht="15" hidden="false" customHeight="false" outlineLevel="0" collapsed="false">
      <c r="A17" s="9" t="n">
        <v>3</v>
      </c>
      <c r="B17" s="14" t="s">
        <v>104</v>
      </c>
      <c r="C17" s="14" t="s">
        <v>106</v>
      </c>
      <c r="D17" s="14" t="s">
        <v>103</v>
      </c>
      <c r="E17" s="14" t="s">
        <v>106</v>
      </c>
      <c r="F17" s="14" t="s">
        <v>104</v>
      </c>
    </row>
    <row r="18" customFormat="false" ht="15" hidden="false" customHeight="false" outlineLevel="0" collapsed="false">
      <c r="A18" s="9" t="n">
        <v>4</v>
      </c>
      <c r="B18" s="14" t="s">
        <v>105</v>
      </c>
      <c r="C18" s="14" t="s">
        <v>105</v>
      </c>
      <c r="D18" s="14" t="s">
        <v>104</v>
      </c>
      <c r="E18" s="14" t="s">
        <v>103</v>
      </c>
      <c r="F18" s="14" t="s">
        <v>106</v>
      </c>
    </row>
    <row r="19" customFormat="false" ht="15" hidden="false" customHeight="false" outlineLevel="0" collapsed="false">
      <c r="A19" s="9" t="n">
        <v>5</v>
      </c>
      <c r="B19" s="14" t="s">
        <v>106</v>
      </c>
      <c r="C19" s="14" t="s">
        <v>104</v>
      </c>
      <c r="D19" s="14" t="s">
        <v>105</v>
      </c>
      <c r="E19" s="14" t="s">
        <v>105</v>
      </c>
      <c r="F19" s="14" t="s">
        <v>103</v>
      </c>
    </row>
    <row r="20" customFormat="false" ht="15" hidden="false" customHeight="false" outlineLevel="0" collapsed="false">
      <c r="A20" s="9" t="n">
        <v>6</v>
      </c>
      <c r="B20" s="14" t="s">
        <v>104</v>
      </c>
      <c r="C20" s="14" t="s">
        <v>106</v>
      </c>
      <c r="D20" s="14" t="s">
        <v>106</v>
      </c>
      <c r="E20" s="14" t="s">
        <v>104</v>
      </c>
      <c r="F20" s="14" t="s">
        <v>105</v>
      </c>
    </row>
    <row r="21" customFormat="false" ht="15" hidden="false" customHeight="false" outlineLevel="0" collapsed="false">
      <c r="A21" s="9" t="n">
        <v>7</v>
      </c>
      <c r="B21" s="14" t="s">
        <v>105</v>
      </c>
      <c r="C21" s="14" t="s">
        <v>105</v>
      </c>
      <c r="D21" s="14" t="s">
        <v>104</v>
      </c>
      <c r="E21" s="14" t="s">
        <v>106</v>
      </c>
      <c r="F21" s="14" t="s">
        <v>104</v>
      </c>
    </row>
    <row r="22" customFormat="false" ht="16" hidden="false" customHeight="false" outlineLevel="0" collapsed="false">
      <c r="A22" s="9" t="s">
        <v>107</v>
      </c>
      <c r="B22" s="18" t="n">
        <f aca="false">COUNTA(B15:B21)</f>
        <v>7</v>
      </c>
      <c r="C22" s="18" t="n">
        <f aca="false">COUNTA(C15:C21)</f>
        <v>7</v>
      </c>
      <c r="D22" s="18" t="n">
        <f aca="false">COUNTA(D15:D21)</f>
        <v>7</v>
      </c>
      <c r="E22" s="18" t="n">
        <f aca="false">COUNTA(E15:E21)</f>
        <v>7</v>
      </c>
      <c r="F22" s="18" t="n">
        <f aca="false">COUNTA(F15:F21)</f>
        <v>7</v>
      </c>
      <c r="G22" s="16" t="s">
        <v>108</v>
      </c>
      <c r="H22" s="16"/>
    </row>
    <row r="24" customFormat="false" ht="15.5" hidden="false" customHeight="false" outlineLevel="0" collapsed="false">
      <c r="A24" s="11" t="s">
        <v>109</v>
      </c>
      <c r="B24" s="11"/>
      <c r="C24" s="11"/>
      <c r="D24" s="11"/>
      <c r="E24" s="11"/>
      <c r="F24" s="11"/>
      <c r="G24" s="12"/>
      <c r="H24" s="12"/>
    </row>
    <row r="25" customFormat="false" ht="15.5" hidden="false" customHeight="false" outlineLevel="0" collapsed="false">
      <c r="A25" s="13" t="s">
        <v>110</v>
      </c>
      <c r="B25" s="13" t="s">
        <v>111</v>
      </c>
      <c r="C25" s="13" t="s">
        <v>112</v>
      </c>
      <c r="D25" s="13" t="s">
        <v>113</v>
      </c>
      <c r="E25" s="13" t="s">
        <v>114</v>
      </c>
      <c r="F25" s="13" t="s">
        <v>115</v>
      </c>
      <c r="G25" s="13" t="s">
        <v>116</v>
      </c>
      <c r="H25" s="13" t="s">
        <v>74</v>
      </c>
    </row>
    <row r="26" customFormat="false" ht="16" hidden="false" customHeight="false" outlineLevel="0" collapsed="false">
      <c r="A26" s="15" t="s">
        <v>106</v>
      </c>
      <c r="B26" s="18" t="n">
        <f aca="false">COUNTIF(B15:B21,"J")+COUNTIF(B15:B21,"Wild")</f>
        <v>3</v>
      </c>
      <c r="C26" s="18" t="n">
        <f aca="false">COUNTIF(C15:C21,"J")+COUNTIF(C15:C21,"Wild")</f>
        <v>3</v>
      </c>
      <c r="D26" s="18" t="n">
        <f aca="false">COUNTIF(D15:D21,"J")+COUNTIF(D15:D21,"Wild")</f>
        <v>3</v>
      </c>
      <c r="E26" s="18" t="n">
        <f aca="false">COUNTIF(E15:E21,"J")+COUNTIF(E15:E21,"Wild")</f>
        <v>3</v>
      </c>
      <c r="F26" s="18" t="n">
        <f aca="false">COUNTIF(F15:F21,"J")+COUNTIF(F15:F21,"Wild")</f>
        <v>3</v>
      </c>
      <c r="G26" s="18" t="n">
        <f aca="false">$B$8-B26</f>
        <v>4</v>
      </c>
      <c r="H26" s="16" t="s">
        <v>117</v>
      </c>
      <c r="I26" s="16"/>
      <c r="J26" s="16"/>
    </row>
    <row r="27" customFormat="false" ht="16" hidden="false" customHeight="false" outlineLevel="0" collapsed="false">
      <c r="A27" s="15" t="s">
        <v>104</v>
      </c>
      <c r="B27" s="18" t="n">
        <f aca="false">COUNTIF(B15:B21,"Q")+COUNTIF(B15:B21,"Wild")</f>
        <v>3</v>
      </c>
      <c r="C27" s="18" t="n">
        <f aca="false">COUNTIF(C15:C21,"Q")+COUNTIF(C15:C21,"Wild")</f>
        <v>3</v>
      </c>
      <c r="D27" s="18" t="n">
        <f aca="false">COUNTIF(D15:D21,"Q")+COUNTIF(D15:D21,"Wild")</f>
        <v>3</v>
      </c>
      <c r="E27" s="18" t="n">
        <f aca="false">COUNTIF(E15:E21,"Q")+COUNTIF(E15:E21,"Wild")</f>
        <v>3</v>
      </c>
      <c r="F27" s="18" t="n">
        <f aca="false">COUNTIF(F15:F21,"Q")+COUNTIF(F15:F21,"Wild")</f>
        <v>3</v>
      </c>
      <c r="G27" s="18" t="n">
        <f aca="false">$B$8-B27</f>
        <v>4</v>
      </c>
      <c r="H27" s="16" t="s">
        <v>117</v>
      </c>
      <c r="I27" s="16"/>
      <c r="J27" s="16"/>
    </row>
    <row r="28" customFormat="false" ht="16" hidden="false" customHeight="false" outlineLevel="0" collapsed="false">
      <c r="A28" s="15" t="s">
        <v>105</v>
      </c>
      <c r="B28" s="18" t="n">
        <f aca="false">COUNTIF(B15:B21,"K")+COUNTIF(B15:B21,"Wild")</f>
        <v>3</v>
      </c>
      <c r="C28" s="18" t="n">
        <f aca="false">COUNTIF(C15:C21,"K")+COUNTIF(C15:C21,"Wild")</f>
        <v>3</v>
      </c>
      <c r="D28" s="18" t="n">
        <f aca="false">COUNTIF(D15:D21,"K")+COUNTIF(D15:D21,"Wild")</f>
        <v>3</v>
      </c>
      <c r="E28" s="18" t="n">
        <f aca="false">COUNTIF(E15:E21,"K")+COUNTIF(E15:E21,"Wild")</f>
        <v>3</v>
      </c>
      <c r="F28" s="18" t="n">
        <f aca="false">COUNTIF(F15:F21,"K")+COUNTIF(F15:F21,"Wild")</f>
        <v>3</v>
      </c>
      <c r="G28" s="18" t="n">
        <f aca="false">$B$8-B28</f>
        <v>4</v>
      </c>
      <c r="H28" s="16" t="s">
        <v>117</v>
      </c>
      <c r="I28" s="16"/>
      <c r="J28" s="16"/>
    </row>
    <row r="29" customFormat="false" ht="16" hidden="false" customHeight="false" outlineLevel="0" collapsed="false">
      <c r="A29" s="15" t="s">
        <v>118</v>
      </c>
      <c r="B29" s="18" t="n">
        <f aca="false">COUNTIF(B15:B21,"Wild")</f>
        <v>1</v>
      </c>
      <c r="C29" s="18" t="n">
        <f aca="false">COUNTIF(C15:C21,"Wild")</f>
        <v>1</v>
      </c>
      <c r="D29" s="18" t="n">
        <f aca="false">COUNTIF(D15:D21,"Wild")</f>
        <v>1</v>
      </c>
      <c r="E29" s="18" t="n">
        <f aca="false">COUNTIF(E15:E21,"Wild")</f>
        <v>1</v>
      </c>
      <c r="F29" s="18" t="n">
        <f aca="false">COUNTIF(F15:F21,"Wild")</f>
        <v>1</v>
      </c>
      <c r="G29" s="9" t="s">
        <v>119</v>
      </c>
      <c r="H29" s="19" t="s">
        <v>120</v>
      </c>
    </row>
    <row r="31" customFormat="false" ht="15.5" hidden="false" customHeight="false" outlineLevel="0" collapsed="false">
      <c r="A31" s="11" t="s">
        <v>121</v>
      </c>
      <c r="B31" s="11"/>
      <c r="C31" s="11"/>
      <c r="D31" s="11"/>
      <c r="E31" s="11"/>
      <c r="F31" s="11"/>
      <c r="G31" s="12"/>
      <c r="H31" s="12"/>
    </row>
    <row r="32" customFormat="false" ht="15.5" hidden="false" customHeight="false" outlineLevel="0" collapsed="false">
      <c r="A32" s="13" t="s">
        <v>110</v>
      </c>
      <c r="B32" s="13" t="s">
        <v>122</v>
      </c>
      <c r="C32" s="13" t="s">
        <v>123</v>
      </c>
      <c r="D32" s="13" t="s">
        <v>91</v>
      </c>
      <c r="E32" s="13" t="s">
        <v>124</v>
      </c>
      <c r="F32" s="13" t="s">
        <v>125</v>
      </c>
      <c r="G32" s="20" t="s">
        <v>126</v>
      </c>
      <c r="H32" s="13"/>
    </row>
    <row r="33" customFormat="false" ht="15" hidden="false" customHeight="false" outlineLevel="0" collapsed="false">
      <c r="A33" s="15" t="s">
        <v>106</v>
      </c>
      <c r="B33" s="14" t="n">
        <v>3</v>
      </c>
      <c r="C33" s="18" t="n">
        <f aca="false">B26*C26*D26*G26*$B$8</f>
        <v>756</v>
      </c>
      <c r="D33" s="18" t="n">
        <f aca="false">$B$10</f>
        <v>16807</v>
      </c>
      <c r="E33" s="33" t="n">
        <f aca="false">C33/D33</f>
        <v>0.0449812578092461</v>
      </c>
      <c r="F33" s="14" t="n">
        <v>5</v>
      </c>
      <c r="G33" s="22" t="n">
        <f aca="false">E33*F33</f>
        <v>0.224906289046231</v>
      </c>
    </row>
    <row r="34" customFormat="false" ht="15" hidden="false" customHeight="false" outlineLevel="0" collapsed="false">
      <c r="A34" s="15" t="s">
        <v>106</v>
      </c>
      <c r="B34" s="14" t="n">
        <v>4</v>
      </c>
      <c r="C34" s="18" t="n">
        <f aca="false">B26*C26*D26*E26*G26</f>
        <v>324</v>
      </c>
      <c r="D34" s="18" t="n">
        <f aca="false">$B$10</f>
        <v>16807</v>
      </c>
      <c r="E34" s="33" t="n">
        <f aca="false">C34/D34</f>
        <v>0.0192776819182484</v>
      </c>
      <c r="F34" s="14" t="n">
        <v>20</v>
      </c>
      <c r="G34" s="22" t="n">
        <f aca="false">E34*F34</f>
        <v>0.385553638364967</v>
      </c>
    </row>
    <row r="35" customFormat="false" ht="15" hidden="false" customHeight="false" outlineLevel="0" collapsed="false">
      <c r="A35" s="15" t="s">
        <v>106</v>
      </c>
      <c r="B35" s="14" t="n">
        <v>5</v>
      </c>
      <c r="C35" s="18" t="n">
        <f aca="false">B26*C26*D26*E26*F26</f>
        <v>243</v>
      </c>
      <c r="D35" s="18" t="n">
        <f aca="false">$B$10</f>
        <v>16807</v>
      </c>
      <c r="E35" s="33" t="n">
        <f aca="false">C35/D35</f>
        <v>0.0144582614386863</v>
      </c>
      <c r="F35" s="14" t="n">
        <v>75</v>
      </c>
      <c r="G35" s="22" t="n">
        <f aca="false">E35*F35</f>
        <v>1.08436960790147</v>
      </c>
    </row>
    <row r="36" customFormat="false" ht="15" hidden="false" customHeight="false" outlineLevel="0" collapsed="false">
      <c r="A36" s="15" t="s">
        <v>104</v>
      </c>
      <c r="B36" s="14" t="n">
        <v>3</v>
      </c>
      <c r="C36" s="18" t="n">
        <f aca="false">B27*C27*D27*G27*$B$8</f>
        <v>756</v>
      </c>
      <c r="D36" s="18" t="n">
        <f aca="false">$B$10</f>
        <v>16807</v>
      </c>
      <c r="E36" s="33" t="n">
        <f aca="false">C36/D36</f>
        <v>0.0449812578092461</v>
      </c>
      <c r="F36" s="14" t="n">
        <v>5</v>
      </c>
      <c r="G36" s="22" t="n">
        <f aca="false">E36*F36</f>
        <v>0.224906289046231</v>
      </c>
    </row>
    <row r="37" customFormat="false" ht="15" hidden="false" customHeight="false" outlineLevel="0" collapsed="false">
      <c r="A37" s="15" t="s">
        <v>104</v>
      </c>
      <c r="B37" s="14" t="n">
        <v>4</v>
      </c>
      <c r="C37" s="18" t="n">
        <f aca="false">B27*C27*D27*E27*G27</f>
        <v>324</v>
      </c>
      <c r="D37" s="18" t="n">
        <f aca="false">$B$10</f>
        <v>16807</v>
      </c>
      <c r="E37" s="33" t="n">
        <f aca="false">C37/D37</f>
        <v>0.0192776819182484</v>
      </c>
      <c r="F37" s="14" t="n">
        <v>25</v>
      </c>
      <c r="G37" s="22" t="n">
        <f aca="false">E37*F37</f>
        <v>0.481942047956209</v>
      </c>
    </row>
    <row r="38" customFormat="false" ht="15" hidden="false" customHeight="false" outlineLevel="0" collapsed="false">
      <c r="A38" s="15" t="s">
        <v>104</v>
      </c>
      <c r="B38" s="14" t="n">
        <v>5</v>
      </c>
      <c r="C38" s="18" t="n">
        <f aca="false">B27*C27*D27*E27*F27</f>
        <v>243</v>
      </c>
      <c r="D38" s="18" t="n">
        <f aca="false">$B$10</f>
        <v>16807</v>
      </c>
      <c r="E38" s="33" t="n">
        <f aca="false">C38/D38</f>
        <v>0.0144582614386863</v>
      </c>
      <c r="F38" s="14" t="n">
        <v>100</v>
      </c>
      <c r="G38" s="22" t="n">
        <f aca="false">E38*F38</f>
        <v>1.44582614386863</v>
      </c>
    </row>
    <row r="39" customFormat="false" ht="15" hidden="false" customHeight="false" outlineLevel="0" collapsed="false">
      <c r="A39" s="15" t="s">
        <v>105</v>
      </c>
      <c r="B39" s="14" t="n">
        <v>3</v>
      </c>
      <c r="C39" s="18" t="n">
        <f aca="false">B28*C28*D28*G28*$B$8</f>
        <v>756</v>
      </c>
      <c r="D39" s="18" t="n">
        <f aca="false">$B$10</f>
        <v>16807</v>
      </c>
      <c r="E39" s="33" t="n">
        <f aca="false">C39/D39</f>
        <v>0.0449812578092461</v>
      </c>
      <c r="F39" s="14" t="n">
        <v>5</v>
      </c>
      <c r="G39" s="22" t="n">
        <f aca="false">E39*F39</f>
        <v>0.224906289046231</v>
      </c>
    </row>
    <row r="40" customFormat="false" ht="15" hidden="false" customHeight="false" outlineLevel="0" collapsed="false">
      <c r="A40" s="15" t="s">
        <v>105</v>
      </c>
      <c r="B40" s="14" t="n">
        <v>4</v>
      </c>
      <c r="C40" s="18" t="n">
        <f aca="false">B28*C28*D28*E28*G28</f>
        <v>324</v>
      </c>
      <c r="D40" s="18" t="n">
        <f aca="false">$B$10</f>
        <v>16807</v>
      </c>
      <c r="E40" s="33" t="n">
        <f aca="false">C40/D40</f>
        <v>0.0192776819182484</v>
      </c>
      <c r="F40" s="14" t="n">
        <v>30</v>
      </c>
      <c r="G40" s="22" t="n">
        <f aca="false">E40*F40</f>
        <v>0.578330457547451</v>
      </c>
    </row>
    <row r="41" customFormat="false" ht="15" hidden="false" customHeight="false" outlineLevel="0" collapsed="false">
      <c r="A41" s="15" t="s">
        <v>105</v>
      </c>
      <c r="B41" s="14" t="n">
        <v>5</v>
      </c>
      <c r="C41" s="18" t="n">
        <f aca="false">B28*C28*D28*E28*F28</f>
        <v>243</v>
      </c>
      <c r="D41" s="18" t="n">
        <f aca="false">$B$10</f>
        <v>16807</v>
      </c>
      <c r="E41" s="33" t="n">
        <f aca="false">C41/D41</f>
        <v>0.0144582614386863</v>
      </c>
      <c r="F41" s="14" t="n">
        <v>100</v>
      </c>
      <c r="G41" s="22" t="n">
        <f aca="false">E41*F41</f>
        <v>1.44582614386863</v>
      </c>
    </row>
    <row r="42" customFormat="false" ht="15.5" hidden="false" customHeight="false" outlineLevel="0" collapsed="false">
      <c r="A42" s="19" t="s">
        <v>127</v>
      </c>
      <c r="B42" s="9" t="s">
        <v>119</v>
      </c>
      <c r="C42" s="18" t="n">
        <f aca="false">SUM(C33:C41)</f>
        <v>3969</v>
      </c>
      <c r="G42" s="23" t="n">
        <f aca="false">SUM(G33:G41)</f>
        <v>6.09656690664604</v>
      </c>
    </row>
    <row r="44" customFormat="false" ht="29" hidden="false" customHeight="true" outlineLevel="0" collapsed="false">
      <c r="A44" s="24" t="s">
        <v>128</v>
      </c>
      <c r="B44" s="24"/>
      <c r="C44" s="24"/>
      <c r="D44" s="24"/>
      <c r="E44" s="24"/>
      <c r="F44" s="24"/>
      <c r="G44" s="24"/>
      <c r="H44" s="24"/>
    </row>
    <row r="46" customFormat="false" ht="15.5" hidden="false" customHeight="false" outlineLevel="0" collapsed="false">
      <c r="A46" s="11" t="s">
        <v>129</v>
      </c>
      <c r="B46" s="11"/>
      <c r="C46" s="11"/>
      <c r="D46" s="12"/>
      <c r="E46" s="12"/>
      <c r="F46" s="12"/>
      <c r="G46" s="12"/>
      <c r="H46" s="12"/>
    </row>
    <row r="47" customFormat="false" ht="15" hidden="false" customHeight="false" outlineLevel="0" collapsed="false">
      <c r="A47" s="13" t="s">
        <v>80</v>
      </c>
      <c r="B47" s="13" t="s">
        <v>81</v>
      </c>
      <c r="C47" s="13" t="s">
        <v>74</v>
      </c>
      <c r="D47" s="13"/>
      <c r="E47" s="13"/>
      <c r="F47" s="13"/>
      <c r="G47" s="13"/>
      <c r="H47" s="13"/>
    </row>
    <row r="48" customFormat="false" ht="16" hidden="false" customHeight="false" outlineLevel="0" collapsed="false">
      <c r="A48" s="9" t="s">
        <v>130</v>
      </c>
      <c r="B48" s="34" t="n">
        <f aca="false">G42</f>
        <v>6.09656690664604</v>
      </c>
      <c r="C48" s="16" t="s">
        <v>131</v>
      </c>
      <c r="D48" s="16"/>
      <c r="E48" s="16"/>
    </row>
    <row r="49" customFormat="false" ht="16" hidden="false" customHeight="false" outlineLevel="0" collapsed="false">
      <c r="A49" s="9" t="s">
        <v>132</v>
      </c>
      <c r="B49" s="26" t="n">
        <v>0.96</v>
      </c>
      <c r="C49" s="9" t="s">
        <v>133</v>
      </c>
    </row>
    <row r="50" customFormat="false" ht="16" hidden="false" customHeight="false" outlineLevel="0" collapsed="false">
      <c r="A50" s="9" t="s">
        <v>134</v>
      </c>
      <c r="B50" s="23" t="n">
        <f aca="false">B49/B48</f>
        <v>0.157465671204802</v>
      </c>
      <c r="C50" s="16" t="s">
        <v>135</v>
      </c>
      <c r="D50" s="16"/>
      <c r="E50" s="16"/>
      <c r="F50" s="16"/>
    </row>
    <row r="52" customFormat="false" ht="15.5" hidden="false" customHeight="false" outlineLevel="0" collapsed="false">
      <c r="A52" s="11" t="s">
        <v>136</v>
      </c>
      <c r="B52" s="11"/>
      <c r="C52" s="11"/>
      <c r="D52" s="12"/>
      <c r="E52" s="12"/>
      <c r="F52" s="12"/>
      <c r="G52" s="12"/>
      <c r="H52" s="12"/>
    </row>
    <row r="53" customFormat="false" ht="15" hidden="false" customHeight="false" outlineLevel="0" collapsed="false">
      <c r="A53" s="13" t="s">
        <v>80</v>
      </c>
      <c r="B53" s="13" t="s">
        <v>81</v>
      </c>
      <c r="C53" s="13" t="s">
        <v>74</v>
      </c>
      <c r="D53" s="13"/>
      <c r="E53" s="13"/>
      <c r="F53" s="13"/>
      <c r="G53" s="13"/>
      <c r="H53" s="13"/>
    </row>
    <row r="54" customFormat="false" ht="16" hidden="false" customHeight="false" outlineLevel="0" collapsed="false">
      <c r="A54" s="9" t="s">
        <v>137</v>
      </c>
      <c r="B54" s="26" t="n">
        <v>0.285714285714286</v>
      </c>
      <c r="C54" s="32">
        <v>2</v>
      </c>
    </row>
    <row r="55" customFormat="false" ht="16" hidden="false" customHeight="false" outlineLevel="0" collapsed="false">
      <c r="A55" s="9" t="s">
        <v>139</v>
      </c>
      <c r="B55" s="26" t="n">
        <v>0.142857142857143</v>
      </c>
      <c r="C55" s="32">
        <v>1</v>
      </c>
    </row>
    <row r="56" customFormat="false" ht="16" hidden="false" customHeight="false" outlineLevel="0" collapsed="false">
      <c r="A56" s="9" t="s">
        <v>141</v>
      </c>
      <c r="B56" s="34" t="n">
        <f aca="false">B54+B55</f>
        <v>0.428571428571429</v>
      </c>
      <c r="C56" s="16" t="s">
        <v>142</v>
      </c>
      <c r="D56" s="16"/>
      <c r="E56" s="16"/>
    </row>
    <row r="57" customFormat="false" ht="16" hidden="false" customHeight="false" outlineLevel="0" collapsed="false">
      <c r="A57" s="9" t="s">
        <v>143</v>
      </c>
      <c r="B57" s="34" t="n">
        <f aca="false">1-B56</f>
        <v>0.571428571428572</v>
      </c>
      <c r="C57" s="16" t="s">
        <v>144</v>
      </c>
      <c r="D57" s="16"/>
      <c r="E57" s="16"/>
    </row>
    <row r="58" customFormat="false" ht="16" hidden="false" customHeight="false" outlineLevel="0" collapsed="false">
      <c r="A58" s="32">
        <v>3</v>
      </c>
      <c r="B58" s="34" t="n">
        <f aca="false">B56^3*B57</f>
        <v>0.0449812578092461</v>
      </c>
      <c r="C58" s="16" t="s">
        <v>146</v>
      </c>
      <c r="D58" s="16"/>
      <c r="E58" s="16"/>
    </row>
    <row r="59" customFormat="false" ht="16" hidden="false" customHeight="false" outlineLevel="0" collapsed="false">
      <c r="A59" s="32">
        <v>4</v>
      </c>
      <c r="B59" s="34" t="n">
        <f aca="false">B56^4*B57</f>
        <v>0.0192776819182483</v>
      </c>
      <c r="C59" s="16" t="s">
        <v>148</v>
      </c>
      <c r="D59" s="16"/>
      <c r="E59" s="16"/>
    </row>
    <row r="60" customFormat="false" ht="16" hidden="false" customHeight="false" outlineLevel="0" collapsed="false">
      <c r="A60" s="32">
        <v>5</v>
      </c>
      <c r="B60" s="34" t="n">
        <f aca="false">B56^5</f>
        <v>0.0144582614386862</v>
      </c>
      <c r="C60" s="9" t="s">
        <v>150</v>
      </c>
    </row>
    <row r="62" customFormat="false" ht="15.5" hidden="false" customHeight="false" outlineLevel="0" collapsed="false">
      <c r="A62" s="11" t="s">
        <v>151</v>
      </c>
      <c r="B62" s="11"/>
      <c r="C62" s="11"/>
      <c r="D62" s="12"/>
      <c r="E62" s="12"/>
      <c r="F62" s="12"/>
      <c r="G62" s="12"/>
      <c r="H62" s="12"/>
    </row>
    <row r="63" customFormat="false" ht="15" hidden="false" customHeight="false" outlineLevel="0" collapsed="false">
      <c r="A63" s="13" t="s">
        <v>152</v>
      </c>
      <c r="B63" s="13" t="s">
        <v>153</v>
      </c>
      <c r="C63" s="13" t="s">
        <v>74</v>
      </c>
    </row>
    <row r="64" customFormat="false" ht="16" hidden="false" customHeight="false" outlineLevel="0" collapsed="false">
      <c r="A64" s="9" t="s">
        <v>154</v>
      </c>
      <c r="B64" s="27" t="str">
        <f aca="false">IF(AND(B22=C22,C22=D22,D22=E22,E22=F22,B22=$B$8),"✓","✗")</f>
        <v>✓</v>
      </c>
    </row>
    <row r="65" customFormat="false" ht="16" hidden="false" customHeight="false" outlineLevel="0" collapsed="false">
      <c r="A65" s="9" t="s">
        <v>155</v>
      </c>
      <c r="B65" s="27" t="str">
        <f aca="false">IF(AND(B29=C29,C29=D29,D29=E29,E29=F29),"✓","✗")</f>
        <v>✓</v>
      </c>
      <c r="C65" s="16" t="s">
        <v>156</v>
      </c>
      <c r="D65" s="16"/>
    </row>
    <row r="66" customFormat="false" ht="16" hidden="false" customHeight="false" outlineLevel="0" collapsed="false">
      <c r="A66" s="9" t="s">
        <v>157</v>
      </c>
      <c r="B66" s="27" t="str">
        <f aca="false">IF(ABS($B$10-$B$8^5)&lt;0.5,"✓","✗")</f>
        <v>✓</v>
      </c>
      <c r="C66" s="16" t="s">
        <v>158</v>
      </c>
      <c r="D66" s="16"/>
      <c r="E66" s="16"/>
    </row>
    <row r="67" customFormat="false" ht="15" hidden="false" customHeight="false" outlineLevel="0" collapsed="false">
      <c r="A67" s="9" t="s">
        <v>159</v>
      </c>
      <c r="B67" s="27" t="str">
        <f aca="false">IF(SUM(C33:C41)&lt;=$B$10,"✓","✗")</f>
        <v>✓</v>
      </c>
    </row>
    <row r="69" customFormat="false" ht="15" hidden="false" customHeight="true" outlineLevel="0" collapsed="false">
      <c r="A69" s="24" t="s">
        <v>160</v>
      </c>
      <c r="B69" s="24"/>
      <c r="C69" s="24"/>
      <c r="D69" s="24"/>
      <c r="E69" s="24"/>
      <c r="F69" s="24"/>
      <c r="G69" s="24"/>
      <c r="H69" s="24"/>
    </row>
  </sheetData>
  <mergeCells count="25">
    <mergeCell ref="A1:H1"/>
    <mergeCell ref="A3:C3"/>
    <mergeCell ref="C8:E8"/>
    <mergeCell ref="C10:F10"/>
    <mergeCell ref="C11:F11"/>
    <mergeCell ref="A13:F13"/>
    <mergeCell ref="G22:H22"/>
    <mergeCell ref="A24:F24"/>
    <mergeCell ref="H26:J26"/>
    <mergeCell ref="H27:J27"/>
    <mergeCell ref="H28:J28"/>
    <mergeCell ref="A31:F31"/>
    <mergeCell ref="A44:H44"/>
    <mergeCell ref="A46:C46"/>
    <mergeCell ref="C48:E48"/>
    <mergeCell ref="C50:F50"/>
    <mergeCell ref="A52:C52"/>
    <mergeCell ref="C56:E56"/>
    <mergeCell ref="C57:E57"/>
    <mergeCell ref="C58:E58"/>
    <mergeCell ref="C59:E59"/>
    <mergeCell ref="A62:C62"/>
    <mergeCell ref="C65:D65"/>
    <mergeCell ref="C66:E66"/>
    <mergeCell ref="A69:H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O89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2026-09-29T15:06:25Z</dcterms:created>
  <dc:creator>openpyxl</dc:creator>
  <dc:description/>
  <dc:language>zh-CN</dc:language>
  <cp:lastModifiedBy/>
  <dcterms:modified xsi:type="dcterms:W3CDTF">2026-09-29T15:06:25Z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