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说明" sheetId="1" state="visible" r:id="rId3"/>
    <sheet name="数据配表" sheetId="2" state="visible" r:id="rId4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<sst xmlns="http://schemas.openxmlformats.org/spreadsheetml/2006/main" count="180" uniqueCount="165">
  <si>
    <r>
      <rPr>
        <b val="true"/>
        <sz val="14"/>
        <color rgb="FF1F4E79"/>
        <rFont val="Noto Sans SC"/>
        <family val="2"/>
        <charset val="134"/>
      </rPr>
      <t xml:space="preserve">从零开始学</t>
    </r>
    <r>
      <rPr>
        <b val="true"/>
        <sz val="14"/>
        <color rgb="FF1F4E79"/>
        <rFont val="Cambria"/>
        <family val="0"/>
        <charset val="1"/>
      </rPr>
      <t xml:space="preserve">Slots 08 —— </t>
    </r>
    <r>
      <rPr>
        <b val="true"/>
        <sz val="14"/>
        <color rgb="FF1F4E79"/>
        <rFont val="Noto Sans SC"/>
        <family val="2"/>
        <charset val="134"/>
      </rPr>
      <t xml:space="preserve">基础篇：功能图标</t>
    </r>
  </si>
  <si>
    <r>
      <rPr>
        <sz val="11"/>
        <color rgb="FF808080"/>
        <rFont val="Noto Sans SC"/>
        <family val="2"/>
        <charset val="134"/>
      </rPr>
      <t xml:space="preserve">来源：知乎《</t>
    </r>
    <r>
      <rPr>
        <sz val="11"/>
        <color rgb="FF808080"/>
        <rFont val="Cambria"/>
        <family val="0"/>
        <charset val="1"/>
      </rPr>
      <t xml:space="preserve">Slots</t>
    </r>
    <r>
      <rPr>
        <sz val="11"/>
        <color rgb="FF808080"/>
        <rFont val="Noto Sans SC"/>
        <family val="2"/>
        <charset val="134"/>
      </rPr>
      <t xml:space="preserve">基础篇——功能图标》  </t>
    </r>
    <r>
      <rPr>
        <sz val="11"/>
        <color rgb="FF808080"/>
        <rFont val="Cambria"/>
        <family val="0"/>
        <charset val="1"/>
      </rPr>
      <t xml:space="preserve">https://zhuanlan.zhihu.com/p/624248081</t>
    </r>
  </si>
  <si>
    <r>
      <rPr>
        <sz val="11"/>
        <color rgb="FF808080"/>
        <rFont val="Noto Sans SC"/>
        <family val="2"/>
        <charset val="134"/>
      </rPr>
      <t xml:space="preserve">专栏：从零开始学</t>
    </r>
    <r>
      <rPr>
        <sz val="11"/>
        <color rgb="FF808080"/>
        <rFont val="Cambria"/>
        <family val="0"/>
        <charset val="1"/>
      </rPr>
      <t xml:space="preserve">Slots https://zhuanlan.zhihu.com/c_1645024821070356480 </t>
    </r>
    <r>
      <rPr>
        <sz val="11"/>
        <color rgb="FF808080"/>
        <rFont val="Noto Sans SC"/>
        <family val="2"/>
        <charset val="134"/>
      </rPr>
      <t xml:space="preserve">｜ 作者：</t>
    </r>
    <r>
      <rPr>
        <sz val="11"/>
        <color rgb="FF808080"/>
        <rFont val="Cambria"/>
        <family val="0"/>
        <charset val="1"/>
      </rPr>
      <t xml:space="preserve">ASlot</t>
    </r>
  </si>
  <si>
    <r>
      <rPr>
        <sz val="11"/>
        <color rgb="FF808080"/>
        <rFont val="Noto Sans SC"/>
        <family val="2"/>
        <charset val="134"/>
      </rPr>
      <t xml:space="preserve">正文：用户在本机离线保存的网页原件（浏览器「另存为 → 网页，全部」）；本页『原文整理』即该文全文，原文配图已取回 </t>
    </r>
    <r>
      <rPr>
        <sz val="11"/>
        <color rgb="FF808080"/>
        <rFont val="Cambria"/>
        <family val="0"/>
        <charset val="1"/>
      </rPr>
      <t xml:space="preserve">images/slots/</t>
    </r>
    <r>
      <rPr>
        <sz val="11"/>
        <color rgb="FF808080"/>
        <rFont val="Noto Sans SC"/>
        <family val="2"/>
        <charset val="134"/>
      </rPr>
      <t xml:space="preserve">。</t>
    </r>
  </si>
  <si>
    <r>
      <rPr>
        <sz val="11"/>
        <color rgb="FF808080"/>
        <rFont val="Noto Sans SC"/>
        <family val="2"/>
        <charset val="134"/>
      </rPr>
      <t xml:space="preserve">样式模板：捕鱼游戏数学</t>
    </r>
    <r>
      <rPr>
        <sz val="11"/>
        <color rgb="FF808080"/>
        <rFont val="Cambria"/>
        <family val="0"/>
        <charset val="1"/>
      </rPr>
      <t xml:space="preserve">-PartII-</t>
    </r>
    <r>
      <rPr>
        <sz val="11"/>
        <color rgb="FF808080"/>
        <rFont val="Noto Sans SC"/>
        <family val="2"/>
        <charset val="134"/>
      </rPr>
      <t xml:space="preserve">特殊炮模型</t>
    </r>
    <r>
      <rPr>
        <sz val="11"/>
        <color rgb="FF808080"/>
        <rFont val="Cambria"/>
        <family val="0"/>
        <charset val="1"/>
      </rPr>
      <t xml:space="preserve">.xlsx</t>
    </r>
    <r>
      <rPr>
        <sz val="11"/>
        <color rgb="FF808080"/>
        <rFont val="Noto Sans SC"/>
        <family val="2"/>
        <charset val="134"/>
      </rPr>
      <t xml:space="preserve">（分节深蓝底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表头浅蓝底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蓝字可改输入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黑字公式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黄底关键结果）</t>
    </r>
  </si>
  <si>
    <t xml:space="preserve">配表说明：本篇为功能图标总览，分类与规则全部取自原文；</t>
  </si>
  <si>
    <r>
      <rPr>
        <sz val="11"/>
        <color rgb="FF808080"/>
        <rFont val="Noto Sans SC"/>
        <family val="2"/>
        <charset val="134"/>
      </rPr>
      <t xml:space="preserve">【</t>
    </r>
    <r>
      <rPr>
        <sz val="11"/>
        <color rgb="FF808080"/>
        <rFont val="Cambria"/>
        <family val="0"/>
        <charset val="1"/>
      </rPr>
      <t xml:space="preserve">3</t>
    </r>
    <r>
      <rPr>
        <sz val="11"/>
        <color rgb="FF808080"/>
        <rFont val="Noto Sans SC"/>
        <family val="2"/>
        <charset val="134"/>
      </rPr>
      <t xml:space="preserve">】【</t>
    </r>
    <r>
      <rPr>
        <sz val="11"/>
        <color rgb="FF808080"/>
        <rFont val="Cambria"/>
        <family val="0"/>
        <charset val="1"/>
      </rPr>
      <t xml:space="preserve">4</t>
    </r>
    <r>
      <rPr>
        <sz val="11"/>
        <color rgb="FF808080"/>
        <rFont val="Noto Sans SC"/>
        <family val="2"/>
        <charset val="134"/>
      </rPr>
      <t xml:space="preserve">】里的停位数、</t>
    </r>
    <r>
      <rPr>
        <sz val="11"/>
        <color rgb="FF808080"/>
        <rFont val="Cambria"/>
        <family val="0"/>
        <charset val="1"/>
      </rPr>
      <t xml:space="preserve">Scatter </t>
    </r>
    <r>
      <rPr>
        <sz val="11"/>
        <color rgb="FF808080"/>
        <rFont val="Noto Sans SC"/>
        <family val="2"/>
        <charset val="134"/>
      </rPr>
      <t xml:space="preserve">个数、倍数都是示意值（原文未给具体配置），用于演示「触发几率」「多倍提升」这两个最常被问到的算法口径。</t>
    </r>
  </si>
  <si>
    <t xml:space="preserve">页签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</si>
  <si>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说明：本文整理 —— 来源、用法、要点、原文全文、配图清单、校验与声明。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</si>
  <si>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数据配表：把原文讲到的方法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  <charset val="134"/>
      </rPr>
      <t xml:space="preserve">机制做成可改数值的配表（蓝字可改，公式自动联动）。</t>
    </r>
  </si>
  <si>
    <t xml:space="preserve">用法</t>
  </si>
  <si>
    <r>
      <rPr>
        <sz val="11"/>
        <color theme="1"/>
        <rFont val="Calibri"/>
        <family val="2"/>
        <charset val="1"/>
      </rPr>
      <t xml:space="preserve">1) </t>
    </r>
    <r>
      <rPr>
        <sz val="11"/>
        <color theme="1"/>
        <rFont val="Noto Sans SC"/>
        <family val="2"/>
        <charset val="134"/>
      </rPr>
      <t xml:space="preserve">先看本页『原文整理』，对照原文小标题读一遍；配图编号 ［配图 </t>
    </r>
    <r>
      <rPr>
        <sz val="11"/>
        <color theme="1"/>
        <rFont val="Calibri"/>
        <family val="2"/>
        <charset val="1"/>
      </rPr>
      <t xml:space="preserve">NN</t>
    </r>
    <r>
      <rPr>
        <sz val="11"/>
        <color theme="1"/>
        <rFont val="Noto Sans SC"/>
        <family val="2"/>
        <charset val="134"/>
      </rPr>
      <t xml:space="preserve">］ 对应 </t>
    </r>
    <r>
      <rPr>
        <sz val="11"/>
        <color theme="1"/>
        <rFont val="Calibri"/>
        <family val="2"/>
        <charset val="1"/>
      </rPr>
      <t xml:space="preserve">images/slots/624248081-NN.</t>
    </r>
    <r>
      <rPr>
        <sz val="11"/>
        <color theme="1"/>
        <rFont val="Noto Sans SC"/>
        <family val="2"/>
        <charset val="134"/>
      </rPr>
      <t xml:space="preserve">原扩展名。</t>
    </r>
  </si>
  <si>
    <r>
      <rPr>
        <sz val="11"/>
        <color theme="1"/>
        <rFont val="Calibri"/>
        <family val="2"/>
        <charset val="1"/>
      </rPr>
      <t xml:space="preserve">2) </t>
    </r>
    <r>
      <rPr>
        <sz val="11"/>
        <color theme="1"/>
        <rFont val="Noto Sans SC"/>
        <family val="2"/>
        <charset val="134"/>
      </rPr>
      <t xml:space="preserve">再看第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  <charset val="134"/>
      </rPr>
      <t xml:space="preserve">个页签『数据配表』：蓝字＝可改配置，黑字＝公式，黄底＝结果；改配置后各表自动联动。</t>
    </r>
  </si>
  <si>
    <r>
      <rPr>
        <sz val="11"/>
        <color theme="1"/>
        <rFont val="Calibri"/>
        <family val="2"/>
        <charset val="1"/>
      </rPr>
      <t xml:space="preserve">3) </t>
    </r>
    <r>
      <rPr>
        <sz val="11"/>
        <color theme="1"/>
        <rFont val="Noto Sans SC"/>
        <family val="2"/>
        <charset val="134"/>
      </rPr>
      <t xml:space="preserve">表内数值取自原文示例；原文只给方法而未给数值的部分，用同项目《老虎机数学入门 </t>
    </r>
    <r>
      <rPr>
        <sz val="11"/>
        <color theme="1"/>
        <rFont val="Calibri"/>
        <family val="2"/>
        <charset val="1"/>
      </rPr>
      <t xml:space="preserve">Part Ⅰ/Ⅱ</t>
    </r>
    <r>
      <rPr>
        <sz val="11"/>
        <color theme="1"/>
        <rFont val="Noto Sans SC"/>
        <family val="2"/>
        <charset val="134"/>
      </rPr>
      <t xml:space="preserve">》的示例数值（蓝字可改）。</t>
    </r>
  </si>
  <si>
    <t xml:space="preserve">要点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</si>
  <si>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图标按功能分五类：标准图标、百搭图标（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）、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Bonus</t>
    </r>
    <r>
      <rPr>
        <sz val="11"/>
        <color theme="1"/>
        <rFont val="Noto Sans SC"/>
        <family val="2"/>
        <charset val="134"/>
      </rPr>
      <t xml:space="preserve">、多倍图标（</t>
    </r>
    <r>
      <rPr>
        <sz val="11"/>
        <color theme="1"/>
        <rFont val="Calibri"/>
        <family val="2"/>
        <charset val="1"/>
      </rPr>
      <t xml:space="preserve">Multiplier</t>
    </r>
    <r>
      <rPr>
        <sz val="11"/>
        <color theme="1"/>
        <rFont val="Noto Sans SC"/>
        <family val="2"/>
        <charset val="134"/>
      </rPr>
      <t xml:space="preserve">）。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</si>
  <si>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标准图标：带中奖组合与赔付倍数（柠檬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  <charset val="134"/>
      </rPr>
      <t xml:space="preserve">西瓜</t>
    </r>
    <r>
      <rPr>
        <sz val="11"/>
        <color theme="1"/>
        <rFont val="Calibri"/>
        <family val="2"/>
        <charset val="1"/>
      </rPr>
      <t xml:space="preserve">/777</t>
    </r>
    <r>
      <rPr>
        <sz val="11"/>
        <color theme="1"/>
        <rFont val="Noto Sans SC"/>
        <family val="2"/>
        <charset val="134"/>
      </rPr>
      <t xml:space="preserve">，或黑红梅方与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Q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SC"/>
        <family val="2"/>
        <charset val="134"/>
      </rPr>
      <t xml:space="preserve">），</t>
    </r>
  </si>
  <si>
    <r>
      <rPr>
        <sz val="11"/>
        <color theme="1"/>
        <rFont val="Noto Sans SC"/>
        <family val="2"/>
        <charset val="134"/>
      </rPr>
      <t xml:space="preserve">  是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最基础、必须存在的图标。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</si>
  <si>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百搭图标：计算中奖组合时视为任何其他图标，但</t>
    </r>
    <r>
      <rPr>
        <sz val="11"/>
        <color theme="1"/>
        <rFont val="Calibri"/>
        <family val="2"/>
        <charset val="1"/>
      </rPr>
      <t xml:space="preserve">**</t>
    </r>
    <r>
      <rPr>
        <sz val="11"/>
        <color theme="1"/>
        <rFont val="Noto Sans SC"/>
        <family val="2"/>
        <charset val="134"/>
      </rPr>
      <t xml:space="preserve">只能替代标准图标</t>
    </r>
    <r>
      <rPr>
        <sz val="11"/>
        <color theme="1"/>
        <rFont val="Calibri"/>
        <family val="2"/>
        <charset val="1"/>
      </rPr>
      <t xml:space="preserve">**</t>
    </r>
    <r>
      <rPr>
        <sz val="11"/>
        <color theme="1"/>
        <rFont val="Noto Sans SC"/>
        <family val="2"/>
        <charset val="134"/>
      </rPr>
      <t xml:space="preserve">，</t>
    </r>
  </si>
  <si>
    <r>
      <rPr>
        <sz val="11"/>
        <color theme="1"/>
        <rFont val="Noto Sans SC"/>
        <family val="2"/>
        <charset val="134"/>
      </rPr>
      <t xml:space="preserve">  不能替代 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Bonus </t>
    </r>
    <r>
      <rPr>
        <sz val="11"/>
        <color theme="1"/>
        <rFont val="Noto Sans SC"/>
        <family val="2"/>
        <charset val="134"/>
      </rPr>
      <t xml:space="preserve">等功能图标。</t>
    </r>
  </si>
  <si>
    <r>
      <rPr>
        <sz val="11"/>
        <color theme="1"/>
        <rFont val="Calibri"/>
        <family val="2"/>
        <charset val="1"/>
      </rPr>
      <t xml:space="preserve">· Scatter </t>
    </r>
    <r>
      <rPr>
        <sz val="11"/>
        <color theme="1"/>
        <rFont val="Noto Sans SC"/>
        <family val="2"/>
        <charset val="134"/>
      </rPr>
      <t xml:space="preserve">图标：一般没有赔付倍数；同时出现个数 ≥ 指定值时触发免费摇；</t>
    </r>
  </si>
  <si>
    <t xml:space="preserve">  免费摇使用触发时的下注摇奖且不消耗下注额。</t>
  </si>
  <si>
    <r>
      <rPr>
        <sz val="11"/>
        <color theme="1"/>
        <rFont val="Calibri"/>
        <family val="2"/>
        <charset val="1"/>
      </rPr>
      <t xml:space="preserve">· Bonus </t>
    </r>
    <r>
      <rPr>
        <sz val="11"/>
        <color theme="1"/>
        <rFont val="Noto Sans SC"/>
        <family val="2"/>
        <charset val="134"/>
      </rPr>
      <t xml:space="preserve">图标：定位与 </t>
    </r>
    <r>
      <rPr>
        <sz val="11"/>
        <color theme="1"/>
        <rFont val="Calibri"/>
        <family val="2"/>
        <charset val="1"/>
      </rPr>
      <t xml:space="preserve">Scatter </t>
    </r>
    <r>
      <rPr>
        <sz val="11"/>
        <color theme="1"/>
        <rFont val="Noto Sans SC"/>
        <family val="2"/>
        <charset val="134"/>
      </rPr>
      <t xml:space="preserve">相似（都是触发 </t>
    </r>
    <r>
      <rPr>
        <sz val="11"/>
        <color theme="1"/>
        <rFont val="Calibri"/>
        <family val="2"/>
        <charset val="1"/>
      </rPr>
      <t xml:space="preserve">Feature</t>
    </r>
    <r>
      <rPr>
        <sz val="11"/>
        <color theme="1"/>
        <rFont val="Noto Sans SC"/>
        <family val="2"/>
        <charset val="134"/>
      </rPr>
      <t xml:space="preserve">，触发方式也是个数 ≥ </t>
    </r>
    <r>
      <rPr>
        <sz val="11"/>
        <color theme="1"/>
        <rFont val="Calibri"/>
        <family val="2"/>
        <charset val="1"/>
      </rPr>
      <t xml:space="preserve">N</t>
    </r>
    <r>
      <rPr>
        <sz val="11"/>
        <color theme="1"/>
        <rFont val="Noto Sans SC"/>
        <family val="2"/>
        <charset val="134"/>
      </rPr>
      <t xml:space="preserve">），</t>
    </r>
  </si>
  <si>
    <r>
      <rPr>
        <sz val="11"/>
        <color theme="1"/>
        <rFont val="Noto Sans SC"/>
        <family val="2"/>
        <charset val="134"/>
      </rPr>
      <t xml:space="preserve">  区别在于 </t>
    </r>
    <r>
      <rPr>
        <sz val="11"/>
        <color theme="1"/>
        <rFont val="Calibri"/>
        <family val="2"/>
        <charset val="1"/>
      </rPr>
      <t xml:space="preserve">Bonus </t>
    </r>
    <r>
      <rPr>
        <sz val="11"/>
        <color theme="1"/>
        <rFont val="Noto Sans SC"/>
        <family val="2"/>
        <charset val="134"/>
      </rPr>
      <t xml:space="preserve">更常用来触发与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本体差异较大的模式（</t>
    </r>
    <r>
      <rPr>
        <sz val="11"/>
        <color theme="1"/>
        <rFont val="Calibri"/>
        <family val="2"/>
        <charset val="1"/>
      </rPr>
      <t xml:space="preserve">Wheel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Jackpot </t>
    </r>
    <r>
      <rPr>
        <sz val="11"/>
        <color theme="1"/>
        <rFont val="Noto Sans SC"/>
        <family val="2"/>
        <charset val="134"/>
      </rPr>
      <t xml:space="preserve">等）；混用也可以，规则页说明清楚即可。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</si>
  <si>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多倍图标：出现且该局中奖时，把该局中奖倍数提升为图标上展示的倍数；</t>
    </r>
  </si>
  <si>
    <r>
      <rPr>
        <sz val="11"/>
        <color theme="1"/>
        <rFont val="Noto Sans SC"/>
        <family val="2"/>
        <charset val="134"/>
      </rPr>
      <t xml:space="preserve">  注意并非所有「带数字的图标」都是多倍图标——</t>
    </r>
    <r>
      <rPr>
        <sz val="11"/>
        <color theme="1"/>
        <rFont val="Calibri"/>
        <family val="2"/>
        <charset val="1"/>
      </rPr>
      <t xml:space="preserve">Hold &amp; Spin </t>
    </r>
    <r>
      <rPr>
        <sz val="11"/>
        <color theme="1"/>
        <rFont val="Noto Sans SC"/>
        <family val="2"/>
        <charset val="134"/>
      </rPr>
      <t xml:space="preserve">里带数字的图标代表赔付金额，而不是倍数。</t>
    </r>
  </si>
  <si>
    <t xml:space="preserve">原文整理（全文，按原文小标题分段）</t>
  </si>
  <si>
    <r>
      <rPr>
        <sz val="11"/>
        <color theme="1"/>
        <rFont val="Noto Sans SC"/>
        <family val="2"/>
        <charset val="134"/>
      </rPr>
      <t xml:space="preserve">在之前的文章中有对图标的中奖组合和赔付倍数特性进行介绍——</t>
    </r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基础篇——数值概念简介</t>
    </r>
  </si>
  <si>
    <r>
      <rPr>
        <sz val="11"/>
        <color theme="1"/>
        <rFont val="Noto Sans SC"/>
        <family val="2"/>
        <charset val="134"/>
      </rPr>
      <t xml:space="preserve">也有介绍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图标的处理方式——</t>
    </r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数值篇——</t>
    </r>
    <r>
      <rPr>
        <sz val="11"/>
        <color theme="1"/>
        <rFont val="Calibri"/>
        <family val="2"/>
        <charset val="1"/>
      </rPr>
      <t xml:space="preserve">Wild Symbols</t>
    </r>
  </si>
  <si>
    <r>
      <rPr>
        <sz val="11"/>
        <color theme="1"/>
        <rFont val="Noto Sans SC"/>
        <family val="2"/>
        <charset val="134"/>
      </rPr>
      <t xml:space="preserve">不难发现，在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玩法中，存在实现各种不同功能的图标</t>
    </r>
  </si>
  <si>
    <t xml:space="preserve">本篇将从各图标的功能出发，介绍不同类型的图标</t>
  </si>
  <si>
    <t xml:space="preserve">标准图标</t>
  </si>
  <si>
    <t xml:space="preserve">之前介绍带有中奖组合和赔付倍数的图标大多都是标准图标</t>
  </si>
  <si>
    <r>
      <rPr>
        <sz val="11"/>
        <color theme="1"/>
        <rFont val="Noto Sans SC"/>
        <family val="2"/>
        <charset val="134"/>
      </rPr>
      <t xml:space="preserve">例如经典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中的柠檬、西瓜、</t>
    </r>
    <r>
      <rPr>
        <sz val="11"/>
        <color theme="1"/>
        <rFont val="Calibri"/>
        <family val="2"/>
        <charset val="1"/>
      </rPr>
      <t xml:space="preserve">777</t>
    </r>
    <r>
      <rPr>
        <sz val="11"/>
        <color theme="1"/>
        <rFont val="Noto Sans SC"/>
        <family val="2"/>
        <charset val="134"/>
      </rPr>
      <t xml:space="preserve">等带有赔付倍数的图标都是标准图标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</si>
  <si>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01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624248081-01.jpg</t>
    </r>
  </si>
  <si>
    <r>
      <rPr>
        <sz val="11"/>
        <color theme="1"/>
        <rFont val="Noto Sans SC"/>
        <family val="2"/>
        <charset val="134"/>
      </rPr>
      <t xml:space="preserve">也有很多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使用黑红梅方和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JQKA</t>
    </r>
    <r>
      <rPr>
        <sz val="11"/>
        <color theme="1"/>
        <rFont val="Noto Sans SC"/>
        <family val="2"/>
        <charset val="134"/>
      </rPr>
      <t xml:space="preserve">等扑克要素来设计标准图标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</si>
  <si>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02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624248081-02.jpg</t>
    </r>
  </si>
  <si>
    <r>
      <rPr>
        <sz val="11"/>
        <color theme="1"/>
        <rFont val="Noto Sans SC"/>
        <family val="2"/>
        <charset val="134"/>
      </rPr>
      <t xml:space="preserve">标准图标是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最为基础也是必须存在的图标</t>
    </r>
  </si>
  <si>
    <t xml:space="preserve">百搭图标</t>
  </si>
  <si>
    <t xml:space="preserve">上篇已经对百搭图标的生效方式进行了详细的介绍，这里只进行补充说明</t>
  </si>
  <si>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图标在计算中奖组合时能够被视为任何其他图标</t>
    </r>
  </si>
  <si>
    <r>
      <rPr>
        <sz val="11"/>
        <color theme="1"/>
        <rFont val="Noto Sans SC"/>
        <family val="2"/>
        <charset val="134"/>
      </rPr>
      <t xml:space="preserve">但是需要注意的是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图标只能替代标准图标，而不能替代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Bonus</t>
    </r>
    <r>
      <rPr>
        <sz val="11"/>
        <color theme="1"/>
        <rFont val="Noto Sans SC"/>
        <family val="2"/>
        <charset val="134"/>
      </rPr>
      <t xml:space="preserve">等功能图标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</si>
  <si>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03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624248081-03.jpg</t>
    </r>
  </si>
  <si>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图标</t>
    </r>
  </si>
  <si>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图标一般也没有赔付倍数</t>
    </r>
  </si>
  <si>
    <r>
      <rPr>
        <sz val="11"/>
        <color theme="1"/>
        <rFont val="Noto Sans SC"/>
        <family val="2"/>
        <charset val="134"/>
      </rPr>
      <t xml:space="preserve">当同时出现的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图标大于等于指定个数时，就能够触发免费摇</t>
    </r>
  </si>
  <si>
    <t xml:space="preserve">免费摇使用触发时玩家的下注进行摇奖，并且不消耗下注额，是一种简单直接的特殊模式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</si>
  <si>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04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624248081-04.jpg</t>
    </r>
  </si>
  <si>
    <r>
      <rPr>
        <sz val="11"/>
        <color theme="1"/>
        <rFont val="Calibri"/>
        <family val="2"/>
        <charset val="1"/>
      </rPr>
      <t xml:space="preserve">Bonus</t>
    </r>
    <r>
      <rPr>
        <sz val="11"/>
        <color theme="1"/>
        <rFont val="Noto Sans SC"/>
        <family val="2"/>
        <charset val="134"/>
      </rPr>
      <t xml:space="preserve">图标</t>
    </r>
  </si>
  <si>
    <r>
      <rPr>
        <sz val="11"/>
        <color theme="1"/>
        <rFont val="Calibri"/>
        <family val="2"/>
        <charset val="1"/>
      </rPr>
      <t xml:space="preserve">Bonus</t>
    </r>
    <r>
      <rPr>
        <sz val="11"/>
        <color theme="1"/>
        <rFont val="Noto Sans SC"/>
        <family val="2"/>
        <charset val="134"/>
      </rPr>
      <t xml:space="preserve">图标和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图标的定位相对比较相似</t>
    </r>
  </si>
  <si>
    <r>
      <rPr>
        <sz val="11"/>
        <color theme="1"/>
        <rFont val="Noto Sans SC"/>
        <family val="2"/>
        <charset val="134"/>
      </rPr>
      <t xml:space="preserve">都是用来触发</t>
    </r>
    <r>
      <rPr>
        <sz val="11"/>
        <color theme="1"/>
        <rFont val="Calibri"/>
        <family val="2"/>
        <charset val="1"/>
      </rPr>
      <t xml:space="preserve">Feature</t>
    </r>
    <r>
      <rPr>
        <sz val="11"/>
        <color theme="1"/>
        <rFont val="Noto Sans SC"/>
        <family val="2"/>
        <charset val="134"/>
      </rPr>
      <t xml:space="preserve">的图标</t>
    </r>
  </si>
  <si>
    <r>
      <rPr>
        <sz val="11"/>
        <color theme="1"/>
        <rFont val="Noto Sans SC"/>
        <family val="2"/>
        <charset val="134"/>
      </rPr>
      <t xml:space="preserve">触发的方式也几乎都是同时出现的个数超过</t>
    </r>
    <r>
      <rPr>
        <sz val="11"/>
        <color theme="1"/>
        <rFont val="Calibri"/>
        <family val="2"/>
        <charset val="1"/>
      </rPr>
      <t xml:space="preserve">N</t>
    </r>
    <r>
      <rPr>
        <sz val="11"/>
        <color theme="1"/>
        <rFont val="Noto Sans SC"/>
        <family val="2"/>
        <charset val="134"/>
      </rPr>
      <t xml:space="preserve">个</t>
    </r>
  </si>
  <si>
    <r>
      <rPr>
        <sz val="11"/>
        <color theme="1"/>
        <rFont val="Noto Sans SC"/>
        <family val="2"/>
        <charset val="134"/>
      </rPr>
      <t xml:space="preserve">硬要区分的话可以说</t>
    </r>
    <r>
      <rPr>
        <sz val="11"/>
        <color theme="1"/>
        <rFont val="Calibri"/>
        <family val="2"/>
        <charset val="1"/>
      </rPr>
      <t xml:space="preserve">Bonus</t>
    </r>
    <r>
      <rPr>
        <sz val="11"/>
        <color theme="1"/>
        <rFont val="Noto Sans SC"/>
        <family val="2"/>
        <charset val="134"/>
      </rPr>
      <t xml:space="preserve">图标更常被用于触发不同的游戏模式</t>
    </r>
  </si>
  <si>
    <r>
      <rPr>
        <sz val="11"/>
        <color theme="1"/>
        <rFont val="Noto Sans SC"/>
        <family val="2"/>
        <charset val="134"/>
      </rPr>
      <t xml:space="preserve">把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和免费摇绑定的话</t>
    </r>
  </si>
  <si>
    <r>
      <rPr>
        <sz val="11"/>
        <color theme="1"/>
        <rFont val="Noto Sans SC"/>
        <family val="2"/>
        <charset val="134"/>
      </rPr>
      <t xml:space="preserve">和</t>
    </r>
    <r>
      <rPr>
        <sz val="11"/>
        <color theme="1"/>
        <rFont val="Calibri"/>
        <family val="2"/>
        <charset val="1"/>
      </rPr>
      <t xml:space="preserve">Bonus</t>
    </r>
    <r>
      <rPr>
        <sz val="11"/>
        <color theme="1"/>
        <rFont val="Noto Sans SC"/>
        <family val="2"/>
        <charset val="134"/>
      </rPr>
      <t xml:space="preserve">比较相关的就是</t>
    </r>
    <r>
      <rPr>
        <sz val="11"/>
        <color theme="1"/>
        <rFont val="Calibri"/>
        <family val="2"/>
        <charset val="1"/>
      </rPr>
      <t xml:space="preserve">Wheel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Jackpot</t>
    </r>
    <r>
      <rPr>
        <sz val="11"/>
        <color theme="1"/>
        <rFont val="Noto Sans SC"/>
        <family val="2"/>
        <charset val="134"/>
      </rPr>
      <t xml:space="preserve">等和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玩法本身相差比较大的</t>
    </r>
    <r>
      <rPr>
        <sz val="11"/>
        <color theme="1"/>
        <rFont val="Calibri"/>
        <family val="2"/>
        <charset val="1"/>
      </rPr>
      <t xml:space="preserve">Feature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</si>
  <si>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05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624248081-05.jpg</t>
    </r>
  </si>
  <si>
    <t xml:space="preserve">当然混用也影响不大，在规则页说明清楚即可</t>
  </si>
  <si>
    <t xml:space="preserve">多倍图标</t>
  </si>
  <si>
    <r>
      <rPr>
        <sz val="11"/>
        <color theme="1"/>
        <rFont val="Noto Sans SC"/>
        <family val="2"/>
        <charset val="134"/>
      </rPr>
      <t xml:space="preserve">和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Bonus</t>
    </r>
    <r>
      <rPr>
        <sz val="11"/>
        <color theme="1"/>
        <rFont val="Noto Sans SC"/>
        <family val="2"/>
        <charset val="134"/>
      </rPr>
      <t xml:space="preserve">图标相比，</t>
    </r>
    <r>
      <rPr>
        <sz val="11"/>
        <color theme="1"/>
        <rFont val="Calibri"/>
        <family val="2"/>
        <charset val="1"/>
      </rPr>
      <t xml:space="preserve">Multiplier Symbols</t>
    </r>
    <r>
      <rPr>
        <sz val="11"/>
        <color theme="1"/>
        <rFont val="Noto Sans SC"/>
        <family val="2"/>
        <charset val="134"/>
      </rPr>
      <t xml:space="preserve">就不是那么常见了</t>
    </r>
  </si>
  <si>
    <t xml:space="preserve">多倍图标在出现在场上时，如果该局中奖</t>
  </si>
  <si>
    <t xml:space="preserve">能够让该局中奖的倍数提升多倍图标上展示的倍数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</si>
  <si>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624248081-06.jpg</t>
    </r>
  </si>
  <si>
    <t xml:space="preserve">需要注意的是并不是带有数字的图标都是多倍图标</t>
  </si>
  <si>
    <r>
      <rPr>
        <sz val="11"/>
        <color theme="1"/>
        <rFont val="Noto Sans SC"/>
        <family val="2"/>
        <charset val="134"/>
      </rPr>
      <t xml:space="preserve">例如</t>
    </r>
    <r>
      <rPr>
        <sz val="11"/>
        <color theme="1"/>
        <rFont val="Calibri"/>
        <family val="2"/>
        <charset val="1"/>
      </rPr>
      <t xml:space="preserve">Hold &amp; Spin</t>
    </r>
    <r>
      <rPr>
        <sz val="11"/>
        <color theme="1"/>
        <rFont val="Noto Sans SC"/>
        <family val="2"/>
        <charset val="134"/>
      </rPr>
      <t xml:space="preserve">模式中代表赔付额的图标，这些图标代表的是赔付金额，并不是倍数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</si>
  <si>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07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624248081-07.jpg</t>
    </r>
  </si>
  <si>
    <r>
      <rPr>
        <b val="true"/>
        <sz val="11"/>
        <rFont val="Noto Sans SC"/>
        <family val="2"/>
        <charset val="134"/>
      </rPr>
      <t xml:space="preserve">原文配图清单（共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SC"/>
        <family val="2"/>
        <charset val="134"/>
      </rPr>
      <t xml:space="preserve">张，已保存到 </t>
    </r>
    <r>
      <rPr>
        <b val="true"/>
        <sz val="11"/>
        <rFont val="Cambria"/>
        <family val="0"/>
        <charset val="1"/>
      </rPr>
      <t xml:space="preserve">images/slots/</t>
    </r>
    <r>
      <rPr>
        <b val="true"/>
        <sz val="11"/>
        <rFont val="Noto Sans SC"/>
        <family val="2"/>
        <charset val="134"/>
      </rPr>
      <t xml:space="preserve">）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</si>
  <si>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01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624248081-01.jpg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</si>
  <si>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02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624248081-02.jpg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</si>
  <si>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03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624248081-03.jpg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</si>
  <si>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04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624248081-04.jpg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</si>
  <si>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05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624248081-05.jpg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</si>
  <si>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06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624248081-06.jpg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</si>
  <si>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07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624248081-07.jpg</t>
    </r>
  </si>
  <si>
    <t xml:space="preserve">校验</t>
  </si>
  <si>
    <r>
      <rPr>
        <sz val="11"/>
        <color theme="1"/>
        <rFont val="Noto Sans SC"/>
        <family val="2"/>
        <charset val="134"/>
      </rPr>
      <t xml:space="preserve">① 本簿由 </t>
    </r>
    <r>
      <rPr>
        <sz val="11"/>
        <color theme="1"/>
        <rFont val="Calibri"/>
        <family val="2"/>
        <charset val="1"/>
      </rPr>
      <t xml:space="preserve">openpyxl </t>
    </r>
    <r>
      <rPr>
        <sz val="11"/>
        <color theme="1"/>
        <rFont val="Noto Sans SC"/>
        <family val="2"/>
        <charset val="134"/>
      </rPr>
      <t xml:space="preserve">生成并已开启打开时重算；② 另用 </t>
    </r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SC"/>
        <family val="2"/>
        <charset val="134"/>
      </rPr>
      <t xml:space="preserve">独立重算复核，公式错误值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SC"/>
        <family val="2"/>
        <charset val="134"/>
      </rPr>
      <t xml:space="preserve">个；</t>
    </r>
  </si>
  <si>
    <t xml:space="preserve">③ 正文与原文逐句一致（用户离线保存的网页原件），配图按正文出现顺序编号。</t>
  </si>
  <si>
    <t xml:space="preserve">说明</t>
  </si>
  <si>
    <t xml:space="preserve">本簿是原文的整理与配表实现，非原文替代品；原文未提供的数值一律标注来源，不臆造。</t>
  </si>
  <si>
    <r>
      <rPr>
        <sz val="11"/>
        <color theme="1"/>
        <rFont val="Noto Sans SC"/>
        <family val="2"/>
        <charset val="134"/>
      </rPr>
      <t xml:space="preserve">原文版权归作者 </t>
    </r>
    <r>
      <rPr>
        <sz val="11"/>
        <color theme="1"/>
        <rFont val="Calibri"/>
        <family val="2"/>
        <charset val="1"/>
      </rPr>
      <t xml:space="preserve">ASlot </t>
    </r>
    <r>
      <rPr>
        <sz val="11"/>
        <color theme="1"/>
        <rFont val="Noto Sans SC"/>
        <family val="2"/>
        <charset val="134"/>
      </rPr>
      <t xml:space="preserve">与知乎所有，本簿仅供个人学习整理使用。</t>
    </r>
  </si>
  <si>
    <r>
      <rPr>
        <sz val="11"/>
        <color rgb="FF808080"/>
        <rFont val="Cambria"/>
        <family val="0"/>
        <charset val="1"/>
      </rPr>
      <t xml:space="preserve">Source: zhihu.com</t>
    </r>
    <r>
      <rPr>
        <sz val="11"/>
        <color rgb="FF808080"/>
        <rFont val="Noto Sans SC"/>
        <family val="2"/>
        <charset val="134"/>
      </rPr>
      <t xml:space="preserve">《</t>
    </r>
    <r>
      <rPr>
        <sz val="11"/>
        <color rgb="FF808080"/>
        <rFont val="Cambria"/>
        <family val="0"/>
        <charset val="1"/>
      </rPr>
      <t xml:space="preserve">Slots</t>
    </r>
    <r>
      <rPr>
        <sz val="11"/>
        <color rgb="FF808080"/>
        <rFont val="Noto Sans SC"/>
        <family val="2"/>
        <charset val="134"/>
      </rPr>
      <t xml:space="preserve">基础篇——功能图标》</t>
    </r>
    <r>
      <rPr>
        <sz val="11"/>
        <color rgb="FF808080"/>
        <rFont val="Cambria"/>
        <family val="0"/>
        <charset val="1"/>
      </rPr>
      <t xml:space="preserve">, https://zhuanlan.zhihu.com/p/624248081</t>
    </r>
  </si>
  <si>
    <r>
      <rPr>
        <b val="true"/>
        <sz val="14"/>
        <color rgb="FF1F4E79"/>
        <rFont val="Noto Sans SC"/>
        <family val="2"/>
        <charset val="134"/>
      </rPr>
      <t xml:space="preserve">基础篇 </t>
    </r>
    <r>
      <rPr>
        <b val="true"/>
        <sz val="14"/>
        <color rgb="FF1F4E79"/>
        <rFont val="Cambria"/>
        <family val="0"/>
        <charset val="1"/>
      </rPr>
      <t xml:space="preserve">· </t>
    </r>
    <r>
      <rPr>
        <b val="true"/>
        <sz val="14"/>
        <color rgb="FF1F4E79"/>
        <rFont val="Noto Sans SC"/>
        <family val="2"/>
        <charset val="134"/>
      </rPr>
      <t xml:space="preserve">功能图标 —— 数据配表（蓝字＝可改 </t>
    </r>
    <r>
      <rPr>
        <b val="true"/>
        <sz val="14"/>
        <color rgb="FF1F4E79"/>
        <rFont val="Cambria"/>
        <family val="0"/>
        <charset val="1"/>
      </rPr>
      <t xml:space="preserve">/ </t>
    </r>
    <r>
      <rPr>
        <b val="true"/>
        <sz val="14"/>
        <color rgb="FF1F4E79"/>
        <rFont val="Noto Sans SC"/>
        <family val="2"/>
        <charset val="134"/>
      </rPr>
      <t xml:space="preserve">黑字＝公式 </t>
    </r>
    <r>
      <rPr>
        <b val="true"/>
        <sz val="14"/>
        <color rgb="FF1F4E79"/>
        <rFont val="Cambria"/>
        <family val="0"/>
        <charset val="1"/>
      </rPr>
      <t xml:space="preserve">/ </t>
    </r>
    <r>
      <rPr>
        <b val="true"/>
        <sz val="14"/>
        <color rgb="FF1F4E79"/>
        <rFont val="Noto Sans SC"/>
        <family val="2"/>
        <charset val="134"/>
      </rPr>
      <t xml:space="preserve">黄底＝结果）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</si>
  <si>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1</t>
    </r>
    <r>
      <rPr>
        <b val="true"/>
        <sz val="11"/>
        <color rgb="FF1F4E79"/>
        <rFont val="Noto Sans SC"/>
        <family val="2"/>
        <charset val="134"/>
      </rPr>
      <t xml:space="preserve">】五类图标对照（原文）</t>
    </r>
  </si>
  <si>
    <t xml:space="preserve">图标类型</t>
  </si>
  <si>
    <t xml:space="preserve">是否有赔付倍数</t>
  </si>
  <si>
    <t xml:space="preserve">作用</t>
  </si>
  <si>
    <r>
      <rPr>
        <b val="true"/>
        <sz val="11"/>
        <color rgb="FF1F4E79"/>
        <rFont val="Noto Sans SC"/>
        <family val="2"/>
        <charset val="134"/>
      </rPr>
      <t xml:space="preserve">能否被 </t>
    </r>
    <r>
      <rPr>
        <b val="true"/>
        <sz val="11"/>
        <color rgb="FF1F4E79"/>
        <rFont val="Cambria"/>
        <family val="0"/>
        <charset val="1"/>
      </rPr>
      <t xml:space="preserve">Wild </t>
    </r>
    <r>
      <rPr>
        <b val="true"/>
        <sz val="11"/>
        <color rgb="FF1F4E79"/>
        <rFont val="Noto Sans SC"/>
        <family val="2"/>
        <charset val="134"/>
      </rPr>
      <t xml:space="preserve">替代</t>
    </r>
  </si>
  <si>
    <t xml:space="preserve">有</t>
  </si>
  <si>
    <t xml:space="preserve">承担中奖组合与赔付倍数的「主体」</t>
  </si>
  <si>
    <r>
      <rPr>
        <sz val="11"/>
        <color theme="1"/>
        <rFont val="Noto Sans SC"/>
        <family val="2"/>
        <charset val="134"/>
      </rPr>
      <t xml:space="preserve">能（</t>
    </r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本身就是替代它们）</t>
    </r>
  </si>
  <si>
    <r>
      <rPr>
        <sz val="11"/>
        <color theme="1"/>
        <rFont val="Noto Sans SC"/>
        <family val="2"/>
        <charset val="134"/>
      </rPr>
      <t xml:space="preserve">百搭图标 </t>
    </r>
    <r>
      <rPr>
        <sz val="11"/>
        <color theme="1"/>
        <rFont val="Calibri"/>
        <family val="2"/>
        <charset val="1"/>
      </rPr>
      <t xml:space="preserve">Wild</t>
    </r>
  </si>
  <si>
    <t xml:space="preserve">一般无</t>
  </si>
  <si>
    <t xml:space="preserve">计算中奖组合时视为任意标准图标</t>
  </si>
  <si>
    <t xml:space="preserve">—（它自己就是百搭）</t>
  </si>
  <si>
    <t xml:space="preserve">Scatter</t>
  </si>
  <si>
    <r>
      <rPr>
        <sz val="11"/>
        <color theme="1"/>
        <rFont val="Noto Sans SC"/>
        <family val="2"/>
        <charset val="134"/>
      </rPr>
      <t xml:space="preserve">出现个数 ≥ 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SC"/>
        <family val="2"/>
        <charset val="134"/>
      </rPr>
      <t xml:space="preserve">触发免费摇（用触发时下注、不消耗下注额）</t>
    </r>
  </si>
  <si>
    <t xml:space="preserve">不能</t>
  </si>
  <si>
    <t xml:space="preserve">Bonus</t>
  </si>
  <si>
    <r>
      <rPr>
        <sz val="11"/>
        <color theme="1"/>
        <rFont val="Noto Sans SC"/>
        <family val="2"/>
        <charset val="134"/>
      </rPr>
      <t xml:space="preserve">出现个数 ≥ 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SC"/>
        <family val="2"/>
        <charset val="134"/>
      </rPr>
      <t xml:space="preserve">触发 </t>
    </r>
    <r>
      <rPr>
        <sz val="11"/>
        <color theme="1"/>
        <rFont val="Calibri"/>
        <family val="2"/>
        <charset val="1"/>
      </rPr>
      <t xml:space="preserve">Feature</t>
    </r>
    <r>
      <rPr>
        <sz val="11"/>
        <color theme="1"/>
        <rFont val="Noto Sans SC"/>
        <family val="2"/>
        <charset val="134"/>
      </rPr>
      <t xml:space="preserve">（</t>
    </r>
    <r>
      <rPr>
        <sz val="11"/>
        <color theme="1"/>
        <rFont val="Calibri"/>
        <family val="2"/>
        <charset val="1"/>
      </rPr>
      <t xml:space="preserve">Wheel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Jackpot </t>
    </r>
    <r>
      <rPr>
        <sz val="11"/>
        <color theme="1"/>
        <rFont val="Noto Sans SC"/>
        <family val="2"/>
        <charset val="134"/>
      </rPr>
      <t xml:space="preserve">等）</t>
    </r>
  </si>
  <si>
    <r>
      <rPr>
        <sz val="11"/>
        <color theme="1"/>
        <rFont val="Noto Sans SC"/>
        <family val="2"/>
        <charset val="134"/>
      </rPr>
      <t xml:space="preserve">多倍图标 </t>
    </r>
    <r>
      <rPr>
        <sz val="11"/>
        <color theme="1"/>
        <rFont val="Calibri"/>
        <family val="2"/>
        <charset val="1"/>
      </rPr>
      <t xml:space="preserve">Multiplier</t>
    </r>
  </si>
  <si>
    <t xml:space="preserve">无（但有倍数）</t>
  </si>
  <si>
    <t xml:space="preserve">该局中奖时把中奖倍数提升为图标上的倍数</t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</si>
  <si>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2</t>
    </r>
    <r>
      <rPr>
        <b val="true"/>
        <sz val="11"/>
        <color rgb="FF1F4E79"/>
        <rFont val="Noto Sans SC"/>
        <family val="2"/>
        <charset val="134"/>
      </rPr>
      <t xml:space="preserve">】</t>
    </r>
    <r>
      <rPr>
        <b val="true"/>
        <sz val="11"/>
        <color rgb="FF1F4E79"/>
        <rFont val="Cambria"/>
        <family val="0"/>
        <charset val="1"/>
      </rPr>
      <t xml:space="preserve">Wild </t>
    </r>
    <r>
      <rPr>
        <b val="true"/>
        <sz val="11"/>
        <color rgb="FF1F4E79"/>
        <rFont val="Noto Sans SC"/>
        <family val="2"/>
        <charset val="134"/>
      </rPr>
      <t xml:space="preserve">替代范围（最容易出错的地方）</t>
    </r>
  </si>
  <si>
    <t xml:space="preserve">被替代对象</t>
  </si>
  <si>
    <t xml:space="preserve">能否替代</t>
  </si>
  <si>
    <r>
      <rPr>
        <sz val="11"/>
        <color theme="1"/>
        <rFont val="Noto Sans SC"/>
        <family val="2"/>
        <charset val="134"/>
      </rPr>
      <t xml:space="preserve">标准图标（</t>
    </r>
    <r>
      <rPr>
        <sz val="11"/>
        <color theme="1"/>
        <rFont val="Calibri"/>
        <family val="2"/>
        <charset val="1"/>
      </rPr>
      <t xml:space="preserve">9/10/J/Q/K</t>
    </r>
    <r>
      <rPr>
        <sz val="11"/>
        <color theme="1"/>
        <rFont val="Noto Sans SC"/>
        <family val="2"/>
        <charset val="134"/>
      </rPr>
      <t xml:space="preserve">、扑克、水果等）</t>
    </r>
  </si>
  <si>
    <t xml:space="preserve">能</t>
  </si>
  <si>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的核心作用</t>
    </r>
  </si>
  <si>
    <r>
      <rPr>
        <sz val="11"/>
        <color theme="1"/>
        <rFont val="Calibri"/>
        <family val="2"/>
        <charset val="1"/>
      </rPr>
      <t xml:space="preserve">Scatter </t>
    </r>
    <r>
      <rPr>
        <sz val="11"/>
        <color theme="1"/>
        <rFont val="Noto Sans SC"/>
        <family val="2"/>
        <charset val="134"/>
      </rPr>
      <t xml:space="preserve">触发免费摇的个数统计不把 </t>
    </r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算进去</t>
    </r>
  </si>
  <si>
    <r>
      <rPr>
        <sz val="11"/>
        <color theme="1"/>
        <rFont val="Noto Sans SC"/>
        <family val="2"/>
        <charset val="134"/>
      </rPr>
      <t xml:space="preserve">同上，</t>
    </r>
    <r>
      <rPr>
        <sz val="11"/>
        <color theme="1"/>
        <rFont val="Calibri"/>
        <family val="2"/>
        <charset val="1"/>
      </rPr>
      <t xml:space="preserve">Feature </t>
    </r>
    <r>
      <rPr>
        <sz val="11"/>
        <color theme="1"/>
        <rFont val="Noto Sans SC"/>
        <family val="2"/>
        <charset val="134"/>
      </rPr>
      <t xml:space="preserve">触发要按真实图标数</t>
    </r>
  </si>
  <si>
    <r>
      <rPr>
        <sz val="11"/>
        <color theme="1"/>
        <rFont val="Noto Sans SC"/>
        <family val="2"/>
        <charset val="134"/>
      </rPr>
      <t xml:space="preserve">多倍图标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SC"/>
        <family val="2"/>
        <charset val="134"/>
      </rPr>
      <t xml:space="preserve">带赔付额的图标</t>
    </r>
  </si>
  <si>
    <t xml:space="preserve">这类图标不是「标准图标」，不在替代范围内</t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</si>
  <si>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3</t>
    </r>
    <r>
      <rPr>
        <b val="true"/>
        <sz val="11"/>
        <color rgb="FF1F4E79"/>
        <rFont val="Noto Sans SC"/>
        <family val="2"/>
        <charset val="134"/>
      </rPr>
      <t xml:space="preserve">】</t>
    </r>
    <r>
      <rPr>
        <b val="true"/>
        <sz val="11"/>
        <color rgb="FF1F4E79"/>
        <rFont val="Cambria"/>
        <family val="0"/>
        <charset val="1"/>
      </rPr>
      <t xml:space="preserve">Scatter </t>
    </r>
    <r>
      <rPr>
        <b val="true"/>
        <sz val="11"/>
        <color rgb="FF1F4E79"/>
        <rFont val="Noto Sans SC"/>
        <family val="2"/>
        <charset val="134"/>
      </rPr>
      <t xml:space="preserve">触发免费摇（示意数值，蓝字可改）</t>
    </r>
  </si>
  <si>
    <r>
      <rPr>
        <b val="true"/>
        <sz val="11"/>
        <color rgb="FF1F4E79"/>
        <rFont val="Noto Sans SC"/>
        <family val="2"/>
        <charset val="134"/>
      </rPr>
      <t xml:space="preserve">同时出现的 </t>
    </r>
    <r>
      <rPr>
        <b val="true"/>
        <sz val="11"/>
        <color rgb="FF1F4E79"/>
        <rFont val="Cambria"/>
        <family val="0"/>
        <charset val="1"/>
      </rPr>
      <t xml:space="preserve">Scatter </t>
    </r>
    <r>
      <rPr>
        <b val="true"/>
        <sz val="11"/>
        <color rgb="FF1F4E79"/>
        <rFont val="Noto Sans SC"/>
        <family val="2"/>
        <charset val="134"/>
      </rPr>
      <t xml:space="preserve">个数</t>
    </r>
  </si>
  <si>
    <t xml:space="preserve">免费摇次数</t>
  </si>
  <si>
    <t xml:space="preserve">未达门槛</t>
  </si>
  <si>
    <r>
      <rPr>
        <sz val="11"/>
        <color theme="1"/>
        <rFont val="Noto Sans SC"/>
        <family val="2"/>
        <charset val="134"/>
      </rPr>
      <t xml:space="preserve">常见设定：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  <charset val="134"/>
      </rPr>
      <t xml:space="preserve">个触发</t>
    </r>
  </si>
  <si>
    <t xml:space="preserve">个数越多送的越多</t>
  </si>
  <si>
    <t xml:space="preserve">项目</t>
  </si>
  <si>
    <t xml:space="preserve">数值</t>
  </si>
  <si>
    <r>
      <rPr>
        <sz val="11"/>
        <color theme="1"/>
        <rFont val="Noto Sans SC"/>
        <family val="2"/>
        <charset val="134"/>
      </rPr>
      <t xml:space="preserve">总事件数（示意：每列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SC"/>
        <family val="2"/>
        <charset val="134"/>
      </rPr>
      <t xml:space="preserve">停、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  <charset val="134"/>
      </rPr>
      <t xml:space="preserve">列）</t>
    </r>
  </si>
  <si>
    <t xml:space="preserve">用于演示触发几率口径</t>
  </si>
  <si>
    <r>
      <rPr>
        <sz val="11"/>
        <color theme="1"/>
        <rFont val="Noto Sans SC"/>
        <family val="2"/>
        <charset val="134"/>
      </rPr>
      <t xml:space="preserve">三列各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  <charset val="134"/>
      </rPr>
      <t xml:space="preserve">个 </t>
    </r>
    <r>
      <rPr>
        <sz val="11"/>
        <color theme="1"/>
        <rFont val="Calibri"/>
        <family val="2"/>
        <charset val="1"/>
      </rPr>
      <t xml:space="preserve">Scatter </t>
    </r>
    <r>
      <rPr>
        <sz val="11"/>
        <color theme="1"/>
        <rFont val="Noto Sans SC"/>
        <family val="2"/>
        <charset val="134"/>
      </rPr>
      <t xml:space="preserve">的组合事件数</t>
    </r>
  </si>
  <si>
    <r>
      <rPr>
        <sz val="11"/>
        <color theme="1"/>
        <rFont val="Noto Sans SC"/>
        <family val="2"/>
        <charset val="134"/>
      </rPr>
      <t xml:space="preserve">仅示意：每列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  <charset val="134"/>
      </rPr>
      <t xml:space="preserve">个 </t>
    </r>
    <r>
      <rPr>
        <sz val="11"/>
        <color theme="1"/>
        <rFont val="Calibri"/>
        <family val="2"/>
        <charset val="1"/>
      </rPr>
      <t xml:space="preserve">Scatter</t>
    </r>
  </si>
  <si>
    <t xml:space="preserve">触发免费摇的几率</t>
  </si>
  <si>
    <r>
      <rPr>
        <sz val="11"/>
        <color theme="1"/>
        <rFont val="Noto Sans SC"/>
        <family val="2"/>
        <charset val="134"/>
      </rPr>
      <t xml:space="preserve">＝ 事件数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SC"/>
        <family val="2"/>
        <charset val="134"/>
      </rPr>
      <t xml:space="preserve">总事件数</t>
    </r>
  </si>
  <si>
    <t xml:space="preserve">免费摇次数期望</t>
  </si>
  <si>
    <r>
      <rPr>
        <sz val="11"/>
        <color theme="1"/>
        <rFont val="Noto Sans SC"/>
        <family val="2"/>
        <charset val="134"/>
      </rPr>
      <t xml:space="preserve">＝ 触发几率 </t>
    </r>
    <r>
      <rPr>
        <sz val="11"/>
        <color theme="1"/>
        <rFont val="Calibri"/>
        <family val="2"/>
        <charset val="1"/>
      </rPr>
      <t xml:space="preserve">× 3 </t>
    </r>
    <r>
      <rPr>
        <sz val="11"/>
        <color theme="1"/>
        <rFont val="Noto Sans SC"/>
        <family val="2"/>
        <charset val="134"/>
      </rPr>
      <t xml:space="preserve">个 </t>
    </r>
    <r>
      <rPr>
        <sz val="11"/>
        <color theme="1"/>
        <rFont val="Calibri"/>
        <family val="2"/>
        <charset val="1"/>
      </rPr>
      <t xml:space="preserve">Scatter </t>
    </r>
    <r>
      <rPr>
        <sz val="11"/>
        <color theme="1"/>
        <rFont val="Noto Sans SC"/>
        <family val="2"/>
        <charset val="134"/>
      </rPr>
      <t xml:space="preserve">送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SC"/>
        <family val="2"/>
        <charset val="134"/>
      </rPr>
      <t xml:space="preserve">次</t>
    </r>
  </si>
  <si>
    <r>
      <rPr>
        <sz val="11"/>
        <color rgb="FF808080"/>
        <rFont val="Noto Sans SC"/>
        <family val="2"/>
        <charset val="134"/>
      </rPr>
      <t xml:space="preserve">免费摇使用触发时的下注摇奖，且不消耗下注额——所以它的成本已经包含在「触发几率 </t>
    </r>
    <r>
      <rPr>
        <sz val="11"/>
        <color rgb="FF808080"/>
        <rFont val="Cambria"/>
        <family val="0"/>
        <charset val="1"/>
      </rPr>
      <t xml:space="preserve">× </t>
    </r>
    <r>
      <rPr>
        <sz val="11"/>
        <color rgb="FF808080"/>
        <rFont val="Noto Sans SC"/>
        <family val="2"/>
        <charset val="134"/>
      </rPr>
      <t xml:space="preserve">免费摇 </t>
    </r>
    <r>
      <rPr>
        <sz val="11"/>
        <color rgb="FF808080"/>
        <rFont val="Cambria"/>
        <family val="0"/>
        <charset val="1"/>
      </rPr>
      <t xml:space="preserve">RTP</t>
    </r>
    <r>
      <rPr>
        <sz val="11"/>
        <color rgb="FF808080"/>
        <rFont val="Noto Sans SC"/>
        <family val="2"/>
        <charset val="134"/>
      </rPr>
      <t xml:space="preserve">」里。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</si>
  <si>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4</t>
    </r>
    <r>
      <rPr>
        <b val="true"/>
        <sz val="11"/>
        <color rgb="FF1F4E79"/>
        <rFont val="Noto Sans SC"/>
        <family val="2"/>
        <charset val="134"/>
      </rPr>
      <t xml:space="preserve">】多倍图标 </t>
    </r>
    <r>
      <rPr>
        <b val="true"/>
        <sz val="11"/>
        <color rgb="FF1F4E79"/>
        <rFont val="Cambria"/>
        <family val="0"/>
        <charset val="1"/>
      </rPr>
      <t xml:space="preserve">vs </t>
    </r>
    <r>
      <rPr>
        <b val="true"/>
        <sz val="11"/>
        <color rgb="FF1F4E79"/>
        <rFont val="Noto Sans SC"/>
        <family val="2"/>
        <charset val="134"/>
      </rPr>
      <t xml:space="preserve">「带数字但代表赔付额」的图标</t>
    </r>
  </si>
  <si>
    <t xml:space="preserve">对比项</t>
  </si>
  <si>
    <r>
      <rPr>
        <b val="true"/>
        <sz val="11"/>
        <color rgb="FF1F4E79"/>
        <rFont val="Noto Sans SC"/>
        <family val="2"/>
        <charset val="134"/>
      </rPr>
      <t xml:space="preserve">多倍图标 </t>
    </r>
    <r>
      <rPr>
        <b val="true"/>
        <sz val="11"/>
        <color rgb="FF1F4E79"/>
        <rFont val="Cambria"/>
        <family val="0"/>
        <charset val="1"/>
      </rPr>
      <t xml:space="preserve">Multiplier</t>
    </r>
  </si>
  <si>
    <r>
      <rPr>
        <b val="true"/>
        <sz val="11"/>
        <color rgb="FF1F4E79"/>
        <rFont val="Noto Sans SC"/>
        <family val="2"/>
        <charset val="134"/>
      </rPr>
      <t xml:space="preserve">赔付额图标（如 </t>
    </r>
    <r>
      <rPr>
        <b val="true"/>
        <sz val="11"/>
        <color rgb="FF1F4E79"/>
        <rFont val="Cambria"/>
        <family val="0"/>
        <charset val="1"/>
      </rPr>
      <t xml:space="preserve">Hold &amp; Spin</t>
    </r>
    <r>
      <rPr>
        <b val="true"/>
        <sz val="11"/>
        <color rgb="FF1F4E79"/>
        <rFont val="Noto Sans SC"/>
        <family val="2"/>
        <charset val="134"/>
      </rPr>
      <t xml:space="preserve">）</t>
    </r>
  </si>
  <si>
    <t xml:space="preserve">数字含义</t>
  </si>
  <si>
    <t xml:space="preserve">倍数（放大该局中奖额）</t>
  </si>
  <si>
    <t xml:space="preserve">金额（本身就是要派发的赔付）</t>
  </si>
  <si>
    <t xml:space="preserve">是否需要有中奖</t>
  </si>
  <si>
    <t xml:space="preserve">需要：该局中奖才生效</t>
  </si>
  <si>
    <t xml:space="preserve">一般不需要：固定在其位置上直接结算</t>
  </si>
  <si>
    <t xml:space="preserve">常见位置</t>
  </si>
  <si>
    <t xml:space="preserve">卷轴上任意位置</t>
  </si>
  <si>
    <r>
      <rPr>
        <sz val="11"/>
        <color theme="1"/>
        <rFont val="Noto Sans SC"/>
        <family val="2"/>
        <charset val="134"/>
      </rPr>
      <t xml:space="preserve">固定在卷轴上（</t>
    </r>
    <r>
      <rPr>
        <sz val="11"/>
        <color theme="1"/>
        <rFont val="Calibri"/>
        <family val="2"/>
        <charset val="1"/>
      </rPr>
      <t xml:space="preserve">Hold &amp; Spin </t>
    </r>
    <r>
      <rPr>
        <sz val="11"/>
        <color theme="1"/>
        <rFont val="Noto Sans SC"/>
        <family val="2"/>
        <charset val="134"/>
      </rPr>
      <t xml:space="preserve">的 </t>
    </r>
    <r>
      <rPr>
        <sz val="11"/>
        <color theme="1"/>
        <rFont val="Calibri"/>
        <family val="2"/>
        <charset val="1"/>
      </rPr>
      <t xml:space="preserve">Coin/Orb</t>
    </r>
    <r>
      <rPr>
        <sz val="11"/>
        <color theme="1"/>
        <rFont val="Noto Sans SC"/>
        <family val="2"/>
        <charset val="134"/>
      </rPr>
      <t xml:space="preserve">）</t>
    </r>
  </si>
  <si>
    <r>
      <rPr>
        <sz val="11"/>
        <color theme="1"/>
        <rFont val="Noto Sans SC"/>
        <family val="2"/>
        <charset val="134"/>
      </rPr>
      <t xml:space="preserve">能否被 </t>
    </r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替代</t>
    </r>
  </si>
  <si>
    <t xml:space="preserve">多倍图标示意</t>
  </si>
  <si>
    <t xml:space="preserve">倍数</t>
  </si>
  <si>
    <t xml:space="preserve">该局基础中奖额</t>
  </si>
  <si>
    <t xml:space="preserve">放大后中奖额</t>
  </si>
  <si>
    <t xml:space="preserve">示例一</t>
  </si>
  <si>
    <t xml:space="preserve">示例二</t>
  </si>
  <si>
    <t xml:space="preserve">示例三</t>
  </si>
  <si>
    <t xml:space="preserve">若多个多倍图标同时出现（示例：倍率相乘）</t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</si>
  <si>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5</t>
    </r>
    <r>
      <rPr>
        <b val="true"/>
        <sz val="11"/>
        <color rgb="FF1F4E79"/>
        <rFont val="Noto Sans SC"/>
        <family val="2"/>
        <charset val="134"/>
      </rPr>
      <t xml:space="preserve">】自检</t>
    </r>
  </si>
  <si>
    <t xml:space="preserve">检查项</t>
  </si>
  <si>
    <t xml:space="preserve">结果</t>
  </si>
  <si>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  <charset val="134"/>
      </rPr>
      <t xml:space="preserve">个 </t>
    </r>
    <r>
      <rPr>
        <sz val="11"/>
        <color theme="1"/>
        <rFont val="Calibri"/>
        <family val="2"/>
        <charset val="1"/>
      </rPr>
      <t xml:space="preserve">Scatter </t>
    </r>
    <r>
      <rPr>
        <sz val="11"/>
        <color theme="1"/>
        <rFont val="Noto Sans SC"/>
        <family val="2"/>
        <charset val="134"/>
      </rPr>
      <t xml:space="preserve">送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SC"/>
        <family val="2"/>
        <charset val="134"/>
      </rPr>
      <t xml:space="preserve">次（示例表）</t>
    </r>
  </si>
  <si>
    <r>
      <rPr>
        <sz val="11"/>
        <color theme="1"/>
        <rFont val="Noto Sans SC"/>
        <family val="2"/>
        <charset val="134"/>
      </rPr>
      <t xml:space="preserve">【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SC"/>
        <family val="2"/>
        <charset val="134"/>
      </rPr>
      <t xml:space="preserve">】</t>
    </r>
  </si>
  <si>
    <r>
      <rPr>
        <sz val="11"/>
        <color theme="1"/>
        <rFont val="Noto Sans SC"/>
        <family val="2"/>
        <charset val="134"/>
      </rPr>
      <t xml:space="preserve">触发几率 ＝ 事件数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SC"/>
        <family val="2"/>
        <charset val="134"/>
      </rPr>
      <t xml:space="preserve">总事件数</t>
    </r>
  </si>
  <si>
    <r>
      <rPr>
        <sz val="11"/>
        <color theme="1"/>
        <rFont val="Noto Sans SC"/>
        <family val="2"/>
        <charset val="134"/>
      </rPr>
      <t xml:space="preserve">多倍图标放大：放大后 ＝ 基础中奖额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倍数</t>
    </r>
  </si>
  <si>
    <r>
      <rPr>
        <sz val="11"/>
        <color theme="1"/>
        <rFont val="Noto Sans SC"/>
        <family val="2"/>
        <charset val="134"/>
      </rPr>
      <t xml:space="preserve">【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SC"/>
        <family val="2"/>
        <charset val="134"/>
      </rPr>
      <t xml:space="preserve">】示例一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  <charset val="134"/>
      </rPr>
      <t xml:space="preserve">三</t>
    </r>
  </si>
  <si>
    <r>
      <rPr>
        <sz val="11"/>
        <color theme="1"/>
        <rFont val="Noto Sans SC"/>
        <family val="2"/>
        <charset val="134"/>
      </rPr>
      <t xml:space="preserve">多个多倍图标同时出现示例（倍率相乘 ＝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SC"/>
        <family val="2"/>
        <charset val="134"/>
      </rPr>
      <t xml:space="preserve">倍）</t>
    </r>
  </si>
  <si>
    <t xml:space="preserve">2×5×10</t>
  </si>
  <si>
    <r>
      <rPr>
        <sz val="11"/>
        <color theme="1"/>
        <rFont val="Noto Sans SC"/>
        <family val="2"/>
        <charset val="134"/>
      </rPr>
      <t xml:space="preserve">放大后中奖额 ＝ 基础中奖额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倍数（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SC"/>
        <family val="2"/>
        <charset val="134"/>
      </rPr>
      <t xml:space="preserve">倍示例）</t>
    </r>
  </si>
  <si>
    <t xml:space="preserve">100 × 5</t>
  </si>
  <si>
    <t xml:space="preserve">带数字但代表赔付额的图标不是多倍图标</t>
  </si>
  <si>
    <r>
      <rPr>
        <sz val="11"/>
        <color theme="1"/>
        <rFont val="Noto Sans SC"/>
        <family val="2"/>
        <charset val="134"/>
      </rPr>
      <t xml:space="preserve">见【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SC"/>
        <family val="2"/>
        <charset val="134"/>
      </rPr>
      <t xml:space="preserve">】对照表：其数字是金额而非倍数</t>
    </r>
  </si>
  <si>
    <t xml:space="preserve">说明：本页为按原文方法落地的配表实现；表内示例数值取自原文，原文未给的部分沿用同项目示例（蓝字可改）。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</si>
</sst>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00%"/>
    <numFmt numFmtId="167" formatCode="0.0000"/>
    <numFmt numFmtId="168" formatCode="0.0000000000%"/>
  </numFmts>
  <fonts count="16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4"/>
      <color rgb="FF1F4E79"/>
      <name val="Noto Sans SC"/>
      <family val="2"/>
      <charset val="134"/>
    </font>
    <font>
      <b val="true"/>
      <sz val="14"/>
      <color rgb="FF1F4E79"/>
      <name val="Cambria"/>
      <family val="0"/>
      <charset val="1"/>
    </font>
    <font>
      <sz val="11"/>
      <color rgb="FF808080"/>
      <name val="Noto Sans SC"/>
      <family val="2"/>
      <charset val="134"/>
    </font>
    <font>
      <sz val="11"/>
      <color rgb="FF808080"/>
      <name val="Cambria"/>
      <family val="0"/>
      <charset val="1"/>
    </font>
    <font>
      <b val="true"/>
      <sz val="11"/>
      <name val="Noto Sans SC"/>
      <family val="2"/>
      <charset val="134"/>
    </font>
    <font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11"/>
      <color rgb="FF1F4E79"/>
      <name val="Noto Sans SC"/>
      <family val="2"/>
      <charset val="134"/>
    </font>
    <font>
      <b val="true"/>
      <sz val="11"/>
      <color rgb="FF1F4E79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0000"/>
      <name val="Noto Sans SC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  <fill>
      <patternFill patternType="solid">
        <fgColor rgb="FFDEEBF7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0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applyNumberFormat="1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0" width="42.14"/>
  </cols>
  <sheetData>
    <row r="1" customFormat="false" ht="19" hidden="false" customHeight="false" outlineLevel="0" collapsed="false">
      <c r="A1" s="1" t="s">
        <v>0</v>
      </c>
    </row>
    <row r="3" customFormat="false" ht="15.5" hidden="false" customHeight="false" outlineLevel="0" collapsed="false">
      <c r="A3" s="2" t="s">
        <v>1</v>
      </c>
    </row>
    <row r="4" customFormat="false" ht="15.5" hidden="false" customHeight="false" outlineLevel="0" collapsed="false">
      <c r="A4" s="2" t="s">
        <v>2</v>
      </c>
    </row>
    <row r="5" customFormat="false" ht="15.5" hidden="false" customHeight="false" outlineLevel="0" collapsed="false">
      <c r="A5" s="3" t="s">
        <v>3</v>
      </c>
      <c r="B5" s="3"/>
      <c r="C5" s="3"/>
      <c r="D5" s="3"/>
    </row>
    <row r="6" customFormat="false" ht="15.5" hidden="false" customHeight="false" outlineLevel="0" collapsed="false">
      <c r="A6" s="3" t="s">
        <v>4</v>
      </c>
      <c r="B6" s="3"/>
      <c r="C6" s="3"/>
    </row>
    <row r="7" customFormat="false" ht="15" hidden="false" customHeight="false" outlineLevel="0" collapsed="false">
      <c r="A7" s="2" t="s">
        <v>5</v>
      </c>
    </row>
    <row r="8" customFormat="false" ht="15.5" hidden="false" customHeight="false" outlineLevel="0" collapsed="false">
      <c r="A8" s="3" t="s">
        <v>6</v>
      </c>
      <c r="B8" s="3"/>
      <c r="C8" s="3"/>
    </row>
    <row r="10" customFormat="false" ht="15" hidden="false" customHeight="false" outlineLevel="0" collapsed="false">
      <c r="A10" s="4" t="s">
        <v>7</v>
      </c>
    </row>
    <row r="11" customFormat="false" ht="29" hidden="false" customHeight="false" outlineLevel="0" collapsed="false">
      <c r="A11" s="27" t="s">
        <v>8</v>
      </c>
    </row>
    <row r="12" customFormat="false" ht="29" hidden="false" customHeight="false" outlineLevel="0" collapsed="false">
      <c r="A12" s="27" t="s">
        <v>9</v>
      </c>
    </row>
    <row r="13" customFormat="false" ht="15" hidden="false" customHeight="false" outlineLevel="0" collapsed="false">
      <c r="A13" s="5"/>
    </row>
    <row r="14" customFormat="false" ht="15" hidden="false" customHeight="false" outlineLevel="0" collapsed="false">
      <c r="A14" s="4" t="s">
        <v>10</v>
      </c>
    </row>
    <row r="15" customFormat="false" ht="15" hidden="false" customHeight="1" outlineLevel="0" collapsed="false">
      <c r="A15" s="28" t="s">
        <v>11</v>
      </c>
      <c r="B15" s="6"/>
      <c r="C15" s="6"/>
    </row>
    <row r="16" customFormat="false" ht="42" hidden="false" customHeight="false" outlineLevel="0" collapsed="false">
      <c r="A16" s="27" t="s">
        <v>12</v>
      </c>
    </row>
    <row r="17" customFormat="false" ht="15" hidden="false" customHeight="1" outlineLevel="0" collapsed="false">
      <c r="A17" s="28" t="s">
        <v>13</v>
      </c>
      <c r="B17" s="6"/>
      <c r="C17" s="6"/>
    </row>
    <row r="18" customFormat="false" ht="15" hidden="false" customHeight="false" outlineLevel="0" collapsed="false">
      <c r="A18" s="5"/>
    </row>
    <row r="19" customFormat="false" ht="15" hidden="false" customHeight="false" outlineLevel="0" collapsed="false">
      <c r="A19" s="4" t="s">
        <v>14</v>
      </c>
    </row>
    <row r="20" customFormat="false" ht="30" hidden="false" customHeight="false" outlineLevel="0" collapsed="false">
      <c r="A20" s="27" t="s">
        <v>15</v>
      </c>
    </row>
    <row r="21" customFormat="false" ht="41.5" hidden="false" customHeight="false" outlineLevel="0" collapsed="false">
      <c r="A21" s="27" t="s">
        <v>16</v>
      </c>
    </row>
    <row r="22" customFormat="false" ht="16" hidden="false" customHeight="false" outlineLevel="0" collapsed="false">
      <c r="A22" s="7" t="s">
        <v>17</v>
      </c>
    </row>
    <row r="23" customFormat="false" ht="30" hidden="false" customHeight="false" outlineLevel="0" collapsed="false">
      <c r="A23" s="27" t="s">
        <v>18</v>
      </c>
    </row>
    <row r="24" customFormat="false" ht="16" hidden="false" customHeight="false" outlineLevel="0" collapsed="false">
      <c r="A24" s="7" t="s">
        <v>19</v>
      </c>
    </row>
    <row r="25" customFormat="false" ht="29" hidden="false" customHeight="false" outlineLevel="0" collapsed="false">
      <c r="A25" s="27" t="s">
        <v>20</v>
      </c>
    </row>
    <row r="26" customFormat="false" ht="15" hidden="false" customHeight="false" outlineLevel="0" collapsed="false">
      <c r="A26" s="29" t="s">
        <v>21</v>
      </c>
    </row>
    <row r="27" customFormat="false" ht="30" hidden="false" customHeight="false" outlineLevel="0" collapsed="false">
      <c r="A27" s="27" t="s">
        <v>22</v>
      </c>
    </row>
    <row r="28" customFormat="false" ht="15" hidden="false" customHeight="1" outlineLevel="0" collapsed="false">
      <c r="A28" s="30" t="s">
        <v>23</v>
      </c>
      <c r="B28" s="8"/>
      <c r="C28" s="8"/>
    </row>
    <row r="29" customFormat="false" ht="29" hidden="false" customHeight="false" outlineLevel="0" collapsed="false">
      <c r="A29" s="27" t="s">
        <v>24</v>
      </c>
    </row>
    <row r="30" customFormat="false" ht="42" hidden="false" customHeight="false" outlineLevel="0" collapsed="false">
      <c r="A30" s="29" t="s">
        <v>25</v>
      </c>
    </row>
    <row r="32" customFormat="false" ht="15" hidden="false" customHeight="false" outlineLevel="0" collapsed="false">
      <c r="A32" s="4" t="s">
        <v>26</v>
      </c>
    </row>
    <row r="33" customFormat="false" ht="15" hidden="false" customHeight="false" outlineLevel="0" collapsed="false">
      <c r="A33" s="7"/>
    </row>
    <row r="34" customFormat="false" ht="29" hidden="false" customHeight="false" outlineLevel="0" collapsed="false">
      <c r="A34" s="29" t="s">
        <v>27</v>
      </c>
    </row>
    <row r="35" customFormat="false" ht="27.5" hidden="false" customHeight="false" outlineLevel="0" collapsed="false">
      <c r="A35" s="29" t="s">
        <v>28</v>
      </c>
    </row>
    <row r="36" customFormat="false" ht="29" hidden="false" customHeight="false" outlineLevel="0" collapsed="false">
      <c r="A36" s="29" t="s">
        <v>29</v>
      </c>
    </row>
    <row r="37" customFormat="false" ht="15" hidden="false" customHeight="false" outlineLevel="0" collapsed="false">
      <c r="A37" s="29" t="s">
        <v>30</v>
      </c>
    </row>
    <row r="38" customFormat="false" ht="15" hidden="false" customHeight="false" outlineLevel="0" collapsed="false">
      <c r="A38" s="7" t="s">
        <v>31</v>
      </c>
    </row>
    <row r="39" customFormat="false" ht="28" hidden="false" customHeight="false" outlineLevel="0" collapsed="false">
      <c r="A39" s="29" t="s">
        <v>32</v>
      </c>
    </row>
    <row r="40" customFormat="false" ht="29" hidden="false" customHeight="false" outlineLevel="0" collapsed="false">
      <c r="A40" s="29" t="s">
        <v>33</v>
      </c>
    </row>
    <row r="41" customFormat="false" ht="15" hidden="false" customHeight="false" outlineLevel="0" collapsed="false">
      <c r="A41" s="7"/>
    </row>
    <row r="42" customFormat="false" ht="16" hidden="false" customHeight="false" outlineLevel="0" collapsed="false">
      <c r="A42" s="7" t="s">
        <v>34</v>
      </c>
    </row>
    <row r="43" customFormat="false" ht="15" hidden="false" customHeight="false" outlineLevel="0" collapsed="false">
      <c r="A43" s="7"/>
    </row>
    <row r="44" customFormat="false" ht="29" hidden="false" customHeight="false" outlineLevel="0" collapsed="false">
      <c r="A44" s="29" t="s">
        <v>35</v>
      </c>
    </row>
    <row r="45" customFormat="false" ht="15" hidden="false" customHeight="false" outlineLevel="0" collapsed="false">
      <c r="A45" s="7"/>
    </row>
    <row r="46" customFormat="false" ht="16" hidden="false" customHeight="false" outlineLevel="0" collapsed="false">
      <c r="A46" s="7" t="s">
        <v>36</v>
      </c>
    </row>
    <row r="47" customFormat="false" ht="15" hidden="false" customHeight="false" outlineLevel="0" collapsed="false">
      <c r="A47" s="7"/>
    </row>
    <row r="48" customFormat="false" ht="16" hidden="false" customHeight="false" outlineLevel="0" collapsed="false">
      <c r="A48" s="29" t="s">
        <v>37</v>
      </c>
    </row>
    <row r="49" customFormat="false" ht="15" hidden="false" customHeight="false" outlineLevel="0" collapsed="false">
      <c r="A49" s="7" t="s">
        <v>38</v>
      </c>
    </row>
    <row r="50" customFormat="false" ht="28" hidden="false" customHeight="false" outlineLevel="0" collapsed="false">
      <c r="A50" s="29" t="s">
        <v>39</v>
      </c>
    </row>
    <row r="51" customFormat="false" ht="16" hidden="false" customHeight="false" outlineLevel="0" collapsed="false">
      <c r="A51" s="27" t="s">
        <v>40</v>
      </c>
    </row>
    <row r="52" customFormat="false" ht="30" hidden="false" customHeight="false" outlineLevel="0" collapsed="false">
      <c r="A52" s="29" t="s">
        <v>41</v>
      </c>
    </row>
    <row r="53" customFormat="false" ht="15" hidden="false" customHeight="false" outlineLevel="0" collapsed="false">
      <c r="A53" s="7"/>
    </row>
    <row r="54" customFormat="false" ht="16" hidden="false" customHeight="false" outlineLevel="0" collapsed="false">
      <c r="A54" s="7" t="s">
        <v>42</v>
      </c>
    </row>
    <row r="55" customFormat="false" ht="15" hidden="false" customHeight="false" outlineLevel="0" collapsed="false">
      <c r="A55" s="7"/>
    </row>
    <row r="56" customFormat="false" ht="16" hidden="false" customHeight="false" outlineLevel="0" collapsed="false">
      <c r="A56" s="5" t="s">
        <v>43</v>
      </c>
    </row>
    <row r="57" customFormat="false" ht="16" hidden="false" customHeight="false" outlineLevel="0" collapsed="false">
      <c r="A57" s="5" t="s">
        <v>44</v>
      </c>
    </row>
    <row r="58" customFormat="false" ht="29" hidden="false" customHeight="false" outlineLevel="0" collapsed="false">
      <c r="A58" s="29" t="s">
        <v>45</v>
      </c>
    </row>
    <row r="59" customFormat="false" ht="28" hidden="false" customHeight="false" outlineLevel="0" collapsed="false">
      <c r="A59" s="29" t="s">
        <v>46</v>
      </c>
    </row>
    <row r="60" customFormat="false" ht="15" hidden="false" customHeight="false" outlineLevel="0" collapsed="false">
      <c r="A60" s="7"/>
    </row>
    <row r="61" customFormat="false" ht="16" hidden="false" customHeight="false" outlineLevel="0" collapsed="false">
      <c r="A61" s="7" t="s">
        <v>47</v>
      </c>
    </row>
    <row r="62" customFormat="false" ht="15" hidden="false" customHeight="false" outlineLevel="0" collapsed="false">
      <c r="A62" s="7"/>
    </row>
    <row r="63" customFormat="false" ht="16" hidden="false" customHeight="false" outlineLevel="0" collapsed="false">
      <c r="A63" s="5" t="s">
        <v>48</v>
      </c>
    </row>
    <row r="64" customFormat="false" ht="16" hidden="false" customHeight="false" outlineLevel="0" collapsed="false">
      <c r="A64" s="5" t="s">
        <v>49</v>
      </c>
    </row>
    <row r="65" customFormat="false" ht="16" hidden="false" customHeight="false" outlineLevel="0" collapsed="false">
      <c r="A65" s="7" t="s">
        <v>50</v>
      </c>
    </row>
    <row r="66" customFormat="false" ht="16" hidden="false" customHeight="false" outlineLevel="0" collapsed="false">
      <c r="A66" s="7" t="s">
        <v>51</v>
      </c>
    </row>
    <row r="67" customFormat="false" ht="29" hidden="false" customHeight="false" outlineLevel="0" collapsed="false">
      <c r="A67" s="29" t="s">
        <v>52</v>
      </c>
    </row>
    <row r="68" customFormat="false" ht="16" hidden="false" customHeight="false" outlineLevel="0" collapsed="false">
      <c r="A68" s="7" t="s">
        <v>53</v>
      </c>
    </row>
    <row r="69" customFormat="false" ht="30" hidden="false" customHeight="false" outlineLevel="0" collapsed="false">
      <c r="A69" s="29" t="s">
        <v>54</v>
      </c>
    </row>
    <row r="70" customFormat="false" ht="15" hidden="false" customHeight="false" outlineLevel="0" collapsed="false">
      <c r="A70" s="7"/>
    </row>
    <row r="71" customFormat="false" ht="16" hidden="false" customHeight="false" outlineLevel="0" collapsed="false">
      <c r="A71" s="7" t="s">
        <v>55</v>
      </c>
    </row>
    <row r="72" customFormat="false" ht="15" hidden="false" customHeight="false" outlineLevel="0" collapsed="false">
      <c r="A72" s="7"/>
    </row>
    <row r="73" customFormat="false" ht="15" hidden="false" customHeight="false" outlineLevel="0" collapsed="false">
      <c r="A73" s="7" t="s">
        <v>56</v>
      </c>
    </row>
    <row r="74" customFormat="false" ht="15" hidden="false" customHeight="false" outlineLevel="0" collapsed="false">
      <c r="A74" s="7" t="s">
        <v>57</v>
      </c>
    </row>
    <row r="75" customFormat="false" ht="29" hidden="false" customHeight="false" outlineLevel="0" collapsed="false">
      <c r="A75" s="29" t="s">
        <v>58</v>
      </c>
    </row>
    <row r="76" customFormat="false" ht="15" hidden="false" customHeight="false" outlineLevel="0" collapsed="false">
      <c r="A76" s="7" t="s">
        <v>59</v>
      </c>
    </row>
    <row r="77" customFormat="false" ht="15" hidden="false" customHeight="false" outlineLevel="0" collapsed="false">
      <c r="A77" s="29" t="s">
        <v>60</v>
      </c>
    </row>
    <row r="78" customFormat="false" ht="15" hidden="false" customHeight="false" outlineLevel="0" collapsed="false">
      <c r="A78" s="7"/>
    </row>
    <row r="79" customFormat="false" ht="16" hidden="false" customHeight="false" outlineLevel="0" collapsed="false">
      <c r="A79" s="7" t="s">
        <v>61</v>
      </c>
    </row>
    <row r="80" customFormat="false" ht="15" hidden="false" customHeight="false" outlineLevel="0" collapsed="false">
      <c r="A80" s="7"/>
    </row>
    <row r="81" customFormat="false" ht="15" hidden="false" customHeight="false" outlineLevel="0" collapsed="false">
      <c r="A81" s="29" t="s">
        <v>62</v>
      </c>
    </row>
    <row r="82" customFormat="false" ht="29" hidden="false" customHeight="false" outlineLevel="0" collapsed="false">
      <c r="A82" s="29" t="s">
        <v>63</v>
      </c>
    </row>
    <row r="83" customFormat="false" ht="15" hidden="false" customHeight="false" outlineLevel="0" collapsed="false">
      <c r="A83" s="7"/>
    </row>
    <row r="84" customFormat="false" ht="16" hidden="false" customHeight="false" outlineLevel="0" collapsed="false">
      <c r="A84" s="7" t="s">
        <v>64</v>
      </c>
    </row>
    <row r="86" customFormat="false" ht="15.5" hidden="false" customHeight="false" outlineLevel="0" collapsed="false">
      <c r="A86" s="31" t="s">
        <v>65</v>
      </c>
    </row>
    <row r="87" customFormat="false" ht="15.5" hidden="false" customHeight="false" outlineLevel="0" collapsed="false">
      <c r="A87" s="2" t="s">
        <v>66</v>
      </c>
    </row>
    <row r="88" customFormat="false" ht="15.5" hidden="false" customHeight="false" outlineLevel="0" collapsed="false">
      <c r="A88" s="2" t="s">
        <v>67</v>
      </c>
    </row>
    <row r="89" customFormat="false" ht="15.5" hidden="false" customHeight="false" outlineLevel="0" collapsed="false">
      <c r="A89" s="2" t="s">
        <v>68</v>
      </c>
    </row>
    <row r="90" customFormat="false" ht="15.5" hidden="false" customHeight="false" outlineLevel="0" collapsed="false">
      <c r="A90" s="2" t="s">
        <v>69</v>
      </c>
    </row>
    <row r="91" customFormat="false" ht="15.5" hidden="false" customHeight="false" outlineLevel="0" collapsed="false">
      <c r="A91" s="2" t="s">
        <v>70</v>
      </c>
    </row>
    <row r="92" customFormat="false" ht="15.5" hidden="false" customHeight="false" outlineLevel="0" collapsed="false">
      <c r="A92" s="2" t="s">
        <v>71</v>
      </c>
    </row>
    <row r="93" customFormat="false" ht="15.5" hidden="false" customHeight="false" outlineLevel="0" collapsed="false">
      <c r="A93" s="2" t="s">
        <v>72</v>
      </c>
    </row>
    <row r="95" customFormat="false" ht="15" hidden="false" customHeight="false" outlineLevel="0" collapsed="false">
      <c r="A95" s="4" t="s">
        <v>73</v>
      </c>
    </row>
    <row r="96" customFormat="false" ht="30" hidden="false" customHeight="false" outlineLevel="0" collapsed="false">
      <c r="A96" s="29" t="s">
        <v>74</v>
      </c>
    </row>
    <row r="97" customFormat="false" ht="28" hidden="false" customHeight="false" outlineLevel="0" collapsed="false">
      <c r="A97" s="29" t="s">
        <v>75</v>
      </c>
    </row>
    <row r="98" customFormat="false" ht="15" hidden="false" customHeight="false" outlineLevel="0" collapsed="false">
      <c r="A98" s="7"/>
    </row>
    <row r="99" customFormat="false" ht="15" hidden="false" customHeight="false" outlineLevel="0" collapsed="false">
      <c r="A99" s="4" t="s">
        <v>76</v>
      </c>
    </row>
    <row r="100" customFormat="false" ht="28" hidden="false" customHeight="false" outlineLevel="0" collapsed="false">
      <c r="A100" s="29" t="s">
        <v>77</v>
      </c>
    </row>
    <row r="101" customFormat="false" ht="29" hidden="false" customHeight="false" outlineLevel="0" collapsed="false">
      <c r="A101" s="29" t="s">
        <v>78</v>
      </c>
    </row>
    <row r="103" customFormat="false" ht="15.5" hidden="false" customHeight="false" outlineLevel="0" collapsed="false">
      <c r="A103" s="9" t="s">
        <v>79</v>
      </c>
    </row>
  </sheetData>
  <mergeCells count="6">
    <mergeCell ref="A5:L5"/>
    <mergeCell ref="A6:J6"/>
    <mergeCell ref="A8:L8"/>
    <mergeCell ref="A15:I15"/>
    <mergeCell ref="A17:J17"/>
    <mergeCell ref="A28:J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I123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10" width="27.31"/>
    <col collapsed="false" customWidth="true" hidden="false" outlineLevel="0" max="7" min="2" style="10" width="14.56"/>
    <col collapsed="false" customWidth="true" hidden="false" outlineLevel="0" max="8" min="8" style="10" width="49.13"/>
  </cols>
  <sheetData>
    <row r="1" customFormat="false" ht="19" hidden="false" customHeight="false" outlineLevel="0" collapsed="false">
      <c r="A1" s="11" t="s">
        <v>80</v>
      </c>
      <c r="B1" s="11"/>
      <c r="C1" s="11"/>
      <c r="D1" s="11"/>
    </row>
    <row r="3" customFormat="false" ht="15.5" hidden="false" customHeight="false" outlineLevel="0" collapsed="false">
      <c r="A3" s="12" t="s">
        <v>81</v>
      </c>
      <c r="B3" s="12"/>
      <c r="C3" s="12"/>
      <c r="D3" s="12"/>
      <c r="E3" s="13"/>
      <c r="F3" s="13"/>
      <c r="G3" s="13"/>
      <c r="H3" s="13"/>
    </row>
    <row r="4" customFormat="false" ht="15.5" hidden="false" customHeight="false" outlineLevel="0" collapsed="false">
      <c r="A4" s="14" t="s">
        <v>82</v>
      </c>
      <c r="B4" s="14" t="s">
        <v>83</v>
      </c>
      <c r="C4" s="14" t="s">
        <v>84</v>
      </c>
      <c r="D4" s="15" t="s">
        <v>85</v>
      </c>
      <c r="E4" s="15"/>
    </row>
    <row r="5" customFormat="false" ht="16" hidden="false" customHeight="false" outlineLevel="0" collapsed="false">
      <c r="A5" s="10" t="s">
        <v>31</v>
      </c>
      <c r="B5" s="10" t="s">
        <v>86</v>
      </c>
      <c r="C5" s="10" t="s">
        <v>87</v>
      </c>
      <c r="D5" s="16" t="s">
        <v>88</v>
      </c>
      <c r="E5" s="16"/>
      <c r="F5" s="16"/>
    </row>
    <row r="6" customFormat="false" ht="16" hidden="false" customHeight="false" outlineLevel="0" collapsed="false">
      <c r="A6" s="10" t="s">
        <v>89</v>
      </c>
      <c r="B6" s="10" t="s">
        <v>90</v>
      </c>
      <c r="C6" s="10" t="s">
        <v>91</v>
      </c>
      <c r="D6" s="16" t="s">
        <v>92</v>
      </c>
      <c r="E6" s="16"/>
    </row>
    <row r="7" customFormat="false" ht="16" hidden="false" customHeight="false" outlineLevel="0" collapsed="false">
      <c r="A7" s="17" t="s">
        <v>93</v>
      </c>
      <c r="B7" s="10" t="s">
        <v>90</v>
      </c>
      <c r="C7" s="10" t="s">
        <v>94</v>
      </c>
      <c r="D7" s="10" t="s">
        <v>95</v>
      </c>
    </row>
    <row r="8" customFormat="false" ht="16" hidden="false" customHeight="false" outlineLevel="0" collapsed="false">
      <c r="A8" s="17" t="s">
        <v>96</v>
      </c>
      <c r="B8" s="10" t="s">
        <v>90</v>
      </c>
      <c r="C8" s="10" t="s">
        <v>97</v>
      </c>
      <c r="D8" s="10" t="s">
        <v>95</v>
      </c>
    </row>
    <row r="9" customFormat="false" ht="16" hidden="false" customHeight="false" outlineLevel="0" collapsed="false">
      <c r="A9" s="10" t="s">
        <v>98</v>
      </c>
      <c r="B9" s="10" t="s">
        <v>99</v>
      </c>
      <c r="C9" s="10" t="s">
        <v>100</v>
      </c>
      <c r="D9" s="10" t="s">
        <v>95</v>
      </c>
    </row>
    <row r="11" customFormat="false" ht="15.5" hidden="false" customHeight="false" outlineLevel="0" collapsed="false">
      <c r="A11" s="12" t="s">
        <v>101</v>
      </c>
      <c r="B11" s="12"/>
      <c r="C11" s="12"/>
      <c r="D11" s="13"/>
      <c r="E11" s="13"/>
      <c r="F11" s="13"/>
      <c r="G11" s="13"/>
      <c r="H11" s="13"/>
    </row>
    <row r="12" customFormat="false" ht="15" hidden="false" customHeight="false" outlineLevel="0" collapsed="false">
      <c r="A12" s="14" t="s">
        <v>102</v>
      </c>
      <c r="B12" s="14" t="s">
        <v>103</v>
      </c>
      <c r="C12" s="14" t="s">
        <v>76</v>
      </c>
      <c r="D12" s="14"/>
    </row>
    <row r="13" customFormat="false" ht="16" hidden="false" customHeight="false" outlineLevel="0" collapsed="false">
      <c r="A13" s="10" t="s">
        <v>104</v>
      </c>
      <c r="B13" s="18" t="s">
        <v>105</v>
      </c>
      <c r="C13" s="19" t="s">
        <v>106</v>
      </c>
      <c r="D13" s="19"/>
    </row>
    <row r="14" customFormat="false" ht="16" hidden="false" customHeight="false" outlineLevel="0" collapsed="false">
      <c r="A14" s="17" t="s">
        <v>93</v>
      </c>
      <c r="B14" s="18" t="s">
        <v>95</v>
      </c>
      <c r="C14" s="19" t="s">
        <v>107</v>
      </c>
      <c r="D14" s="19"/>
      <c r="E14" s="19"/>
      <c r="F14" s="19"/>
    </row>
    <row r="15" customFormat="false" ht="16" hidden="false" customHeight="false" outlineLevel="0" collapsed="false">
      <c r="A15" s="17" t="s">
        <v>96</v>
      </c>
      <c r="B15" s="18" t="s">
        <v>95</v>
      </c>
      <c r="C15" s="16" t="s">
        <v>108</v>
      </c>
      <c r="D15" s="16"/>
      <c r="E15" s="16"/>
    </row>
    <row r="16" customFormat="false" ht="16" hidden="false" customHeight="false" outlineLevel="0" collapsed="false">
      <c r="A16" s="10" t="s">
        <v>109</v>
      </c>
      <c r="B16" s="18" t="s">
        <v>95</v>
      </c>
      <c r="C16" s="16" t="s">
        <v>110</v>
      </c>
      <c r="D16" s="16"/>
      <c r="E16" s="16"/>
      <c r="F16" s="16"/>
    </row>
    <row r="18" customFormat="false" ht="15.5" hidden="false" customHeight="false" outlineLevel="0" collapsed="false">
      <c r="A18" s="12" t="s">
        <v>111</v>
      </c>
      <c r="B18" s="12"/>
      <c r="C18" s="12"/>
      <c r="D18" s="13"/>
      <c r="E18" s="13"/>
      <c r="F18" s="13"/>
      <c r="G18" s="13"/>
      <c r="H18" s="13"/>
    </row>
    <row r="19" customFormat="false" ht="15.5" hidden="false" customHeight="false" outlineLevel="0" collapsed="false">
      <c r="A19" s="14" t="s">
        <v>112</v>
      </c>
      <c r="B19" s="14" t="s">
        <v>113</v>
      </c>
      <c r="C19" s="14" t="s">
        <v>76</v>
      </c>
      <c r="D19" s="14"/>
      <c r="E19" s="14"/>
      <c r="F19" s="14"/>
      <c r="G19" s="14"/>
      <c r="H19" s="14"/>
    </row>
    <row r="20" customFormat="false" ht="15" hidden="false" customHeight="false" outlineLevel="0" collapsed="false">
      <c r="A20" s="10" t="n">
        <v>2</v>
      </c>
      <c r="B20" s="20" t="n">
        <v>0</v>
      </c>
      <c r="C20" s="10" t="s">
        <v>114</v>
      </c>
    </row>
    <row r="21" customFormat="false" ht="16" hidden="false" customHeight="false" outlineLevel="0" collapsed="false">
      <c r="A21" s="10" t="n">
        <v>3</v>
      </c>
      <c r="B21" s="20" t="n">
        <v>10</v>
      </c>
      <c r="C21" s="16" t="s">
        <v>115</v>
      </c>
      <c r="D21" s="16"/>
    </row>
    <row r="22" customFormat="false" ht="15" hidden="false" customHeight="false" outlineLevel="0" collapsed="false">
      <c r="A22" s="10" t="n">
        <v>4</v>
      </c>
      <c r="B22" s="20" t="n">
        <v>15</v>
      </c>
      <c r="C22" s="16" t="s">
        <v>116</v>
      </c>
      <c r="D22" s="16"/>
    </row>
    <row r="23" customFormat="false" ht="15" hidden="false" customHeight="false" outlineLevel="0" collapsed="false">
      <c r="A23" s="10" t="n">
        <v>5</v>
      </c>
      <c r="B23" s="20" t="n">
        <v>20</v>
      </c>
    </row>
    <row r="25" customFormat="false" ht="15" hidden="false" customHeight="false" outlineLevel="0" collapsed="false">
      <c r="A25" s="14" t="s">
        <v>117</v>
      </c>
      <c r="B25" s="14" t="s">
        <v>118</v>
      </c>
      <c r="C25" s="14" t="s">
        <v>76</v>
      </c>
      <c r="D25" s="14"/>
      <c r="E25" s="14"/>
      <c r="F25" s="14"/>
      <c r="G25" s="14"/>
      <c r="H25" s="14"/>
    </row>
    <row r="26" customFormat="false" ht="16" hidden="false" customHeight="false" outlineLevel="0" collapsed="false">
      <c r="A26" s="10" t="s">
        <v>119</v>
      </c>
      <c r="B26" s="21" t="n">
        <f aca="false">20^3</f>
        <v>8000</v>
      </c>
      <c r="C26" s="16" t="s">
        <v>120</v>
      </c>
      <c r="D26" s="16"/>
    </row>
    <row r="27" customFormat="false" ht="16" hidden="false" customHeight="false" outlineLevel="0" collapsed="false">
      <c r="A27" s="10" t="s">
        <v>121</v>
      </c>
      <c r="B27" s="21" t="n">
        <f aca="false">1*1*1</f>
        <v>1</v>
      </c>
      <c r="C27" s="16" t="s">
        <v>122</v>
      </c>
      <c r="D27" s="16"/>
      <c r="E27" s="16"/>
    </row>
    <row r="28" customFormat="false" ht="16" hidden="false" customHeight="false" outlineLevel="0" collapsed="false">
      <c r="A28" s="18" t="s">
        <v>123</v>
      </c>
      <c r="B28" s="33" t="n">
        <f aca="false">B27/B26</f>
        <v>0.000125</v>
      </c>
      <c r="C28" s="16" t="s">
        <v>124</v>
      </c>
      <c r="D28" s="16"/>
    </row>
    <row r="29" customFormat="false" ht="16" hidden="false" customHeight="false" outlineLevel="0" collapsed="false">
      <c r="A29" s="18" t="s">
        <v>125</v>
      </c>
      <c r="B29" s="23" t="n">
        <f aca="false">B28*B21</f>
        <v>0.00125</v>
      </c>
      <c r="C29" s="16" t="s">
        <v>126</v>
      </c>
      <c r="D29" s="16"/>
      <c r="E29" s="16"/>
      <c r="F29" s="16"/>
    </row>
    <row r="30" customFormat="false" ht="15.5" hidden="false" customHeight="true" outlineLevel="0" collapsed="false">
      <c r="A30" s="24" t="s">
        <v>127</v>
      </c>
      <c r="B30" s="24"/>
      <c r="C30" s="24"/>
      <c r="D30" s="24"/>
      <c r="E30" s="24"/>
      <c r="F30" s="24"/>
      <c r="G30" s="24"/>
      <c r="H30" s="24"/>
    </row>
    <row r="32" customFormat="false" ht="15.5" hidden="false" customHeight="false" outlineLevel="0" collapsed="false">
      <c r="A32" s="12" t="s">
        <v>128</v>
      </c>
      <c r="B32" s="12"/>
      <c r="C32" s="12"/>
      <c r="D32" s="13"/>
      <c r="E32" s="13"/>
      <c r="F32" s="13"/>
      <c r="G32" s="13"/>
      <c r="H32" s="13"/>
    </row>
    <row r="33" customFormat="false" ht="15.5" hidden="false" customHeight="false" outlineLevel="0" collapsed="false">
      <c r="A33" s="14" t="s">
        <v>129</v>
      </c>
      <c r="B33" s="14" t="s">
        <v>130</v>
      </c>
      <c r="C33" s="15" t="s">
        <v>131</v>
      </c>
      <c r="D33" s="15"/>
      <c r="E33" s="15"/>
    </row>
    <row r="34" customFormat="false" ht="15" hidden="false" customHeight="false" outlineLevel="0" collapsed="false">
      <c r="A34" s="10" t="s">
        <v>132</v>
      </c>
      <c r="B34" s="10" t="s">
        <v>133</v>
      </c>
      <c r="C34" s="16" t="s">
        <v>134</v>
      </c>
      <c r="D34" s="16"/>
      <c r="E34" s="16"/>
    </row>
    <row r="35" customFormat="false" ht="15" hidden="false" customHeight="false" outlineLevel="0" collapsed="false">
      <c r="A35" s="10" t="s">
        <v>135</v>
      </c>
      <c r="B35" s="10" t="s">
        <v>136</v>
      </c>
      <c r="C35" s="16" t="s">
        <v>137</v>
      </c>
      <c r="D35" s="16"/>
      <c r="E35" s="16"/>
      <c r="F35" s="16"/>
    </row>
    <row r="36" customFormat="false" ht="16" hidden="false" customHeight="false" outlineLevel="0" collapsed="false">
      <c r="A36" s="10" t="s">
        <v>138</v>
      </c>
      <c r="B36" s="10" t="s">
        <v>139</v>
      </c>
      <c r="C36" s="16" t="s">
        <v>140</v>
      </c>
      <c r="D36" s="16"/>
      <c r="E36" s="16"/>
      <c r="F36" s="16"/>
    </row>
    <row r="37" customFormat="false" ht="16" hidden="false" customHeight="false" outlineLevel="0" collapsed="false">
      <c r="A37" s="10" t="s">
        <v>141</v>
      </c>
      <c r="B37" s="10" t="s">
        <v>95</v>
      </c>
      <c r="C37" s="10" t="s">
        <v>95</v>
      </c>
    </row>
    <row r="39" customFormat="false" ht="15" hidden="false" customHeight="false" outlineLevel="0" collapsed="false">
      <c r="A39" s="14" t="s">
        <v>142</v>
      </c>
      <c r="B39" s="14" t="s">
        <v>143</v>
      </c>
      <c r="C39" s="14" t="s">
        <v>144</v>
      </c>
      <c r="D39" s="14" t="s">
        <v>145</v>
      </c>
    </row>
    <row r="40" customFormat="false" ht="15" hidden="false" customHeight="false" outlineLevel="0" collapsed="false">
      <c r="A40" s="10" t="s">
        <v>146</v>
      </c>
      <c r="B40" s="20" t="n">
        <v>2</v>
      </c>
      <c r="C40" s="20" t="n">
        <v>100</v>
      </c>
      <c r="D40" s="21" t="n">
        <f aca="false">B40*C40</f>
        <v>200</v>
      </c>
    </row>
    <row r="41" customFormat="false" ht="15" hidden="false" customHeight="false" outlineLevel="0" collapsed="false">
      <c r="A41" s="10" t="s">
        <v>147</v>
      </c>
      <c r="B41" s="20" t="n">
        <v>5</v>
      </c>
      <c r="C41" s="20" t="n">
        <v>100</v>
      </c>
      <c r="D41" s="21" t="n">
        <f aca="false">B41*C41</f>
        <v>500</v>
      </c>
    </row>
    <row r="42" customFormat="false" ht="15" hidden="false" customHeight="false" outlineLevel="0" collapsed="false">
      <c r="A42" s="10" t="s">
        <v>148</v>
      </c>
      <c r="B42" s="20" t="n">
        <v>10</v>
      </c>
      <c r="C42" s="20" t="n">
        <v>100</v>
      </c>
      <c r="D42" s="21" t="n">
        <f aca="false">B42*C42</f>
        <v>1000</v>
      </c>
    </row>
    <row r="43" customFormat="false" ht="15" hidden="false" customHeight="false" outlineLevel="0" collapsed="false">
      <c r="A43" s="18" t="s">
        <v>149</v>
      </c>
      <c r="B43" s="25" t="n">
        <f aca="false">PRODUCT(B40:B42)</f>
        <v>100</v>
      </c>
      <c r="C43" s="21" t="n">
        <f aca="false">C40</f>
        <v>100</v>
      </c>
      <c r="D43" s="21" t="n">
        <f aca="false">B43*C43</f>
        <v>10000</v>
      </c>
    </row>
    <row r="45" customFormat="false" ht="15.5" hidden="false" customHeight="false" outlineLevel="0" collapsed="false">
      <c r="A45" s="12" t="s">
        <v>150</v>
      </c>
      <c r="B45" s="12"/>
      <c r="C45" s="12"/>
      <c r="D45" s="13"/>
      <c r="E45" s="13"/>
      <c r="F45" s="13"/>
      <c r="G45" s="13"/>
      <c r="H45" s="13"/>
    </row>
    <row r="46" customFormat="false" ht="15" hidden="false" customHeight="false" outlineLevel="0" collapsed="false">
      <c r="A46" s="14" t="s">
        <v>151</v>
      </c>
      <c r="B46" s="14" t="s">
        <v>152</v>
      </c>
      <c r="C46" s="14" t="s">
        <v>76</v>
      </c>
      <c r="D46" s="14"/>
      <c r="E46" s="14"/>
      <c r="F46" s="14"/>
      <c r="G46" s="14"/>
      <c r="H46" s="14"/>
    </row>
    <row r="47" customFormat="false" ht="16" hidden="false" customHeight="false" outlineLevel="0" collapsed="false">
      <c r="A47" s="32">
        <v>3</v>
      </c>
      <c r="B47" s="26" t="str">
        <f aca="false">IF(B21=10,"✓","✗")</f>
        <v>✓</v>
      </c>
      <c r="C47" s="10" t="s">
        <v>154</v>
      </c>
    </row>
    <row r="48" customFormat="false" ht="16" hidden="false" customHeight="false" outlineLevel="0" collapsed="false">
      <c r="A48" s="10" t="s">
        <v>155</v>
      </c>
      <c r="B48" s="26" t="str">
        <f aca="false">IF(ABS(B28-B27/B26)&lt;0.0000001,"✓","✗")</f>
        <v>✓</v>
      </c>
    </row>
    <row r="49" customFormat="false" ht="16" hidden="false" customHeight="false" outlineLevel="0" collapsed="false">
      <c r="A49" s="10" t="s">
        <v>156</v>
      </c>
      <c r="B49" s="26" t="str">
        <f aca="false">IF(AND(D40=C40*B40,D42=C42*B42),"✓","✗")</f>
        <v>✓</v>
      </c>
      <c r="C49" s="16" t="s">
        <v>157</v>
      </c>
      <c r="D49" s="16"/>
    </row>
    <row r="50" customFormat="false" ht="16" hidden="false" customHeight="false" outlineLevel="0" collapsed="false">
      <c r="A50" s="10" t="s">
        <v>158</v>
      </c>
      <c r="B50" s="26" t="str">
        <f aca="false">IF(B43=100,"✓","✗")</f>
        <v>✓</v>
      </c>
      <c r="C50" s="17" t="s">
        <v>159</v>
      </c>
    </row>
    <row r="51" customFormat="false" ht="16" hidden="false" customHeight="false" outlineLevel="0" collapsed="false">
      <c r="A51" s="10" t="s">
        <v>160</v>
      </c>
      <c r="B51" s="26" t="str">
        <f aca="false">IF(D41=500,"✓","✗")</f>
        <v>✓</v>
      </c>
      <c r="C51" s="17" t="s">
        <v>161</v>
      </c>
    </row>
    <row r="52" customFormat="false" ht="16" hidden="false" customHeight="false" outlineLevel="0" collapsed="false">
      <c r="A52" s="10" t="s">
        <v>162</v>
      </c>
      <c r="B52" s="26" t="str">
        <f aca="false">IF(B41=5,"✓","✗")</f>
        <v>✓</v>
      </c>
      <c r="C52" s="16" t="s">
        <v>163</v>
      </c>
      <c r="D52" s="16"/>
      <c r="E52" s="16"/>
      <c r="F52" s="16"/>
    </row>
    <row r="54" customFormat="false" ht="28" hidden="false" customHeight="true" outlineLevel="0" collapsed="false">
      <c r="A54" s="24" t="s">
        <v>164</v>
      </c>
      <c r="B54" s="24"/>
      <c r="C54" s="24"/>
      <c r="D54" s="24"/>
    </row>
  </sheetData>
  <mergeCells count="27">
    <mergeCell ref="A1:D1"/>
    <mergeCell ref="A3:D3"/>
    <mergeCell ref="D4:E4"/>
    <mergeCell ref="D5:F5"/>
    <mergeCell ref="D6:E6"/>
    <mergeCell ref="A11:C11"/>
    <mergeCell ref="C13:D13"/>
    <mergeCell ref="C14:F14"/>
    <mergeCell ref="C15:E15"/>
    <mergeCell ref="C16:F16"/>
    <mergeCell ref="A18:C18"/>
    <mergeCell ref="C21:D21"/>
    <mergeCell ref="C22:D22"/>
    <mergeCell ref="C26:D26"/>
    <mergeCell ref="C27:E27"/>
    <mergeCell ref="C28:D28"/>
    <mergeCell ref="C29:F29"/>
    <mergeCell ref="A30:H30"/>
    <mergeCell ref="A32:C32"/>
    <mergeCell ref="C33:E33"/>
    <mergeCell ref="C34:E34"/>
    <mergeCell ref="C35:F35"/>
    <mergeCell ref="C36:F36"/>
    <mergeCell ref="A45:C45"/>
    <mergeCell ref="C49:D49"/>
    <mergeCell ref="C52:F52"/>
    <mergeCell ref="A54:D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M74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2026-09-29T15:06:25Z</dcterms:created>
  <dc:creator>openpyxl</dc:creator>
  <dc:description/>
  <dc:language>zh-CN</dc:language>
  <cp:lastModifiedBy/>
  <dcterms:modified xsi:type="dcterms:W3CDTF">2026-09-29T15:06:25Z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