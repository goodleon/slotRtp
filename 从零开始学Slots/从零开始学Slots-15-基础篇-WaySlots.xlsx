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<sst xmlns="http://schemas.openxmlformats.org/spreadsheetml/2006/main" count="205" uniqueCount="194">
  <si>
    <r>
      <rPr>
        <b val="true"/>
        <sz val="14"/>
        <color rgb="FF1F4E79"/>
        <rFont val="Noto Sans SC"/>
        <family val="2"/>
        <charset val="134"/>
      </rPr>
      <t xml:space="preserve">从零开始学</t>
    </r>
    <r>
      <rPr>
        <b val="true"/>
        <sz val="14"/>
        <color rgb="FF1F4E79"/>
        <rFont val="Cambria"/>
        <family val="0"/>
        <charset val="1"/>
      </rPr>
      <t xml:space="preserve">Slots 15 —— </t>
    </r>
    <r>
      <rPr>
        <b val="true"/>
        <sz val="14"/>
        <color rgb="FF1F4E79"/>
        <rFont val="Noto Sans SC"/>
        <family val="2"/>
        <charset val="134"/>
      </rPr>
      <t xml:space="preserve">基础篇：</t>
    </r>
    <r>
      <rPr>
        <b val="true"/>
        <sz val="14"/>
        <color rgb="FF1F4E79"/>
        <rFont val="Cambria"/>
        <family val="0"/>
        <charset val="1"/>
      </rPr>
      <t xml:space="preserve">Way Slots</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</si>
  <si>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Way Slots</t>
    </r>
    <r>
      <rPr>
        <sz val="11"/>
        <color rgb="FF808080"/>
        <rFont val="Noto Sans SC"/>
        <family val="2"/>
        <charset val="134"/>
      </rPr>
      <t xml:space="preserve">》  </t>
    </r>
    <r>
      <rPr>
        <sz val="11"/>
        <color rgb="FF808080"/>
        <rFont val="Cambria"/>
        <family val="0"/>
        <charset val="1"/>
      </rPr>
      <t xml:space="preserve">https://zhuanlan.zhihu.com/p/625043502</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</si>
  <si>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</si>
  <si>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</si>
  <si>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</si>
  <si>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</si>
  <si>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</si>
  <si>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</si>
  <si>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</si>
  <si>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images/slots/625043502-NN.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</si>
  <si>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</si>
  <si>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</si>
  <si>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</si>
  <si>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中奖判定：</t>
    </r>
    <r>
      <rPr>
        <sz val="11"/>
        <color theme="1"/>
        <rFont val="Calibri"/>
        <family val="2"/>
        <charset val="1"/>
      </rPr>
      <t xml:space="preserve">Line </t>
    </r>
    <r>
      <rPr>
        <sz val="11"/>
        <color theme="1"/>
        <rFont val="Noto Sans SC"/>
        <family val="2"/>
        <charset val="134"/>
      </rPr>
      <t xml:space="preserve">要求图标落在中奖线规定的位置；</t>
    </r>
    <r>
      <rPr>
        <sz val="11"/>
        <color theme="1"/>
        <rFont val="Calibri"/>
        <family val="2"/>
        <charset val="1"/>
      </rPr>
      <t xml:space="preserve">Way </t>
    </r>
    <r>
      <rPr>
        <sz val="11"/>
        <color theme="1"/>
        <rFont val="Noto Sans SC"/>
        <family val="2"/>
        <charset val="134"/>
      </rPr>
      <t xml:space="preserve">只要「自首列起连续出现」即可，没有中奖线。</t>
    </r>
  </si>
  <si>
    <r>
      <rPr>
        <sz val="11"/>
        <color theme="1"/>
        <rFont val="Calibri"/>
        <family val="2"/>
        <charset val="1"/>
      </rPr>
      <t xml:space="preserve">· </t>
    </r>
    <r>
      <rPr>
        <sz val="11"/>
        <color theme="1"/>
        <rFont val="Noto Sans SC"/>
        <family val="2"/>
        <charset val="134"/>
      </rPr>
      <t xml:space="preserve">若想让 </t>
    </r>
    <r>
      <rPr>
        <sz val="11"/>
        <color theme="1"/>
        <rFont val="Calibri"/>
        <family val="2"/>
        <charset val="1"/>
      </rPr>
      <t xml:space="preserve">Line Slots </t>
    </r>
    <r>
      <rPr>
        <sz val="11"/>
        <color theme="1"/>
        <rFont val="Noto Sans SC"/>
        <family val="2"/>
        <charset val="134"/>
      </rPr>
      <t xml:space="preserve">也做到「连续即中」，</t>
    </r>
    <r>
      <rPr>
        <sz val="11"/>
        <color theme="1"/>
        <rFont val="Calibri"/>
        <family val="2"/>
        <charset val="1"/>
      </rPr>
      <t xml:space="preserve">3*5 </t>
    </r>
    <r>
      <rPr>
        <sz val="11"/>
        <color theme="1"/>
        <rFont val="Noto Sans SC"/>
        <family val="2"/>
        <charset val="134"/>
      </rPr>
      <t xml:space="preserve">需要 </t>
    </r>
    <r>
      <rPr>
        <sz val="11"/>
        <color theme="1"/>
        <rFont val="Calibri"/>
        <family val="2"/>
        <charset val="1"/>
      </rPr>
      <t xml:space="preserve">3⁵ </t>
    </r>
    <r>
      <rPr>
        <sz val="11"/>
        <color theme="1"/>
        <rFont val="Noto Sans SC"/>
        <family val="2"/>
        <charset val="134"/>
      </rPr>
      <t xml:space="preserve">＝ </t>
    </r>
    <r>
      <rPr>
        <sz val="11"/>
        <color theme="1"/>
        <rFont val="Calibri"/>
        <family val="2"/>
        <charset val="1"/>
      </rPr>
      <t xml:space="preserve">243 </t>
    </r>
    <r>
      <rPr>
        <sz val="11"/>
        <color theme="1"/>
        <rFont val="Noto Sans SC"/>
        <family val="2"/>
        <charset val="134"/>
      </rPr>
      <t xml:space="preserve">条中奖线 —— 而线一多就会出问题：</t>
    </r>
  </si>
  <si>
    <r>
      <rPr>
        <sz val="11"/>
        <color theme="1"/>
        <rFont val="Noto Sans SC"/>
        <family val="2"/>
        <charset val="134"/>
      </rPr>
      <t xml:space="preserve">  线数 </t>
    </r>
    <r>
      <rPr>
        <sz val="11"/>
        <color theme="1"/>
        <rFont val="Calibri"/>
        <family val="2"/>
        <charset val="1"/>
      </rPr>
      <t xml:space="preserve">&lt; 27</t>
    </r>
    <r>
      <rPr>
        <sz val="11"/>
        <color theme="1"/>
        <rFont val="Noto Sans SC"/>
        <family val="2"/>
        <charset val="134"/>
      </rPr>
      <t xml:space="preserve">（</t>
    </r>
    <r>
      <rPr>
        <sz val="11"/>
        <color theme="1"/>
        <rFont val="Calibri"/>
        <family val="2"/>
        <charset val="1"/>
      </rPr>
      <t xml:space="preserve">3³</t>
    </r>
    <r>
      <rPr>
        <sz val="11"/>
        <color theme="1"/>
        <rFont val="Noto Sans SC"/>
        <family val="2"/>
        <charset val="134"/>
      </rPr>
      <t xml:space="preserve">）时三种中奖组合互不重复，实际倍数 ＝ 设定倍数；</t>
    </r>
  </si>
  <si>
    <r>
      <rPr>
        <sz val="11"/>
        <color theme="1"/>
        <rFont val="Noto Sans SC"/>
        <family val="2"/>
        <charset val="134"/>
      </rPr>
      <t xml:space="preserve">  线数进入 </t>
    </r>
    <r>
      <rPr>
        <sz val="11"/>
        <color theme="1"/>
        <rFont val="Calibri"/>
        <family val="2"/>
        <charset val="1"/>
      </rPr>
      <t xml:space="preserve">27~81 </t>
    </r>
    <r>
      <rPr>
        <sz val="11"/>
        <color theme="1"/>
        <rFont val="Noto Sans SC"/>
        <family val="2"/>
        <charset val="134"/>
      </rPr>
      <t xml:space="preserve">时，｛</t>
    </r>
    <r>
      <rPr>
        <sz val="11"/>
        <color theme="1"/>
        <rFont val="Calibri"/>
        <family val="2"/>
        <charset val="1"/>
      </rPr>
      <t xml:space="preserve">Any,Any,Any</t>
    </r>
    <r>
      <rPr>
        <sz val="11"/>
        <color theme="1"/>
        <rFont val="Noto Sans SC"/>
        <family val="2"/>
        <charset val="134"/>
      </rPr>
      <t xml:space="preserve">｝至少两条线重复 → 实际倍数 ＝ 设定倍数 </t>
    </r>
    <r>
      <rPr>
        <sz val="11"/>
        <color theme="1"/>
        <rFont val="Calibri"/>
        <family val="2"/>
        <charset val="1"/>
      </rPr>
      <t xml:space="preserve">× </t>
    </r>
    <r>
      <rPr>
        <sz val="11"/>
        <color theme="1"/>
        <rFont val="Noto Sans SC"/>
        <family val="2"/>
        <charset val="134"/>
      </rPr>
      <t xml:space="preserve">倍数；</t>
    </r>
  </si>
  <si>
    <r>
      <rPr>
        <sz val="11"/>
        <color theme="1"/>
        <rFont val="Calibri"/>
        <family val="2"/>
        <charset val="1"/>
      </rPr>
      <t xml:space="preserve">  243 </t>
    </r>
    <r>
      <rPr>
        <sz val="11"/>
        <color theme="1"/>
        <rFont val="Noto Sans SC"/>
        <family val="2"/>
        <charset val="134"/>
      </rPr>
      <t xml:space="preserve">条线时｛</t>
    </r>
    <r>
      <rPr>
        <sz val="11"/>
        <color theme="1"/>
        <rFont val="Calibri"/>
        <family val="2"/>
        <charset val="1"/>
      </rPr>
      <t xml:space="preserve">Any,Any,Any</t>
    </r>
    <r>
      <rPr>
        <sz val="11"/>
        <color theme="1"/>
        <rFont val="Noto Sans SC"/>
        <family val="2"/>
        <charset val="134"/>
      </rPr>
      <t xml:space="preserve">｝满足 </t>
    </r>
    <r>
      <rPr>
        <sz val="11"/>
        <color theme="1"/>
        <rFont val="Calibri"/>
        <family val="2"/>
        <charset val="1"/>
      </rPr>
      <t xml:space="preserve">9 </t>
    </r>
    <r>
      <rPr>
        <sz val="11"/>
        <color theme="1"/>
        <rFont val="Noto Sans SC"/>
        <family val="2"/>
        <charset val="134"/>
      </rPr>
      <t xml:space="preserve">条线（实际 </t>
    </r>
    <r>
      <rPr>
        <sz val="11"/>
        <color theme="1"/>
        <rFont val="Calibri"/>
        <family val="2"/>
        <charset val="1"/>
      </rPr>
      <t xml:space="preserve">×9</t>
    </r>
    <r>
      <rPr>
        <sz val="11"/>
        <color theme="1"/>
        <rFont val="Noto Sans SC"/>
        <family val="2"/>
        <charset val="134"/>
      </rPr>
      <t xml:space="preserve">）、｛</t>
    </r>
    <r>
      <rPr>
        <sz val="11"/>
        <color theme="1"/>
        <rFont val="Calibri"/>
        <family val="2"/>
        <charset val="1"/>
      </rPr>
      <t xml:space="preserve">Any×4</t>
    </r>
    <r>
      <rPr>
        <sz val="11"/>
        <color theme="1"/>
        <rFont val="Noto Sans SC"/>
        <family val="2"/>
        <charset val="134"/>
      </rPr>
      <t xml:space="preserve">｝满足 </t>
    </r>
    <r>
      <rPr>
        <sz val="11"/>
        <color theme="1"/>
        <rFont val="Calibri"/>
        <family val="2"/>
        <charset val="1"/>
      </rPr>
      <t xml:space="preserve">3 </t>
    </r>
    <r>
      <rPr>
        <sz val="11"/>
        <color theme="1"/>
        <rFont val="Noto Sans SC"/>
        <family val="2"/>
        <charset val="134"/>
      </rPr>
      <t xml:space="preserve">条（实际 </t>
    </r>
    <r>
      <rPr>
        <sz val="11"/>
        <color theme="1"/>
        <rFont val="Calibri"/>
        <family val="2"/>
        <charset val="1"/>
      </rPr>
      <t xml:space="preserve">×3</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</si>
  <si>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后果：不同中奖组合之间的倍数差被压平 → 波动性下降；老式 </t>
    </r>
    <r>
      <rPr>
        <sz val="11"/>
        <color theme="1"/>
        <rFont val="Calibri"/>
        <family val="2"/>
        <charset val="1"/>
      </rPr>
      <t xml:space="preserve">50 </t>
    </r>
    <r>
      <rPr>
        <sz val="11"/>
        <color theme="1"/>
        <rFont val="Noto Sans SC"/>
        <family val="2"/>
        <charset val="134"/>
      </rPr>
      <t xml:space="preserve">线产品中奖率偏低就是这个原因。</t>
    </r>
  </si>
  <si>
    <r>
      <rPr>
        <sz val="11"/>
        <color theme="1"/>
        <rFont val="Noto Sans SC"/>
        <family val="2"/>
        <charset val="134"/>
      </rPr>
      <t xml:space="preserve">  所以现在受欢迎的 </t>
    </r>
    <r>
      <rPr>
        <sz val="11"/>
        <color theme="1"/>
        <rFont val="Calibri"/>
        <family val="2"/>
        <charset val="1"/>
      </rPr>
      <t xml:space="preserve">Line Slots </t>
    </r>
    <r>
      <rPr>
        <sz val="11"/>
        <color theme="1"/>
        <rFont val="Noto Sans SC"/>
        <family val="2"/>
        <charset val="134"/>
      </rPr>
      <t xml:space="preserve">多把线数控制在 </t>
    </r>
    <r>
      <rPr>
        <sz val="11"/>
        <color theme="1"/>
        <rFont val="Calibri"/>
        <family val="2"/>
        <charset val="1"/>
      </rPr>
      <t xml:space="preserve">27 </t>
    </r>
    <r>
      <rPr>
        <sz val="11"/>
        <color theme="1"/>
        <rFont val="Noto Sans SC"/>
        <family val="2"/>
        <charset val="134"/>
      </rPr>
      <t xml:space="preserve">线以内（</t>
    </r>
    <r>
      <rPr>
        <sz val="11"/>
        <color theme="1"/>
        <rFont val="Calibri"/>
        <family val="2"/>
        <charset val="1"/>
      </rPr>
      <t xml:space="preserve">15</t>
    </r>
    <r>
      <rPr>
        <sz val="11"/>
        <color theme="1"/>
        <rFont val="Noto Sans SC"/>
        <family val="2"/>
        <charset val="134"/>
      </rPr>
      <t xml:space="preserve">／</t>
    </r>
    <r>
      <rPr>
        <sz val="11"/>
        <color theme="1"/>
        <rFont val="Calibri"/>
        <family val="2"/>
        <charset val="1"/>
      </rPr>
      <t xml:space="preserve">20</t>
    </r>
    <r>
      <rPr>
        <sz val="11"/>
        <color theme="1"/>
        <rFont val="Noto Sans SC"/>
        <family val="2"/>
        <charset val="134"/>
      </rPr>
      <t xml:space="preserve">／</t>
    </r>
    <r>
      <rPr>
        <sz val="11"/>
        <color theme="1"/>
        <rFont val="Calibri"/>
        <family val="2"/>
        <charset val="1"/>
      </rPr>
      <t xml:space="preserve">25 </t>
    </r>
    <r>
      <rPr>
        <sz val="11"/>
        <color theme="1"/>
        <rFont val="Noto Sans SC"/>
        <family val="2"/>
        <charset val="134"/>
      </rPr>
      <t xml:space="preserve">线最常见）。</t>
    </r>
  </si>
  <si>
    <r>
      <rPr>
        <sz val="11"/>
        <color theme="1"/>
        <rFont val="Calibri"/>
        <family val="2"/>
        <charset val="1"/>
      </rPr>
      <t xml:space="preserve">· </t>
    </r>
    <r>
      <rPr>
        <sz val="11"/>
        <color theme="1"/>
        <rFont val="Noto Sans SC"/>
        <family val="2"/>
        <charset val="134"/>
      </rPr>
      <t xml:space="preserve">计算基数：</t>
    </r>
    <r>
      <rPr>
        <sz val="11"/>
        <color theme="1"/>
        <rFont val="Calibri"/>
        <family val="2"/>
        <charset val="1"/>
      </rPr>
      <t xml:space="preserve">Line </t>
    </r>
    <r>
      <rPr>
        <sz val="11"/>
        <color theme="1"/>
        <rFont val="Noto Sans SC"/>
        <family val="2"/>
        <charset val="134"/>
      </rPr>
      <t xml:space="preserve">＝ 下注额 </t>
    </r>
    <r>
      <rPr>
        <sz val="11"/>
        <color theme="1"/>
        <rFont val="Calibri"/>
        <family val="2"/>
        <charset val="1"/>
      </rPr>
      <t xml:space="preserve">÷ </t>
    </r>
    <r>
      <rPr>
        <sz val="11"/>
        <color theme="1"/>
        <rFont val="Noto Sans SC"/>
        <family val="2"/>
        <charset val="134"/>
      </rPr>
      <t xml:space="preserve">中奖线数；</t>
    </r>
    <r>
      <rPr>
        <sz val="11"/>
        <color theme="1"/>
        <rFont val="Calibri"/>
        <family val="2"/>
        <charset val="1"/>
      </rPr>
      <t xml:space="preserve">Way </t>
    </r>
    <r>
      <rPr>
        <sz val="11"/>
        <color theme="1"/>
        <rFont val="Noto Sans SC"/>
        <family val="2"/>
        <charset val="134"/>
      </rPr>
      <t xml:space="preserve">没有可分摊下注的线，故除一个常数（常见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18</t>
    </r>
    <r>
      <rPr>
        <sz val="11"/>
        <color theme="1"/>
        <rFont val="Noto Sans SC"/>
        <family val="2"/>
        <charset val="134"/>
      </rPr>
      <t xml:space="preserve">／</t>
    </r>
    <r>
      <rPr>
        <sz val="11"/>
        <color theme="1"/>
        <rFont val="Calibri"/>
        <family val="2"/>
        <charset val="1"/>
      </rPr>
      <t xml:space="preserve">88</t>
    </r>
    <r>
      <rPr>
        <sz val="11"/>
        <color theme="1"/>
        <rFont val="Noto Sans SC"/>
        <family val="2"/>
        <charset val="134"/>
      </rPr>
      <t xml:space="preserve">／</t>
    </r>
    <r>
      <rPr>
        <sz val="11"/>
        <color theme="1"/>
        <rFont val="Calibri"/>
        <family val="2"/>
        <charset val="1"/>
      </rPr>
      <t xml:space="preserve">100</t>
    </r>
    <r>
      <rPr>
        <sz val="11"/>
        <color theme="1"/>
        <rFont val="Noto Sans SC"/>
        <family val="2"/>
        <charset val="134"/>
      </rPr>
      <t xml:space="preserve">），</t>
    </r>
  </si>
  <si>
    <r>
      <rPr>
        <sz val="11"/>
        <color theme="1"/>
        <rFont val="Noto Sans SC"/>
        <family val="2"/>
        <charset val="134"/>
      </rPr>
      <t xml:space="preserve">  或改用比同尺寸 </t>
    </r>
    <r>
      <rPr>
        <sz val="11"/>
        <color theme="1"/>
        <rFont val="Calibri"/>
        <family val="2"/>
        <charset val="1"/>
      </rPr>
      <t xml:space="preserve">Line Slots </t>
    </r>
    <r>
      <rPr>
        <sz val="11"/>
        <color theme="1"/>
        <rFont val="Noto Sans SC"/>
        <family val="2"/>
        <charset val="134"/>
      </rPr>
      <t xml:space="preserve">低得多的赔付倍数。</t>
    </r>
  </si>
  <si>
    <r>
      <rPr>
        <sz val="11"/>
        <color theme="1"/>
        <rFont val="Calibri"/>
        <family val="2"/>
        <charset val="1"/>
      </rPr>
      <t xml:space="preserve">· </t>
    </r>
    <r>
      <rPr>
        <sz val="11"/>
        <color theme="1"/>
        <rFont val="Noto Sans SC"/>
        <family val="2"/>
        <charset val="134"/>
      </rPr>
      <t xml:space="preserve">赔付金额：</t>
    </r>
    <r>
      <rPr>
        <sz val="11"/>
        <color theme="1"/>
        <rFont val="Calibri"/>
        <family val="2"/>
        <charset val="1"/>
      </rPr>
      <t xml:space="preserve">Line </t>
    </r>
    <r>
      <rPr>
        <sz val="11"/>
        <color theme="1"/>
        <rFont val="Noto Sans SC"/>
        <family val="2"/>
        <charset val="134"/>
      </rPr>
      <t xml:space="preserve">逐线算再求和；</t>
    </r>
    <r>
      <rPr>
        <sz val="11"/>
        <color theme="1"/>
        <rFont val="Calibri"/>
        <family val="2"/>
        <charset val="1"/>
      </rPr>
      <t xml:space="preserve">Way </t>
    </r>
    <r>
      <rPr>
        <sz val="11"/>
        <color theme="1"/>
        <rFont val="Noto Sans SC"/>
        <family val="2"/>
        <charset val="134"/>
      </rPr>
      <t xml:space="preserve">逐图标算再求和，且中奖列出现多个图标时，</t>
    </r>
  </si>
  <si>
    <t xml:space="preserve">  赔付金额要乘上「各中奖列该图标个数」的累乘乘积。</t>
  </si>
  <si>
    <r>
      <rPr>
        <sz val="11"/>
        <color theme="1"/>
        <rFont val="Calibri"/>
        <family val="2"/>
        <charset val="1"/>
      </rPr>
      <t xml:space="preserve">· </t>
    </r>
    <r>
      <rPr>
        <sz val="11"/>
        <color theme="1"/>
        <rFont val="Noto Sans SC"/>
        <family val="2"/>
        <charset val="134"/>
      </rPr>
      <t xml:space="preserve">数值体系：</t>
    </r>
    <r>
      <rPr>
        <sz val="11"/>
        <color theme="1"/>
        <rFont val="Calibri"/>
        <family val="2"/>
        <charset val="1"/>
      </rPr>
      <t xml:space="preserve">Way </t>
    </r>
    <r>
      <rPr>
        <sz val="11"/>
        <color theme="1"/>
        <rFont val="Noto Sans SC"/>
        <family val="2"/>
        <charset val="134"/>
      </rPr>
      <t xml:space="preserve">要把卷轴看成一个整体，既要算图标出现的概率，也要算出现的个数。</t>
    </r>
  </si>
  <si>
    <t xml:space="preserve">原文整理（全文，按原文小标题分段）</t>
  </si>
  <si>
    <r>
      <rPr>
        <sz val="11"/>
        <color theme="1"/>
        <rFont val="Noto Sans SC"/>
        <family val="2"/>
        <charset val="134"/>
      </rPr>
      <t xml:space="preserve">之前的文章中有介绍了什么叫做</t>
    </r>
    <r>
      <rPr>
        <sz val="11"/>
        <color theme="1"/>
        <rFont val="Calibri"/>
        <family val="2"/>
        <charset val="1"/>
      </rPr>
      <t xml:space="preserve">Line Slots</t>
    </r>
    <r>
      <rPr>
        <sz val="11"/>
        <color theme="1"/>
        <rFont val="Noto Sans SC"/>
        <family val="2"/>
        <charset val="134"/>
      </rPr>
      <t xml:space="preserve">，和</t>
    </r>
    <r>
      <rPr>
        <sz val="11"/>
        <color theme="1"/>
        <rFont val="Calibri"/>
        <family val="2"/>
        <charset val="1"/>
      </rPr>
      <t xml:space="preserve">Line Slots</t>
    </r>
    <r>
      <rPr>
        <sz val="11"/>
        <color theme="1"/>
        <rFont val="Noto Sans SC"/>
        <family val="2"/>
        <charset val="134"/>
      </rPr>
      <t xml:space="preserve">的数值体系搭建方法</t>
    </r>
  </si>
  <si>
    <r>
      <rPr>
        <sz val="11"/>
        <color theme="1"/>
        <rFont val="Calibri"/>
        <family val="2"/>
        <charset val="1"/>
      </rPr>
      <t xml:space="preserve">ASlot</t>
    </r>
    <r>
      <rPr>
        <sz val="11"/>
        <color theme="1"/>
        <rFont val="Noto Sans SC"/>
        <family val="2"/>
        <charset val="134"/>
      </rPr>
      <t xml:space="preserve">：</t>
    </r>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1*3 Line Slots</t>
    </r>
  </si>
  <si>
    <r>
      <rPr>
        <sz val="11"/>
        <color theme="1"/>
        <rFont val="Calibri"/>
        <family val="2"/>
        <charset val="1"/>
      </rPr>
      <t xml:space="preserve">ASlot</t>
    </r>
    <r>
      <rPr>
        <sz val="11"/>
        <color theme="1"/>
        <rFont val="Noto Sans SC"/>
        <family val="2"/>
        <charset val="134"/>
      </rPr>
      <t xml:space="preserve">：</t>
    </r>
    <r>
      <rPr>
        <sz val="11"/>
        <color theme="1"/>
        <rFont val="Calibri"/>
        <family val="2"/>
        <charset val="1"/>
      </rPr>
      <t xml:space="preserve">Slots</t>
    </r>
    <r>
      <rPr>
        <sz val="11"/>
        <color theme="1"/>
        <rFont val="Noto Sans SC"/>
        <family val="2"/>
        <charset val="134"/>
      </rPr>
      <t xml:space="preserve">数值篇—— </t>
    </r>
    <r>
      <rPr>
        <sz val="11"/>
        <color theme="1"/>
        <rFont val="Calibri"/>
        <family val="2"/>
        <charset val="1"/>
      </rPr>
      <t xml:space="preserve">3*3 Line Slots</t>
    </r>
  </si>
  <si>
    <r>
      <rPr>
        <sz val="11"/>
        <color theme="1"/>
        <rFont val="Calibri"/>
        <family val="2"/>
        <charset val="1"/>
      </rPr>
      <t xml:space="preserve">ASlot</t>
    </r>
    <r>
      <rPr>
        <sz val="11"/>
        <color theme="1"/>
        <rFont val="Noto Sans SC"/>
        <family val="2"/>
        <charset val="134"/>
      </rPr>
      <t xml:space="preserve">：</t>
    </r>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3*5 Line Slots</t>
    </r>
  </si>
  <si>
    <r>
      <rPr>
        <sz val="11"/>
        <color theme="1"/>
        <rFont val="Noto Sans SC"/>
        <family val="2"/>
        <charset val="134"/>
      </rPr>
      <t xml:space="preserve">简单来说</t>
    </r>
    <r>
      <rPr>
        <sz val="11"/>
        <color theme="1"/>
        <rFont val="Calibri"/>
        <family val="2"/>
        <charset val="1"/>
      </rPr>
      <t xml:space="preserve">Line Slots</t>
    </r>
    <r>
      <rPr>
        <sz val="11"/>
        <color theme="1"/>
        <rFont val="Noto Sans SC"/>
        <family val="2"/>
        <charset val="134"/>
      </rPr>
      <t xml:space="preserve">产品的游戏机制和数值搭建都是以一条条中奖线作为基础设计的</t>
    </r>
  </si>
  <si>
    <r>
      <rPr>
        <sz val="11"/>
        <color theme="1"/>
        <rFont val="Noto Sans SC"/>
        <family val="2"/>
        <charset val="134"/>
      </rPr>
      <t xml:space="preserve">和</t>
    </r>
    <r>
      <rPr>
        <sz val="11"/>
        <color theme="1"/>
        <rFont val="Calibri"/>
        <family val="2"/>
        <charset val="1"/>
      </rPr>
      <t xml:space="preserve">Lines</t>
    </r>
    <r>
      <rPr>
        <sz val="11"/>
        <color theme="1"/>
        <rFont val="Noto Sans SC"/>
        <family val="2"/>
        <charset val="134"/>
      </rPr>
      <t xml:space="preserve">类型玩法相对应的是</t>
    </r>
    <r>
      <rPr>
        <sz val="11"/>
        <color theme="1"/>
        <rFont val="Calibri"/>
        <family val="2"/>
        <charset val="1"/>
      </rPr>
      <t xml:space="preserve">Ways</t>
    </r>
    <r>
      <rPr>
        <sz val="11"/>
        <color theme="1"/>
        <rFont val="Noto Sans SC"/>
        <family val="2"/>
        <charset val="134"/>
      </rPr>
      <t xml:space="preserve">类型玩法</t>
    </r>
  </si>
  <si>
    <r>
      <rPr>
        <sz val="11"/>
        <color theme="1"/>
        <rFont val="Noto Sans SC"/>
        <family val="2"/>
        <charset val="134"/>
      </rPr>
      <t xml:space="preserve">从中文的理解上</t>
    </r>
    <r>
      <rPr>
        <sz val="11"/>
        <color theme="1"/>
        <rFont val="Calibri"/>
        <family val="2"/>
        <charset val="1"/>
      </rPr>
      <t xml:space="preserve">Lines</t>
    </r>
    <r>
      <rPr>
        <sz val="11"/>
        <color theme="1"/>
        <rFont val="Noto Sans SC"/>
        <family val="2"/>
        <charset val="134"/>
      </rPr>
      <t xml:space="preserve">和</t>
    </r>
    <r>
      <rPr>
        <sz val="11"/>
        <color theme="1"/>
        <rFont val="Calibri"/>
        <family val="2"/>
        <charset val="1"/>
      </rPr>
      <t xml:space="preserve">Ways</t>
    </r>
    <r>
      <rPr>
        <sz val="11"/>
        <color theme="1"/>
        <rFont val="Noto Sans SC"/>
        <family val="2"/>
        <charset val="134"/>
      </rPr>
      <t xml:space="preserve">的意思差异不大，都能代表路径的意思</t>
    </r>
  </si>
  <si>
    <r>
      <rPr>
        <sz val="11"/>
        <color theme="1"/>
        <rFont val="Noto Sans SC"/>
        <family val="2"/>
        <charset val="134"/>
      </rPr>
      <t xml:space="preserve">但在</t>
    </r>
    <r>
      <rPr>
        <sz val="11"/>
        <color theme="1"/>
        <rFont val="Calibri"/>
        <family val="2"/>
        <charset val="1"/>
      </rPr>
      <t xml:space="preserve">Slots</t>
    </r>
    <r>
      <rPr>
        <sz val="11"/>
        <color theme="1"/>
        <rFont val="Noto Sans SC"/>
        <family val="2"/>
        <charset val="134"/>
      </rPr>
      <t xml:space="preserve">的分类上这两种玩法的游戏机制、数值体系等都有着非常大的差异</t>
    </r>
  </si>
  <si>
    <r>
      <rPr>
        <sz val="11"/>
        <color theme="1"/>
        <rFont val="Noto Sans SC"/>
        <family val="2"/>
        <charset val="134"/>
      </rPr>
      <t xml:space="preserve">本篇将从</t>
    </r>
    <r>
      <rPr>
        <sz val="11"/>
        <color theme="1"/>
        <rFont val="Calibri"/>
        <family val="2"/>
        <charset val="1"/>
      </rPr>
      <t xml:space="preserve">Ways</t>
    </r>
    <r>
      <rPr>
        <sz val="11"/>
        <color theme="1"/>
        <rFont val="Noto Sans SC"/>
        <family val="2"/>
        <charset val="134"/>
      </rPr>
      <t xml:space="preserve">和</t>
    </r>
    <r>
      <rPr>
        <sz val="11"/>
        <color theme="1"/>
        <rFont val="Calibri"/>
        <family val="2"/>
        <charset val="1"/>
      </rPr>
      <t xml:space="preserve">Lines</t>
    </r>
    <r>
      <rPr>
        <sz val="11"/>
        <color theme="1"/>
        <rFont val="Noto Sans SC"/>
        <family val="2"/>
        <charset val="134"/>
      </rPr>
      <t xml:space="preserve">类型的</t>
    </r>
    <r>
      <rPr>
        <sz val="11"/>
        <color theme="1"/>
        <rFont val="Calibri"/>
        <family val="2"/>
        <charset val="1"/>
      </rPr>
      <t xml:space="preserve">Slots</t>
    </r>
    <r>
      <rPr>
        <sz val="11"/>
        <color theme="1"/>
        <rFont val="Noto Sans SC"/>
        <family val="2"/>
        <charset val="134"/>
      </rPr>
      <t xml:space="preserve">差异入手，介绍</t>
    </r>
    <r>
      <rPr>
        <sz val="11"/>
        <color theme="1"/>
        <rFont val="Calibri"/>
        <family val="2"/>
        <charset val="1"/>
      </rPr>
      <t xml:space="preserve">Way Slots</t>
    </r>
    <r>
      <rPr>
        <sz val="11"/>
        <color theme="1"/>
        <rFont val="Noto Sans SC"/>
        <family val="2"/>
        <charset val="134"/>
      </rPr>
      <t xml:space="preserve">在游戏机制和数值设计上的差异</t>
    </r>
  </si>
  <si>
    <t xml:space="preserve">一、中奖判定</t>
  </si>
  <si>
    <r>
      <rPr>
        <sz val="11"/>
        <color theme="1"/>
        <rFont val="Calibri"/>
        <family val="2"/>
        <charset val="1"/>
      </rPr>
      <t xml:space="preserve">Way Slots</t>
    </r>
    <r>
      <rPr>
        <sz val="11"/>
        <color theme="1"/>
        <rFont val="Noto Sans SC"/>
        <family val="2"/>
        <charset val="134"/>
      </rPr>
      <t xml:space="preserve">和</t>
    </r>
    <r>
      <rPr>
        <sz val="11"/>
        <color theme="1"/>
        <rFont val="Calibri"/>
        <family val="2"/>
        <charset val="1"/>
      </rPr>
      <t xml:space="preserve">Line Slots</t>
    </r>
    <r>
      <rPr>
        <sz val="11"/>
        <color theme="1"/>
        <rFont val="Noto Sans SC"/>
        <family val="2"/>
        <charset val="134"/>
      </rPr>
      <t xml:space="preserve">最直接的差异就是在两者的中奖判定上</t>
    </r>
  </si>
  <si>
    <r>
      <rPr>
        <sz val="11"/>
        <color theme="1"/>
        <rFont val="Noto Sans SC"/>
        <family val="2"/>
        <charset val="134"/>
      </rPr>
      <t xml:space="preserve">如同上文中介绍的，</t>
    </r>
    <r>
      <rPr>
        <sz val="11"/>
        <color theme="1"/>
        <rFont val="Calibri"/>
        <family val="2"/>
        <charset val="1"/>
      </rPr>
      <t xml:space="preserve">Line Slots</t>
    </r>
    <r>
      <rPr>
        <sz val="11"/>
        <color theme="1"/>
        <rFont val="Noto Sans SC"/>
        <family val="2"/>
        <charset val="134"/>
      </rPr>
      <t xml:space="preserve">的基础是一条条中奖线，也就是</t>
    </r>
    <r>
      <rPr>
        <sz val="11"/>
        <color theme="1"/>
        <rFont val="Calibri"/>
        <family val="2"/>
        <charset val="1"/>
      </rPr>
      <t xml:space="preserve">Pay Lines</t>
    </r>
  </si>
  <si>
    <t xml:space="preserve">玩家想要中奖，图标就必须满足中奖线规定的位置上</t>
  </si>
  <si>
    <t xml:space="preserve">导致经常从第一列开始图标连续出现了三列以上，但是没有满足任何一条中奖线的情况</t>
  </si>
  <si>
    <r>
      <rPr>
        <sz val="11"/>
        <color theme="1"/>
        <rFont val="Noto Sans SC"/>
        <family val="2"/>
        <charset val="134"/>
      </rPr>
      <t xml:space="preserve">如果想要设计出只要图标从第一列开始连续出现就能中奖的</t>
    </r>
    <r>
      <rPr>
        <sz val="11"/>
        <color theme="1"/>
        <rFont val="Calibri"/>
        <family val="2"/>
        <charset val="1"/>
      </rPr>
      <t xml:space="preserve">Line Slots</t>
    </r>
    <r>
      <rPr>
        <sz val="11"/>
        <color theme="1"/>
        <rFont val="Noto Sans SC"/>
        <family val="2"/>
        <charset val="134"/>
      </rPr>
      <t xml:space="preserve">，那就需要设置大量的</t>
    </r>
    <r>
      <rPr>
        <sz val="11"/>
        <color theme="1"/>
        <rFont val="Calibri"/>
        <family val="2"/>
        <charset val="1"/>
      </rPr>
      <t xml:space="preserve">Pay Lines</t>
    </r>
  </si>
  <si>
    <r>
      <rPr>
        <sz val="11"/>
        <color theme="1"/>
        <rFont val="Noto Sans SC"/>
        <family val="2"/>
        <charset val="134"/>
      </rPr>
      <t xml:space="preserve">例如一款</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Line Slots</t>
    </r>
    <r>
      <rPr>
        <sz val="11"/>
        <color theme="1"/>
        <rFont val="Noto Sans SC"/>
        <family val="2"/>
        <charset val="134"/>
      </rPr>
      <t xml:space="preserve">中，需要设置</t>
    </r>
    <r>
      <rPr>
        <sz val="11"/>
        <color theme="1"/>
        <rFont val="Calibri"/>
        <family val="2"/>
        <charset val="1"/>
      </rPr>
      <t xml:space="preserve">3^5 = 243</t>
    </r>
    <r>
      <rPr>
        <sz val="11"/>
        <color theme="1"/>
        <rFont val="Noto Sans SC"/>
        <family val="2"/>
        <charset val="134"/>
      </rPr>
      <t xml:space="preserve">条</t>
    </r>
    <r>
      <rPr>
        <sz val="11"/>
        <color theme="1"/>
        <rFont val="Calibri"/>
        <family val="2"/>
        <charset val="1"/>
      </rPr>
      <t xml:space="preserve">Pay Lines</t>
    </r>
    <r>
      <rPr>
        <sz val="11"/>
        <color theme="1"/>
        <rFont val="Noto Sans SC"/>
        <family val="2"/>
        <charset val="134"/>
      </rPr>
      <t xml:space="preserve">才能满足上述条件</t>
    </r>
  </si>
  <si>
    <r>
      <rPr>
        <sz val="11"/>
        <color theme="1"/>
        <rFont val="Noto Sans SC"/>
        <family val="2"/>
        <charset val="134"/>
      </rPr>
      <t xml:space="preserve">当前市面上能够找到</t>
    </r>
    <r>
      <rPr>
        <sz val="11"/>
        <color theme="1"/>
        <rFont val="Calibri"/>
        <family val="2"/>
        <charset val="1"/>
      </rPr>
      <t xml:space="preserve">1~100+ Pay Lines</t>
    </r>
    <r>
      <rPr>
        <sz val="11"/>
        <color theme="1"/>
        <rFont val="Noto Sans SC"/>
        <family val="2"/>
        <charset val="134"/>
      </rPr>
      <t xml:space="preserve">的</t>
    </r>
    <r>
      <rPr>
        <sz val="11"/>
        <color theme="1"/>
        <rFont val="Calibri"/>
        <family val="2"/>
        <charset val="1"/>
      </rPr>
      <t xml:space="preserve">Slots</t>
    </r>
    <r>
      <rPr>
        <sz val="11"/>
        <color theme="1"/>
        <rFont val="Noto Sans SC"/>
        <family val="2"/>
        <charset val="134"/>
      </rPr>
      <t xml:space="preserve">产品，但是数量相对比较稀少</t>
    </r>
  </si>
  <si>
    <t xml:space="preserve">一方面是这么多的中奖线反而会提升玩家的理解成本</t>
  </si>
  <si>
    <t xml:space="preserve">另一方面，大量的中奖线其实放大了低倍图标的赔付倍数</t>
  </si>
  <si>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625043502-01.jpg</t>
    </r>
  </si>
  <si>
    <r>
      <rPr>
        <sz val="11"/>
        <color theme="1"/>
        <rFont val="Noto Sans SC"/>
        <family val="2"/>
        <charset val="134"/>
      </rPr>
      <t xml:space="preserve">还是以</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Line Slots</t>
    </r>
    <r>
      <rPr>
        <sz val="11"/>
        <color theme="1"/>
        <rFont val="Noto Sans SC"/>
        <family val="2"/>
        <charset val="134"/>
      </rPr>
      <t xml:space="preserve">为例，常规的中奖组合分别为｛</t>
    </r>
    <r>
      <rPr>
        <sz val="11"/>
        <color theme="1"/>
        <rFont val="Calibri"/>
        <family val="2"/>
        <charset val="1"/>
      </rPr>
      <t xml:space="preserve">Any,Any,Any</t>
    </r>
    <r>
      <rPr>
        <sz val="11"/>
        <color theme="1"/>
        <rFont val="Noto Sans SC"/>
        <family val="2"/>
        <charset val="134"/>
      </rPr>
      <t xml:space="preserve">｝、｛</t>
    </r>
    <r>
      <rPr>
        <sz val="11"/>
        <color theme="1"/>
        <rFont val="Calibri"/>
        <family val="2"/>
        <charset val="1"/>
      </rPr>
      <t xml:space="preserve">Any,Any,Any,Any</t>
    </r>
    <r>
      <rPr>
        <sz val="11"/>
        <color theme="1"/>
        <rFont val="Noto Sans SC"/>
        <family val="2"/>
        <charset val="134"/>
      </rPr>
      <t xml:space="preserve">｝和｛</t>
    </r>
    <r>
      <rPr>
        <sz val="11"/>
        <color theme="1"/>
        <rFont val="Calibri"/>
        <family val="2"/>
        <charset val="1"/>
      </rPr>
      <t xml:space="preserve">Any,Any,Any,Any,Any</t>
    </r>
    <r>
      <rPr>
        <sz val="11"/>
        <color theme="1"/>
        <rFont val="Noto Sans SC"/>
        <family val="2"/>
        <charset val="134"/>
      </rPr>
      <t xml:space="preserve">｝三类</t>
    </r>
  </si>
  <si>
    <r>
      <rPr>
        <sz val="11"/>
        <color theme="1"/>
        <rFont val="Noto Sans SC"/>
        <family val="2"/>
        <charset val="134"/>
      </rPr>
      <t xml:space="preserve">当设置的中奖线低于</t>
    </r>
    <r>
      <rPr>
        <sz val="11"/>
        <color theme="1"/>
        <rFont val="Calibri"/>
        <family val="2"/>
        <charset val="1"/>
      </rPr>
      <t xml:space="preserve">3^3 = 27</t>
    </r>
    <r>
      <rPr>
        <sz val="11"/>
        <color theme="1"/>
        <rFont val="Noto Sans SC"/>
        <family val="2"/>
        <charset val="134"/>
      </rPr>
      <t xml:space="preserve">条时，所有的中奖组合都是不重复的</t>
    </r>
  </si>
  <si>
    <t xml:space="preserve">此时三种中奖组合在任何情况下获得的赔付倍数和设置的中奖倍数相同</t>
  </si>
  <si>
    <r>
      <rPr>
        <sz val="11"/>
        <color theme="1"/>
        <rFont val="Noto Sans SC"/>
        <family val="2"/>
        <charset val="134"/>
      </rPr>
      <t xml:space="preserve">但是中奖线一旦大于该数量，就会存在至少两条中奖线在｛</t>
    </r>
    <r>
      <rPr>
        <sz val="11"/>
        <color theme="1"/>
        <rFont val="Calibri"/>
        <family val="2"/>
        <charset val="1"/>
      </rPr>
      <t xml:space="preserve">Any,Any,Any</t>
    </r>
    <r>
      <rPr>
        <sz val="11"/>
        <color theme="1"/>
        <rFont val="Noto Sans SC"/>
        <family val="2"/>
        <charset val="134"/>
      </rPr>
      <t xml:space="preserve">｝中奖组合的判定下是重复的</t>
    </r>
  </si>
  <si>
    <r>
      <rPr>
        <sz val="11"/>
        <color theme="1"/>
        <rFont val="Noto Sans SC"/>
        <family val="2"/>
        <charset val="134"/>
      </rPr>
      <t xml:space="preserve">当图标在该中奖线中｛</t>
    </r>
    <r>
      <rPr>
        <sz val="11"/>
        <color theme="1"/>
        <rFont val="Calibri"/>
        <family val="2"/>
        <charset val="1"/>
      </rPr>
      <t xml:space="preserve">Any,Any,Any</t>
    </r>
    <r>
      <rPr>
        <sz val="11"/>
        <color theme="1"/>
        <rFont val="Noto Sans SC"/>
        <family val="2"/>
        <charset val="134"/>
      </rPr>
      <t xml:space="preserve">｝中奖组合时，实际获得的赔付倍数为设置的中奖倍数的两倍</t>
    </r>
  </si>
  <si>
    <r>
      <rPr>
        <sz val="11"/>
        <color theme="1"/>
        <rFont val="Noto Sans SC"/>
        <family val="2"/>
        <charset val="134"/>
      </rPr>
      <t xml:space="preserve">如果此时中奖线数量低于</t>
    </r>
    <r>
      <rPr>
        <sz val="11"/>
        <color theme="1"/>
        <rFont val="Calibri"/>
        <family val="2"/>
        <charset val="1"/>
      </rPr>
      <t xml:space="preserve">3^4 = 81</t>
    </r>
    <r>
      <rPr>
        <sz val="11"/>
        <color theme="1"/>
        <rFont val="Noto Sans SC"/>
        <family val="2"/>
        <charset val="134"/>
      </rPr>
      <t xml:space="preserve">条时，中奖组合｛</t>
    </r>
    <r>
      <rPr>
        <sz val="11"/>
        <color theme="1"/>
        <rFont val="Calibri"/>
        <family val="2"/>
        <charset val="1"/>
      </rPr>
      <t xml:space="preserve">Any,Any,Any,Any</t>
    </r>
    <r>
      <rPr>
        <sz val="11"/>
        <color theme="1"/>
        <rFont val="Noto Sans SC"/>
        <family val="2"/>
        <charset val="134"/>
      </rPr>
      <t xml:space="preserve">｝和｛</t>
    </r>
    <r>
      <rPr>
        <sz val="11"/>
        <color theme="1"/>
        <rFont val="Calibri"/>
        <family val="2"/>
        <charset val="1"/>
      </rPr>
      <t xml:space="preserve">Any,Any,Any,Any,Any</t>
    </r>
    <r>
      <rPr>
        <sz val="11"/>
        <color theme="1"/>
        <rFont val="Noto Sans SC"/>
        <family val="2"/>
        <charset val="134"/>
      </rPr>
      <t xml:space="preserve">｝的中奖线之间并不重叠</t>
    </r>
  </si>
  <si>
    <r>
      <rPr>
        <sz val="11"/>
        <color theme="1"/>
        <rFont val="Noto Sans SC"/>
        <family val="2"/>
        <charset val="134"/>
      </rPr>
      <t xml:space="preserve">也就是说中奖组合中｛</t>
    </r>
    <r>
      <rPr>
        <sz val="11"/>
        <color theme="1"/>
        <rFont val="Calibri"/>
        <family val="2"/>
        <charset val="1"/>
      </rPr>
      <t xml:space="preserve">Any,Any,Any</t>
    </r>
    <r>
      <rPr>
        <sz val="11"/>
        <color theme="1"/>
        <rFont val="Noto Sans SC"/>
        <family val="2"/>
        <charset val="134"/>
      </rPr>
      <t xml:space="preserve">｝的实际赔付倍数要大于配置的中奖倍数</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</si>
  <si>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625043502-02.jpg</t>
    </r>
  </si>
  <si>
    <r>
      <rPr>
        <sz val="11"/>
        <color theme="1"/>
        <rFont val="Noto Sans SC"/>
        <family val="2"/>
        <charset val="134"/>
      </rPr>
      <t xml:space="preserve">例如在上图中，如果设置了</t>
    </r>
    <r>
      <rPr>
        <sz val="11"/>
        <color theme="1"/>
        <rFont val="Calibri"/>
        <family val="2"/>
        <charset val="1"/>
      </rPr>
      <t xml:space="preserve">243</t>
    </r>
    <r>
      <rPr>
        <sz val="11"/>
        <color theme="1"/>
        <rFont val="Noto Sans SC"/>
        <family val="2"/>
        <charset val="134"/>
      </rPr>
      <t xml:space="preserve">条中奖线</t>
    </r>
  </si>
  <si>
    <r>
      <rPr>
        <sz val="11"/>
        <color theme="1"/>
        <rFont val="Noto Sans SC"/>
        <family val="2"/>
        <charset val="134"/>
      </rPr>
      <t xml:space="preserve">则中奖组合｛</t>
    </r>
    <r>
      <rPr>
        <sz val="11"/>
        <color theme="1"/>
        <rFont val="Calibri"/>
        <family val="2"/>
        <charset val="1"/>
      </rPr>
      <t xml:space="preserve">Any,Any,Any</t>
    </r>
    <r>
      <rPr>
        <sz val="11"/>
        <color theme="1"/>
        <rFont val="Noto Sans SC"/>
        <family val="2"/>
        <charset val="134"/>
      </rPr>
      <t xml:space="preserve">｝在中奖时其实满足了</t>
    </r>
    <r>
      <rPr>
        <sz val="11"/>
        <color theme="1"/>
        <rFont val="Calibri"/>
        <family val="2"/>
        <charset val="1"/>
      </rPr>
      <t xml:space="preserve">9</t>
    </r>
    <r>
      <rPr>
        <sz val="11"/>
        <color theme="1"/>
        <rFont val="Noto Sans SC"/>
        <family val="2"/>
        <charset val="134"/>
      </rPr>
      <t xml:space="preserve">条中奖线的要求</t>
    </r>
  </si>
  <si>
    <r>
      <rPr>
        <sz val="11"/>
        <color theme="1"/>
        <rFont val="Noto Sans SC"/>
        <family val="2"/>
        <charset val="134"/>
      </rPr>
      <t xml:space="preserve">中奖赔付倍数为设置倍数的</t>
    </r>
    <r>
      <rPr>
        <sz val="11"/>
        <color theme="1"/>
        <rFont val="Calibri"/>
        <family val="2"/>
        <charset val="1"/>
      </rPr>
      <t xml:space="preserve">9</t>
    </r>
    <r>
      <rPr>
        <sz val="11"/>
        <color theme="1"/>
        <rFont val="Noto Sans SC"/>
        <family val="2"/>
        <charset val="134"/>
      </rPr>
      <t xml:space="preserve">倍</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</si>
  <si>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625043502-03.jpg</t>
    </r>
  </si>
  <si>
    <r>
      <rPr>
        <sz val="11"/>
        <color theme="1"/>
        <rFont val="Noto Sans SC"/>
        <family val="2"/>
        <charset val="134"/>
      </rPr>
      <t xml:space="preserve">而中奖组合｛</t>
    </r>
    <r>
      <rPr>
        <sz val="11"/>
        <color theme="1"/>
        <rFont val="Calibri"/>
        <family val="2"/>
        <charset val="1"/>
      </rPr>
      <t xml:space="preserve">Any,Any,Any,Any</t>
    </r>
    <r>
      <rPr>
        <sz val="11"/>
        <color theme="1"/>
        <rFont val="Noto Sans SC"/>
        <family val="2"/>
        <charset val="134"/>
      </rPr>
      <t xml:space="preserve">｝也会同时满足</t>
    </r>
    <r>
      <rPr>
        <sz val="11"/>
        <color theme="1"/>
        <rFont val="Calibri"/>
        <family val="2"/>
        <charset val="1"/>
      </rPr>
      <t xml:space="preserve">3</t>
    </r>
    <r>
      <rPr>
        <sz val="11"/>
        <color theme="1"/>
        <rFont val="Noto Sans SC"/>
        <family val="2"/>
        <charset val="134"/>
      </rPr>
      <t xml:space="preserve">条中奖线的要求</t>
    </r>
  </si>
  <si>
    <r>
      <rPr>
        <sz val="11"/>
        <color theme="1"/>
        <rFont val="Noto Sans SC"/>
        <family val="2"/>
        <charset val="134"/>
      </rPr>
      <t xml:space="preserve">在｛</t>
    </r>
    <r>
      <rPr>
        <sz val="11"/>
        <color theme="1"/>
        <rFont val="Calibri"/>
        <family val="2"/>
        <charset val="1"/>
      </rPr>
      <t xml:space="preserve">Any,Any,Any</t>
    </r>
    <r>
      <rPr>
        <sz val="11"/>
        <color theme="1"/>
        <rFont val="Noto Sans SC"/>
        <family val="2"/>
        <charset val="134"/>
      </rPr>
      <t xml:space="preserve">｝中奖倍数的数值设置上得是中奖线低于</t>
    </r>
    <r>
      <rPr>
        <sz val="11"/>
        <color theme="1"/>
        <rFont val="Calibri"/>
        <family val="2"/>
        <charset val="1"/>
      </rPr>
      <t xml:space="preserve">27</t>
    </r>
    <r>
      <rPr>
        <sz val="11"/>
        <color theme="1"/>
        <rFont val="Noto Sans SC"/>
        <family val="2"/>
        <charset val="134"/>
      </rPr>
      <t xml:space="preserve">的</t>
    </r>
    <r>
      <rPr>
        <sz val="11"/>
        <color theme="1"/>
        <rFont val="Calibri"/>
        <family val="2"/>
        <charset val="1"/>
      </rPr>
      <t xml:space="preserve">3*5 Line Slots</t>
    </r>
    <r>
      <rPr>
        <sz val="11"/>
        <color theme="1"/>
        <rFont val="Noto Sans SC"/>
        <family val="2"/>
        <charset val="134"/>
      </rPr>
      <t xml:space="preserve">的</t>
    </r>
    <r>
      <rPr>
        <sz val="11"/>
        <color theme="1"/>
        <rFont val="Calibri"/>
        <family val="2"/>
        <charset val="1"/>
      </rPr>
      <t xml:space="preserve">1/9</t>
    </r>
    <r>
      <rPr>
        <sz val="11"/>
        <color theme="1"/>
        <rFont val="Noto Sans SC"/>
        <family val="2"/>
        <charset val="134"/>
      </rPr>
      <t xml:space="preserve">才能获得相同给的赔付金额</t>
    </r>
  </si>
  <si>
    <r>
      <rPr>
        <sz val="11"/>
        <color theme="1"/>
        <rFont val="Noto Sans SC"/>
        <family val="2"/>
        <charset val="134"/>
      </rPr>
      <t xml:space="preserve">这还是在中奖线为</t>
    </r>
    <r>
      <rPr>
        <sz val="11"/>
        <color theme="1"/>
        <rFont val="Calibri"/>
        <family val="2"/>
        <charset val="1"/>
      </rPr>
      <t xml:space="preserve">27</t>
    </r>
    <r>
      <rPr>
        <sz val="11"/>
        <color theme="1"/>
        <rFont val="Noto Sans SC"/>
        <family val="2"/>
        <charset val="134"/>
      </rPr>
      <t xml:space="preserve">整数倍的情况下才能这样直接得出倍数差距</t>
    </r>
  </si>
  <si>
    <r>
      <rPr>
        <sz val="11"/>
        <color theme="1"/>
        <rFont val="Noto Sans SC"/>
        <family val="2"/>
        <charset val="134"/>
      </rPr>
      <t xml:space="preserve">如果不是整数倍，例如上文提到的</t>
    </r>
    <r>
      <rPr>
        <sz val="11"/>
        <color theme="1"/>
        <rFont val="Calibri"/>
        <family val="2"/>
        <charset val="1"/>
      </rPr>
      <t xml:space="preserve">100</t>
    </r>
    <r>
      <rPr>
        <sz val="11"/>
        <color theme="1"/>
        <rFont val="Noto Sans SC"/>
        <family val="2"/>
        <charset val="134"/>
      </rPr>
      <t xml:space="preserve">条中奖线，则还需要区分中奖线实际重复情况</t>
    </r>
  </si>
  <si>
    <t xml:space="preserve">为数值设计添加了不必要的麻烦</t>
  </si>
  <si>
    <t xml:space="preserve">从数值上来看，不同中奖组合之间的倍数差距相当于被缩小了，进而导致玩法的波动性降低</t>
  </si>
  <si>
    <r>
      <rPr>
        <sz val="11"/>
        <color theme="1"/>
        <rFont val="Noto Sans SC"/>
        <family val="2"/>
        <charset val="134"/>
      </rPr>
      <t xml:space="preserve">这个问题其实能在很多老式</t>
    </r>
    <r>
      <rPr>
        <sz val="11"/>
        <color theme="1"/>
        <rFont val="Calibri"/>
        <family val="2"/>
        <charset val="1"/>
      </rPr>
      <t xml:space="preserve">50</t>
    </r>
    <r>
      <rPr>
        <sz val="11"/>
        <color theme="1"/>
        <rFont val="Noto Sans SC"/>
        <family val="2"/>
        <charset val="134"/>
      </rPr>
      <t xml:space="preserve">线产品中遇到</t>
    </r>
  </si>
  <si>
    <t xml:space="preserve">所以能够发现大部分的老式产品中奖率都相对比较低</t>
  </si>
  <si>
    <r>
      <rPr>
        <sz val="11"/>
        <color theme="1"/>
        <rFont val="Noto Sans SC"/>
        <family val="2"/>
        <charset val="134"/>
      </rPr>
      <t xml:space="preserve">因为为了提升波动性和保证</t>
    </r>
    <r>
      <rPr>
        <sz val="11"/>
        <color theme="1"/>
        <rFont val="Calibri"/>
        <family val="2"/>
        <charset val="1"/>
      </rPr>
      <t xml:space="preserve">RTP</t>
    </r>
    <r>
      <rPr>
        <sz val="11"/>
        <color theme="1"/>
        <rFont val="Noto Sans SC"/>
        <family val="2"/>
        <charset val="134"/>
      </rPr>
      <t xml:space="preserve">低于</t>
    </r>
    <r>
      <rPr>
        <sz val="11"/>
        <color theme="1"/>
        <rFont val="Calibri"/>
        <family val="2"/>
        <charset val="1"/>
      </rPr>
      <t xml:space="preserve">100%</t>
    </r>
    <r>
      <rPr>
        <sz val="11"/>
        <color theme="1"/>
        <rFont val="Noto Sans SC"/>
        <family val="2"/>
        <charset val="134"/>
      </rPr>
      <t xml:space="preserve">只能通过不中奖来平摊整体的发放</t>
    </r>
  </si>
  <si>
    <r>
      <rPr>
        <sz val="11"/>
        <color theme="1"/>
        <rFont val="Noto Sans SC"/>
        <family val="2"/>
        <charset val="134"/>
      </rPr>
      <t xml:space="preserve">目前比较受欢迎的</t>
    </r>
    <r>
      <rPr>
        <sz val="11"/>
        <color theme="1"/>
        <rFont val="Calibri"/>
        <family val="2"/>
        <charset val="1"/>
      </rPr>
      <t xml:space="preserve">Line Slots</t>
    </r>
    <r>
      <rPr>
        <sz val="11"/>
        <color theme="1"/>
        <rFont val="Noto Sans SC"/>
        <family val="2"/>
        <charset val="134"/>
      </rPr>
      <t xml:space="preserve">一般都会把线数控制在</t>
    </r>
    <r>
      <rPr>
        <sz val="11"/>
        <color theme="1"/>
        <rFont val="Calibri"/>
        <family val="2"/>
        <charset val="1"/>
      </rPr>
      <t xml:space="preserve">27</t>
    </r>
    <r>
      <rPr>
        <sz val="11"/>
        <color theme="1"/>
        <rFont val="Noto Sans SC"/>
        <family val="2"/>
        <charset val="134"/>
      </rPr>
      <t xml:space="preserve">线以内（</t>
    </r>
    <r>
      <rPr>
        <sz val="11"/>
        <color theme="1"/>
        <rFont val="Calibri"/>
        <family val="2"/>
        <charset val="1"/>
      </rPr>
      <t xml:space="preserve">15</t>
    </r>
    <r>
      <rPr>
        <sz val="11"/>
        <color theme="1"/>
        <rFont val="Noto Sans SC"/>
        <family val="2"/>
        <charset val="134"/>
      </rPr>
      <t xml:space="preserve">线、</t>
    </r>
    <r>
      <rPr>
        <sz val="11"/>
        <color theme="1"/>
        <rFont val="Calibri"/>
        <family val="2"/>
        <charset val="1"/>
      </rPr>
      <t xml:space="preserve">20</t>
    </r>
    <r>
      <rPr>
        <sz val="11"/>
        <color theme="1"/>
        <rFont val="Noto Sans SC"/>
        <family val="2"/>
        <charset val="134"/>
      </rPr>
      <t xml:space="preserve">线和</t>
    </r>
    <r>
      <rPr>
        <sz val="11"/>
        <color theme="1"/>
        <rFont val="Calibri"/>
        <family val="2"/>
        <charset val="1"/>
      </rPr>
      <t xml:space="preserve">25</t>
    </r>
    <r>
      <rPr>
        <sz val="11"/>
        <color theme="1"/>
        <rFont val="Noto Sans SC"/>
        <family val="2"/>
        <charset val="134"/>
      </rPr>
      <t xml:space="preserve">线的比较多）</t>
    </r>
  </si>
  <si>
    <r>
      <rPr>
        <sz val="11"/>
        <color theme="1"/>
        <rFont val="Noto Sans SC"/>
        <family val="2"/>
        <charset val="134"/>
      </rPr>
      <t xml:space="preserve">而</t>
    </r>
    <r>
      <rPr>
        <sz val="11"/>
        <color theme="1"/>
        <rFont val="Calibri"/>
        <family val="2"/>
        <charset val="1"/>
      </rPr>
      <t xml:space="preserve">Ways</t>
    </r>
    <r>
      <rPr>
        <sz val="11"/>
        <color theme="1"/>
        <rFont val="Noto Sans SC"/>
        <family val="2"/>
        <charset val="134"/>
      </rPr>
      <t xml:space="preserve">类型产品就很好地规避了这个问题</t>
    </r>
  </si>
  <si>
    <r>
      <rPr>
        <sz val="11"/>
        <color theme="1"/>
        <rFont val="Noto Sans SC"/>
        <family val="2"/>
        <charset val="134"/>
      </rPr>
      <t xml:space="preserve">在</t>
    </r>
    <r>
      <rPr>
        <sz val="11"/>
        <color theme="1"/>
        <rFont val="Calibri"/>
        <family val="2"/>
        <charset val="1"/>
      </rPr>
      <t xml:space="preserve">Way Slots</t>
    </r>
    <r>
      <rPr>
        <sz val="11"/>
        <color theme="1"/>
        <rFont val="Noto Sans SC"/>
        <family val="2"/>
        <charset val="134"/>
      </rPr>
      <t xml:space="preserve">中，只要图标从第一列开始连续出现，并达到中奖组合的要求，就可以中奖</t>
    </r>
  </si>
  <si>
    <t xml:space="preserve">该类型产品没有中奖线的限制</t>
  </si>
  <si>
    <t xml:space="preserve">对于玩家体验来说，他只需要关注卷轴上是否从第一列开始连续出现了该图标即可</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</si>
  <si>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625043502-04.jpg</t>
    </r>
  </si>
  <si>
    <r>
      <rPr>
        <sz val="11"/>
        <color theme="1"/>
        <rFont val="Noto Sans SC"/>
        <family val="2"/>
        <charset val="134"/>
      </rPr>
      <t xml:space="preserve">在中奖判定方面，</t>
    </r>
    <r>
      <rPr>
        <sz val="11"/>
        <color theme="1"/>
        <rFont val="Calibri"/>
        <family val="2"/>
        <charset val="1"/>
      </rPr>
      <t xml:space="preserve">Ways</t>
    </r>
    <r>
      <rPr>
        <sz val="11"/>
        <color theme="1"/>
        <rFont val="Noto Sans SC"/>
        <family val="2"/>
        <charset val="134"/>
      </rPr>
      <t xml:space="preserve">类型的产品比</t>
    </r>
    <r>
      <rPr>
        <sz val="11"/>
        <color theme="1"/>
        <rFont val="Calibri"/>
        <family val="2"/>
        <charset val="1"/>
      </rPr>
      <t xml:space="preserve">Lines</t>
    </r>
    <r>
      <rPr>
        <sz val="11"/>
        <color theme="1"/>
        <rFont val="Noto Sans SC"/>
        <family val="2"/>
        <charset val="134"/>
      </rPr>
      <t xml:space="preserve">类型的产品要简单得多</t>
    </r>
  </si>
  <si>
    <r>
      <rPr>
        <sz val="11"/>
        <color theme="1"/>
        <rFont val="Noto Sans SC"/>
        <family val="2"/>
        <charset val="134"/>
      </rPr>
      <t xml:space="preserve">因此当设置的</t>
    </r>
    <r>
      <rPr>
        <sz val="11"/>
        <color theme="1"/>
        <rFont val="Calibri"/>
        <family val="2"/>
        <charset val="1"/>
      </rPr>
      <t xml:space="preserve">Pay Line</t>
    </r>
    <r>
      <rPr>
        <sz val="11"/>
        <color theme="1"/>
        <rFont val="Noto Sans SC"/>
        <family val="2"/>
        <charset val="134"/>
      </rPr>
      <t xml:space="preserve">数量比较多，特别是超过</t>
    </r>
    <r>
      <rPr>
        <sz val="11"/>
        <color theme="1"/>
        <rFont val="Calibri"/>
        <family val="2"/>
        <charset val="1"/>
      </rPr>
      <t xml:space="preserve">27</t>
    </r>
    <r>
      <rPr>
        <sz val="11"/>
        <color theme="1"/>
        <rFont val="Noto Sans SC"/>
        <family val="2"/>
        <charset val="134"/>
      </rPr>
      <t xml:space="preserve">这个坎时，可以考虑使用</t>
    </r>
    <r>
      <rPr>
        <sz val="11"/>
        <color theme="1"/>
        <rFont val="Calibri"/>
        <family val="2"/>
        <charset val="1"/>
      </rPr>
      <t xml:space="preserve">Ways</t>
    </r>
    <r>
      <rPr>
        <sz val="11"/>
        <color theme="1"/>
        <rFont val="Noto Sans SC"/>
        <family val="2"/>
        <charset val="134"/>
      </rPr>
      <t xml:space="preserve">而不是</t>
    </r>
    <r>
      <rPr>
        <sz val="11"/>
        <color theme="1"/>
        <rFont val="Calibri"/>
        <family val="2"/>
        <charset val="1"/>
      </rPr>
      <t xml:space="preserve">Lines</t>
    </r>
    <r>
      <rPr>
        <sz val="11"/>
        <color theme="1"/>
        <rFont val="Noto Sans SC"/>
        <family val="2"/>
        <charset val="134"/>
      </rPr>
      <t xml:space="preserve">类型</t>
    </r>
  </si>
  <si>
    <t xml:space="preserve">二、计算基数</t>
  </si>
  <si>
    <r>
      <rPr>
        <sz val="11"/>
        <color theme="1"/>
        <rFont val="Noto Sans SC"/>
        <family val="2"/>
        <charset val="134"/>
      </rPr>
      <t xml:space="preserve">计算基数是指在计算赔付金额时使用的基数，是由</t>
    </r>
    <r>
      <rPr>
        <sz val="11"/>
        <color theme="1"/>
        <rFont val="Calibri"/>
        <family val="2"/>
        <charset val="1"/>
      </rPr>
      <t xml:space="preserve">Line Slot</t>
    </r>
    <r>
      <rPr>
        <sz val="11"/>
        <color theme="1"/>
        <rFont val="Noto Sans SC"/>
        <family val="2"/>
        <charset val="134"/>
      </rPr>
      <t xml:space="preserve">里的单线下注发展来的概念</t>
    </r>
  </si>
  <si>
    <r>
      <rPr>
        <sz val="11"/>
        <color theme="1"/>
        <rFont val="Calibri"/>
        <family val="2"/>
        <charset val="1"/>
      </rPr>
      <t xml:space="preserve">Lines</t>
    </r>
    <r>
      <rPr>
        <sz val="11"/>
        <color theme="1"/>
        <rFont val="Noto Sans SC"/>
        <family val="2"/>
        <charset val="134"/>
      </rPr>
      <t xml:space="preserve">类型的产品其下注额会分配到每一条</t>
    </r>
    <r>
      <rPr>
        <sz val="11"/>
        <color theme="1"/>
        <rFont val="Calibri"/>
        <family val="2"/>
        <charset val="1"/>
      </rPr>
      <t xml:space="preserve">Pay Lines</t>
    </r>
    <r>
      <rPr>
        <sz val="11"/>
        <color theme="1"/>
        <rFont val="Noto Sans SC"/>
        <family val="2"/>
        <charset val="134"/>
      </rPr>
      <t xml:space="preserve">中</t>
    </r>
  </si>
  <si>
    <r>
      <rPr>
        <sz val="11"/>
        <color theme="1"/>
        <rFont val="Noto Sans SC"/>
        <family val="2"/>
        <charset val="134"/>
      </rPr>
      <t xml:space="preserve">其计算基数必定等于“下注额</t>
    </r>
    <r>
      <rPr>
        <sz val="11"/>
        <color theme="1"/>
        <rFont val="Calibri"/>
        <family val="2"/>
        <charset val="1"/>
      </rPr>
      <t xml:space="preserve">/</t>
    </r>
    <r>
      <rPr>
        <sz val="11"/>
        <color theme="1"/>
        <rFont val="Noto Sans SC"/>
        <family val="2"/>
        <charset val="134"/>
      </rPr>
      <t xml:space="preserve">中奖线数”</t>
    </r>
  </si>
  <si>
    <t xml:space="preserve">在计算的时候分别计算每条中奖线的赔付金额，再将其求和得到最终的赔付金额</t>
  </si>
  <si>
    <t xml:space="preserve">随着中奖线的增多，在下注额不变的条件下，分配到每一条线的下注额就会相对应的减少</t>
  </si>
  <si>
    <r>
      <rPr>
        <sz val="11"/>
        <color theme="1"/>
        <rFont val="Noto Sans SC"/>
        <family val="2"/>
        <charset val="134"/>
      </rPr>
      <t xml:space="preserve">可以把</t>
    </r>
    <r>
      <rPr>
        <sz val="11"/>
        <color theme="1"/>
        <rFont val="Calibri"/>
        <family val="2"/>
        <charset val="1"/>
      </rPr>
      <t xml:space="preserve">Line Slots</t>
    </r>
    <r>
      <rPr>
        <sz val="11"/>
        <color theme="1"/>
        <rFont val="Noto Sans SC"/>
        <family val="2"/>
        <charset val="134"/>
      </rPr>
      <t xml:space="preserve">中中奖线数量的设定理解为在中奖率和中奖额之间的取舍</t>
    </r>
  </si>
  <si>
    <r>
      <rPr>
        <sz val="11"/>
        <color theme="1"/>
        <rFont val="Noto Sans SC"/>
        <family val="2"/>
        <charset val="134"/>
      </rPr>
      <t xml:space="preserve">至于需要如何分配，还是以</t>
    </r>
    <r>
      <rPr>
        <sz val="11"/>
        <color theme="1"/>
        <rFont val="Calibri"/>
        <family val="2"/>
        <charset val="1"/>
      </rPr>
      <t xml:space="preserve">Slots</t>
    </r>
    <r>
      <rPr>
        <sz val="11"/>
        <color theme="1"/>
        <rFont val="Noto Sans SC"/>
        <family val="2"/>
        <charset val="134"/>
      </rPr>
      <t xml:space="preserve">产品本身的定位决定</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</si>
  <si>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625043502-05.jpg</t>
    </r>
  </si>
  <si>
    <r>
      <rPr>
        <sz val="11"/>
        <color theme="1"/>
        <rFont val="Calibri"/>
        <family val="2"/>
        <charset val="1"/>
      </rPr>
      <t xml:space="preserve">Line Bet</t>
    </r>
    <r>
      <rPr>
        <sz val="11"/>
        <color theme="1"/>
        <rFont val="Noto Sans SC"/>
        <family val="2"/>
        <charset val="134"/>
      </rPr>
      <t xml:space="preserve">就是</t>
    </r>
    <r>
      <rPr>
        <sz val="11"/>
        <color theme="1"/>
        <rFont val="Calibri"/>
        <family val="2"/>
        <charset val="1"/>
      </rPr>
      <t xml:space="preserve">Line Slots</t>
    </r>
    <r>
      <rPr>
        <sz val="11"/>
        <color theme="1"/>
        <rFont val="Noto Sans SC"/>
        <family val="2"/>
        <charset val="134"/>
      </rPr>
      <t xml:space="preserve">的计算基数</t>
    </r>
  </si>
  <si>
    <r>
      <rPr>
        <sz val="11"/>
        <color theme="1"/>
        <rFont val="Noto Sans SC"/>
        <family val="2"/>
        <charset val="134"/>
      </rPr>
      <t xml:space="preserve">而</t>
    </r>
    <r>
      <rPr>
        <sz val="11"/>
        <color theme="1"/>
        <rFont val="Calibri"/>
        <family val="2"/>
        <charset val="1"/>
      </rPr>
      <t xml:space="preserve">Way Slots</t>
    </r>
    <r>
      <rPr>
        <sz val="11"/>
        <color theme="1"/>
        <rFont val="Noto Sans SC"/>
        <family val="2"/>
        <charset val="134"/>
      </rPr>
      <t xml:space="preserve">本身的中奖门槛就比</t>
    </r>
    <r>
      <rPr>
        <sz val="11"/>
        <color theme="1"/>
        <rFont val="Calibri"/>
        <family val="2"/>
        <charset val="1"/>
      </rPr>
      <t xml:space="preserve">Line Slots</t>
    </r>
    <r>
      <rPr>
        <sz val="11"/>
        <color theme="1"/>
        <rFont val="Noto Sans SC"/>
        <family val="2"/>
        <charset val="134"/>
      </rPr>
      <t xml:space="preserve">要低一些，并且其并没有可以分配下注额的中奖线</t>
    </r>
  </si>
  <si>
    <r>
      <rPr>
        <sz val="11"/>
        <color theme="1"/>
        <rFont val="Noto Sans SC"/>
        <family val="2"/>
        <charset val="134"/>
      </rPr>
      <t xml:space="preserve">因此一般情况下</t>
    </r>
    <r>
      <rPr>
        <sz val="11"/>
        <color theme="1"/>
        <rFont val="Calibri"/>
        <family val="2"/>
        <charset val="1"/>
      </rPr>
      <t xml:space="preserve">Way Slots</t>
    </r>
    <r>
      <rPr>
        <sz val="11"/>
        <color theme="1"/>
        <rFont val="Noto Sans SC"/>
        <family val="2"/>
        <charset val="134"/>
      </rPr>
      <t xml:space="preserve">在计算赔付金额时需要除以一个常数</t>
    </r>
  </si>
  <si>
    <r>
      <rPr>
        <sz val="11"/>
        <color theme="1"/>
        <rFont val="Noto Sans SC"/>
        <family val="2"/>
        <charset val="134"/>
      </rPr>
      <t xml:space="preserve">或者是使用比同尺寸</t>
    </r>
    <r>
      <rPr>
        <sz val="11"/>
        <color theme="1"/>
        <rFont val="Calibri"/>
        <family val="2"/>
        <charset val="1"/>
      </rPr>
      <t xml:space="preserve">Line Slots</t>
    </r>
    <r>
      <rPr>
        <sz val="11"/>
        <color theme="1"/>
        <rFont val="Noto Sans SC"/>
        <family val="2"/>
        <charset val="134"/>
      </rPr>
      <t xml:space="preserve">要低得多的赔付倍数</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</si>
  <si>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625043502-06.jpg</t>
    </r>
  </si>
  <si>
    <t xml:space="preserve">三、赔付金额</t>
  </si>
  <si>
    <r>
      <rPr>
        <sz val="11"/>
        <color theme="1"/>
        <rFont val="Calibri"/>
        <family val="2"/>
        <charset val="1"/>
      </rPr>
      <t xml:space="preserve">Line Slots</t>
    </r>
    <r>
      <rPr>
        <sz val="11"/>
        <color theme="1"/>
        <rFont val="Noto Sans SC"/>
        <family val="2"/>
        <charset val="134"/>
      </rPr>
      <t xml:space="preserve">在计算赔付金额时，是先计算每条中奖线的赔付金额</t>
    </r>
  </si>
  <si>
    <t xml:space="preserve">最后把每条线的金额加总得到本局的赔付金额</t>
  </si>
  <si>
    <r>
      <rPr>
        <sz val="11"/>
        <color theme="1"/>
        <rFont val="Calibri"/>
        <family val="2"/>
        <charset val="1"/>
      </rPr>
      <t xml:space="preserve">Way Slots</t>
    </r>
    <r>
      <rPr>
        <sz val="11"/>
        <color theme="1"/>
        <rFont val="Noto Sans SC"/>
        <family val="2"/>
        <charset val="134"/>
      </rPr>
      <t xml:space="preserve">则时分别计算各图标的赔付金额，再加总各图标的赔付金额</t>
    </r>
  </si>
  <si>
    <r>
      <rPr>
        <sz val="11"/>
        <color theme="1"/>
        <rFont val="Noto Sans SC"/>
        <family val="2"/>
        <charset val="134"/>
      </rPr>
      <t xml:space="preserve">另外，在</t>
    </r>
    <r>
      <rPr>
        <sz val="11"/>
        <color theme="1"/>
        <rFont val="Calibri"/>
        <family val="2"/>
        <charset val="1"/>
      </rPr>
      <t xml:space="preserve">Ways</t>
    </r>
    <r>
      <rPr>
        <sz val="11"/>
        <color theme="1"/>
        <rFont val="Noto Sans SC"/>
        <family val="2"/>
        <charset val="134"/>
      </rPr>
      <t xml:space="preserve">类型计算赔付金额时，如果中奖列出现了复数图标，则可以进一步提升赔付金额</t>
    </r>
  </si>
  <si>
    <t xml:space="preserve">一般的计算方法为赔付金额乘上各列图标个数的累乘乘积</t>
  </si>
  <si>
    <t xml:space="preserve">中奖列每多出一个图标，就可以增加一倍奖励金额</t>
  </si>
  <si>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625043502-07.jpg</t>
    </r>
  </si>
  <si>
    <t xml:space="preserve">四、数值体系</t>
  </si>
  <si>
    <r>
      <rPr>
        <sz val="11"/>
        <color theme="1"/>
        <rFont val="Calibri"/>
        <family val="2"/>
        <charset val="1"/>
      </rPr>
      <t xml:space="preserve">Line Slots</t>
    </r>
    <r>
      <rPr>
        <sz val="11"/>
        <color theme="1"/>
        <rFont val="Noto Sans SC"/>
        <family val="2"/>
        <charset val="134"/>
      </rPr>
      <t xml:space="preserve">数值体系的搭建是基于一条中奖线进行计算的</t>
    </r>
  </si>
  <si>
    <r>
      <rPr>
        <sz val="11"/>
        <color theme="1"/>
        <rFont val="Noto Sans SC"/>
        <family val="2"/>
        <charset val="134"/>
      </rPr>
      <t xml:space="preserve">而</t>
    </r>
    <r>
      <rPr>
        <sz val="11"/>
        <color theme="1"/>
        <rFont val="Calibri"/>
        <family val="2"/>
        <charset val="1"/>
      </rPr>
      <t xml:space="preserve">Way Slots</t>
    </r>
    <r>
      <rPr>
        <sz val="11"/>
        <color theme="1"/>
        <rFont val="Noto Sans SC"/>
        <family val="2"/>
        <charset val="134"/>
      </rPr>
      <t xml:space="preserve">的数值体系则需要将卷轴看成一个整体</t>
    </r>
  </si>
  <si>
    <r>
      <rPr>
        <sz val="11"/>
        <color theme="1"/>
        <rFont val="Noto Sans SC"/>
        <family val="2"/>
        <charset val="134"/>
      </rPr>
      <t xml:space="preserve">一方面，</t>
    </r>
    <r>
      <rPr>
        <sz val="11"/>
        <color theme="1"/>
        <rFont val="Calibri"/>
        <family val="2"/>
        <charset val="1"/>
      </rPr>
      <t xml:space="preserve">Way Slots</t>
    </r>
    <r>
      <rPr>
        <sz val="11"/>
        <color theme="1"/>
        <rFont val="Noto Sans SC"/>
        <family val="2"/>
        <charset val="134"/>
      </rPr>
      <t xml:space="preserve">已经没有了中奖线，故不能以一条线作为基准</t>
    </r>
  </si>
  <si>
    <r>
      <rPr>
        <sz val="11"/>
        <color theme="1"/>
        <rFont val="Noto Sans SC"/>
        <family val="2"/>
        <charset val="134"/>
      </rPr>
      <t xml:space="preserve">另一方面，</t>
    </r>
    <r>
      <rPr>
        <sz val="11"/>
        <color theme="1"/>
        <rFont val="Calibri"/>
        <family val="2"/>
        <charset val="1"/>
      </rPr>
      <t xml:space="preserve">Ways</t>
    </r>
    <r>
      <rPr>
        <sz val="11"/>
        <color theme="1"/>
        <rFont val="Noto Sans SC"/>
        <family val="2"/>
        <charset val="134"/>
      </rPr>
      <t xml:space="preserve">类型产品单列出现</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个图标时对应的赔付金额都有一定的差异，需要考虑单列出现多种图标的情况</t>
    </r>
  </si>
  <si>
    <r>
      <rPr>
        <sz val="11"/>
        <color theme="1"/>
        <rFont val="Noto Sans SC"/>
        <family val="2"/>
        <charset val="134"/>
      </rPr>
      <t xml:space="preserve">因此在计算</t>
    </r>
    <r>
      <rPr>
        <sz val="11"/>
        <color theme="1"/>
        <rFont val="Calibri"/>
        <family val="2"/>
        <charset val="1"/>
      </rPr>
      <t xml:space="preserve">Ways Slots</t>
    </r>
    <r>
      <rPr>
        <sz val="11"/>
        <color theme="1"/>
        <rFont val="Noto Sans SC"/>
        <family val="2"/>
        <charset val="134"/>
      </rPr>
      <t xml:space="preserve">的过程中不仅需要计算图标出现的概率，还需要考虑图标出现的个数</t>
    </r>
  </si>
  <si>
    <r>
      <rPr>
        <sz val="11"/>
        <color theme="1"/>
        <rFont val="Noto Sans SC"/>
        <family val="2"/>
        <charset val="134"/>
      </rPr>
      <t xml:space="preserve">因此在其计算过程中需要运用到大量的期望运算，具体的运算过程可以参考</t>
    </r>
    <r>
      <rPr>
        <sz val="11"/>
        <color theme="1"/>
        <rFont val="Calibri"/>
        <family val="2"/>
        <charset val="1"/>
      </rPr>
      <t xml:space="preserve">Ways</t>
    </r>
    <r>
      <rPr>
        <sz val="11"/>
        <color theme="1"/>
        <rFont val="Noto Sans SC"/>
        <family val="2"/>
        <charset val="134"/>
      </rPr>
      <t xml:space="preserve">产品的数值篇介绍：</t>
    </r>
  </si>
  <si>
    <r>
      <rPr>
        <sz val="11"/>
        <color theme="1"/>
        <rFont val="Calibri"/>
        <family val="2"/>
        <charset val="1"/>
      </rPr>
      <t xml:space="preserve">ASlot</t>
    </r>
    <r>
      <rPr>
        <sz val="11"/>
        <color theme="1"/>
        <rFont val="Noto Sans SC"/>
        <family val="2"/>
        <charset val="134"/>
      </rPr>
      <t xml:space="preserve">：</t>
    </r>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Way Slots(1)</t>
    </r>
  </si>
  <si>
    <r>
      <rPr>
        <sz val="11"/>
        <color theme="1"/>
        <rFont val="Calibri"/>
        <family val="2"/>
        <charset val="1"/>
      </rPr>
      <t xml:space="preserve">ASlot</t>
    </r>
    <r>
      <rPr>
        <sz val="11"/>
        <color theme="1"/>
        <rFont val="Noto Sans SC"/>
        <family val="2"/>
        <charset val="134"/>
      </rPr>
      <t xml:space="preserve">：</t>
    </r>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Way Slots(2)</t>
    </r>
  </si>
  <si>
    <r>
      <rPr>
        <sz val="11"/>
        <color theme="1"/>
        <rFont val="Calibri"/>
        <family val="2"/>
        <charset val="1"/>
      </rPr>
      <t xml:space="preserve">ASlot</t>
    </r>
    <r>
      <rPr>
        <sz val="11"/>
        <color theme="1"/>
        <rFont val="Noto Sans SC"/>
        <family val="2"/>
        <charset val="134"/>
      </rPr>
      <t xml:space="preserve">：</t>
    </r>
    <r>
      <rPr>
        <sz val="11"/>
        <color theme="1"/>
        <rFont val="Calibri"/>
        <family val="2"/>
        <charset val="1"/>
      </rPr>
      <t xml:space="preserve">Slots</t>
    </r>
    <r>
      <rPr>
        <sz val="11"/>
        <color theme="1"/>
        <rFont val="Noto Sans SC"/>
        <family val="2"/>
        <charset val="134"/>
      </rPr>
      <t xml:space="preserve">数值篇——</t>
    </r>
    <r>
      <rPr>
        <sz val="11"/>
        <color theme="1"/>
        <rFont val="Calibri"/>
        <family val="2"/>
        <charset val="1"/>
      </rPr>
      <t xml:space="preserve">Way Slots(3)</t>
    </r>
  </si>
  <si>
    <r>
      <rPr>
        <b val="true"/>
        <sz val="11"/>
        <rFont val="Noto Sans SC"/>
        <family val="2"/>
        <charset val="134"/>
      </rPr>
      <t xml:space="preserve">原文配图清单（共 </t>
    </r>
    <r>
      <rPr>
        <b val="true"/>
        <sz val="11"/>
        <rFont val="Cambria"/>
        <family val="0"/>
        <charset val="1"/>
      </rPr>
      <t xml:space="preserve">7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</si>
  <si>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625043502-01.jpg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</si>
  <si>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625043502-02.jpg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</si>
  <si>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625043502-03.jpg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</si>
  <si>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625043502-04.jpg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</si>
  <si>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625043502-05.jpg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</si>
  <si>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625043502-06.jpg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</si>
  <si>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625043502-07.jpg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</si>
  <si>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</si>
  <si>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</si>
  <si>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</si>
  <si>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</si>
  <si>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</si>
  <si>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</si>
  <si>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Way Slots</t>
    </r>
    <r>
      <rPr>
        <sz val="11"/>
        <color rgb="FF808080"/>
        <rFont val="Noto Sans SC"/>
        <family val="2"/>
        <charset val="134"/>
      </rPr>
      <t xml:space="preserve">》</t>
    </r>
    <r>
      <rPr>
        <sz val="11"/>
        <color rgb="FF808080"/>
        <rFont val="Cambria"/>
        <family val="0"/>
        <charset val="1"/>
      </rPr>
      <t xml:space="preserve">, https://zhuanlan.zhihu.com/p/625043502</t>
    </r>
  </si>
  <si>
    <r>
      <rPr>
        <b val="true"/>
        <sz val="14"/>
        <color rgb="FF1F4E79"/>
        <rFont val="Noto Sans SC"/>
        <family val="2"/>
        <charset val="134"/>
      </rPr>
      <t xml:space="preserve">基础篇 </t>
    </r>
    <r>
      <rPr>
        <b val="true"/>
        <sz val="14"/>
        <color rgb="FF1F4E79"/>
        <rFont val="Cambria"/>
        <family val="0"/>
        <charset val="1"/>
      </rPr>
      <t xml:space="preserve">· Way Slots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</si>
  <si>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】中奖判定与线数的影响（</t>
    </r>
    <r>
      <rPr>
        <b val="true"/>
        <sz val="11"/>
        <color rgb="FF1F4E79"/>
        <rFont val="Cambria"/>
        <family val="0"/>
        <charset val="1"/>
      </rPr>
      <t xml:space="preserve">3*5 </t>
    </r>
    <r>
      <rPr>
        <b val="true"/>
        <sz val="11"/>
        <color rgb="FF1F4E79"/>
        <rFont val="Noto Sans SC"/>
        <family val="2"/>
        <charset val="134"/>
      </rPr>
      <t xml:space="preserve">为例）</t>
    </r>
  </si>
  <si>
    <t xml:space="preserve">项目</t>
  </si>
  <si>
    <t xml:space="preserve">数值</t>
  </si>
  <si>
    <r>
      <rPr>
        <sz val="11"/>
        <color theme="1"/>
        <rFont val="Calibri"/>
        <family val="2"/>
        <charset val="1"/>
      </rPr>
      <t xml:space="preserve">3*5 </t>
    </r>
    <r>
      <rPr>
        <sz val="11"/>
        <color theme="1"/>
        <rFont val="Noto Sans SC"/>
        <family val="2"/>
        <charset val="134"/>
      </rPr>
      <t xml:space="preserve">做到「连续即中」所需线数</t>
    </r>
  </si>
  <si>
    <r>
      <rPr>
        <sz val="11"/>
        <color theme="1"/>
        <rFont val="Noto Sans SC"/>
        <family val="2"/>
        <charset val="134"/>
      </rPr>
      <t xml:space="preserve">＝ </t>
    </r>
    <r>
      <rPr>
        <sz val="11"/>
        <color theme="1"/>
        <rFont val="Calibri"/>
        <family val="2"/>
        <charset val="1"/>
      </rPr>
      <t xml:space="preserve">243 </t>
    </r>
    <r>
      <rPr>
        <sz val="11"/>
        <color theme="1"/>
        <rFont val="Noto Sans SC"/>
        <family val="2"/>
        <charset val="134"/>
      </rPr>
      <t xml:space="preserve">条（每种组合都要有独立线）</t>
    </r>
  </si>
  <si>
    <t xml:space="preserve">组合不重复的线数上限</t>
  </si>
  <si>
    <r>
      <rPr>
        <sz val="11"/>
        <color theme="1"/>
        <rFont val="Noto Sans SC"/>
        <family val="2"/>
        <charset val="134"/>
      </rPr>
      <t xml:space="preserve">低于 </t>
    </r>
    <r>
      <rPr>
        <sz val="11"/>
        <color theme="1"/>
        <rFont val="Calibri"/>
        <family val="2"/>
        <charset val="1"/>
      </rPr>
      <t xml:space="preserve">27 </t>
    </r>
    <r>
      <rPr>
        <sz val="11"/>
        <color theme="1"/>
        <rFont val="Noto Sans SC"/>
        <family val="2"/>
        <charset val="134"/>
      </rPr>
      <t xml:space="preserve">条时｛</t>
    </r>
    <r>
      <rPr>
        <sz val="11"/>
        <color theme="1"/>
        <rFont val="Calibri"/>
        <family val="2"/>
        <charset val="1"/>
      </rPr>
      <t xml:space="preserve">Any×3</t>
    </r>
    <r>
      <rPr>
        <sz val="11"/>
        <color theme="1"/>
        <rFont val="Noto Sans SC"/>
        <family val="2"/>
        <charset val="134"/>
      </rPr>
      <t xml:space="preserve">｝的中奖线互不重复</t>
    </r>
  </si>
  <si>
    <r>
      <rPr>
        <sz val="11"/>
        <color theme="1"/>
        <rFont val="Noto Sans SC"/>
        <family val="2"/>
        <charset val="134"/>
      </rPr>
      <t xml:space="preserve">进入 </t>
    </r>
    <r>
      <rPr>
        <sz val="11"/>
        <color theme="1"/>
        <rFont val="Calibri"/>
        <family val="2"/>
        <charset val="1"/>
      </rPr>
      <t xml:space="preserve">4 </t>
    </r>
    <r>
      <rPr>
        <sz val="11"/>
        <color theme="1"/>
        <rFont val="Noto Sans SC"/>
        <family val="2"/>
        <charset val="134"/>
      </rPr>
      <t xml:space="preserve">连重复的线数</t>
    </r>
  </si>
  <si>
    <r>
      <rPr>
        <sz val="11"/>
        <color theme="1"/>
        <rFont val="Noto Sans SC"/>
        <family val="2"/>
        <charset val="134"/>
      </rPr>
      <t xml:space="preserve">超过 </t>
    </r>
    <r>
      <rPr>
        <sz val="11"/>
        <color theme="1"/>
        <rFont val="Calibri"/>
        <family val="2"/>
        <charset val="1"/>
      </rPr>
      <t xml:space="preserve">81 </t>
    </r>
    <r>
      <rPr>
        <sz val="11"/>
        <color theme="1"/>
        <rFont val="Noto Sans SC"/>
        <family val="2"/>
        <charset val="134"/>
      </rPr>
      <t xml:space="preserve">条时 </t>
    </r>
    <r>
      <rPr>
        <sz val="11"/>
        <color theme="1"/>
        <rFont val="Calibri"/>
        <family val="2"/>
        <charset val="1"/>
      </rPr>
      <t xml:space="preserve">4 </t>
    </r>
    <r>
      <rPr>
        <sz val="11"/>
        <color theme="1"/>
        <rFont val="Noto Sans SC"/>
        <family val="2"/>
        <charset val="134"/>
      </rPr>
      <t xml:space="preserve">连</t>
    </r>
    <r>
      <rPr>
        <sz val="11"/>
        <color theme="1"/>
        <rFont val="Calibri"/>
        <family val="2"/>
        <charset val="1"/>
      </rPr>
      <t xml:space="preserve">/5 </t>
    </r>
    <r>
      <rPr>
        <sz val="11"/>
        <color theme="1"/>
        <rFont val="Noto Sans SC"/>
        <family val="2"/>
        <charset val="134"/>
      </rPr>
      <t xml:space="preserve">连之间也开始重叠</t>
    </r>
  </si>
  <si>
    <t xml:space="preserve">设定中奖线数</t>
  </si>
  <si>
    <r>
      <rPr>
        <sz val="11"/>
        <color theme="1"/>
        <rFont val="Noto Sans SC"/>
        <family val="2"/>
        <charset val="134"/>
      </rPr>
      <t xml:space="preserve">蓝字可改：试 </t>
    </r>
    <r>
      <rPr>
        <sz val="11"/>
        <color theme="1"/>
        <rFont val="Calibri"/>
        <family val="2"/>
        <charset val="1"/>
      </rPr>
      <t xml:space="preserve">27 / 81 / 100 / 243 </t>
    </r>
    <r>
      <rPr>
        <sz val="11"/>
        <color theme="1"/>
        <rFont val="Noto Sans SC"/>
        <family val="2"/>
        <charset val="134"/>
      </rPr>
      <t xml:space="preserve">看倍数稀释</t>
    </r>
  </si>
  <si>
    <r>
      <rPr>
        <sz val="11"/>
        <color theme="1"/>
        <rFont val="Noto Sans SC"/>
        <family val="2"/>
        <charset val="134"/>
      </rPr>
      <t xml:space="preserve">｛</t>
    </r>
    <r>
      <rPr>
        <sz val="11"/>
        <color theme="1"/>
        <rFont val="Calibri"/>
        <family val="2"/>
        <charset val="1"/>
      </rPr>
      <t xml:space="preserve">Any×3</t>
    </r>
    <r>
      <rPr>
        <sz val="11"/>
        <color theme="1"/>
        <rFont val="Noto Sans SC"/>
        <family val="2"/>
        <charset val="134"/>
      </rPr>
      <t xml:space="preserve">｝实际重复条数</t>
    </r>
  </si>
  <si>
    <r>
      <rPr>
        <sz val="11"/>
        <color theme="1"/>
        <rFont val="Noto Sans SC"/>
        <family val="2"/>
        <charset val="134"/>
      </rPr>
      <t xml:space="preserve">＝ 线数 </t>
    </r>
    <r>
      <rPr>
        <sz val="11"/>
        <color theme="1"/>
        <rFont val="Calibri"/>
        <family val="2"/>
        <charset val="1"/>
      </rPr>
      <t xml:space="preserve">÷ 27</t>
    </r>
    <r>
      <rPr>
        <sz val="11"/>
        <color theme="1"/>
        <rFont val="Noto Sans SC"/>
        <family val="2"/>
        <charset val="134"/>
      </rPr>
      <t xml:space="preserve">（整数倍时精确；非整数倍需逐线核对）</t>
    </r>
  </si>
  <si>
    <r>
      <rPr>
        <sz val="11"/>
        <color theme="1"/>
        <rFont val="Noto Sans SC"/>
        <family val="2"/>
        <charset val="134"/>
      </rPr>
      <t xml:space="preserve">｛</t>
    </r>
    <r>
      <rPr>
        <sz val="11"/>
        <color theme="1"/>
        <rFont val="Calibri"/>
        <family val="2"/>
        <charset val="1"/>
      </rPr>
      <t xml:space="preserve">Any×4</t>
    </r>
    <r>
      <rPr>
        <sz val="11"/>
        <color theme="1"/>
        <rFont val="Noto Sans SC"/>
        <family val="2"/>
        <charset val="134"/>
      </rPr>
      <t xml:space="preserve">｝实际重复条数</t>
    </r>
  </si>
  <si>
    <r>
      <rPr>
        <sz val="11"/>
        <color theme="1"/>
        <rFont val="Noto Sans SC"/>
        <family val="2"/>
        <charset val="134"/>
      </rPr>
      <t xml:space="preserve">＝ 线数 </t>
    </r>
    <r>
      <rPr>
        <sz val="11"/>
        <color theme="1"/>
        <rFont val="Calibri"/>
        <family val="2"/>
        <charset val="1"/>
      </rPr>
      <t xml:space="preserve">÷ 81</t>
    </r>
  </si>
  <si>
    <r>
      <rPr>
        <sz val="11"/>
        <color theme="1"/>
        <rFont val="Noto Sans SC"/>
        <family val="2"/>
        <charset val="134"/>
      </rPr>
      <t xml:space="preserve">｛</t>
    </r>
    <r>
      <rPr>
        <sz val="11"/>
        <color theme="1"/>
        <rFont val="Calibri"/>
        <family val="2"/>
        <charset val="1"/>
      </rPr>
      <t xml:space="preserve">Any×3</t>
    </r>
    <r>
      <rPr>
        <sz val="11"/>
        <color theme="1"/>
        <rFont val="Noto Sans SC"/>
        <family val="2"/>
        <charset val="134"/>
      </rPr>
      <t xml:space="preserve">｝实际倍数 ＝ 设定倍数 </t>
    </r>
    <r>
      <rPr>
        <sz val="11"/>
        <color theme="1"/>
        <rFont val="Calibri"/>
        <family val="2"/>
        <charset val="1"/>
      </rPr>
      <t xml:space="preserve">×</t>
    </r>
  </si>
  <si>
    <r>
      <rPr>
        <sz val="11"/>
        <color theme="1"/>
        <rFont val="Noto Sans SC"/>
        <family val="2"/>
        <charset val="134"/>
      </rPr>
      <t xml:space="preserve">原文：</t>
    </r>
    <r>
      <rPr>
        <sz val="11"/>
        <color theme="1"/>
        <rFont val="Calibri"/>
        <family val="2"/>
        <charset val="1"/>
      </rPr>
      <t xml:space="preserve">243 </t>
    </r>
    <r>
      <rPr>
        <sz val="11"/>
        <color theme="1"/>
        <rFont val="Noto Sans SC"/>
        <family val="2"/>
        <charset val="134"/>
      </rPr>
      <t xml:space="preserve">线时为 </t>
    </r>
    <r>
      <rPr>
        <sz val="11"/>
        <color theme="1"/>
        <rFont val="Calibri"/>
        <family val="2"/>
        <charset val="1"/>
      </rPr>
      <t xml:space="preserve">9 </t>
    </r>
    <r>
      <rPr>
        <sz val="11"/>
        <color theme="1"/>
        <rFont val="Noto Sans SC"/>
        <family val="2"/>
        <charset val="134"/>
      </rPr>
      <t xml:space="preserve">倍</t>
    </r>
  </si>
  <si>
    <r>
      <rPr>
        <sz val="11"/>
        <color theme="1"/>
        <rFont val="Noto Sans SC"/>
        <family val="2"/>
        <charset val="134"/>
      </rPr>
      <t xml:space="preserve">｛</t>
    </r>
    <r>
      <rPr>
        <sz val="11"/>
        <color theme="1"/>
        <rFont val="Calibri"/>
        <family val="2"/>
        <charset val="1"/>
      </rPr>
      <t xml:space="preserve">Any×4</t>
    </r>
    <r>
      <rPr>
        <sz val="11"/>
        <color theme="1"/>
        <rFont val="Noto Sans SC"/>
        <family val="2"/>
        <charset val="134"/>
      </rPr>
      <t xml:space="preserve">｝实际倍数 ＝ 设定倍数 </t>
    </r>
    <r>
      <rPr>
        <sz val="11"/>
        <color theme="1"/>
        <rFont val="Calibri"/>
        <family val="2"/>
        <charset val="1"/>
      </rPr>
      <t xml:space="preserve">×</t>
    </r>
  </si>
  <si>
    <r>
      <rPr>
        <sz val="11"/>
        <color theme="1"/>
        <rFont val="Noto Sans SC"/>
        <family val="2"/>
        <charset val="134"/>
      </rPr>
      <t xml:space="preserve">原文：</t>
    </r>
    <r>
      <rPr>
        <sz val="11"/>
        <color theme="1"/>
        <rFont val="Calibri"/>
        <family val="2"/>
        <charset val="1"/>
      </rPr>
      <t xml:space="preserve">243 </t>
    </r>
    <r>
      <rPr>
        <sz val="11"/>
        <color theme="1"/>
        <rFont val="Noto Sans SC"/>
        <family val="2"/>
        <charset val="134"/>
      </rPr>
      <t xml:space="preserve">线时为 </t>
    </r>
    <r>
      <rPr>
        <sz val="11"/>
        <color theme="1"/>
        <rFont val="Calibri"/>
        <family val="2"/>
        <charset val="1"/>
      </rPr>
      <t xml:space="preserve">3 </t>
    </r>
    <r>
      <rPr>
        <sz val="11"/>
        <color theme="1"/>
        <rFont val="Noto Sans SC"/>
        <family val="2"/>
        <charset val="134"/>
      </rPr>
      <t xml:space="preserve">倍</t>
    </r>
  </si>
  <si>
    <r>
      <rPr>
        <sz val="11"/>
        <color theme="1"/>
        <rFont val="Noto Sans SC"/>
        <family val="2"/>
        <charset val="134"/>
      </rPr>
      <t xml:space="preserve">倍数被压平的程度（</t>
    </r>
    <r>
      <rPr>
        <sz val="11"/>
        <color theme="1"/>
        <rFont val="Calibri"/>
        <family val="2"/>
        <charset val="1"/>
      </rPr>
      <t xml:space="preserve">4</t>
    </r>
    <r>
      <rPr>
        <sz val="11"/>
        <color theme="1"/>
        <rFont val="Noto Sans SC"/>
        <family val="2"/>
        <charset val="134"/>
      </rPr>
      <t xml:space="preserve">连 </t>
    </r>
    <r>
      <rPr>
        <sz val="11"/>
        <color theme="1"/>
        <rFont val="Calibri"/>
        <family val="2"/>
        <charset val="1"/>
      </rPr>
      <t xml:space="preserve">÷ 3</t>
    </r>
    <r>
      <rPr>
        <sz val="11"/>
        <color theme="1"/>
        <rFont val="Noto Sans SC"/>
        <family val="2"/>
        <charset val="134"/>
      </rPr>
      <t xml:space="preserve">连）</t>
    </r>
  </si>
  <si>
    <r>
      <rPr>
        <sz val="11"/>
        <color theme="1"/>
        <rFont val="Noto Sans SC"/>
        <family val="2"/>
        <charset val="134"/>
      </rPr>
      <t xml:space="preserve">越接近 </t>
    </r>
    <r>
      <rPr>
        <sz val="11"/>
        <color theme="1"/>
        <rFont val="Calibri"/>
        <family val="2"/>
        <charset val="1"/>
      </rPr>
      <t xml:space="preserve">1 </t>
    </r>
    <r>
      <rPr>
        <sz val="11"/>
        <color theme="1"/>
        <rFont val="Noto Sans SC"/>
        <family val="2"/>
        <charset val="134"/>
      </rPr>
      <t xml:space="preserve">表示组合间差距被压得越平，波动性越低</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</si>
  <si>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】计算基数对照</t>
    </r>
  </si>
  <si>
    <t xml:space="preserve">类型</t>
  </si>
  <si>
    <t xml:space="preserve">计算基数</t>
  </si>
  <si>
    <r>
      <rPr>
        <sz val="11"/>
        <color theme="1"/>
        <rFont val="Noto Sans SC"/>
        <family val="2"/>
        <charset val="134"/>
      </rPr>
      <t xml:space="preserve">总下注额（</t>
    </r>
    <r>
      <rPr>
        <sz val="11"/>
        <color theme="1"/>
        <rFont val="Calibri"/>
        <family val="2"/>
        <charset val="1"/>
      </rPr>
      <t xml:space="preserve">Bet Size</t>
    </r>
    <r>
      <rPr>
        <sz val="11"/>
        <color theme="1"/>
        <rFont val="Noto Sans SC"/>
        <family val="2"/>
        <charset val="134"/>
      </rPr>
      <t xml:space="preserve">）</t>
    </r>
  </si>
  <si>
    <t xml:space="preserve">—</t>
  </si>
  <si>
    <t xml:space="preserve">蓝字可改</t>
  </si>
  <si>
    <r>
      <rPr>
        <sz val="11"/>
        <color theme="1"/>
        <rFont val="Noto Sans SC"/>
        <family val="2"/>
        <charset val="134"/>
      </rPr>
      <t xml:space="preserve">中奖线数（</t>
    </r>
    <r>
      <rPr>
        <sz val="11"/>
        <color theme="1"/>
        <rFont val="Calibri"/>
        <family val="2"/>
        <charset val="1"/>
      </rPr>
      <t xml:space="preserve">Line </t>
    </r>
    <r>
      <rPr>
        <sz val="11"/>
        <color theme="1"/>
        <rFont val="Noto Sans SC"/>
        <family val="2"/>
        <charset val="134"/>
      </rPr>
      <t xml:space="preserve">用）</t>
    </r>
  </si>
  <si>
    <r>
      <rPr>
        <sz val="11"/>
        <color theme="1"/>
        <rFont val="Noto Sans SC"/>
        <family val="2"/>
        <charset val="134"/>
      </rPr>
      <t xml:space="preserve">受欢迎的 </t>
    </r>
    <r>
      <rPr>
        <sz val="11"/>
        <color theme="1"/>
        <rFont val="Calibri"/>
        <family val="2"/>
        <charset val="1"/>
      </rPr>
      <t xml:space="preserve">Line Slots </t>
    </r>
    <r>
      <rPr>
        <sz val="11"/>
        <color theme="1"/>
        <rFont val="Noto Sans SC"/>
        <family val="2"/>
        <charset val="134"/>
      </rPr>
      <t xml:space="preserve">多在 </t>
    </r>
    <r>
      <rPr>
        <sz val="11"/>
        <color theme="1"/>
        <rFont val="Calibri"/>
        <family val="2"/>
        <charset val="1"/>
      </rPr>
      <t xml:space="preserve">27 </t>
    </r>
    <r>
      <rPr>
        <sz val="11"/>
        <color theme="1"/>
        <rFont val="Noto Sans SC"/>
        <family val="2"/>
        <charset val="134"/>
      </rPr>
      <t xml:space="preserve">线以内</t>
    </r>
  </si>
  <si>
    <r>
      <rPr>
        <sz val="11"/>
        <color theme="1"/>
        <rFont val="Calibri"/>
        <family val="2"/>
        <charset val="1"/>
      </rPr>
      <t xml:space="preserve">Line </t>
    </r>
    <r>
      <rPr>
        <sz val="11"/>
        <color theme="1"/>
        <rFont val="Noto Sans SC"/>
        <family val="2"/>
        <charset val="134"/>
      </rPr>
      <t xml:space="preserve">的计算基数</t>
    </r>
  </si>
  <si>
    <r>
      <rPr>
        <sz val="11"/>
        <color theme="1"/>
        <rFont val="Noto Sans SC"/>
        <family val="2"/>
        <charset val="134"/>
      </rPr>
      <t xml:space="preserve">＝ 下注额 </t>
    </r>
    <r>
      <rPr>
        <sz val="11"/>
        <color theme="1"/>
        <rFont val="Calibri"/>
        <family val="2"/>
        <charset val="1"/>
      </rPr>
      <t xml:space="preserve">÷ </t>
    </r>
    <r>
      <rPr>
        <sz val="11"/>
        <color theme="1"/>
        <rFont val="Noto Sans SC"/>
        <family val="2"/>
        <charset val="134"/>
      </rPr>
      <t xml:space="preserve">中奖线数</t>
    </r>
  </si>
  <si>
    <r>
      <rPr>
        <sz val="11"/>
        <color theme="1"/>
        <rFont val="Noto Sans SC"/>
        <family val="2"/>
        <charset val="134"/>
      </rPr>
      <t xml:space="preserve">即 </t>
    </r>
    <r>
      <rPr>
        <sz val="11"/>
        <color theme="1"/>
        <rFont val="Calibri"/>
        <family val="2"/>
        <charset val="1"/>
      </rPr>
      <t xml:space="preserve">Line Bet</t>
    </r>
  </si>
  <si>
    <r>
      <rPr>
        <sz val="11"/>
        <color theme="1"/>
        <rFont val="Calibri"/>
        <family val="2"/>
        <charset val="1"/>
      </rPr>
      <t xml:space="preserve">Way </t>
    </r>
    <r>
      <rPr>
        <sz val="11"/>
        <color theme="1"/>
        <rFont val="Noto Sans SC"/>
        <family val="2"/>
        <charset val="134"/>
      </rPr>
      <t xml:space="preserve">的除数常数</t>
    </r>
  </si>
  <si>
    <r>
      <rPr>
        <sz val="11"/>
        <color theme="1"/>
        <rFont val="Noto Sans SC"/>
        <family val="2"/>
        <charset val="134"/>
      </rPr>
      <t xml:space="preserve">原文列出的常用常数：</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18</t>
    </r>
    <r>
      <rPr>
        <sz val="11"/>
        <color theme="1"/>
        <rFont val="Noto Sans SC"/>
        <family val="2"/>
        <charset val="134"/>
      </rPr>
      <t xml:space="preserve">、</t>
    </r>
    <r>
      <rPr>
        <sz val="11"/>
        <color theme="1"/>
        <rFont val="Calibri"/>
        <family val="2"/>
        <charset val="1"/>
      </rPr>
      <t xml:space="preserve">88</t>
    </r>
    <r>
      <rPr>
        <sz val="11"/>
        <color theme="1"/>
        <rFont val="Noto Sans SC"/>
        <family val="2"/>
        <charset val="134"/>
      </rPr>
      <t xml:space="preserve">、</t>
    </r>
    <r>
      <rPr>
        <sz val="11"/>
        <color theme="1"/>
        <rFont val="Calibri"/>
        <family val="2"/>
        <charset val="1"/>
      </rPr>
      <t xml:space="preserve">100</t>
    </r>
  </si>
  <si>
    <r>
      <rPr>
        <sz val="11"/>
        <color theme="1"/>
        <rFont val="Calibri"/>
        <family val="2"/>
        <charset val="1"/>
      </rPr>
      <t xml:space="preserve">Way </t>
    </r>
    <r>
      <rPr>
        <sz val="11"/>
        <color theme="1"/>
        <rFont val="Noto Sans SC"/>
        <family val="2"/>
        <charset val="134"/>
      </rPr>
      <t xml:space="preserve">的计算基数</t>
    </r>
  </si>
  <si>
    <r>
      <rPr>
        <sz val="11"/>
        <color theme="1"/>
        <rFont val="Noto Sans SC"/>
        <family val="2"/>
        <charset val="134"/>
      </rPr>
      <t xml:space="preserve">＝ 下注额 </t>
    </r>
    <r>
      <rPr>
        <sz val="11"/>
        <color theme="1"/>
        <rFont val="Calibri"/>
        <family val="2"/>
        <charset val="1"/>
      </rPr>
      <t xml:space="preserve">÷ </t>
    </r>
    <r>
      <rPr>
        <sz val="11"/>
        <color theme="1"/>
        <rFont val="Noto Sans SC"/>
        <family val="2"/>
        <charset val="134"/>
      </rPr>
      <t xml:space="preserve">常数</t>
    </r>
  </si>
  <si>
    <r>
      <rPr>
        <sz val="11"/>
        <color theme="1"/>
        <rFont val="Noto Sans SC"/>
        <family val="2"/>
        <charset val="134"/>
      </rPr>
      <t xml:space="preserve">另一种做法：不改基数，改用远低于 </t>
    </r>
    <r>
      <rPr>
        <sz val="11"/>
        <color theme="1"/>
        <rFont val="Calibri"/>
        <family val="2"/>
        <charset val="1"/>
      </rPr>
      <t xml:space="preserve">Line </t>
    </r>
    <r>
      <rPr>
        <sz val="11"/>
        <color theme="1"/>
        <rFont val="Noto Sans SC"/>
        <family val="2"/>
        <charset val="134"/>
      </rPr>
      <t xml:space="preserve">的赔付倍数</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</si>
  <si>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】赔付金额的两种算法（同一盘面）</t>
    </r>
  </si>
  <si>
    <t xml:space="preserve">算法</t>
  </si>
  <si>
    <t xml:space="preserve">示例计算</t>
  </si>
  <si>
    <t xml:space="preserve">Line</t>
  </si>
  <si>
    <t xml:space="preserve">逐条中奖线算赔付额，再求和</t>
  </si>
  <si>
    <r>
      <rPr>
        <sz val="11"/>
        <color theme="1"/>
        <rFont val="Noto Sans SC"/>
        <family val="2"/>
        <charset val="134"/>
      </rPr>
      <t xml:space="preserve">单线赔付 ＝ 计算基数 </t>
    </r>
    <r>
      <rPr>
        <sz val="11"/>
        <color theme="1"/>
        <rFont val="Calibri"/>
        <family val="2"/>
        <charset val="1"/>
      </rPr>
      <t xml:space="preserve">× </t>
    </r>
    <r>
      <rPr>
        <sz val="11"/>
        <color theme="1"/>
        <rFont val="Noto Sans SC"/>
        <family val="2"/>
        <charset val="134"/>
      </rPr>
      <t xml:space="preserve">赔付倍数；总赔付 ＝ </t>
    </r>
    <r>
      <rPr>
        <sz val="11"/>
        <color theme="1"/>
        <rFont val="Calibri"/>
        <family val="2"/>
        <charset val="1"/>
      </rPr>
      <t xml:space="preserve">Σ </t>
    </r>
    <r>
      <rPr>
        <sz val="11"/>
        <color theme="1"/>
        <rFont val="Noto Sans SC"/>
        <family val="2"/>
        <charset val="134"/>
      </rPr>
      <t xml:space="preserve">各中奖线</t>
    </r>
  </si>
  <si>
    <t xml:space="preserve">线多时同一图标组合可能同时命中多条线（倍数被放大）</t>
  </si>
  <si>
    <t xml:space="preserve">Way</t>
  </si>
  <si>
    <t xml:space="preserve">逐图标算赔付额，再求和</t>
  </si>
  <si>
    <r>
      <rPr>
        <sz val="11"/>
        <color theme="1"/>
        <rFont val="Noto Sans SC"/>
        <family val="2"/>
        <charset val="134"/>
      </rPr>
      <t xml:space="preserve">赔付额 ＝ 计算基数 </t>
    </r>
    <r>
      <rPr>
        <sz val="11"/>
        <color theme="1"/>
        <rFont val="Calibri"/>
        <family val="2"/>
        <charset val="1"/>
      </rPr>
      <t xml:space="preserve">× </t>
    </r>
    <r>
      <rPr>
        <sz val="11"/>
        <color theme="1"/>
        <rFont val="Noto Sans SC"/>
        <family val="2"/>
        <charset val="134"/>
      </rPr>
      <t xml:space="preserve">赔付倍数 </t>
    </r>
    <r>
      <rPr>
        <sz val="11"/>
        <color theme="1"/>
        <rFont val="Calibri"/>
        <family val="2"/>
        <charset val="1"/>
      </rPr>
      <t xml:space="preserve">× </t>
    </r>
    <r>
      <rPr>
        <sz val="11"/>
        <color theme="1"/>
        <rFont val="Noto Sans SC"/>
        <family val="2"/>
        <charset val="134"/>
      </rPr>
      <t xml:space="preserve">各中奖列该图标个数之积</t>
    </r>
  </si>
  <si>
    <t xml:space="preserve">中奖列每多一个图标就多一倍奖励金额</t>
  </si>
  <si>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】示例：同一个 </t>
    </r>
    <r>
      <rPr>
        <b val="true"/>
        <sz val="11"/>
        <color rgb="FF1F4E79"/>
        <rFont val="Cambria"/>
        <family val="0"/>
        <charset val="1"/>
      </rPr>
      <t xml:space="preserve">J </t>
    </r>
    <r>
      <rPr>
        <b val="true"/>
        <sz val="11"/>
        <color rgb="FF1F4E79"/>
        <rFont val="Noto Sans SC"/>
        <family val="2"/>
        <charset val="134"/>
      </rPr>
      <t xml:space="preserve">三连（</t>
    </r>
    <r>
      <rPr>
        <b val="true"/>
        <sz val="11"/>
        <color rgb="FF1F4E79"/>
        <rFont val="Cambria"/>
        <family val="0"/>
        <charset val="1"/>
      </rPr>
      <t xml:space="preserve">3 </t>
    </r>
    <r>
      <rPr>
        <b val="true"/>
        <sz val="11"/>
        <color rgb="FF1F4E79"/>
        <rFont val="Noto Sans SC"/>
        <family val="2"/>
        <charset val="134"/>
      </rPr>
      <t xml:space="preserve">列各 </t>
    </r>
    <r>
      <rPr>
        <b val="true"/>
        <sz val="11"/>
        <color rgb="FF1F4E79"/>
        <rFont val="Cambria"/>
        <family val="0"/>
        <charset val="1"/>
      </rPr>
      <t xml:space="preserve">2 </t>
    </r>
    <r>
      <rPr>
        <b val="true"/>
        <sz val="11"/>
        <color rgb="FF1F4E79"/>
        <rFont val="Noto Sans SC"/>
        <family val="2"/>
        <charset val="134"/>
      </rPr>
      <t xml:space="preserve">个）在两种类型下的赔付</t>
    </r>
  </si>
  <si>
    <r>
      <rPr>
        <sz val="11"/>
        <color theme="1"/>
        <rFont val="Calibri"/>
        <family val="2"/>
        <charset val="1"/>
      </rPr>
      <t xml:space="preserve">J </t>
    </r>
    <r>
      <rPr>
        <sz val="11"/>
        <color theme="1"/>
        <rFont val="Noto Sans SC"/>
        <family val="2"/>
        <charset val="134"/>
      </rPr>
      <t xml:space="preserve">的 </t>
    </r>
    <r>
      <rPr>
        <sz val="11"/>
        <color theme="1"/>
        <rFont val="Calibri"/>
        <family val="2"/>
        <charset val="1"/>
      </rPr>
      <t xml:space="preserve">3 </t>
    </r>
    <r>
      <rPr>
        <sz val="11"/>
        <color theme="1"/>
        <rFont val="Noto Sans SC"/>
        <family val="2"/>
        <charset val="134"/>
      </rPr>
      <t xml:space="preserve">连赔付倍数（倍基数）</t>
    </r>
  </si>
  <si>
    <r>
      <rPr>
        <sz val="11"/>
        <color theme="1"/>
        <rFont val="Calibri"/>
        <family val="2"/>
        <charset val="1"/>
      </rPr>
      <t xml:space="preserve">Paytable </t>
    </r>
    <r>
      <rPr>
        <sz val="11"/>
        <color theme="1"/>
        <rFont val="Noto Sans SC"/>
        <family val="2"/>
        <charset val="134"/>
      </rPr>
      <t xml:space="preserve">给出</t>
    </r>
  </si>
  <si>
    <r>
      <rPr>
        <sz val="11"/>
        <color theme="1"/>
        <rFont val="Noto Sans SC"/>
        <family val="2"/>
        <charset val="134"/>
      </rPr>
      <t xml:space="preserve">中奖列 </t>
    </r>
    <r>
      <rPr>
        <sz val="11"/>
        <color theme="1"/>
        <rFont val="Calibri"/>
        <family val="2"/>
        <charset val="1"/>
      </rPr>
      <t xml:space="preserve">1 </t>
    </r>
    <r>
      <rPr>
        <sz val="11"/>
        <color theme="1"/>
        <rFont val="Noto Sans SC"/>
        <family val="2"/>
        <charset val="134"/>
      </rPr>
      <t xml:space="preserve">的 </t>
    </r>
    <r>
      <rPr>
        <sz val="11"/>
        <color theme="1"/>
        <rFont val="Calibri"/>
        <family val="2"/>
        <charset val="1"/>
      </rPr>
      <t xml:space="preserve">J </t>
    </r>
    <r>
      <rPr>
        <sz val="11"/>
        <color theme="1"/>
        <rFont val="Noto Sans SC"/>
        <family val="2"/>
        <charset val="134"/>
      </rPr>
      <t xml:space="preserve">个数</t>
    </r>
  </si>
  <si>
    <r>
      <rPr>
        <sz val="11"/>
        <color theme="1"/>
        <rFont val="Noto Sans SC"/>
        <family val="2"/>
        <charset val="134"/>
      </rPr>
      <t xml:space="preserve">中奖列 </t>
    </r>
    <r>
      <rPr>
        <sz val="11"/>
        <color theme="1"/>
        <rFont val="Calibri"/>
        <family val="2"/>
        <charset val="1"/>
      </rPr>
      <t xml:space="preserve">2 </t>
    </r>
    <r>
      <rPr>
        <sz val="11"/>
        <color theme="1"/>
        <rFont val="Noto Sans SC"/>
        <family val="2"/>
        <charset val="134"/>
      </rPr>
      <t xml:space="preserve">的 </t>
    </r>
    <r>
      <rPr>
        <sz val="11"/>
        <color theme="1"/>
        <rFont val="Calibri"/>
        <family val="2"/>
        <charset val="1"/>
      </rPr>
      <t xml:space="preserve">J </t>
    </r>
    <r>
      <rPr>
        <sz val="11"/>
        <color theme="1"/>
        <rFont val="Noto Sans SC"/>
        <family val="2"/>
        <charset val="134"/>
      </rPr>
      <t xml:space="preserve">个数</t>
    </r>
  </si>
  <si>
    <r>
      <rPr>
        <sz val="11"/>
        <color theme="1"/>
        <rFont val="Noto Sans SC"/>
        <family val="2"/>
        <charset val="134"/>
      </rPr>
      <t xml:space="preserve">中奖列 </t>
    </r>
    <r>
      <rPr>
        <sz val="11"/>
        <color theme="1"/>
        <rFont val="Calibri"/>
        <family val="2"/>
        <charset val="1"/>
      </rPr>
      <t xml:space="preserve">3 </t>
    </r>
    <r>
      <rPr>
        <sz val="11"/>
        <color theme="1"/>
        <rFont val="Noto Sans SC"/>
        <family val="2"/>
        <charset val="134"/>
      </rPr>
      <t xml:space="preserve">的 </t>
    </r>
    <r>
      <rPr>
        <sz val="11"/>
        <color theme="1"/>
        <rFont val="Calibri"/>
        <family val="2"/>
        <charset val="1"/>
      </rPr>
      <t xml:space="preserve">J </t>
    </r>
    <r>
      <rPr>
        <sz val="11"/>
        <color theme="1"/>
        <rFont val="Noto Sans SC"/>
        <family val="2"/>
        <charset val="134"/>
      </rPr>
      <t xml:space="preserve">个数</t>
    </r>
  </si>
  <si>
    <r>
      <rPr>
        <sz val="11"/>
        <color theme="1"/>
        <rFont val="Calibri"/>
        <family val="2"/>
        <charset val="1"/>
      </rPr>
      <t xml:space="preserve">Line </t>
    </r>
    <r>
      <rPr>
        <sz val="11"/>
        <color theme="1"/>
        <rFont val="Noto Sans SC"/>
        <family val="2"/>
        <charset val="134"/>
      </rPr>
      <t xml:space="preserve">口径赔付额</t>
    </r>
  </si>
  <si>
    <r>
      <rPr>
        <sz val="11"/>
        <color theme="1"/>
        <rFont val="Noto Sans SC"/>
        <family val="2"/>
        <charset val="134"/>
      </rPr>
      <t xml:space="preserve">＝ 计算基数 </t>
    </r>
    <r>
      <rPr>
        <sz val="11"/>
        <color theme="1"/>
        <rFont val="Calibri"/>
        <family val="2"/>
        <charset val="1"/>
      </rPr>
      <t xml:space="preserve">× </t>
    </r>
    <r>
      <rPr>
        <sz val="11"/>
        <color theme="1"/>
        <rFont val="Noto Sans SC"/>
        <family val="2"/>
        <charset val="134"/>
      </rPr>
      <t xml:space="preserve">赔付倍数</t>
    </r>
  </si>
  <si>
    <r>
      <rPr>
        <sz val="11"/>
        <color theme="1"/>
        <rFont val="Calibri"/>
        <family val="2"/>
        <charset val="1"/>
      </rPr>
      <t xml:space="preserve">Way </t>
    </r>
    <r>
      <rPr>
        <sz val="11"/>
        <color theme="1"/>
        <rFont val="Noto Sans SC"/>
        <family val="2"/>
        <charset val="134"/>
      </rPr>
      <t xml:space="preserve">口径赔付额</t>
    </r>
  </si>
  <si>
    <r>
      <rPr>
        <sz val="11"/>
        <color theme="1"/>
        <rFont val="Noto Sans SC"/>
        <family val="2"/>
        <charset val="134"/>
      </rPr>
      <t xml:space="preserve">＝ 计算基数 </t>
    </r>
    <r>
      <rPr>
        <sz val="11"/>
        <color theme="1"/>
        <rFont val="Calibri"/>
        <family val="2"/>
        <charset val="1"/>
      </rPr>
      <t xml:space="preserve">× </t>
    </r>
    <r>
      <rPr>
        <sz val="11"/>
        <color theme="1"/>
        <rFont val="Noto Sans SC"/>
        <family val="2"/>
        <charset val="134"/>
      </rPr>
      <t xml:space="preserve">赔付倍数 </t>
    </r>
    <r>
      <rPr>
        <sz val="11"/>
        <color theme="1"/>
        <rFont val="Calibri"/>
        <family val="2"/>
        <charset val="1"/>
      </rPr>
      <t xml:space="preserve">× </t>
    </r>
    <r>
      <rPr>
        <sz val="11"/>
        <color theme="1"/>
        <rFont val="Noto Sans SC"/>
        <family val="2"/>
        <charset val="134"/>
      </rPr>
      <t xml:space="preserve">各中奖列个数之积</t>
    </r>
  </si>
  <si>
    <t xml:space="preserve">两种口径的差异倍数</t>
  </si>
  <si>
    <r>
      <rPr>
        <sz val="11"/>
        <color theme="1"/>
        <rFont val="Calibri"/>
        <family val="2"/>
        <charset val="1"/>
      </rPr>
      <t xml:space="preserve">Way </t>
    </r>
    <r>
      <rPr>
        <sz val="11"/>
        <color theme="1"/>
        <rFont val="Noto Sans SC"/>
        <family val="2"/>
        <charset val="134"/>
      </rPr>
      <t xml:space="preserve">把每列的重复图标折算成倍数</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</si>
  <si>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】自检</t>
    </r>
  </si>
  <si>
    <t xml:space="preserve">检查项</t>
  </si>
  <si>
    <t xml:space="preserve">结果</t>
  </si>
  <si>
    <r>
      <rPr>
        <sz val="11"/>
        <color theme="1"/>
        <rFont val="Calibri"/>
        <family val="2"/>
        <charset val="1"/>
      </rPr>
      <t xml:space="preserve">3^5 </t>
    </r>
    <r>
      <rPr>
        <sz val="11"/>
        <color theme="1"/>
        <rFont val="Noto Sans SC"/>
        <family val="2"/>
        <charset val="134"/>
      </rPr>
      <t xml:space="preserve">＝ </t>
    </r>
    <r>
      <rPr>
        <sz val="11"/>
        <color theme="1"/>
        <rFont val="Calibri"/>
        <family val="2"/>
        <charset val="1"/>
      </rPr>
      <t xml:space="preserve">243 </t>
    </r>
    <r>
      <rPr>
        <sz val="11"/>
        <color theme="1"/>
        <rFont val="Noto Sans SC"/>
        <family val="2"/>
        <charset val="134"/>
      </rPr>
      <t xml:space="preserve">条线才能「连续即中」</t>
    </r>
  </si>
  <si>
    <r>
      <rPr>
        <sz val="11"/>
        <color theme="1"/>
        <rFont val="Calibri"/>
        <family val="2"/>
        <charset val="1"/>
      </rPr>
      <t xml:space="preserve">27 </t>
    </r>
    <r>
      <rPr>
        <sz val="11"/>
        <color theme="1"/>
        <rFont val="Noto Sans SC"/>
        <family val="2"/>
        <charset val="134"/>
      </rPr>
      <t xml:space="preserve">线以内组合不重复</t>
    </r>
  </si>
  <si>
    <r>
      <rPr>
        <sz val="11"/>
        <color theme="1"/>
        <rFont val="Noto Sans SC"/>
        <family val="2"/>
        <charset val="134"/>
      </rPr>
      <t xml:space="preserve">重复条数 ＝ </t>
    </r>
    <r>
      <rPr>
        <sz val="11"/>
        <color theme="1"/>
        <rFont val="Calibri"/>
        <family val="2"/>
        <charset val="1"/>
      </rPr>
      <t xml:space="preserve">1</t>
    </r>
  </si>
  <si>
    <t xml:space="preserve">线数越多倍数被放大越多</t>
  </si>
  <si>
    <r>
      <rPr>
        <sz val="11"/>
        <color theme="1"/>
        <rFont val="Calibri"/>
        <family val="2"/>
        <charset val="1"/>
      </rPr>
      <t xml:space="preserve">243 ÷ 27 </t>
    </r>
    <r>
      <rPr>
        <sz val="11"/>
        <color theme="1"/>
        <rFont val="Noto Sans SC"/>
        <family val="2"/>
        <charset val="134"/>
      </rPr>
      <t xml:space="preserve">＝ </t>
    </r>
    <r>
      <rPr>
        <sz val="11"/>
        <color theme="1"/>
        <rFont val="Calibri"/>
        <family val="2"/>
        <charset val="1"/>
      </rPr>
      <t xml:space="preserve">9</t>
    </r>
  </si>
  <si>
    <r>
      <rPr>
        <sz val="11"/>
        <color theme="1"/>
        <rFont val="Calibri"/>
        <family val="2"/>
        <charset val="1"/>
      </rPr>
      <t xml:space="preserve">Way </t>
    </r>
    <r>
      <rPr>
        <sz val="11"/>
        <color theme="1"/>
        <rFont val="Noto Sans SC"/>
        <family val="2"/>
        <charset val="134"/>
      </rPr>
      <t xml:space="preserve">计算基数 ≠ </t>
    </r>
    <r>
      <rPr>
        <sz val="11"/>
        <color theme="1"/>
        <rFont val="Calibri"/>
        <family val="2"/>
        <charset val="1"/>
      </rPr>
      <t xml:space="preserve">Line </t>
    </r>
    <r>
      <rPr>
        <sz val="11"/>
        <color theme="1"/>
        <rFont val="Noto Sans SC"/>
        <family val="2"/>
        <charset val="134"/>
      </rPr>
      <t xml:space="preserve">计算基数</t>
    </r>
  </si>
  <si>
    <t xml:space="preserve">两者口径不同，不可混用</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</si>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</sst>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3">
    <numFmt numFmtId="164" formatCode="General"/>
    <numFmt numFmtId="165" formatCode="#,##0"/>
    <numFmt numFmtId="166" formatCode="0.0000"/>
  </numFmts>
  <fonts count="16">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00"/>
      <name val="Cambria"/>
      <family val="0"/>
      <charset val="1"/>
    </font>
    <font>
      <sz val="11"/>
      <color rgb="FF0000FF"/>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8" customFormat="false" ht="15" hidden="false" customHeight="false" outlineLevel="0" collapsed="false">
      <c r="A8" s="4" t="s">
        <v>5</v>
      </c>
    </row>
    <row r="9" customFormat="false" ht="29" hidden="false" customHeight="false" outlineLevel="0" collapsed="false">
      <c r="A9" s="24" t="s">
        <v>6</v>
      </c>
    </row>
    <row r="10" customFormat="false" ht="29" hidden="false" customHeight="false" outlineLevel="0" collapsed="false">
      <c r="A10" s="24" t="s">
        <v>7</v>
      </c>
    </row>
    <row r="11" customFormat="false" ht="15" hidden="false" customHeight="false" outlineLevel="0" collapsed="false">
      <c r="A11" s="5"/>
    </row>
    <row r="12" customFormat="false" ht="15" hidden="false" customHeight="false" outlineLevel="0" collapsed="false">
      <c r="A12" s="4" t="s">
        <v>8</v>
      </c>
    </row>
    <row r="13" customFormat="false" ht="15" hidden="false" customHeight="1" outlineLevel="0" collapsed="false">
      <c r="A13" s="25" t="s">
        <v>9</v>
      </c>
      <c r="B13" s="6"/>
      <c r="C13" s="6"/>
    </row>
    <row r="14" customFormat="false" ht="42" hidden="false" customHeight="false" outlineLevel="0" collapsed="false">
      <c r="A14" s="24" t="s">
        <v>10</v>
      </c>
    </row>
    <row r="15" customFormat="false" ht="15" hidden="false" customHeight="1" outlineLevel="0" collapsed="false">
      <c r="A15" s="25" t="s">
        <v>11</v>
      </c>
      <c r="B15" s="6"/>
      <c r="C15" s="6"/>
    </row>
    <row r="16" customFormat="false" ht="15" hidden="false" customHeight="false" outlineLevel="0" collapsed="false">
      <c r="A16" s="5"/>
    </row>
    <row r="17" customFormat="false" ht="15" hidden="false" customHeight="false" outlineLevel="0" collapsed="false">
      <c r="A17" s="4" t="s">
        <v>12</v>
      </c>
    </row>
    <row r="18" customFormat="false" ht="43" hidden="false" customHeight="false" outlineLevel="0" collapsed="false">
      <c r="A18" s="24" t="s">
        <v>13</v>
      </c>
    </row>
    <row r="19" customFormat="false" ht="30" hidden="false" customHeight="false" outlineLevel="0" collapsed="false">
      <c r="A19" s="24" t="s">
        <v>14</v>
      </c>
    </row>
    <row r="20" customFormat="false" ht="29" hidden="false" customHeight="false" outlineLevel="0" collapsed="false">
      <c r="A20" s="26" t="s">
        <v>15</v>
      </c>
    </row>
    <row r="21" customFormat="false" ht="30" hidden="false" customHeight="false" outlineLevel="0" collapsed="false">
      <c r="A21" s="26" t="s">
        <v>16</v>
      </c>
    </row>
    <row r="22" customFormat="false" ht="30" hidden="false" customHeight="false" outlineLevel="0" collapsed="false">
      <c r="A22" s="24" t="s">
        <v>17</v>
      </c>
    </row>
    <row r="23" customFormat="false" ht="30" hidden="false" customHeight="false" outlineLevel="0" collapsed="false">
      <c r="A23" s="24" t="s">
        <v>18</v>
      </c>
    </row>
    <row r="24" customFormat="false" ht="30" hidden="false" customHeight="false" outlineLevel="0" collapsed="false">
      <c r="A24" s="26" t="s">
        <v>19</v>
      </c>
    </row>
    <row r="25" customFormat="false" ht="44" hidden="false" customHeight="false" outlineLevel="0" collapsed="false">
      <c r="A25" s="24" t="s">
        <v>20</v>
      </c>
    </row>
    <row r="26" customFormat="false" ht="16" hidden="false" customHeight="false" outlineLevel="0" collapsed="false">
      <c r="A26" s="26" t="s">
        <v>21</v>
      </c>
    </row>
    <row r="27" customFormat="false" ht="29" hidden="false" customHeight="false" outlineLevel="0" collapsed="false">
      <c r="A27" s="24" t="s">
        <v>22</v>
      </c>
    </row>
    <row r="28" customFormat="false" ht="28" hidden="false" customHeight="false" outlineLevel="0" collapsed="false">
      <c r="A28" s="26" t="s">
        <v>23</v>
      </c>
    </row>
    <row r="29" customFormat="false" ht="29" hidden="false" customHeight="false" outlineLevel="0" collapsed="false">
      <c r="A29" s="24" t="s">
        <v>24</v>
      </c>
    </row>
    <row r="31" customFormat="false" ht="15" hidden="false" customHeight="false" outlineLevel="0" collapsed="false">
      <c r="A31" s="4" t="s">
        <v>25</v>
      </c>
    </row>
    <row r="32" customFormat="false" ht="15" hidden="false" customHeight="false" outlineLevel="0" collapsed="false">
      <c r="A32" s="7"/>
    </row>
    <row r="33" customFormat="false" ht="30" hidden="false" customHeight="false" outlineLevel="0" collapsed="false">
      <c r="A33" s="26" t="s">
        <v>26</v>
      </c>
    </row>
    <row r="34" customFormat="false" ht="16" hidden="false" customHeight="false" outlineLevel="0" collapsed="false">
      <c r="A34" s="5" t="s">
        <v>27</v>
      </c>
    </row>
    <row r="35" customFormat="false" ht="16" hidden="false" customHeight="false" outlineLevel="0" collapsed="false">
      <c r="A35" s="5" t="s">
        <v>28</v>
      </c>
    </row>
    <row r="36" customFormat="false" ht="16" hidden="false" customHeight="false" outlineLevel="0" collapsed="false">
      <c r="A36" s="5" t="s">
        <v>29</v>
      </c>
    </row>
    <row r="37" customFormat="false" ht="29" hidden="false" customHeight="false" outlineLevel="0" collapsed="false">
      <c r="A37" s="26" t="s">
        <v>30</v>
      </c>
    </row>
    <row r="38" customFormat="false" ht="16" hidden="false" customHeight="false" outlineLevel="0" collapsed="false">
      <c r="A38" s="7" t="s">
        <v>31</v>
      </c>
    </row>
    <row r="39" customFormat="false" ht="29" hidden="false" customHeight="false" outlineLevel="0" collapsed="false">
      <c r="A39" s="26" t="s">
        <v>32</v>
      </c>
    </row>
    <row r="40" customFormat="false" ht="29" hidden="false" customHeight="false" outlineLevel="0" collapsed="false">
      <c r="A40" s="26" t="s">
        <v>33</v>
      </c>
    </row>
    <row r="41" customFormat="false" ht="30" hidden="false" customHeight="false" outlineLevel="0" collapsed="false">
      <c r="A41" s="26" t="s">
        <v>34</v>
      </c>
    </row>
    <row r="42" customFormat="false" ht="15" hidden="false" customHeight="false" outlineLevel="0" collapsed="false">
      <c r="A42" s="7"/>
    </row>
    <row r="43" customFormat="false" ht="15" hidden="false" customHeight="false" outlineLevel="0" collapsed="false">
      <c r="A43" s="7" t="s">
        <v>35</v>
      </c>
    </row>
    <row r="44" customFormat="false" ht="29" hidden="false" customHeight="false" outlineLevel="0" collapsed="false">
      <c r="A44" s="24" t="s">
        <v>36</v>
      </c>
    </row>
    <row r="45" customFormat="false" ht="30" hidden="false" customHeight="false" outlineLevel="0" collapsed="false">
      <c r="A45" s="26" t="s">
        <v>37</v>
      </c>
    </row>
    <row r="46" customFormat="false" ht="28" hidden="false" customHeight="false" outlineLevel="0" collapsed="false">
      <c r="A46" s="26" t="s">
        <v>38</v>
      </c>
    </row>
    <row r="47" customFormat="false" ht="28" hidden="false" customHeight="false" outlineLevel="0" collapsed="false">
      <c r="A47" s="26" t="s">
        <v>39</v>
      </c>
    </row>
    <row r="48" customFormat="false" ht="15" hidden="false" customHeight="false" outlineLevel="0" collapsed="false">
      <c r="A48" s="7"/>
    </row>
    <row r="49" customFormat="false" ht="29" hidden="false" customHeight="false" outlineLevel="0" collapsed="false">
      <c r="A49" s="26" t="s">
        <v>40</v>
      </c>
    </row>
    <row r="50" customFormat="false" ht="30" hidden="false" customHeight="false" outlineLevel="0" collapsed="false">
      <c r="A50" s="26" t="s">
        <v>41</v>
      </c>
    </row>
    <row r="51" customFormat="false" ht="15" hidden="false" customHeight="false" outlineLevel="0" collapsed="false">
      <c r="A51" s="7"/>
    </row>
    <row r="52" customFormat="false" ht="29" hidden="false" customHeight="false" outlineLevel="0" collapsed="false">
      <c r="A52" s="26" t="s">
        <v>42</v>
      </c>
    </row>
    <row r="53" customFormat="false" ht="28" hidden="false" customHeight="false" outlineLevel="0" collapsed="false">
      <c r="A53" s="26" t="s">
        <v>43</v>
      </c>
    </row>
    <row r="54" customFormat="false" ht="28" hidden="false" customHeight="false" outlineLevel="0" collapsed="false">
      <c r="A54" s="26" t="s">
        <v>44</v>
      </c>
    </row>
    <row r="55" customFormat="false" ht="15" hidden="false" customHeight="false" outlineLevel="0" collapsed="false">
      <c r="A55" s="7"/>
    </row>
    <row r="56" customFormat="false" ht="16" hidden="false" customHeight="false" outlineLevel="0" collapsed="false">
      <c r="A56" s="7" t="s">
        <v>45</v>
      </c>
    </row>
    <row r="57" customFormat="false" ht="15" hidden="false" customHeight="false" outlineLevel="0" collapsed="false">
      <c r="A57" s="7"/>
    </row>
    <row r="58" customFormat="false" ht="15" hidden="false" customHeight="1" outlineLevel="0" collapsed="false">
      <c r="A58" s="27" t="s">
        <v>46</v>
      </c>
      <c r="B58" s="8"/>
      <c r="C58" s="8"/>
    </row>
    <row r="59" customFormat="false" ht="29" hidden="false" customHeight="false" outlineLevel="0" collapsed="false">
      <c r="A59" s="26" t="s">
        <v>47</v>
      </c>
    </row>
    <row r="60" customFormat="false" ht="28" hidden="false" customHeight="false" outlineLevel="0" collapsed="false">
      <c r="A60" s="26" t="s">
        <v>48</v>
      </c>
    </row>
    <row r="61" customFormat="false" ht="15" hidden="false" customHeight="false" outlineLevel="0" collapsed="false">
      <c r="A61" s="7"/>
    </row>
    <row r="62" customFormat="false" ht="29" hidden="false" customHeight="false" outlineLevel="0" collapsed="false">
      <c r="A62" s="26" t="s">
        <v>49</v>
      </c>
    </row>
    <row r="63" customFormat="false" ht="29" hidden="false" customHeight="false" outlineLevel="0" collapsed="false">
      <c r="A63" s="26" t="s">
        <v>50</v>
      </c>
    </row>
    <row r="64" customFormat="false" ht="15" hidden="false" customHeight="1" outlineLevel="0" collapsed="false">
      <c r="A64" s="27" t="s">
        <v>51</v>
      </c>
      <c r="B64" s="8"/>
      <c r="C64" s="8"/>
    </row>
    <row r="65" customFormat="false" ht="29" hidden="false" customHeight="false" outlineLevel="0" collapsed="false">
      <c r="A65" s="26" t="s">
        <v>52</v>
      </c>
    </row>
    <row r="66" customFormat="false" ht="15" hidden="false" customHeight="false" outlineLevel="0" collapsed="false">
      <c r="A66" s="7"/>
    </row>
    <row r="67" customFormat="false" ht="16" hidden="false" customHeight="false" outlineLevel="0" collapsed="false">
      <c r="A67" s="7" t="s">
        <v>53</v>
      </c>
    </row>
    <row r="68" customFormat="false" ht="15" hidden="false" customHeight="false" outlineLevel="0" collapsed="false">
      <c r="A68" s="7"/>
    </row>
    <row r="69" customFormat="false" ht="16" hidden="false" customHeight="false" outlineLevel="0" collapsed="false">
      <c r="A69" s="7" t="s">
        <v>54</v>
      </c>
    </row>
    <row r="70" customFormat="false" ht="29" hidden="false" customHeight="false" outlineLevel="0" collapsed="false">
      <c r="A70" s="26" t="s">
        <v>55</v>
      </c>
    </row>
    <row r="71" customFormat="false" ht="16" hidden="false" customHeight="false" outlineLevel="0" collapsed="false">
      <c r="A71" s="7" t="s">
        <v>56</v>
      </c>
    </row>
    <row r="72" customFormat="false" ht="15" hidden="false" customHeight="false" outlineLevel="0" collapsed="false">
      <c r="A72" s="7"/>
    </row>
    <row r="73" customFormat="false" ht="16" hidden="false" customHeight="false" outlineLevel="0" collapsed="false">
      <c r="A73" s="7" t="s">
        <v>57</v>
      </c>
    </row>
    <row r="74" customFormat="false" ht="15" hidden="false" customHeight="false" outlineLevel="0" collapsed="false">
      <c r="A74" s="7"/>
    </row>
    <row r="75" customFormat="false" ht="29" hidden="false" customHeight="false" outlineLevel="0" collapsed="false">
      <c r="A75" s="26" t="s">
        <v>58</v>
      </c>
    </row>
    <row r="76" customFormat="false" ht="43" hidden="false" customHeight="false" outlineLevel="0" collapsed="false">
      <c r="A76" s="26" t="s">
        <v>59</v>
      </c>
    </row>
    <row r="77" customFormat="false" ht="29" hidden="false" customHeight="false" outlineLevel="0" collapsed="false">
      <c r="A77" s="26" t="s">
        <v>60</v>
      </c>
    </row>
    <row r="78" customFormat="false" ht="29" hidden="false" customHeight="false" outlineLevel="0" collapsed="false">
      <c r="A78" s="26" t="s">
        <v>61</v>
      </c>
    </row>
    <row r="79" customFormat="false" ht="15" hidden="false" customHeight="false" outlineLevel="0" collapsed="false">
      <c r="A79" s="7" t="s">
        <v>62</v>
      </c>
    </row>
    <row r="80" customFormat="false" ht="15" hidden="false" customHeight="false" outlineLevel="0" collapsed="false">
      <c r="A80" s="7"/>
    </row>
    <row r="81" customFormat="false" ht="28" hidden="false" customHeight="false" outlineLevel="0" collapsed="false">
      <c r="A81" s="26" t="s">
        <v>63</v>
      </c>
    </row>
    <row r="82" customFormat="false" ht="16" hidden="false" customHeight="false" outlineLevel="0" collapsed="false">
      <c r="A82" s="7" t="s">
        <v>64</v>
      </c>
    </row>
    <row r="83" customFormat="false" ht="28" hidden="false" customHeight="false" outlineLevel="0" collapsed="false">
      <c r="A83" s="26" t="s">
        <v>65</v>
      </c>
    </row>
    <row r="84" customFormat="false" ht="29" hidden="false" customHeight="false" outlineLevel="0" collapsed="false">
      <c r="A84" s="26" t="s">
        <v>66</v>
      </c>
    </row>
    <row r="85" customFormat="false" ht="30" hidden="false" customHeight="false" outlineLevel="0" collapsed="false">
      <c r="A85" s="26" t="s">
        <v>67</v>
      </c>
    </row>
    <row r="86" customFormat="false" ht="15" hidden="false" customHeight="false" outlineLevel="0" collapsed="false">
      <c r="A86" s="7"/>
    </row>
    <row r="87" customFormat="false" ht="16" hidden="false" customHeight="false" outlineLevel="0" collapsed="false">
      <c r="A87" s="7" t="s">
        <v>68</v>
      </c>
    </row>
    <row r="88" customFormat="false" ht="29" hidden="false" customHeight="false" outlineLevel="0" collapsed="false">
      <c r="A88" s="26" t="s">
        <v>69</v>
      </c>
    </row>
    <row r="89" customFormat="false" ht="15" hidden="false" customHeight="false" outlineLevel="0" collapsed="false">
      <c r="A89" s="7" t="s">
        <v>70</v>
      </c>
    </row>
    <row r="90" customFormat="false" ht="28" hidden="false" customHeight="false" outlineLevel="0" collapsed="false">
      <c r="A90" s="26" t="s">
        <v>71</v>
      </c>
    </row>
    <row r="91" customFormat="false" ht="15" hidden="false" customHeight="false" outlineLevel="0" collapsed="false">
      <c r="A91" s="7"/>
    </row>
    <row r="92" customFormat="false" ht="16" hidden="false" customHeight="false" outlineLevel="0" collapsed="false">
      <c r="A92" s="7" t="s">
        <v>72</v>
      </c>
    </row>
    <row r="93" customFormat="false" ht="15" hidden="false" customHeight="false" outlineLevel="0" collapsed="false">
      <c r="A93" s="7"/>
    </row>
    <row r="94" customFormat="false" ht="29" hidden="false" customHeight="false" outlineLevel="0" collapsed="false">
      <c r="A94" s="26" t="s">
        <v>73</v>
      </c>
    </row>
    <row r="95" customFormat="false" ht="30" hidden="false" customHeight="false" outlineLevel="0" collapsed="false">
      <c r="A95" s="26" t="s">
        <v>74</v>
      </c>
    </row>
    <row r="96" customFormat="false" ht="15" hidden="false" customHeight="false" outlineLevel="0" collapsed="false">
      <c r="A96" s="7"/>
    </row>
    <row r="97" customFormat="false" ht="15" hidden="false" customHeight="false" outlineLevel="0" collapsed="false">
      <c r="A97" s="7" t="s">
        <v>75</v>
      </c>
    </row>
    <row r="98" customFormat="false" ht="29" hidden="false" customHeight="false" outlineLevel="0" collapsed="false">
      <c r="A98" s="26" t="s">
        <v>76</v>
      </c>
    </row>
    <row r="99" customFormat="false" ht="16" hidden="false" customHeight="false" outlineLevel="0" collapsed="false">
      <c r="A99" s="24" t="s">
        <v>77</v>
      </c>
    </row>
    <row r="100" customFormat="false" ht="16" hidden="false" customHeight="false" outlineLevel="0" collapsed="false">
      <c r="A100" s="7" t="s">
        <v>78</v>
      </c>
    </row>
    <row r="101" customFormat="false" ht="28" hidden="false" customHeight="false" outlineLevel="0" collapsed="false">
      <c r="A101" s="26" t="s">
        <v>79</v>
      </c>
    </row>
    <row r="102" customFormat="false" ht="28" hidden="false" customHeight="false" outlineLevel="0" collapsed="false">
      <c r="A102" s="26" t="s">
        <v>80</v>
      </c>
    </row>
    <row r="103" customFormat="false" ht="29" hidden="false" customHeight="false" outlineLevel="0" collapsed="false">
      <c r="A103" s="26" t="s">
        <v>81</v>
      </c>
    </row>
    <row r="104" customFormat="false" ht="16" hidden="false" customHeight="false" outlineLevel="0" collapsed="false">
      <c r="A104" s="26" t="s">
        <v>82</v>
      </c>
    </row>
    <row r="105" customFormat="false" ht="15" hidden="false" customHeight="false" outlineLevel="0" collapsed="false">
      <c r="A105" s="7"/>
    </row>
    <row r="106" customFormat="false" ht="16" hidden="false" customHeight="false" outlineLevel="0" collapsed="false">
      <c r="A106" s="7" t="s">
        <v>83</v>
      </c>
    </row>
    <row r="107" customFormat="false" ht="15" hidden="false" customHeight="false" outlineLevel="0" collapsed="false">
      <c r="A107" s="7"/>
    </row>
    <row r="108" customFormat="false" ht="16" hidden="false" customHeight="false" outlineLevel="0" collapsed="false">
      <c r="A108" s="5" t="s">
        <v>84</v>
      </c>
    </row>
    <row r="109" customFormat="false" ht="15" hidden="false" customHeight="false" outlineLevel="0" collapsed="false">
      <c r="A109" s="7"/>
    </row>
    <row r="110" customFormat="false" ht="29" hidden="false" customHeight="false" outlineLevel="0" collapsed="false">
      <c r="A110" s="26" t="s">
        <v>85</v>
      </c>
    </row>
    <row r="111" customFormat="false" ht="29" hidden="false" customHeight="false" outlineLevel="0" collapsed="false">
      <c r="A111" s="26" t="s">
        <v>86</v>
      </c>
    </row>
    <row r="112" customFormat="false" ht="16" hidden="false" customHeight="false" outlineLevel="0" collapsed="false">
      <c r="A112" s="26" t="s">
        <v>87</v>
      </c>
    </row>
    <row r="113" customFormat="false" ht="15" hidden="false" customHeight="false" outlineLevel="0" collapsed="false">
      <c r="A113" s="7"/>
    </row>
    <row r="114" customFormat="false" ht="16" hidden="false" customHeight="false" outlineLevel="0" collapsed="false">
      <c r="A114" s="7" t="s">
        <v>88</v>
      </c>
    </row>
    <row r="115" customFormat="false" ht="15" hidden="false" customHeight="false" outlineLevel="0" collapsed="false">
      <c r="A115" s="7"/>
    </row>
    <row r="116" customFormat="false" ht="15" hidden="false" customHeight="false" outlineLevel="0" collapsed="false">
      <c r="A116" s="7" t="s">
        <v>89</v>
      </c>
    </row>
    <row r="117" customFormat="false" ht="29" hidden="false" customHeight="false" outlineLevel="0" collapsed="false">
      <c r="A117" s="24" t="s">
        <v>90</v>
      </c>
    </row>
    <row r="118" customFormat="false" ht="15" hidden="false" customHeight="false" outlineLevel="0" collapsed="false">
      <c r="A118" s="7" t="s">
        <v>91</v>
      </c>
    </row>
    <row r="119" customFormat="false" ht="29" hidden="false" customHeight="false" outlineLevel="0" collapsed="false">
      <c r="A119" s="24" t="s">
        <v>92</v>
      </c>
    </row>
    <row r="120" customFormat="false" ht="29" hidden="false" customHeight="false" outlineLevel="0" collapsed="false">
      <c r="A120" s="26" t="s">
        <v>93</v>
      </c>
    </row>
    <row r="121" customFormat="false" ht="28" hidden="false" customHeight="false" outlineLevel="0" collapsed="false">
      <c r="A121" s="26" t="s">
        <v>94</v>
      </c>
    </row>
    <row r="122" customFormat="false" ht="15" hidden="false" customHeight="false" outlineLevel="0" collapsed="false">
      <c r="A122" s="26" t="s">
        <v>95</v>
      </c>
    </row>
    <row r="123" customFormat="false" ht="15" hidden="false" customHeight="false" outlineLevel="0" collapsed="false">
      <c r="A123" s="7"/>
    </row>
    <row r="124" customFormat="false" ht="16" hidden="false" customHeight="false" outlineLevel="0" collapsed="false">
      <c r="A124" s="7" t="s">
        <v>96</v>
      </c>
    </row>
    <row r="125" customFormat="false" ht="15" hidden="false" customHeight="false" outlineLevel="0" collapsed="false">
      <c r="A125" s="7"/>
    </row>
    <row r="126" customFormat="false" ht="15" hidden="false" customHeight="false" outlineLevel="0" collapsed="false">
      <c r="A126" s="7" t="s">
        <v>97</v>
      </c>
    </row>
    <row r="127" customFormat="false" ht="29" hidden="false" customHeight="false" outlineLevel="0" collapsed="false">
      <c r="A127" s="24" t="s">
        <v>98</v>
      </c>
    </row>
    <row r="128" customFormat="false" ht="16" hidden="false" customHeight="false" outlineLevel="0" collapsed="false">
      <c r="A128" s="26" t="s">
        <v>99</v>
      </c>
    </row>
    <row r="129" customFormat="false" ht="29" hidden="false" customHeight="false" outlineLevel="0" collapsed="false">
      <c r="A129" s="26" t="s">
        <v>100</v>
      </c>
    </row>
    <row r="130" customFormat="false" ht="42" hidden="false" customHeight="false" outlineLevel="0" collapsed="false">
      <c r="A130" s="26" t="s">
        <v>101</v>
      </c>
    </row>
    <row r="131" customFormat="false" ht="29" hidden="false" customHeight="false" outlineLevel="0" collapsed="false">
      <c r="A131" s="26" t="s">
        <v>102</v>
      </c>
    </row>
    <row r="132" customFormat="false" ht="29" hidden="false" customHeight="false" outlineLevel="0" collapsed="false">
      <c r="A132" s="26" t="s">
        <v>103</v>
      </c>
    </row>
    <row r="133" customFormat="false" ht="16" hidden="false" customHeight="false" outlineLevel="0" collapsed="false">
      <c r="A133" s="5" t="s">
        <v>104</v>
      </c>
    </row>
    <row r="134" customFormat="false" ht="16" hidden="false" customHeight="false" outlineLevel="0" collapsed="false">
      <c r="A134" s="5" t="s">
        <v>105</v>
      </c>
    </row>
    <row r="135" customFormat="false" ht="16" hidden="false" customHeight="false" outlineLevel="0" collapsed="false">
      <c r="A135" s="5" t="s">
        <v>106</v>
      </c>
    </row>
    <row r="137" customFormat="false" ht="15.5" hidden="false" customHeight="false" outlineLevel="0" collapsed="false">
      <c r="A137" s="28" t="s">
        <v>107</v>
      </c>
    </row>
    <row r="138" customFormat="false" ht="15.5" hidden="false" customHeight="false" outlineLevel="0" collapsed="false">
      <c r="A138" s="2" t="s">
        <v>108</v>
      </c>
    </row>
    <row r="139" customFormat="false" ht="15.5" hidden="false" customHeight="false" outlineLevel="0" collapsed="false">
      <c r="A139" s="2" t="s">
        <v>109</v>
      </c>
    </row>
    <row r="140" customFormat="false" ht="15.5" hidden="false" customHeight="false" outlineLevel="0" collapsed="false">
      <c r="A140" s="2" t="s">
        <v>110</v>
      </c>
    </row>
    <row r="141" customFormat="false" ht="15.5" hidden="false" customHeight="false" outlineLevel="0" collapsed="false">
      <c r="A141" s="2" t="s">
        <v>111</v>
      </c>
    </row>
    <row r="142" customFormat="false" ht="15.5" hidden="false" customHeight="false" outlineLevel="0" collapsed="false">
      <c r="A142" s="2" t="s">
        <v>112</v>
      </c>
    </row>
    <row r="143" customFormat="false" ht="15.5" hidden="false" customHeight="false" outlineLevel="0" collapsed="false">
      <c r="A143" s="2" t="s">
        <v>113</v>
      </c>
    </row>
    <row r="144" customFormat="false" ht="15.5" hidden="false" customHeight="false" outlineLevel="0" collapsed="false">
      <c r="A144" s="2" t="s">
        <v>114</v>
      </c>
    </row>
    <row r="146" customFormat="false" ht="15" hidden="false" customHeight="false" outlineLevel="0" collapsed="false">
      <c r="A146" s="4" t="s">
        <v>115</v>
      </c>
    </row>
    <row r="147" customFormat="false" ht="30" hidden="false" customHeight="false" outlineLevel="0" collapsed="false">
      <c r="A147" s="26" t="s">
        <v>116</v>
      </c>
    </row>
    <row r="148" customFormat="false" ht="28" hidden="false" customHeight="false" outlineLevel="0" collapsed="false">
      <c r="A148" s="26" t="s">
        <v>117</v>
      </c>
    </row>
    <row r="149" customFormat="false" ht="15" hidden="false" customHeight="false" outlineLevel="0" collapsed="false">
      <c r="A149" s="7"/>
    </row>
    <row r="150" customFormat="false" ht="15" hidden="false" customHeight="false" outlineLevel="0" collapsed="false">
      <c r="A150" s="4" t="s">
        <v>118</v>
      </c>
    </row>
    <row r="151" customFormat="false" ht="28" hidden="false" customHeight="false" outlineLevel="0" collapsed="false">
      <c r="A151" s="26" t="s">
        <v>119</v>
      </c>
    </row>
    <row r="152" customFormat="false" ht="29" hidden="false" customHeight="false" outlineLevel="0" collapsed="false">
      <c r="A152" s="26" t="s">
        <v>120</v>
      </c>
    </row>
    <row r="154" customFormat="false" ht="15.5" hidden="false" customHeight="false" outlineLevel="0" collapsed="false">
      <c r="A154" s="9" t="s">
        <v>121</v>
      </c>
    </row>
  </sheetData>
  <mergeCells count="6">
    <mergeCell ref="A5:L5"/>
    <mergeCell ref="A6:J6"/>
    <mergeCell ref="A13:I13"/>
    <mergeCell ref="A15:J15"/>
    <mergeCell ref="A58:J58"/>
    <mergeCell ref="A64:I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I174"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122</v>
      </c>
      <c r="B1" s="11"/>
      <c r="C1" s="11"/>
      <c r="D1" s="11"/>
    </row>
    <row r="3" customFormat="false" ht="15.5" hidden="false" customHeight="false" outlineLevel="0" collapsed="false">
      <c r="A3" s="12" t="s">
        <v>123</v>
      </c>
      <c r="B3" s="12"/>
      <c r="C3" s="12"/>
      <c r="D3" s="13"/>
      <c r="E3" s="13"/>
      <c r="F3" s="13"/>
      <c r="G3" s="13"/>
      <c r="H3" s="13"/>
    </row>
    <row r="4" customFormat="false" ht="15" hidden="false" customHeight="false" outlineLevel="0" collapsed="false">
      <c r="A4" s="14" t="s">
        <v>124</v>
      </c>
      <c r="B4" s="14" t="s">
        <v>125</v>
      </c>
      <c r="C4" s="14" t="s">
        <v>118</v>
      </c>
      <c r="D4" s="14"/>
      <c r="E4" s="14"/>
      <c r="F4" s="14"/>
      <c r="G4" s="14"/>
      <c r="H4" s="14"/>
    </row>
    <row r="5" customFormat="false" ht="16" hidden="false" customHeight="false" outlineLevel="0" collapsed="false">
      <c r="A5" s="15" t="s">
        <v>126</v>
      </c>
      <c r="B5" s="16" t="n">
        <f aca="false">3^5</f>
        <v>243</v>
      </c>
      <c r="C5" s="17" t="s">
        <v>127</v>
      </c>
      <c r="D5" s="17"/>
      <c r="E5" s="17"/>
    </row>
    <row r="6" customFormat="false" ht="16" hidden="false" customHeight="false" outlineLevel="0" collapsed="false">
      <c r="A6" s="10" t="s">
        <v>128</v>
      </c>
      <c r="B6" s="16" t="n">
        <f aca="false">3^3</f>
        <v>27</v>
      </c>
      <c r="C6" s="17" t="s">
        <v>129</v>
      </c>
      <c r="D6" s="17"/>
      <c r="E6" s="17"/>
      <c r="F6" s="17"/>
    </row>
    <row r="7" customFormat="false" ht="16" hidden="false" customHeight="false" outlineLevel="0" collapsed="false">
      <c r="A7" s="10" t="s">
        <v>130</v>
      </c>
      <c r="B7" s="16" t="n">
        <f aca="false">3^4</f>
        <v>81</v>
      </c>
      <c r="C7" s="17" t="s">
        <v>131</v>
      </c>
      <c r="D7" s="17"/>
      <c r="E7" s="17"/>
      <c r="F7" s="17"/>
    </row>
    <row r="8" customFormat="false" ht="16" hidden="false" customHeight="false" outlineLevel="0" collapsed="false">
      <c r="A8" s="10" t="s">
        <v>132</v>
      </c>
      <c r="B8" s="18" t="n">
        <v>243</v>
      </c>
      <c r="C8" s="17" t="s">
        <v>133</v>
      </c>
      <c r="D8" s="17"/>
      <c r="E8" s="17"/>
      <c r="F8" s="17"/>
    </row>
    <row r="9" customFormat="false" ht="16" hidden="false" customHeight="false" outlineLevel="0" collapsed="false">
      <c r="A9" s="10" t="s">
        <v>134</v>
      </c>
      <c r="B9" s="19" t="n">
        <f aca="false">$B$8/27</f>
        <v>9</v>
      </c>
      <c r="C9" s="17" t="s">
        <v>135</v>
      </c>
      <c r="D9" s="17"/>
      <c r="E9" s="17"/>
      <c r="F9" s="17"/>
      <c r="G9" s="17"/>
    </row>
    <row r="10" customFormat="false" ht="16" hidden="false" customHeight="false" outlineLevel="0" collapsed="false">
      <c r="A10" s="10" t="s">
        <v>136</v>
      </c>
      <c r="B10" s="19" t="n">
        <f aca="false">$B$8/81</f>
        <v>3</v>
      </c>
      <c r="C10" s="10" t="s">
        <v>137</v>
      </c>
    </row>
    <row r="11" customFormat="false" ht="16" hidden="false" customHeight="false" outlineLevel="0" collapsed="false">
      <c r="A11" s="10" t="s">
        <v>138</v>
      </c>
      <c r="B11" s="20" t="n">
        <f aca="false">$B$8/27</f>
        <v>9</v>
      </c>
      <c r="C11" s="17" t="s">
        <v>139</v>
      </c>
      <c r="D11" s="17"/>
    </row>
    <row r="12" customFormat="false" ht="16" hidden="false" customHeight="false" outlineLevel="0" collapsed="false">
      <c r="A12" s="10" t="s">
        <v>140</v>
      </c>
      <c r="B12" s="20" t="n">
        <f aca="false">$B$8/81</f>
        <v>3</v>
      </c>
      <c r="C12" s="17" t="s">
        <v>141</v>
      </c>
      <c r="D12" s="17"/>
    </row>
    <row r="13" customFormat="false" ht="16" hidden="false" customHeight="false" outlineLevel="0" collapsed="false">
      <c r="A13" s="10" t="s">
        <v>142</v>
      </c>
      <c r="B13" s="20" t="n">
        <f aca="false">B12/B11</f>
        <v>0.333333333333333</v>
      </c>
      <c r="C13" s="17" t="s">
        <v>143</v>
      </c>
      <c r="D13" s="17"/>
      <c r="E13" s="17"/>
      <c r="F13" s="17"/>
    </row>
    <row r="15" customFormat="false" ht="15.5" hidden="false" customHeight="false" outlineLevel="0" collapsed="false">
      <c r="A15" s="12" t="s">
        <v>144</v>
      </c>
      <c r="B15" s="12"/>
      <c r="C15" s="12"/>
      <c r="D15" s="12"/>
      <c r="E15" s="13"/>
      <c r="F15" s="13"/>
      <c r="G15" s="13"/>
      <c r="H15" s="13"/>
    </row>
    <row r="16" customFormat="false" ht="15" hidden="false" customHeight="false" outlineLevel="0" collapsed="false">
      <c r="A16" s="14" t="s">
        <v>145</v>
      </c>
      <c r="B16" s="14" t="s">
        <v>146</v>
      </c>
      <c r="C16" s="14" t="s">
        <v>125</v>
      </c>
      <c r="D16" s="14" t="s">
        <v>118</v>
      </c>
      <c r="E16" s="14"/>
      <c r="F16" s="14"/>
      <c r="G16" s="14"/>
      <c r="H16" s="14"/>
    </row>
    <row r="17" customFormat="false" ht="16" hidden="false" customHeight="false" outlineLevel="0" collapsed="false">
      <c r="A17" s="10" t="s">
        <v>147</v>
      </c>
      <c r="B17" s="10" t="s">
        <v>148</v>
      </c>
      <c r="C17" s="18" t="n">
        <v>30</v>
      </c>
      <c r="D17" s="10" t="s">
        <v>149</v>
      </c>
    </row>
    <row r="18" customFormat="false" ht="16" hidden="false" customHeight="false" outlineLevel="0" collapsed="false">
      <c r="A18" s="10" t="s">
        <v>150</v>
      </c>
      <c r="B18" s="10" t="s">
        <v>148</v>
      </c>
      <c r="C18" s="18" t="n">
        <v>20</v>
      </c>
      <c r="D18" s="17" t="s">
        <v>151</v>
      </c>
      <c r="E18" s="17"/>
      <c r="F18" s="17"/>
      <c r="G18" s="17"/>
    </row>
    <row r="19" customFormat="false" ht="16" hidden="false" customHeight="false" outlineLevel="0" collapsed="false">
      <c r="A19" s="15" t="s">
        <v>152</v>
      </c>
      <c r="B19" s="10" t="s">
        <v>153</v>
      </c>
      <c r="C19" s="19" t="n">
        <f aca="false">$C$17/$C$18</f>
        <v>1.5</v>
      </c>
      <c r="D19" s="10" t="s">
        <v>154</v>
      </c>
    </row>
    <row r="20" customFormat="false" ht="16" hidden="false" customHeight="false" outlineLevel="0" collapsed="false">
      <c r="A20" s="15" t="s">
        <v>155</v>
      </c>
      <c r="B20" s="10" t="s">
        <v>148</v>
      </c>
      <c r="C20" s="18" t="n">
        <v>18</v>
      </c>
      <c r="D20" s="17" t="s">
        <v>156</v>
      </c>
      <c r="E20" s="17"/>
      <c r="F20" s="17"/>
      <c r="G20" s="17"/>
    </row>
    <row r="21" customFormat="false" ht="16" hidden="false" customHeight="false" outlineLevel="0" collapsed="false">
      <c r="A21" s="15" t="s">
        <v>157</v>
      </c>
      <c r="B21" s="10" t="s">
        <v>158</v>
      </c>
      <c r="C21" s="20" t="n">
        <f aca="false">$C$17/$C$20</f>
        <v>1.66666666666667</v>
      </c>
      <c r="D21" s="17" t="s">
        <v>159</v>
      </c>
      <c r="E21" s="17"/>
      <c r="F21" s="17"/>
      <c r="G21" s="17"/>
      <c r="H21" s="17"/>
    </row>
    <row r="23" customFormat="false" ht="15.5" hidden="false" customHeight="false" outlineLevel="0" collapsed="false">
      <c r="A23" s="12" t="s">
        <v>160</v>
      </c>
      <c r="B23" s="12"/>
      <c r="C23" s="12"/>
      <c r="D23" s="12"/>
      <c r="E23" s="13"/>
      <c r="F23" s="13"/>
      <c r="G23" s="13"/>
      <c r="H23" s="13"/>
    </row>
    <row r="24" customFormat="false" ht="15" hidden="false" customHeight="false" outlineLevel="0" collapsed="false">
      <c r="A24" s="14" t="s">
        <v>145</v>
      </c>
      <c r="B24" s="14" t="s">
        <v>161</v>
      </c>
      <c r="C24" s="14" t="s">
        <v>162</v>
      </c>
      <c r="D24" s="14" t="s">
        <v>118</v>
      </c>
      <c r="E24" s="14"/>
      <c r="F24" s="14"/>
      <c r="G24" s="14"/>
      <c r="H24" s="14"/>
    </row>
    <row r="25" customFormat="false" ht="16" hidden="false" customHeight="false" outlineLevel="0" collapsed="false">
      <c r="A25" s="15" t="s">
        <v>163</v>
      </c>
      <c r="B25" s="10" t="s">
        <v>164</v>
      </c>
      <c r="C25" s="10" t="s">
        <v>165</v>
      </c>
      <c r="D25" s="17" t="s">
        <v>166</v>
      </c>
      <c r="E25" s="17"/>
      <c r="F25" s="17"/>
      <c r="G25" s="17"/>
      <c r="H25" s="17"/>
    </row>
    <row r="26" customFormat="false" ht="16" hidden="false" customHeight="false" outlineLevel="0" collapsed="false">
      <c r="A26" s="15" t="s">
        <v>167</v>
      </c>
      <c r="B26" s="10" t="s">
        <v>168</v>
      </c>
      <c r="C26" s="10" t="s">
        <v>169</v>
      </c>
      <c r="D26" s="17" t="s">
        <v>170</v>
      </c>
      <c r="E26" s="17"/>
      <c r="F26" s="17"/>
      <c r="G26" s="17"/>
    </row>
    <row r="28" customFormat="false" ht="15.5" hidden="false" customHeight="false" outlineLevel="0" collapsed="false">
      <c r="A28" s="12" t="s">
        <v>171</v>
      </c>
      <c r="B28" s="12"/>
      <c r="C28" s="12"/>
      <c r="D28" s="13"/>
      <c r="E28" s="13"/>
      <c r="F28" s="13"/>
      <c r="G28" s="13"/>
      <c r="H28" s="13"/>
    </row>
    <row r="29" customFormat="false" ht="15" hidden="false" customHeight="false" outlineLevel="0" collapsed="false">
      <c r="A29" s="14" t="s">
        <v>124</v>
      </c>
      <c r="B29" s="14" t="s">
        <v>125</v>
      </c>
      <c r="C29" s="14" t="s">
        <v>118</v>
      </c>
      <c r="D29" s="14"/>
      <c r="E29" s="14"/>
      <c r="F29" s="14"/>
      <c r="G29" s="14"/>
      <c r="H29" s="14"/>
    </row>
    <row r="30" customFormat="false" ht="16" hidden="false" customHeight="false" outlineLevel="0" collapsed="false">
      <c r="A30" s="15" t="s">
        <v>172</v>
      </c>
      <c r="B30" s="18" t="n">
        <v>5</v>
      </c>
      <c r="C30" s="15" t="s">
        <v>173</v>
      </c>
    </row>
    <row r="31" customFormat="false" ht="16" hidden="false" customHeight="false" outlineLevel="0" collapsed="false">
      <c r="A31" s="10" t="s">
        <v>174</v>
      </c>
      <c r="B31" s="18" t="n">
        <v>2</v>
      </c>
    </row>
    <row r="32" customFormat="false" ht="16" hidden="false" customHeight="false" outlineLevel="0" collapsed="false">
      <c r="A32" s="10" t="s">
        <v>175</v>
      </c>
      <c r="B32" s="18" t="n">
        <v>2</v>
      </c>
    </row>
    <row r="33" customFormat="false" ht="16" hidden="false" customHeight="false" outlineLevel="0" collapsed="false">
      <c r="A33" s="10" t="s">
        <v>176</v>
      </c>
      <c r="B33" s="18" t="n">
        <v>2</v>
      </c>
    </row>
    <row r="34" customFormat="false" ht="16" hidden="false" customHeight="false" outlineLevel="0" collapsed="false">
      <c r="A34" s="15" t="s">
        <v>177</v>
      </c>
      <c r="B34" s="19" t="n">
        <f aca="false">$C$17/$C$18*B30</f>
        <v>7.5</v>
      </c>
      <c r="C34" s="17" t="s">
        <v>178</v>
      </c>
      <c r="D34" s="17"/>
    </row>
    <row r="35" customFormat="false" ht="16" hidden="false" customHeight="false" outlineLevel="0" collapsed="false">
      <c r="A35" s="15" t="s">
        <v>179</v>
      </c>
      <c r="B35" s="19" t="n">
        <f aca="false">$C$17/$C$20*B30*B31*B32*B33</f>
        <v>66.6666666666667</v>
      </c>
      <c r="C35" s="17" t="s">
        <v>180</v>
      </c>
      <c r="D35" s="17"/>
      <c r="E35" s="17"/>
      <c r="F35" s="17"/>
    </row>
    <row r="36" customFormat="false" ht="16" hidden="false" customHeight="false" outlineLevel="0" collapsed="false">
      <c r="A36" s="10" t="s">
        <v>181</v>
      </c>
      <c r="B36" s="19" t="n">
        <f aca="false">B35/B34</f>
        <v>8.88888888888889</v>
      </c>
      <c r="C36" s="21" t="s">
        <v>182</v>
      </c>
      <c r="D36" s="21"/>
      <c r="E36" s="21"/>
    </row>
    <row r="38" customFormat="false" ht="15.5" hidden="false" customHeight="false" outlineLevel="0" collapsed="false">
      <c r="A38" s="12" t="s">
        <v>183</v>
      </c>
      <c r="B38" s="12"/>
      <c r="C38" s="12"/>
      <c r="D38" s="13"/>
      <c r="E38" s="13"/>
      <c r="F38" s="13"/>
      <c r="G38" s="13"/>
      <c r="H38" s="13"/>
    </row>
    <row r="39" customFormat="false" ht="15" hidden="false" customHeight="false" outlineLevel="0" collapsed="false">
      <c r="A39" s="14" t="s">
        <v>184</v>
      </c>
      <c r="B39" s="14" t="s">
        <v>185</v>
      </c>
      <c r="C39" s="14" t="s">
        <v>118</v>
      </c>
      <c r="D39" s="14"/>
      <c r="E39" s="14"/>
      <c r="F39" s="14"/>
      <c r="G39" s="14"/>
      <c r="H39" s="14"/>
    </row>
    <row r="40" customFormat="false" ht="16" hidden="false" customHeight="false" outlineLevel="0" collapsed="false">
      <c r="A40" s="15" t="s">
        <v>186</v>
      </c>
      <c r="B40" s="22" t="str">
        <f aca="false">IF(B5=243,"✓","✗")</f>
        <v>✓</v>
      </c>
    </row>
    <row r="41" customFormat="false" ht="16" hidden="false" customHeight="false" outlineLevel="0" collapsed="false">
      <c r="A41" s="15" t="s">
        <v>187</v>
      </c>
      <c r="B41" s="22" t="str">
        <f aca="false">IF(ABS(27/27-1)&lt;0.000000001,"✓","✗")</f>
        <v>✓</v>
      </c>
      <c r="C41" s="10" t="s">
        <v>188</v>
      </c>
    </row>
    <row r="42" customFormat="false" ht="16" hidden="false" customHeight="false" outlineLevel="0" collapsed="false">
      <c r="A42" s="10" t="s">
        <v>189</v>
      </c>
      <c r="B42" s="22" t="str">
        <f aca="false">IF($B$8/27&gt;=1,"✓","✗")</f>
        <v>✓</v>
      </c>
      <c r="C42" s="15" t="s">
        <v>190</v>
      </c>
    </row>
    <row r="43" customFormat="false" ht="16" hidden="false" customHeight="false" outlineLevel="0" collapsed="false">
      <c r="A43" s="15" t="s">
        <v>191</v>
      </c>
      <c r="B43" s="22" t="str">
        <f aca="false">IF(ABS($C$17/$C$20-$C$17/$C$18)&gt;0.000000001,"✓","✗")</f>
        <v>✓</v>
      </c>
      <c r="C43" s="17" t="s">
        <v>192</v>
      </c>
      <c r="D43" s="17"/>
    </row>
    <row r="45" customFormat="false" ht="28" hidden="false" customHeight="true" outlineLevel="0" collapsed="false">
      <c r="A45" s="23" t="s">
        <v>193</v>
      </c>
      <c r="B45" s="23"/>
      <c r="C45" s="23"/>
      <c r="D45" s="23"/>
    </row>
  </sheetData>
  <mergeCells count="24">
    <mergeCell ref="A1:D1"/>
    <mergeCell ref="A3:C3"/>
    <mergeCell ref="C5:E5"/>
    <mergeCell ref="C6:F6"/>
    <mergeCell ref="C7:F7"/>
    <mergeCell ref="C8:F8"/>
    <mergeCell ref="C9:G9"/>
    <mergeCell ref="C11:D11"/>
    <mergeCell ref="C12:D12"/>
    <mergeCell ref="C13:F13"/>
    <mergeCell ref="A15:D15"/>
    <mergeCell ref="D18:G18"/>
    <mergeCell ref="D20:G20"/>
    <mergeCell ref="D21:H21"/>
    <mergeCell ref="A23:D23"/>
    <mergeCell ref="D25:H25"/>
    <mergeCell ref="D26:G26"/>
    <mergeCell ref="A28:C28"/>
    <mergeCell ref="C34:D34"/>
    <mergeCell ref="C35:F35"/>
    <mergeCell ref="C36:E36"/>
    <mergeCell ref="A38:C38"/>
    <mergeCell ref="C43:D43"/>
    <mergeCell ref="A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65"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