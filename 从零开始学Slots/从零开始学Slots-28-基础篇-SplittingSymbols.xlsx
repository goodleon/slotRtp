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<sst xmlns="http://schemas.openxmlformats.org/spreadsheetml/2006/main" count="247" uniqueCount="236">
  <si>
    <r>
      <rPr>
        <b val="true"/>
        <sz val="14"/>
        <color rgb="FF1F4E79"/>
        <rFont val="Noto Sans SC"/>
        <family val="2"/>
        <charset val="134"/>
      </rPr>
      <t xml:space="preserve">从零开始学</t>
    </r>
    <r>
      <rPr>
        <b val="true"/>
        <sz val="14"/>
        <color rgb="FF1F4E79"/>
        <rFont val="Cambria"/>
        <family val="0"/>
        <charset val="1"/>
      </rPr>
      <t xml:space="preserve">Slots 28 —— </t>
    </r>
    <r>
      <rPr>
        <b val="true"/>
        <sz val="14"/>
        <color rgb="FF1F4E79"/>
        <rFont val="Noto Sans SC"/>
        <family val="2"/>
        <charset val="134"/>
      </rPr>
      <t xml:space="preserve">基础篇：</t>
    </r>
    <r>
      <rPr>
        <b val="true"/>
        <sz val="14"/>
        <color rgb="FF1F4E79"/>
        <rFont val="Cambria"/>
        <family val="0"/>
        <charset val="1"/>
      </rPr>
      <t xml:space="preserve">Splitting Symbols</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</si>
  <si>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基础篇——</t>
    </r>
    <r>
      <rPr>
        <sz val="11"/>
        <color rgb="FF808080"/>
        <rFont val="Cambria"/>
        <family val="0"/>
        <charset val="1"/>
      </rPr>
      <t xml:space="preserve">Splitting Symbols</t>
    </r>
    <r>
      <rPr>
        <sz val="11"/>
        <color rgb="FF808080"/>
        <rFont val="Noto Sans SC"/>
        <family val="2"/>
        <charset val="134"/>
      </rPr>
      <t xml:space="preserve">》  </t>
    </r>
    <r>
      <rPr>
        <sz val="11"/>
        <color rgb="FF808080"/>
        <rFont val="Cambria"/>
        <family val="0"/>
        <charset val="1"/>
      </rPr>
      <t xml:space="preserve">https://zhuanlan.zhihu.com/p/631770497</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</si>
  <si>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</si>
  <si>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</si>
  <si>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</si>
  <si>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r>
      <rPr>
        <sz val="11"/>
        <color rgb="FF808080"/>
        <rFont val="Noto Sans SC"/>
        <family val="2"/>
        <charset val="134"/>
      </rPr>
      <t xml:space="preserve">配表说明：本篇为机制篇，原文未给具体配置数值；【</t>
    </r>
    <r>
      <rPr>
        <sz val="11"/>
        <color rgb="FF808080"/>
        <rFont val="Cambria"/>
        <family val="0"/>
        <charset val="1"/>
      </rPr>
      <t xml:space="preserve">4</t>
    </r>
    <r>
      <rPr>
        <sz val="11"/>
        <color rgb="FF808080"/>
        <rFont val="Noto Sans SC"/>
        <family val="2"/>
        <charset val="134"/>
      </rPr>
      <t xml:space="preserve">】【</t>
    </r>
    <r>
      <rPr>
        <sz val="11"/>
        <color rgb="FF808080"/>
        <rFont val="Cambria"/>
        <family val="0"/>
        <charset val="1"/>
      </rPr>
      <t xml:space="preserve">5</t>
    </r>
    <r>
      <rPr>
        <sz val="11"/>
        <color rgb="FF808080"/>
        <rFont val="Noto Sans SC"/>
        <family val="2"/>
        <charset val="134"/>
      </rPr>
      <t xml:space="preserve">】【</t>
    </r>
    <r>
      <rPr>
        <sz val="11"/>
        <color rgb="FF808080"/>
        <rFont val="Cambria"/>
        <family val="0"/>
        <charset val="1"/>
      </rPr>
      <t xml:space="preserve">6</t>
    </r>
    <r>
      <rPr>
        <sz val="11"/>
        <color rgb="FF808080"/>
        <rFont val="Noto Sans SC"/>
        <family val="2"/>
        <charset val="134"/>
      </rPr>
      <t xml:space="preserve">】中的数值取自原文正文（绿灯 </t>
    </r>
    <r>
      <rPr>
        <sz val="11"/>
        <color rgb="FF808080"/>
        <rFont val="Cambria"/>
        <family val="0"/>
        <charset val="1"/>
      </rPr>
      <t xml:space="preserve">1/2/3 → </t>
    </r>
    <r>
      <rPr>
        <sz val="11"/>
        <color rgb="FF808080"/>
        <rFont val="Noto Sans SC"/>
        <family val="2"/>
        <charset val="134"/>
      </rPr>
      <t xml:space="preserve">分裂 </t>
    </r>
    <r>
      <rPr>
        <sz val="11"/>
        <color rgb="FF808080"/>
        <rFont val="Cambria"/>
        <family val="0"/>
        <charset val="1"/>
      </rPr>
      <t xml:space="preserve">2/3/4</t>
    </r>
    <r>
      <rPr>
        <sz val="11"/>
        <color rgb="FF808080"/>
        <rFont val="Noto Sans SC"/>
        <family val="2"/>
        <charset val="134"/>
      </rPr>
      <t xml:space="preserve">、</t>
    </r>
    <r>
      <rPr>
        <sz val="11"/>
        <color rgb="FF808080"/>
        <rFont val="Cambria"/>
        <family val="0"/>
        <charset val="1"/>
      </rPr>
      <t xml:space="preserve">Slashimi </t>
    </r>
    <r>
      <rPr>
        <sz val="11"/>
        <color rgb="FF808080"/>
        <rFont val="Noto Sans SC"/>
        <family val="2"/>
        <charset val="134"/>
      </rPr>
      <t xml:space="preserve">每列 </t>
    </r>
    <r>
      <rPr>
        <sz val="11"/>
        <color rgb="FF808080"/>
        <rFont val="Cambria"/>
        <family val="0"/>
        <charset val="1"/>
      </rPr>
      <t xml:space="preserve">10 </t>
    </r>
    <r>
      <rPr>
        <sz val="11"/>
        <color rgb="FF808080"/>
        <rFont val="Noto Sans SC"/>
        <family val="2"/>
        <charset val="134"/>
      </rPr>
      <t xml:space="preserve">个上限、</t>
    </r>
    <r>
      <rPr>
        <sz val="11"/>
        <color rgb="FF808080"/>
        <rFont val="Cambria"/>
        <family val="0"/>
        <charset val="1"/>
      </rPr>
      <t xml:space="preserve">Line Slots </t>
    </r>
    <r>
      <rPr>
        <sz val="11"/>
        <color rgb="FF808080"/>
        <rFont val="Noto Sans SC"/>
        <family val="2"/>
        <charset val="134"/>
      </rPr>
      <t xml:space="preserve">穷举 </t>
    </r>
    <r>
      <rPr>
        <sz val="11"/>
        <color rgb="FF808080"/>
        <rFont val="Cambria"/>
        <family val="0"/>
        <charset val="1"/>
      </rPr>
      <t xml:space="preserve">20 </t>
    </r>
    <r>
      <rPr>
        <sz val="11"/>
        <color rgb="FF808080"/>
        <rFont val="Noto Sans SC"/>
        <family val="2"/>
        <charset val="134"/>
      </rPr>
      <t xml:space="preserve">个位置），蓝字部分可按项目实际调整，公式会自动联动。</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</si>
  <si>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</si>
  <si>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</si>
  <si>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</si>
  <si>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</si>
  <si>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images/slots/631770497-NN.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</si>
  <si>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</si>
  <si>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</si>
  <si>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</si>
  <si>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t>
    </r>
    <r>
      <rPr>
        <sz val="11"/>
        <color theme="1"/>
        <rFont val="Noto Sans SC"/>
        <family val="2"/>
        <charset val="134"/>
      </rPr>
      <t xml:space="preserve">分裂图标（</t>
    </r>
    <r>
      <rPr>
        <sz val="11"/>
        <color theme="1"/>
        <rFont val="Calibri"/>
        <family val="2"/>
        <charset val="1"/>
      </rPr>
      <t xml:space="preserve">Splitting Symbols</t>
    </r>
    <r>
      <rPr>
        <sz val="11"/>
        <color theme="1"/>
        <rFont val="Noto Sans SC"/>
        <family val="2"/>
        <charset val="134"/>
      </rPr>
      <t xml:space="preserve">）：不是多出一行</t>
    </r>
    <r>
      <rPr>
        <sz val="11"/>
        <color theme="1"/>
        <rFont val="Calibri"/>
        <family val="2"/>
        <charset val="1"/>
      </rPr>
      <t xml:space="preserve">/</t>
    </r>
    <r>
      <rPr>
        <sz val="11"/>
        <color theme="1"/>
        <rFont val="Noto Sans SC"/>
        <family val="2"/>
        <charset val="134"/>
      </rPr>
      <t xml:space="preserve">一列，而是在赔付结算时「一个图标当作两个甚至更多个」，</t>
    </r>
  </si>
  <si>
    <r>
      <rPr>
        <sz val="11"/>
        <color theme="1"/>
        <rFont val="Noto Sans SC"/>
        <family val="2"/>
        <charset val="134"/>
      </rPr>
      <t xml:space="preserve">  因此赔付金额增加；常见于 </t>
    </r>
    <r>
      <rPr>
        <sz val="11"/>
        <color theme="1"/>
        <rFont val="Calibri"/>
        <family val="2"/>
        <charset val="1"/>
      </rPr>
      <t xml:space="preserve">Ways / Cluster / Grid </t>
    </r>
    <r>
      <rPr>
        <sz val="11"/>
        <color theme="1"/>
        <rFont val="Noto Sans SC"/>
        <family val="2"/>
        <charset val="134"/>
      </rPr>
      <t xml:space="preserve">这类「赔付倍数与图标个数直接相关」的玩法。</t>
    </r>
  </si>
  <si>
    <r>
      <rPr>
        <sz val="11"/>
        <color theme="1"/>
        <rFont val="Calibri"/>
        <family val="2"/>
        <charset val="1"/>
      </rPr>
      <t xml:space="preserve">· </t>
    </r>
    <r>
      <rPr>
        <sz val="11"/>
        <color theme="1"/>
        <rFont val="Noto Sans SC"/>
        <family val="2"/>
        <charset val="134"/>
      </rPr>
      <t xml:space="preserve">本质是放大 </t>
    </r>
    <r>
      <rPr>
        <sz val="11"/>
        <color theme="1"/>
        <rFont val="Calibri"/>
        <family val="2"/>
        <charset val="1"/>
      </rPr>
      <t xml:space="preserve">Ways </t>
    </r>
    <r>
      <rPr>
        <sz val="11"/>
        <color theme="1"/>
        <rFont val="Noto Sans SC"/>
        <family val="2"/>
        <charset val="134"/>
      </rPr>
      <t xml:space="preserve">公式里的「中奖各列图标个数」：</t>
    </r>
  </si>
  <si>
    <r>
      <rPr>
        <sz val="11"/>
        <color theme="1"/>
        <rFont val="Noto Sans SC"/>
        <family val="2"/>
        <charset val="134"/>
      </rPr>
      <t xml:space="preserve">  实际赔付倍数 ＝ 计算基数 </t>
    </r>
    <r>
      <rPr>
        <sz val="11"/>
        <color theme="1"/>
        <rFont val="Calibri"/>
        <family val="2"/>
        <charset val="1"/>
      </rPr>
      <t xml:space="preserve">× </t>
    </r>
    <r>
      <rPr>
        <sz val="11"/>
        <color theme="1"/>
        <rFont val="Noto Sans SC"/>
        <family val="2"/>
        <charset val="134"/>
      </rPr>
      <t xml:space="preserve">赔付系数 </t>
    </r>
    <r>
      <rPr>
        <sz val="11"/>
        <color theme="1"/>
        <rFont val="Calibri"/>
        <family val="2"/>
        <charset val="1"/>
      </rPr>
      <t xml:space="preserve">× </t>
    </r>
    <r>
      <rPr>
        <sz val="11"/>
        <color theme="1"/>
        <rFont val="Noto Sans SC"/>
        <family val="2"/>
        <charset val="134"/>
      </rPr>
      <t xml:space="preserve">中奖各列图标个数乘积。</t>
    </r>
  </si>
  <si>
    <r>
      <rPr>
        <sz val="11"/>
        <color theme="1"/>
        <rFont val="Calibri"/>
        <family val="2"/>
        <charset val="1"/>
      </rPr>
      <t xml:space="preserve">· </t>
    </r>
    <r>
      <rPr>
        <sz val="11"/>
        <color theme="1"/>
        <rFont val="Noto Sans SC"/>
        <family val="2"/>
        <charset val="134"/>
      </rPr>
      <t xml:space="preserve">按作用对象分三类：① 随机图标（卷轴转动时用小卷轴随机抽一个标准图标分裂，如 </t>
    </r>
    <r>
      <rPr>
        <sz val="11"/>
        <color theme="1"/>
        <rFont val="Calibri"/>
        <family val="2"/>
        <charset val="1"/>
      </rPr>
      <t xml:space="preserve">Slashimi</t>
    </r>
    <r>
      <rPr>
        <sz val="11"/>
        <color theme="1"/>
        <rFont val="Noto Sans SC"/>
        <family val="2"/>
        <charset val="134"/>
      </rPr>
      <t xml:space="preserve">、</t>
    </r>
    <r>
      <rPr>
        <sz val="11"/>
        <color theme="1"/>
        <rFont val="Calibri"/>
        <family val="2"/>
        <charset val="1"/>
      </rPr>
      <t xml:space="preserve">Tombstone RIP</t>
    </r>
    <r>
      <rPr>
        <sz val="11"/>
        <color theme="1"/>
        <rFont val="Noto Sans SC"/>
        <family val="2"/>
        <charset val="134"/>
      </rPr>
      <t xml:space="preserve">）；</t>
    </r>
  </si>
  <si>
    <r>
      <rPr>
        <sz val="11"/>
        <color theme="1"/>
        <rFont val="Noto Sans SC"/>
        <family val="2"/>
        <charset val="134"/>
      </rPr>
      <t xml:space="preserve">  ② 固定位置（触发位置被标注倍数，该位置的图标按倍数分裂，如 </t>
    </r>
    <r>
      <rPr>
        <sz val="11"/>
        <color theme="1"/>
        <rFont val="Calibri"/>
        <family val="2"/>
        <charset val="1"/>
      </rPr>
      <t xml:space="preserve">Hot Rod Racers</t>
    </r>
    <r>
      <rPr>
        <sz val="11"/>
        <color theme="1"/>
        <rFont val="Noto Sans SC"/>
        <family val="2"/>
        <charset val="134"/>
      </rPr>
      <t xml:space="preserve">）；</t>
    </r>
  </si>
  <si>
    <r>
      <rPr>
        <sz val="11"/>
        <color theme="1"/>
        <rFont val="Noto Sans SC"/>
        <family val="2"/>
        <charset val="134"/>
      </rPr>
      <t xml:space="preserve">  ③ 整列分裂（按触发时该列 </t>
    </r>
    <r>
      <rPr>
        <sz val="11"/>
        <color theme="1"/>
        <rFont val="Calibri"/>
        <family val="2"/>
        <charset val="1"/>
      </rPr>
      <t xml:space="preserve">Scatter </t>
    </r>
    <r>
      <rPr>
        <sz val="11"/>
        <color theme="1"/>
        <rFont val="Noto Sans SC"/>
        <family val="2"/>
        <charset val="134"/>
      </rPr>
      <t xml:space="preserve">数点亮绿灯，最多 </t>
    </r>
    <r>
      <rPr>
        <sz val="11"/>
        <color theme="1"/>
        <rFont val="Calibri"/>
        <family val="2"/>
        <charset val="1"/>
      </rPr>
      <t xml:space="preserve">3 </t>
    </r>
    <r>
      <rPr>
        <sz val="11"/>
        <color theme="1"/>
        <rFont val="Noto Sans SC"/>
        <family val="2"/>
        <charset val="134"/>
      </rPr>
      <t xml:space="preserve">个，中奖时整列都分裂，如 </t>
    </r>
    <r>
      <rPr>
        <sz val="11"/>
        <color theme="1"/>
        <rFont val="Calibri"/>
        <family val="2"/>
        <charset val="1"/>
      </rPr>
      <t xml:space="preserve">Grim The Splitter Dream Drop</t>
    </r>
    <r>
      <rPr>
        <sz val="11"/>
        <color theme="1"/>
        <rFont val="Noto Sans SC"/>
        <family val="2"/>
        <charset val="134"/>
      </rPr>
      <t xml:space="preserve">）。</t>
    </r>
  </si>
  <si>
    <r>
      <rPr>
        <sz val="11"/>
        <color theme="1"/>
        <rFont val="Calibri"/>
        <family val="2"/>
        <charset val="1"/>
      </rPr>
      <t xml:space="preserve">· Slashimi</t>
    </r>
    <r>
      <rPr>
        <sz val="11"/>
        <color theme="1"/>
        <rFont val="Noto Sans SC"/>
        <family val="2"/>
        <charset val="134"/>
      </rPr>
      <t xml:space="preserve">：分裂后每列最多 </t>
    </r>
    <r>
      <rPr>
        <sz val="11"/>
        <color theme="1"/>
        <rFont val="Calibri"/>
        <family val="2"/>
        <charset val="1"/>
      </rPr>
      <t xml:space="preserve">10 </t>
    </r>
    <r>
      <rPr>
        <sz val="11"/>
        <color theme="1"/>
        <rFont val="Noto Sans SC"/>
        <family val="2"/>
        <charset val="134"/>
      </rPr>
      <t xml:space="preserve">个图标 → 单局结算最大倍数 </t>
    </r>
    <r>
      <rPr>
        <sz val="11"/>
        <color theme="1"/>
        <rFont val="Calibri"/>
        <family val="2"/>
        <charset val="1"/>
      </rPr>
      <t xml:space="preserve">10×10×10 </t>
    </r>
    <r>
      <rPr>
        <sz val="11"/>
        <color theme="1"/>
        <rFont val="Noto Sans SC"/>
        <family val="2"/>
        <charset val="134"/>
      </rPr>
      <t xml:space="preserve">＝ </t>
    </r>
    <r>
      <rPr>
        <sz val="11"/>
        <color theme="1"/>
        <rFont val="Calibri"/>
        <family val="2"/>
        <charset val="1"/>
      </rPr>
      <t xml:space="preserve">1000 </t>
    </r>
    <r>
      <rPr>
        <sz val="11"/>
        <color theme="1"/>
        <rFont val="Noto Sans SC"/>
        <family val="2"/>
        <charset val="134"/>
      </rPr>
      <t xml:space="preserve">倍；</t>
    </r>
  </si>
  <si>
    <r>
      <rPr>
        <sz val="11"/>
        <color theme="1"/>
        <rFont val="Noto Sans SC"/>
        <family val="2"/>
        <charset val="134"/>
      </rPr>
      <t xml:space="preserve">  其宣传中的「</t>
    </r>
    <r>
      <rPr>
        <sz val="11"/>
        <color theme="1"/>
        <rFont val="Calibri"/>
        <family val="2"/>
        <charset val="1"/>
      </rPr>
      <t xml:space="preserve">125~1000 Ways</t>
    </r>
    <r>
      <rPr>
        <sz val="11"/>
        <color theme="1"/>
        <rFont val="Noto Sans SC"/>
        <family val="2"/>
        <charset val="134"/>
      </rPr>
      <t xml:space="preserve">」只是便于玩家理解（更接近 </t>
    </r>
    <r>
      <rPr>
        <sz val="11"/>
        <color theme="1"/>
        <rFont val="Calibri"/>
        <family val="2"/>
        <charset val="1"/>
      </rPr>
      <t xml:space="preserve">Expanding Reels </t>
    </r>
    <r>
      <rPr>
        <sz val="11"/>
        <color theme="1"/>
        <rFont val="Noto Sans SC"/>
        <family val="2"/>
        <charset val="134"/>
      </rPr>
      <t xml:space="preserve">的说法，但数值体系差别很大）。</t>
    </r>
  </si>
  <si>
    <r>
      <rPr>
        <sz val="11"/>
        <color theme="1"/>
        <rFont val="Calibri"/>
        <family val="2"/>
        <charset val="1"/>
      </rPr>
      <t xml:space="preserve">· Grim</t>
    </r>
    <r>
      <rPr>
        <sz val="11"/>
        <color theme="1"/>
        <rFont val="Noto Sans SC"/>
        <family val="2"/>
        <charset val="134"/>
      </rPr>
      <t xml:space="preserve">：点 </t>
    </r>
    <r>
      <rPr>
        <sz val="11"/>
        <color theme="1"/>
        <rFont val="Calibri"/>
        <family val="2"/>
        <charset val="1"/>
      </rPr>
      <t xml:space="preserve">1 </t>
    </r>
    <r>
      <rPr>
        <sz val="11"/>
        <color theme="1"/>
        <rFont val="Noto Sans SC"/>
        <family val="2"/>
        <charset val="134"/>
      </rPr>
      <t xml:space="preserve">个绿灯分裂成 </t>
    </r>
    <r>
      <rPr>
        <sz val="11"/>
        <color theme="1"/>
        <rFont val="Calibri"/>
        <family val="2"/>
        <charset val="1"/>
      </rPr>
      <t xml:space="preserve">2 </t>
    </r>
    <r>
      <rPr>
        <sz val="11"/>
        <color theme="1"/>
        <rFont val="Noto Sans SC"/>
        <family val="2"/>
        <charset val="134"/>
      </rPr>
      <t xml:space="preserve">个、</t>
    </r>
    <r>
      <rPr>
        <sz val="11"/>
        <color theme="1"/>
        <rFont val="Calibri"/>
        <family val="2"/>
        <charset val="1"/>
      </rPr>
      <t xml:space="preserve">2 </t>
    </r>
    <r>
      <rPr>
        <sz val="11"/>
        <color theme="1"/>
        <rFont val="Noto Sans SC"/>
        <family val="2"/>
        <charset val="134"/>
      </rPr>
      <t xml:space="preserve">个 → </t>
    </r>
    <r>
      <rPr>
        <sz val="11"/>
        <color theme="1"/>
        <rFont val="Calibri"/>
        <family val="2"/>
        <charset val="1"/>
      </rPr>
      <t xml:space="preserve">3 </t>
    </r>
    <r>
      <rPr>
        <sz val="11"/>
        <color theme="1"/>
        <rFont val="Noto Sans SC"/>
        <family val="2"/>
        <charset val="134"/>
      </rPr>
      <t xml:space="preserve">个、</t>
    </r>
    <r>
      <rPr>
        <sz val="11"/>
        <color theme="1"/>
        <rFont val="Calibri"/>
        <family val="2"/>
        <charset val="1"/>
      </rPr>
      <t xml:space="preserve">3 </t>
    </r>
    <r>
      <rPr>
        <sz val="11"/>
        <color theme="1"/>
        <rFont val="Noto Sans SC"/>
        <family val="2"/>
        <charset val="134"/>
      </rPr>
      <t xml:space="preserve">个 → </t>
    </r>
    <r>
      <rPr>
        <sz val="11"/>
        <color theme="1"/>
        <rFont val="Calibri"/>
        <family val="2"/>
        <charset val="1"/>
      </rPr>
      <t xml:space="preserve">4 </t>
    </r>
    <r>
      <rPr>
        <sz val="11"/>
        <color theme="1"/>
        <rFont val="Noto Sans SC"/>
        <family val="2"/>
        <charset val="134"/>
      </rPr>
      <t xml:space="preserve">个；它是 </t>
    </r>
    <r>
      <rPr>
        <sz val="11"/>
        <color theme="1"/>
        <rFont val="Calibri"/>
        <family val="2"/>
        <charset val="1"/>
      </rPr>
      <t xml:space="preserve">Line Slots</t>
    </r>
    <r>
      <rPr>
        <sz val="11"/>
        <color theme="1"/>
        <rFont val="Noto Sans SC"/>
        <family val="2"/>
        <charset val="134"/>
      </rPr>
      <t xml:space="preserve">，</t>
    </r>
  </si>
  <si>
    <r>
      <rPr>
        <sz val="11"/>
        <color theme="1"/>
        <rFont val="Noto Sans SC"/>
        <family val="2"/>
        <charset val="134"/>
      </rPr>
      <t xml:space="preserve">  因此只能穷举——中奖线上的 </t>
    </r>
    <r>
      <rPr>
        <sz val="11"/>
        <color theme="1"/>
        <rFont val="Calibri"/>
        <family val="2"/>
        <charset val="1"/>
      </rPr>
      <t xml:space="preserve">5 </t>
    </r>
    <r>
      <rPr>
        <sz val="11"/>
        <color theme="1"/>
        <rFont val="Noto Sans SC"/>
        <family val="2"/>
        <charset val="134"/>
      </rPr>
      <t xml:space="preserve">个位置 </t>
    </r>
    <r>
      <rPr>
        <sz val="11"/>
        <color theme="1"/>
        <rFont val="Calibri"/>
        <family val="2"/>
        <charset val="1"/>
      </rPr>
      <t xml:space="preserve">× </t>
    </r>
    <r>
      <rPr>
        <sz val="11"/>
        <color theme="1"/>
        <rFont val="Noto Sans SC"/>
        <family val="2"/>
        <charset val="134"/>
      </rPr>
      <t xml:space="preserve">最多 </t>
    </r>
    <r>
      <rPr>
        <sz val="11"/>
        <color theme="1"/>
        <rFont val="Calibri"/>
        <family val="2"/>
        <charset val="1"/>
      </rPr>
      <t xml:space="preserve">4 </t>
    </r>
    <r>
      <rPr>
        <sz val="11"/>
        <color theme="1"/>
        <rFont val="Noto Sans SC"/>
        <family val="2"/>
        <charset val="134"/>
      </rPr>
      <t xml:space="preserve">个 → 要列 </t>
    </r>
    <r>
      <rPr>
        <sz val="11"/>
        <color theme="1"/>
        <rFont val="Calibri"/>
        <family val="2"/>
        <charset val="1"/>
      </rPr>
      <t xml:space="preserve">3~20 </t>
    </r>
    <r>
      <rPr>
        <sz val="11"/>
        <color theme="1"/>
        <rFont val="Noto Sans SC"/>
        <family val="2"/>
        <charset val="134"/>
      </rPr>
      <t xml:space="preserve">个图标分别对应的赔付倍数，赔表因此很长。</t>
    </r>
  </si>
  <si>
    <r>
      <rPr>
        <sz val="11"/>
        <color theme="1"/>
        <rFont val="Calibri"/>
        <family val="2"/>
        <charset val="1"/>
      </rPr>
      <t xml:space="preserve">· </t>
    </r>
    <r>
      <rPr>
        <sz val="11"/>
        <color theme="1"/>
        <rFont val="Noto Sans SC"/>
        <family val="2"/>
        <charset val="134"/>
      </rPr>
      <t xml:space="preserve">结论：分裂图标建议用在 </t>
    </r>
    <r>
      <rPr>
        <sz val="11"/>
        <color theme="1"/>
        <rFont val="Calibri"/>
        <family val="2"/>
        <charset val="1"/>
      </rPr>
      <t xml:space="preserve">Grid / Ways </t>
    </r>
    <r>
      <rPr>
        <sz val="11"/>
        <color theme="1"/>
        <rFont val="Noto Sans SC"/>
        <family val="2"/>
        <charset val="134"/>
      </rPr>
      <t xml:space="preserve">这类本来就要按列算个数的玩法里；</t>
    </r>
  </si>
  <si>
    <r>
      <rPr>
        <sz val="11"/>
        <color theme="1"/>
        <rFont val="Calibri"/>
        <family val="2"/>
        <charset val="1"/>
      </rPr>
      <t xml:space="preserve">  Ways </t>
    </r>
    <r>
      <rPr>
        <sz val="11"/>
        <color theme="1"/>
        <rFont val="Noto Sans SC"/>
        <family val="2"/>
        <charset val="134"/>
      </rPr>
      <t xml:space="preserve">的计算是「先单列求和、再各列相乘」，分裂直接作用在列图标个数上，既提升波动性又抬高高倍门槛。</t>
    </r>
  </si>
  <si>
    <r>
      <rPr>
        <sz val="11"/>
        <color theme="1"/>
        <rFont val="Calibri"/>
        <family val="2"/>
        <charset val="1"/>
      </rPr>
      <t xml:space="preserve">· </t>
    </r>
    <r>
      <rPr>
        <sz val="11"/>
        <color theme="1"/>
        <rFont val="Noto Sans SC"/>
        <family val="2"/>
        <charset val="134"/>
      </rPr>
      <t xml:space="preserve">与多倍图标的区别：</t>
    </r>
    <r>
      <rPr>
        <sz val="11"/>
        <color theme="1"/>
        <rFont val="Calibri"/>
        <family val="2"/>
        <charset val="1"/>
      </rPr>
      <t xml:space="preserve">Line Slots </t>
    </r>
    <r>
      <rPr>
        <sz val="11"/>
        <color theme="1"/>
        <rFont val="Noto Sans SC"/>
        <family val="2"/>
        <charset val="134"/>
      </rPr>
      <t xml:space="preserve">里多倍图标只作用于该线的赔付倍数（简洁）；</t>
    </r>
  </si>
  <si>
    <r>
      <rPr>
        <sz val="11"/>
        <color theme="1"/>
        <rFont val="Noto Sans SC"/>
        <family val="2"/>
        <charset val="134"/>
      </rPr>
      <t xml:space="preserve">  但在多线产品里用分裂图标会遇到「超长赔表」的问题。</t>
    </r>
    <r>
      <rPr>
        <sz val="11"/>
        <color theme="1"/>
        <rFont val="Calibri"/>
        <family val="2"/>
        <charset val="1"/>
      </rPr>
      <t xml:space="preserve">Way Slots </t>
    </r>
    <r>
      <rPr>
        <sz val="11"/>
        <color theme="1"/>
        <rFont val="Noto Sans SC"/>
        <family val="2"/>
        <charset val="134"/>
      </rPr>
      <t xml:space="preserve">里刚好相反：</t>
    </r>
  </si>
  <si>
    <t xml:space="preserve">  多倍图标只能作用于最终赔付（相当于卷轴外机制、易杂乱），而分裂图标「如鱼得水」。</t>
  </si>
  <si>
    <t xml:space="preserve">原文整理（全文，按原文小标题分段）</t>
  </si>
  <si>
    <r>
      <rPr>
        <sz val="11"/>
        <color theme="1"/>
        <rFont val="Calibri"/>
        <family val="2"/>
        <charset val="1"/>
      </rPr>
      <t xml:space="preserve">Splitting Symbols</t>
    </r>
    <r>
      <rPr>
        <sz val="11"/>
        <color theme="1"/>
        <rFont val="Noto Sans SC"/>
        <family val="2"/>
        <charset val="134"/>
      </rPr>
      <t xml:space="preserve">作为</t>
    </r>
    <r>
      <rPr>
        <sz val="11"/>
        <color theme="1"/>
        <rFont val="Calibri"/>
        <family val="2"/>
        <charset val="1"/>
      </rPr>
      <t xml:space="preserve">Slots</t>
    </r>
    <r>
      <rPr>
        <sz val="11"/>
        <color theme="1"/>
        <rFont val="Noto Sans SC"/>
        <family val="2"/>
        <charset val="134"/>
      </rPr>
      <t xml:space="preserve">元素集中出现在</t>
    </r>
    <r>
      <rPr>
        <sz val="11"/>
        <color theme="1"/>
        <rFont val="Calibri"/>
        <family val="2"/>
        <charset val="1"/>
      </rPr>
      <t xml:space="preserve">2020~2021</t>
    </r>
    <r>
      <rPr>
        <sz val="11"/>
        <color theme="1"/>
        <rFont val="Noto Sans SC"/>
        <family val="2"/>
        <charset val="134"/>
      </rPr>
      <t xml:space="preserve">发布的线上</t>
    </r>
    <r>
      <rPr>
        <sz val="11"/>
        <color theme="1"/>
        <rFont val="Calibri"/>
        <family val="2"/>
        <charset val="1"/>
      </rPr>
      <t xml:space="preserve">Slots</t>
    </r>
    <r>
      <rPr>
        <sz val="11"/>
        <color theme="1"/>
        <rFont val="Noto Sans SC"/>
        <family val="2"/>
        <charset val="134"/>
      </rPr>
      <t xml:space="preserve">产品中</t>
    </r>
  </si>
  <si>
    <r>
      <rPr>
        <sz val="11"/>
        <color theme="1"/>
        <rFont val="Noto Sans SC"/>
        <family val="2"/>
        <charset val="134"/>
      </rPr>
      <t xml:space="preserve">顾名思义，</t>
    </r>
    <r>
      <rPr>
        <sz val="11"/>
        <color theme="1"/>
        <rFont val="Calibri"/>
        <family val="2"/>
        <charset val="1"/>
      </rPr>
      <t xml:space="preserve">Splitting Symbols</t>
    </r>
    <r>
      <rPr>
        <sz val="11"/>
        <color theme="1"/>
        <rFont val="Noto Sans SC"/>
        <family val="2"/>
        <charset val="134"/>
      </rPr>
      <t xml:space="preserve">代表着图标的分裂，但这里并不是意味着会多出一行或者一列，而是指在赔付计算过程中，一个图标能够当做两个甚至更多图标计算，导致赔付金额增加，就像一个图标分裂成了多个图标</t>
    </r>
  </si>
  <si>
    <r>
      <rPr>
        <sz val="11"/>
        <color theme="1"/>
        <rFont val="Noto Sans SC"/>
        <family val="2"/>
        <charset val="134"/>
      </rPr>
      <t xml:space="preserve">该元素常出现在</t>
    </r>
    <r>
      <rPr>
        <sz val="11"/>
        <color theme="1"/>
        <rFont val="Calibri"/>
        <family val="2"/>
        <charset val="1"/>
      </rPr>
      <t xml:space="preserve">Ways</t>
    </r>
    <r>
      <rPr>
        <sz val="11"/>
        <color theme="1"/>
        <rFont val="Noto Sans SC"/>
        <family val="2"/>
        <charset val="134"/>
      </rPr>
      <t xml:space="preserve">、</t>
    </r>
    <r>
      <rPr>
        <sz val="11"/>
        <color theme="1"/>
        <rFont val="Calibri"/>
        <family val="2"/>
        <charset val="1"/>
      </rPr>
      <t xml:space="preserve">Cluster</t>
    </r>
    <r>
      <rPr>
        <sz val="11"/>
        <color theme="1"/>
        <rFont val="Noto Sans SC"/>
        <family val="2"/>
        <charset val="134"/>
      </rPr>
      <t xml:space="preserve">、</t>
    </r>
    <r>
      <rPr>
        <sz val="11"/>
        <color theme="1"/>
        <rFont val="Calibri"/>
        <family val="2"/>
        <charset val="1"/>
      </rPr>
      <t xml:space="preserve">Grid</t>
    </r>
    <r>
      <rPr>
        <sz val="11"/>
        <color theme="1"/>
        <rFont val="Noto Sans SC"/>
        <family val="2"/>
        <charset val="134"/>
      </rPr>
      <t xml:space="preserve">等赔付倍数和图标个数相关的</t>
    </r>
    <r>
      <rPr>
        <sz val="11"/>
        <color theme="1"/>
        <rFont val="Calibri"/>
        <family val="2"/>
        <charset val="1"/>
      </rPr>
      <t xml:space="preserve">Slots</t>
    </r>
    <r>
      <rPr>
        <sz val="11"/>
        <color theme="1"/>
        <rFont val="Noto Sans SC"/>
        <family val="2"/>
        <charset val="134"/>
      </rPr>
      <t xml:space="preserve">玩法中</t>
    </r>
  </si>
  <si>
    <r>
      <rPr>
        <sz val="11"/>
        <color theme="1"/>
        <rFont val="Noto Sans SC"/>
        <family val="2"/>
        <charset val="134"/>
      </rPr>
      <t xml:space="preserve">当触发</t>
    </r>
    <r>
      <rPr>
        <sz val="11"/>
        <color theme="1"/>
        <rFont val="Calibri"/>
        <family val="2"/>
        <charset val="1"/>
      </rPr>
      <t xml:space="preserve">Splitting Symbols</t>
    </r>
    <r>
      <rPr>
        <sz val="11"/>
        <color theme="1"/>
        <rFont val="Noto Sans SC"/>
        <family val="2"/>
        <charset val="134"/>
      </rPr>
      <t xml:space="preserve">后，该图标、位置或该列在本次或多次的赔付结算时能够作为多个图标计算</t>
    </r>
  </si>
  <si>
    <r>
      <rPr>
        <sz val="11"/>
        <color theme="1"/>
        <rFont val="Noto Sans SC"/>
        <family val="2"/>
        <charset val="134"/>
      </rPr>
      <t xml:space="preserve">也就是通过增加</t>
    </r>
    <r>
      <rPr>
        <sz val="11"/>
        <color theme="1"/>
        <rFont val="Calibri"/>
        <family val="2"/>
        <charset val="1"/>
      </rPr>
      <t xml:space="preserve">WaysSlots</t>
    </r>
    <r>
      <rPr>
        <sz val="11"/>
        <color theme="1"/>
        <rFont val="Noto Sans SC"/>
        <family val="2"/>
        <charset val="134"/>
      </rPr>
      <t xml:space="preserve">赔付计算公式（玩家中奖 </t>
    </r>
    <r>
      <rPr>
        <sz val="11"/>
        <color theme="1"/>
        <rFont val="Calibri"/>
        <family val="2"/>
        <charset val="1"/>
      </rPr>
      <t xml:space="preserve">= ∑ </t>
    </r>
    <r>
      <rPr>
        <sz val="11"/>
        <color theme="1"/>
        <rFont val="Noto Sans SC"/>
        <family val="2"/>
        <charset val="134"/>
      </rPr>
      <t xml:space="preserve">对应的图标赔付系数 </t>
    </r>
    <r>
      <rPr>
        <sz val="11"/>
        <color theme="1"/>
        <rFont val="Calibri"/>
        <family val="2"/>
        <charset val="1"/>
      </rPr>
      <t xml:space="preserve">* </t>
    </r>
    <r>
      <rPr>
        <sz val="11"/>
        <color theme="1"/>
        <rFont val="Noto Sans SC"/>
        <family val="2"/>
        <charset val="134"/>
      </rPr>
      <t xml:space="preserve">中奖各列图标个数乘积 </t>
    </r>
    <r>
      <rPr>
        <sz val="11"/>
        <color theme="1"/>
        <rFont val="Calibri"/>
        <family val="2"/>
        <charset val="1"/>
      </rPr>
      <t xml:space="preserve">* </t>
    </r>
    <r>
      <rPr>
        <sz val="11"/>
        <color theme="1"/>
        <rFont val="Noto Sans SC"/>
        <family val="2"/>
        <charset val="134"/>
      </rPr>
      <t xml:space="preserve">赔付基数）中的中奖各列图标个数来提升整体中奖金额</t>
    </r>
  </si>
  <si>
    <r>
      <rPr>
        <sz val="11"/>
        <color theme="1"/>
        <rFont val="Noto Sans SC"/>
        <family val="2"/>
        <charset val="134"/>
      </rPr>
      <t xml:space="preserve">依据</t>
    </r>
    <r>
      <rPr>
        <sz val="11"/>
        <color theme="1"/>
        <rFont val="Calibri"/>
        <family val="2"/>
        <charset val="1"/>
      </rPr>
      <t xml:space="preserve">Splitting Symbols</t>
    </r>
    <r>
      <rPr>
        <sz val="11"/>
        <color theme="1"/>
        <rFont val="Noto Sans SC"/>
        <family val="2"/>
        <charset val="134"/>
      </rPr>
      <t xml:space="preserve">的作用对象，可以将其分为以下几类</t>
    </r>
  </si>
  <si>
    <t xml:space="preserve">随机图标</t>
  </si>
  <si>
    <t xml:space="preserve">指随机抽取图标，进行分裂</t>
  </si>
  <si>
    <t xml:space="preserve">这是分裂图标元素运用最广的类型</t>
  </si>
  <si>
    <t xml:space="preserve">常见的表现形式为在卷轴转动时，同步使用小卷轴随机抽取标准图标</t>
  </si>
  <si>
    <t xml:space="preserve">小卷轴随着大卷轴同步开始转动并同步停止转动</t>
  </si>
  <si>
    <t xml:space="preserve">这样玩家每一局除了可以关注大卷轴上的图标分布情况，还可以关注被选中的随机图标是否是大额赔付图标</t>
  </si>
  <si>
    <r>
      <rPr>
        <sz val="11"/>
        <color theme="1"/>
        <rFont val="Noto Sans SC"/>
        <family val="2"/>
        <charset val="134"/>
      </rPr>
      <t xml:space="preserve">使用随机图标作为分裂图标的</t>
    </r>
    <r>
      <rPr>
        <sz val="11"/>
        <color theme="1"/>
        <rFont val="Calibri"/>
        <family val="2"/>
        <charset val="1"/>
      </rPr>
      <t xml:space="preserve">Slots</t>
    </r>
    <r>
      <rPr>
        <sz val="11"/>
        <color theme="1"/>
        <rFont val="Noto Sans SC"/>
        <family val="2"/>
        <charset val="134"/>
      </rPr>
      <t xml:space="preserve">产品都有比较强的娱乐和休闲属性</t>
    </r>
  </si>
  <si>
    <r>
      <rPr>
        <sz val="11"/>
        <color theme="1"/>
        <rFont val="Noto Sans SC"/>
        <family val="2"/>
        <charset val="134"/>
      </rPr>
      <t xml:space="preserve">例如在</t>
    </r>
    <r>
      <rPr>
        <sz val="11"/>
        <color theme="1"/>
        <rFont val="Calibri"/>
        <family val="2"/>
        <charset val="1"/>
      </rPr>
      <t xml:space="preserve">Play 'N Go</t>
    </r>
    <r>
      <rPr>
        <sz val="11"/>
        <color theme="1"/>
        <rFont val="Noto Sans SC"/>
        <family val="2"/>
        <charset val="134"/>
      </rPr>
      <t xml:space="preserve">推出的</t>
    </r>
    <r>
      <rPr>
        <sz val="11"/>
        <color theme="1"/>
        <rFont val="Calibri"/>
        <family val="2"/>
        <charset val="1"/>
      </rPr>
      <t xml:space="preserve">Slashimi</t>
    </r>
    <r>
      <rPr>
        <sz val="11"/>
        <color theme="1"/>
        <rFont val="Noto Sans SC"/>
        <family val="2"/>
        <charset val="134"/>
      </rPr>
      <t xml:space="preserve">玩法中，在卷轴转动的同时，左上角的菜单小窗里也会转动</t>
    </r>
  </si>
  <si>
    <t xml:space="preserve">每局从所有的标准图标中抽取一个进行分裂</t>
  </si>
  <si>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631770497-01.jpg</t>
    </r>
  </si>
  <si>
    <t xml:space="preserve">分裂后的图标在本局结算时被视为两个图标</t>
  </si>
  <si>
    <r>
      <rPr>
        <sz val="11"/>
        <color theme="1"/>
        <rFont val="Noto Sans SC"/>
        <family val="2"/>
        <charset val="134"/>
      </rPr>
      <t xml:space="preserve">因此</t>
    </r>
    <r>
      <rPr>
        <sz val="11"/>
        <color theme="1"/>
        <rFont val="Calibri"/>
        <family val="2"/>
        <charset val="1"/>
      </rPr>
      <t xml:space="preserve">Slashimi</t>
    </r>
    <r>
      <rPr>
        <sz val="11"/>
        <color theme="1"/>
        <rFont val="Noto Sans SC"/>
        <family val="2"/>
        <charset val="134"/>
      </rPr>
      <t xml:space="preserve">单局结算依据每列图标个数就能够达到的最大倍数为 </t>
    </r>
    <r>
      <rPr>
        <sz val="11"/>
        <color theme="1"/>
        <rFont val="Calibri"/>
        <family val="2"/>
        <charset val="1"/>
      </rPr>
      <t xml:space="preserve">10 * 10 * 10 = 1000</t>
    </r>
    <r>
      <rPr>
        <sz val="11"/>
        <color theme="1"/>
        <rFont val="Noto Sans SC"/>
        <family val="2"/>
        <charset val="134"/>
      </rPr>
      <t xml:space="preserve">倍</t>
    </r>
  </si>
  <si>
    <r>
      <rPr>
        <sz val="11"/>
        <color theme="1"/>
        <rFont val="Noto Sans SC"/>
        <family val="2"/>
        <charset val="134"/>
      </rPr>
      <t xml:space="preserve">为了便于玩家理解，该玩法在简介中直接将中奖组合写为</t>
    </r>
    <r>
      <rPr>
        <sz val="11"/>
        <color theme="1"/>
        <rFont val="Calibri"/>
        <family val="2"/>
        <charset val="1"/>
      </rPr>
      <t xml:space="preserve">125~1000 Ways</t>
    </r>
  </si>
  <si>
    <r>
      <rPr>
        <sz val="11"/>
        <color theme="1"/>
        <rFont val="Noto Sans SC"/>
        <family val="2"/>
        <charset val="134"/>
      </rPr>
      <t xml:space="preserve">这种描述更接近会增加卷轴区域的</t>
    </r>
    <r>
      <rPr>
        <sz val="11"/>
        <color theme="1"/>
        <rFont val="Calibri"/>
        <family val="2"/>
        <charset val="1"/>
      </rPr>
      <t xml:space="preserve">Expanding Reels</t>
    </r>
    <r>
      <rPr>
        <sz val="11"/>
        <color theme="1"/>
        <rFont val="Noto Sans SC"/>
        <family val="2"/>
        <charset val="134"/>
      </rPr>
      <t xml:space="preserve">元素</t>
    </r>
  </si>
  <si>
    <r>
      <rPr>
        <sz val="11"/>
        <color theme="1"/>
        <rFont val="Noto Sans SC"/>
        <family val="2"/>
        <charset val="134"/>
      </rPr>
      <t xml:space="preserve">游戏开发者这样描述应该只是为了便于玩家理解</t>
    </r>
    <r>
      <rPr>
        <sz val="11"/>
        <color theme="1"/>
        <rFont val="Calibri"/>
        <family val="2"/>
        <charset val="1"/>
      </rPr>
      <t xml:space="preserve">Splitting Symbols</t>
    </r>
    <r>
      <rPr>
        <sz val="11"/>
        <color theme="1"/>
        <rFont val="Noto Sans SC"/>
        <family val="2"/>
        <charset val="134"/>
      </rPr>
      <t xml:space="preserve">的机制</t>
    </r>
  </si>
  <si>
    <r>
      <rPr>
        <sz val="11"/>
        <color theme="1"/>
        <rFont val="Noto Sans SC"/>
        <family val="2"/>
        <charset val="134"/>
      </rPr>
      <t xml:space="preserve">毕竟实际上</t>
    </r>
    <r>
      <rPr>
        <sz val="11"/>
        <color theme="1"/>
        <rFont val="Calibri"/>
        <family val="2"/>
        <charset val="1"/>
      </rPr>
      <t xml:space="preserve">Splitting Symbols</t>
    </r>
    <r>
      <rPr>
        <sz val="11"/>
        <color theme="1"/>
        <rFont val="Noto Sans SC"/>
        <family val="2"/>
        <charset val="134"/>
      </rPr>
      <t xml:space="preserve">和增加卷轴区域的</t>
    </r>
    <r>
      <rPr>
        <sz val="11"/>
        <color theme="1"/>
        <rFont val="Calibri"/>
        <family val="2"/>
        <charset val="1"/>
      </rPr>
      <t xml:space="preserve">Expanding Reels</t>
    </r>
    <r>
      <rPr>
        <sz val="11"/>
        <color theme="1"/>
        <rFont val="Noto Sans SC"/>
        <family val="2"/>
        <charset val="134"/>
      </rPr>
      <t xml:space="preserve">元素在数值体系的搭建上的差异还是非常大的</t>
    </r>
  </si>
  <si>
    <r>
      <rPr>
        <sz val="11"/>
        <color theme="1"/>
        <rFont val="Noto Sans SC"/>
        <family val="2"/>
        <charset val="134"/>
      </rPr>
      <t xml:space="preserve">另外，</t>
    </r>
    <r>
      <rPr>
        <sz val="11"/>
        <color theme="1"/>
        <rFont val="Calibri"/>
        <family val="2"/>
        <charset val="1"/>
      </rPr>
      <t xml:space="preserve">Slashimi</t>
    </r>
    <r>
      <rPr>
        <sz val="11"/>
        <color theme="1"/>
        <rFont val="Noto Sans SC"/>
        <family val="2"/>
        <charset val="134"/>
      </rPr>
      <t xml:space="preserve">还在免费摇中进一步展示了分裂图标元素更深程度的用法</t>
    </r>
  </si>
  <si>
    <t xml:space="preserve">在其免费摇模式中，玩家需要从“菜单”中选择一个标准图标</t>
  </si>
  <si>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631770497-02.jpg</t>
    </r>
  </si>
  <si>
    <t xml:space="preserve">该被选中的图标在免费摇中，会被锁定为分裂图标，并且赋予该图标粘性属性</t>
  </si>
  <si>
    <t xml:space="preserve">也就是说，在免费摇模式中，被选中的图标停留在卷轴上时，不仅会分裂成两个图标，还会附着在卷轴上，知道免费摇结束</t>
  </si>
  <si>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631770497-03.jpg</t>
    </r>
  </si>
  <si>
    <r>
      <rPr>
        <sz val="11"/>
        <color theme="1"/>
        <rFont val="Noto Sans SC"/>
        <family val="2"/>
        <charset val="134"/>
      </rPr>
      <t xml:space="preserve">同时享受粘性图标和分裂图标的加成，玩家能够在</t>
    </r>
    <r>
      <rPr>
        <sz val="11"/>
        <color theme="1"/>
        <rFont val="Calibri"/>
        <family val="2"/>
        <charset val="1"/>
      </rPr>
      <t xml:space="preserve">Slashimi</t>
    </r>
    <r>
      <rPr>
        <sz val="11"/>
        <color theme="1"/>
        <rFont val="Noto Sans SC"/>
        <family val="2"/>
        <charset val="134"/>
      </rPr>
      <t xml:space="preserve">的免费摇中轻松达成高倍赔付</t>
    </r>
  </si>
  <si>
    <r>
      <rPr>
        <sz val="11"/>
        <color theme="1"/>
        <rFont val="Noto Sans SC"/>
        <family val="2"/>
        <charset val="134"/>
      </rPr>
      <t xml:space="preserve">对</t>
    </r>
    <r>
      <rPr>
        <sz val="11"/>
        <color theme="1"/>
        <rFont val="Calibri"/>
        <family val="2"/>
        <charset val="1"/>
      </rPr>
      <t xml:space="preserve">Splitting Symbols</t>
    </r>
    <r>
      <rPr>
        <sz val="11"/>
        <color theme="1"/>
        <rFont val="Noto Sans SC"/>
        <family val="2"/>
        <charset val="134"/>
      </rPr>
      <t xml:space="preserve">的充分应用让</t>
    </r>
    <r>
      <rPr>
        <sz val="11"/>
        <color theme="1"/>
        <rFont val="Calibri"/>
        <family val="2"/>
        <charset val="1"/>
      </rPr>
      <t xml:space="preserve">Slashimi Slost</t>
    </r>
    <r>
      <rPr>
        <sz val="11"/>
        <color theme="1"/>
        <rFont val="Noto Sans SC"/>
        <family val="2"/>
        <charset val="134"/>
      </rPr>
      <t xml:space="preserve">自带更高的波动性</t>
    </r>
  </si>
  <si>
    <t xml:space="preserve">使其能够压缩卷轴空间，降低玩家的入门门槛</t>
  </si>
  <si>
    <r>
      <rPr>
        <sz val="11"/>
        <color theme="1"/>
        <rFont val="Noto Sans SC"/>
        <family val="2"/>
        <charset val="134"/>
      </rPr>
      <t xml:space="preserve">如果希望制作添加分裂图标元素的休闲定位</t>
    </r>
    <r>
      <rPr>
        <sz val="11"/>
        <color theme="1"/>
        <rFont val="Calibri"/>
        <family val="2"/>
        <charset val="1"/>
      </rPr>
      <t xml:space="preserve">Slots</t>
    </r>
    <r>
      <rPr>
        <sz val="11"/>
        <color theme="1"/>
        <rFont val="Noto Sans SC"/>
        <family val="2"/>
        <charset val="134"/>
      </rPr>
      <t xml:space="preserve">，不妨体验看看该玩法</t>
    </r>
  </si>
  <si>
    <r>
      <rPr>
        <sz val="11"/>
        <color theme="1"/>
        <rFont val="Noto Sans SC"/>
        <family val="2"/>
        <charset val="134"/>
      </rPr>
      <t xml:space="preserve">与</t>
    </r>
    <r>
      <rPr>
        <sz val="11"/>
        <color theme="1"/>
        <rFont val="Calibri"/>
        <family val="2"/>
        <charset val="1"/>
      </rPr>
      <t xml:space="preserve">Slashimi</t>
    </r>
    <r>
      <rPr>
        <sz val="11"/>
        <color theme="1"/>
        <rFont val="Noto Sans SC"/>
        <family val="2"/>
        <charset val="134"/>
      </rPr>
      <t xml:space="preserve">比较类似在卷轴转动同时抽取指定图标进行分裂的相似产品还有</t>
    </r>
    <r>
      <rPr>
        <sz val="11"/>
        <color theme="1"/>
        <rFont val="Calibri"/>
        <family val="2"/>
        <charset val="1"/>
      </rPr>
      <t xml:space="preserve">Tombstone RIP</t>
    </r>
    <r>
      <rPr>
        <sz val="11"/>
        <color theme="1"/>
        <rFont val="Noto Sans SC"/>
        <family val="2"/>
        <charset val="134"/>
      </rPr>
      <t xml:space="preserve">（血腥主题，谨慎体验，容易引起不适）</t>
    </r>
  </si>
  <si>
    <r>
      <rPr>
        <sz val="11"/>
        <color theme="1"/>
        <rFont val="Noto Sans SC"/>
        <family val="2"/>
        <charset val="134"/>
      </rPr>
      <t xml:space="preserve">该玩法和</t>
    </r>
    <r>
      <rPr>
        <sz val="11"/>
        <color theme="1"/>
        <rFont val="Calibri"/>
        <family val="2"/>
        <charset val="1"/>
      </rPr>
      <t xml:space="preserve">Slashimi</t>
    </r>
    <r>
      <rPr>
        <sz val="11"/>
        <color theme="1"/>
        <rFont val="Noto Sans SC"/>
        <family val="2"/>
        <charset val="134"/>
      </rPr>
      <t xml:space="preserve">的设计思路比较类似，都是在随机分裂图标的基础上添加其他元素，进一步增加游戏的刺激程度</t>
    </r>
  </si>
  <si>
    <r>
      <rPr>
        <sz val="11"/>
        <color theme="1"/>
        <rFont val="Calibri"/>
        <family val="2"/>
        <charset val="1"/>
      </rPr>
      <t xml:space="preserve">Tombstone RIP</t>
    </r>
    <r>
      <rPr>
        <sz val="11"/>
        <color theme="1"/>
        <rFont val="Noto Sans SC"/>
        <family val="2"/>
        <charset val="134"/>
      </rPr>
      <t xml:space="preserve">使用的方法则是在抽取随机分裂图标的同时抽取随机倍数，在分裂图标对倍数的提升作用上进一步放大提升倍数</t>
    </r>
  </si>
  <si>
    <t xml:space="preserve">从这两款高分产品中也不难看出，分裂图标长和其他提升波动性的元素一起出现</t>
  </si>
  <si>
    <r>
      <rPr>
        <sz val="11"/>
        <color theme="1"/>
        <rFont val="Noto Sans SC"/>
        <family val="2"/>
        <charset val="134"/>
      </rPr>
      <t xml:space="preserve">在设计带有分裂图标的</t>
    </r>
    <r>
      <rPr>
        <sz val="11"/>
        <color theme="1"/>
        <rFont val="Calibri"/>
        <family val="2"/>
        <charset val="1"/>
      </rPr>
      <t xml:space="preserve">Slots</t>
    </r>
    <r>
      <rPr>
        <sz val="11"/>
        <color theme="1"/>
        <rFont val="Noto Sans SC"/>
        <family val="2"/>
        <charset val="134"/>
      </rPr>
      <t xml:space="preserve">时不妨想想看是否有充分利用到分裂图标元素的该特性</t>
    </r>
  </si>
  <si>
    <t xml:space="preserve">固定位置</t>
  </si>
  <si>
    <r>
      <rPr>
        <sz val="11"/>
        <color theme="1"/>
        <rFont val="Noto Sans SC"/>
        <family val="2"/>
        <charset val="134"/>
      </rPr>
      <t xml:space="preserve">除了图标上的处理外，还有部分</t>
    </r>
    <r>
      <rPr>
        <sz val="11"/>
        <color theme="1"/>
        <rFont val="Calibri"/>
        <family val="2"/>
        <charset val="1"/>
      </rPr>
      <t xml:space="preserve">Slots</t>
    </r>
    <r>
      <rPr>
        <sz val="11"/>
        <color theme="1"/>
        <rFont val="Noto Sans SC"/>
        <family val="2"/>
        <charset val="134"/>
      </rPr>
      <t xml:space="preserve">玩法选择在触发位置进行分裂处理</t>
    </r>
  </si>
  <si>
    <r>
      <rPr>
        <sz val="11"/>
        <color theme="1"/>
        <rFont val="Noto Sans SC"/>
        <family val="2"/>
        <charset val="134"/>
      </rPr>
      <t xml:space="preserve">例如</t>
    </r>
    <r>
      <rPr>
        <sz val="11"/>
        <color theme="1"/>
        <rFont val="Calibri"/>
        <family val="2"/>
        <charset val="1"/>
      </rPr>
      <t xml:space="preserve">Hot Rod Racers</t>
    </r>
    <r>
      <rPr>
        <sz val="11"/>
        <color theme="1"/>
        <rFont val="Noto Sans SC"/>
        <family val="2"/>
        <charset val="134"/>
      </rPr>
      <t xml:space="preserve">玩法的免费摇过程中，当抽中了</t>
    </r>
    <r>
      <rPr>
        <sz val="11"/>
        <color theme="1"/>
        <rFont val="Calibri"/>
        <family val="2"/>
        <charset val="1"/>
      </rPr>
      <t xml:space="preserve">Wild</t>
    </r>
    <r>
      <rPr>
        <sz val="11"/>
        <color theme="1"/>
        <rFont val="Noto Sans SC"/>
        <family val="2"/>
        <charset val="134"/>
      </rPr>
      <t xml:space="preserve">图标后，即可让同行的所有高级图标变成</t>
    </r>
    <r>
      <rPr>
        <sz val="11"/>
        <color theme="1"/>
        <rFont val="Calibri"/>
        <family val="2"/>
        <charset val="1"/>
      </rPr>
      <t xml:space="preserve">Wild</t>
    </r>
  </si>
  <si>
    <t xml:space="preserve">成功变成了百搭图标的图标所在位置会被特殊倍数标注</t>
  </si>
  <si>
    <r>
      <rPr>
        <sz val="11"/>
        <color theme="1"/>
        <rFont val="Noto Sans SC"/>
        <family val="2"/>
        <charset val="134"/>
      </rPr>
      <t xml:space="preserve">每次触发，该倍数</t>
    </r>
    <r>
      <rPr>
        <sz val="11"/>
        <color theme="1"/>
        <rFont val="Calibri"/>
        <family val="2"/>
        <charset val="1"/>
      </rPr>
      <t xml:space="preserve">+1</t>
    </r>
    <r>
      <rPr>
        <sz val="11"/>
        <color theme="1"/>
        <rFont val="Noto Sans SC"/>
        <family val="2"/>
        <charset val="134"/>
      </rPr>
      <t xml:space="preserve">，直到免费摇结束时清空累积倍数</t>
    </r>
  </si>
  <si>
    <t xml:space="preserve">在此期间，所有在该位置达成中奖条件的图标，都能够在结算时当做多个图标使用，获得分裂图标效果</t>
  </si>
  <si>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631770497-04.jpg</t>
    </r>
  </si>
  <si>
    <t xml:space="preserve">这个用法的整体机制比较复杂，不如随机图标和粘性图标的组合来得简单直接</t>
  </si>
  <si>
    <t xml:space="preserve">如果对该机制感兴趣的话可以搜索该玩法进行体验</t>
  </si>
  <si>
    <r>
      <rPr>
        <sz val="11"/>
        <color theme="1"/>
        <rFont val="Noto Sans SC"/>
        <family val="2"/>
        <charset val="134"/>
      </rPr>
      <t xml:space="preserve">该玩法有</t>
    </r>
    <r>
      <rPr>
        <sz val="11"/>
        <color theme="1"/>
        <rFont val="Calibri"/>
        <family val="2"/>
        <charset val="1"/>
      </rPr>
      <t xml:space="preserve">Bonus Buy</t>
    </r>
    <r>
      <rPr>
        <sz val="11"/>
        <color theme="1"/>
        <rFont val="Noto Sans SC"/>
        <family val="2"/>
        <charset val="134"/>
      </rPr>
      <t xml:space="preserve">机制，想要体验分裂图标元素还是挺方便的</t>
    </r>
  </si>
  <si>
    <t xml:space="preserve">整列分裂</t>
  </si>
  <si>
    <r>
      <rPr>
        <sz val="11"/>
        <color theme="1"/>
        <rFont val="Noto Sans SC"/>
        <family val="2"/>
        <charset val="134"/>
      </rPr>
      <t xml:space="preserve">最后一个介绍的玩法</t>
    </r>
    <r>
      <rPr>
        <sz val="11"/>
        <color theme="1"/>
        <rFont val="Calibri"/>
        <family val="2"/>
        <charset val="1"/>
      </rPr>
      <t xml:space="preserve">Grim The Splitter Dream Drop</t>
    </r>
    <r>
      <rPr>
        <sz val="11"/>
        <color theme="1"/>
        <rFont val="Noto Sans SC"/>
        <family val="2"/>
        <charset val="134"/>
      </rPr>
      <t xml:space="preserve">将分裂图标作为其主要</t>
    </r>
    <r>
      <rPr>
        <sz val="11"/>
        <color theme="1"/>
        <rFont val="Calibri"/>
        <family val="2"/>
        <charset val="1"/>
      </rPr>
      <t xml:space="preserve">Feature</t>
    </r>
    <r>
      <rPr>
        <sz val="11"/>
        <color theme="1"/>
        <rFont val="Noto Sans SC"/>
        <family val="2"/>
        <charset val="134"/>
      </rPr>
      <t xml:space="preserve">，甚至直接做在了卷轴上</t>
    </r>
  </si>
  <si>
    <r>
      <rPr>
        <sz val="11"/>
        <color theme="1"/>
        <rFont val="Noto Sans SC"/>
        <family val="2"/>
        <charset val="134"/>
      </rPr>
      <t xml:space="preserve">该玩法在触发</t>
    </r>
    <r>
      <rPr>
        <sz val="11"/>
        <color theme="1"/>
        <rFont val="Calibri"/>
        <family val="2"/>
        <charset val="1"/>
      </rPr>
      <t xml:space="preserve">Freegame</t>
    </r>
    <r>
      <rPr>
        <sz val="11"/>
        <color theme="1"/>
        <rFont val="Noto Sans SC"/>
        <family val="2"/>
        <charset val="134"/>
      </rPr>
      <t xml:space="preserve">之后，即可依据触发时该列的</t>
    </r>
    <r>
      <rPr>
        <sz val="11"/>
        <color theme="1"/>
        <rFont val="Calibri"/>
        <family val="2"/>
        <charset val="1"/>
      </rPr>
      <t xml:space="preserve">Scatter</t>
    </r>
    <r>
      <rPr>
        <sz val="11"/>
        <color theme="1"/>
        <rFont val="Noto Sans SC"/>
        <family val="2"/>
        <charset val="134"/>
      </rPr>
      <t xml:space="preserve">图标个数点亮上方的绿灯。每列最多点亮三个绿灯</t>
    </r>
  </si>
  <si>
    <t xml:space="preserve">点亮绿灯的列在成功中奖时会依据点亮绿灯的数量让该列所有的图标都分裂出指定个数的图标</t>
  </si>
  <si>
    <t xml:space="preserve">点亮一个——分裂成两个</t>
  </si>
  <si>
    <t xml:space="preserve">点亮两个——分裂成三个</t>
  </si>
  <si>
    <t xml:space="preserve">点亮三个——分裂成四个</t>
  </si>
  <si>
    <r>
      <rPr>
        <sz val="11"/>
        <color theme="1"/>
        <rFont val="Noto Sans SC"/>
        <family val="2"/>
        <charset val="134"/>
      </rPr>
      <t xml:space="preserve">在触发分裂后一字排开的图标，形象生动地强化了翻倍的效果，并且未中奖的分裂图标，还能够触发玩家的</t>
    </r>
    <r>
      <rPr>
        <sz val="11"/>
        <color theme="1"/>
        <rFont val="Calibri"/>
        <family val="2"/>
        <charset val="1"/>
      </rPr>
      <t xml:space="preserve">Near Win</t>
    </r>
    <r>
      <rPr>
        <sz val="11"/>
        <color theme="1"/>
        <rFont val="Noto Sans SC"/>
        <family val="2"/>
        <charset val="134"/>
      </rPr>
      <t xml:space="preserve">情绪反应</t>
    </r>
  </si>
  <si>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631770497-05.jpg</t>
    </r>
  </si>
  <si>
    <t xml:space="preserve">该产品依旧是以高波动性著称</t>
  </si>
  <si>
    <r>
      <rPr>
        <sz val="11"/>
        <color theme="1"/>
        <rFont val="Noto Sans SC"/>
        <family val="2"/>
        <charset val="134"/>
      </rPr>
      <t xml:space="preserve">并且该产品属于</t>
    </r>
    <r>
      <rPr>
        <sz val="11"/>
        <color theme="1"/>
        <rFont val="Calibri"/>
        <family val="2"/>
        <charset val="1"/>
      </rPr>
      <t xml:space="preserve">Line Slots</t>
    </r>
  </si>
  <si>
    <r>
      <rPr>
        <sz val="11"/>
        <color theme="1"/>
        <rFont val="Noto Sans SC"/>
        <family val="2"/>
        <charset val="134"/>
      </rPr>
      <t xml:space="preserve">如本篇最开始介绍的，分裂图标常被用于图标个数和赔付倍数直接相关的</t>
    </r>
    <r>
      <rPr>
        <sz val="11"/>
        <color theme="1"/>
        <rFont val="Calibri"/>
        <family val="2"/>
        <charset val="1"/>
      </rPr>
      <t xml:space="preserve">Ways</t>
    </r>
    <r>
      <rPr>
        <sz val="11"/>
        <color theme="1"/>
        <rFont val="Noto Sans SC"/>
        <family val="2"/>
        <charset val="134"/>
      </rPr>
      <t xml:space="preserve">、</t>
    </r>
    <r>
      <rPr>
        <sz val="11"/>
        <color theme="1"/>
        <rFont val="Calibri"/>
        <family val="2"/>
        <charset val="1"/>
      </rPr>
      <t xml:space="preserve">Grid</t>
    </r>
    <r>
      <rPr>
        <sz val="11"/>
        <color theme="1"/>
        <rFont val="Noto Sans SC"/>
        <family val="2"/>
        <charset val="134"/>
      </rPr>
      <t xml:space="preserve">、</t>
    </r>
    <r>
      <rPr>
        <sz val="11"/>
        <color theme="1"/>
        <rFont val="Calibri"/>
        <family val="2"/>
        <charset val="1"/>
      </rPr>
      <t xml:space="preserve">Megaways Slots</t>
    </r>
    <r>
      <rPr>
        <sz val="11"/>
        <color theme="1"/>
        <rFont val="Noto Sans SC"/>
        <family val="2"/>
        <charset val="134"/>
      </rPr>
      <t xml:space="preserve">中，用在多线产品中相对会比较复杂</t>
    </r>
  </si>
  <si>
    <r>
      <rPr>
        <sz val="11"/>
        <color theme="1"/>
        <rFont val="Noto Sans SC"/>
        <family val="2"/>
        <charset val="134"/>
      </rPr>
      <t xml:space="preserve">因为多线</t>
    </r>
    <r>
      <rPr>
        <sz val="11"/>
        <color theme="1"/>
        <rFont val="Calibri"/>
        <family val="2"/>
        <charset val="1"/>
      </rPr>
      <t xml:space="preserve">Slots</t>
    </r>
    <r>
      <rPr>
        <sz val="11"/>
        <color theme="1"/>
        <rFont val="Noto Sans SC"/>
        <family val="2"/>
        <charset val="134"/>
      </rPr>
      <t xml:space="preserve">是基于</t>
    </r>
    <r>
      <rPr>
        <sz val="11"/>
        <color theme="1"/>
        <rFont val="Calibri"/>
        <family val="2"/>
        <charset val="1"/>
      </rPr>
      <t xml:space="preserve">Pay Line</t>
    </r>
    <r>
      <rPr>
        <sz val="11"/>
        <color theme="1"/>
        <rFont val="Noto Sans SC"/>
        <family val="2"/>
        <charset val="134"/>
      </rPr>
      <t xml:space="preserve">计算赔付金额的</t>
    </r>
  </si>
  <si>
    <r>
      <rPr>
        <sz val="11"/>
        <color theme="1"/>
        <rFont val="Noto Sans SC"/>
        <family val="2"/>
        <charset val="134"/>
      </rPr>
      <t xml:space="preserve">仅仅是图标的分裂，并不会影响场上</t>
    </r>
    <r>
      <rPr>
        <sz val="11"/>
        <color theme="1"/>
        <rFont val="Calibri"/>
        <family val="2"/>
        <charset val="1"/>
      </rPr>
      <t xml:space="preserve">Pay Line</t>
    </r>
    <r>
      <rPr>
        <sz val="11"/>
        <color theme="1"/>
        <rFont val="Noto Sans SC"/>
        <family val="2"/>
        <charset val="134"/>
      </rPr>
      <t xml:space="preserve">的分布</t>
    </r>
  </si>
  <si>
    <r>
      <rPr>
        <sz val="11"/>
        <color theme="1"/>
        <rFont val="Calibri"/>
        <family val="2"/>
        <charset val="1"/>
      </rPr>
      <t xml:space="preserve">Grim The Splitter Dream Drop</t>
    </r>
    <r>
      <rPr>
        <sz val="11"/>
        <color theme="1"/>
        <rFont val="Noto Sans SC"/>
        <family val="2"/>
        <charset val="134"/>
      </rPr>
      <t xml:space="preserve">为如何在多线产品中添加分裂图标进行了一个很好的示范，那就是穷举法</t>
    </r>
  </si>
  <si>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631770497-06.jpg</t>
    </r>
  </si>
  <si>
    <r>
      <rPr>
        <sz val="11"/>
        <color theme="1"/>
        <rFont val="Noto Sans SC"/>
        <family val="2"/>
        <charset val="134"/>
      </rPr>
      <t xml:space="preserve">在</t>
    </r>
    <r>
      <rPr>
        <sz val="11"/>
        <color theme="1"/>
        <rFont val="Calibri"/>
        <family val="2"/>
        <charset val="1"/>
      </rPr>
      <t xml:space="preserve">3*5</t>
    </r>
    <r>
      <rPr>
        <sz val="11"/>
        <color theme="1"/>
        <rFont val="Noto Sans SC"/>
        <family val="2"/>
        <charset val="134"/>
      </rPr>
      <t xml:space="preserve">列的窗口中，每个位置都可以最多分裂成四个图标</t>
    </r>
  </si>
  <si>
    <r>
      <rPr>
        <sz val="11"/>
        <color theme="1"/>
        <rFont val="Noto Sans SC"/>
        <family val="2"/>
        <charset val="134"/>
      </rPr>
      <t xml:space="preserve">因此原本</t>
    </r>
    <r>
      <rPr>
        <sz val="11"/>
        <color theme="1"/>
        <rFont val="Calibri"/>
        <family val="2"/>
        <charset val="1"/>
      </rPr>
      <t xml:space="preserve">Pay Line</t>
    </r>
    <r>
      <rPr>
        <sz val="11"/>
        <color theme="1"/>
        <rFont val="Noto Sans SC"/>
        <family val="2"/>
        <charset val="134"/>
      </rPr>
      <t xml:space="preserve">上的</t>
    </r>
    <r>
      <rPr>
        <sz val="11"/>
        <color theme="1"/>
        <rFont val="Calibri"/>
        <family val="2"/>
        <charset val="1"/>
      </rPr>
      <t xml:space="preserve">5</t>
    </r>
    <r>
      <rPr>
        <sz val="11"/>
        <color theme="1"/>
        <rFont val="Noto Sans SC"/>
        <family val="2"/>
        <charset val="134"/>
      </rPr>
      <t xml:space="preserve">个位置也就需要乘上</t>
    </r>
    <r>
      <rPr>
        <sz val="11"/>
        <color theme="1"/>
        <rFont val="Calibri"/>
        <family val="2"/>
        <charset val="1"/>
      </rPr>
      <t xml:space="preserve">4</t>
    </r>
    <r>
      <rPr>
        <sz val="11"/>
        <color theme="1"/>
        <rFont val="Noto Sans SC"/>
        <family val="2"/>
        <charset val="134"/>
      </rPr>
      <t xml:space="preserve">，变成</t>
    </r>
    <r>
      <rPr>
        <sz val="11"/>
        <color theme="1"/>
        <rFont val="Calibri"/>
        <family val="2"/>
        <charset val="1"/>
      </rPr>
      <t xml:space="preserve">20</t>
    </r>
    <r>
      <rPr>
        <sz val="11"/>
        <color theme="1"/>
        <rFont val="Noto Sans SC"/>
        <family val="2"/>
        <charset val="134"/>
      </rPr>
      <t xml:space="preserve">个位置</t>
    </r>
  </si>
  <si>
    <r>
      <rPr>
        <sz val="11"/>
        <color theme="1"/>
        <rFont val="Noto Sans SC"/>
        <family val="2"/>
        <charset val="134"/>
      </rPr>
      <t xml:space="preserve">该玩法列举出了各图标再</t>
    </r>
    <r>
      <rPr>
        <sz val="11"/>
        <color theme="1"/>
        <rFont val="Calibri"/>
        <family val="2"/>
        <charset val="1"/>
      </rPr>
      <t xml:space="preserve">Pay Line</t>
    </r>
    <r>
      <rPr>
        <sz val="11"/>
        <color theme="1"/>
        <rFont val="Noto Sans SC"/>
        <family val="2"/>
        <charset val="134"/>
      </rPr>
      <t xml:space="preserve">上出现</t>
    </r>
    <r>
      <rPr>
        <sz val="11"/>
        <color theme="1"/>
        <rFont val="Calibri"/>
        <family val="2"/>
        <charset val="1"/>
      </rPr>
      <t xml:space="preserve">3~20</t>
    </r>
    <r>
      <rPr>
        <sz val="11"/>
        <color theme="1"/>
        <rFont val="Noto Sans SC"/>
        <family val="2"/>
        <charset val="134"/>
      </rPr>
      <t xml:space="preserve">个时分别对应的赔付倍数</t>
    </r>
  </si>
  <si>
    <r>
      <rPr>
        <sz val="11"/>
        <color theme="1"/>
        <rFont val="Noto Sans SC"/>
        <family val="2"/>
        <charset val="134"/>
      </rPr>
      <t xml:space="preserve">导致该玩法的</t>
    </r>
    <r>
      <rPr>
        <sz val="11"/>
        <color theme="1"/>
        <rFont val="Calibri"/>
        <family val="2"/>
        <charset val="1"/>
      </rPr>
      <t xml:space="preserve">Pay Table</t>
    </r>
    <r>
      <rPr>
        <sz val="11"/>
        <color theme="1"/>
        <rFont val="Noto Sans SC"/>
        <family val="2"/>
        <charset val="134"/>
      </rPr>
      <t xml:space="preserve">比同尺寸、同图标个数的</t>
    </r>
    <r>
      <rPr>
        <sz val="11"/>
        <color theme="1"/>
        <rFont val="Calibri"/>
        <family val="2"/>
        <charset val="1"/>
      </rPr>
      <t xml:space="preserve">Slots</t>
    </r>
    <r>
      <rPr>
        <sz val="11"/>
        <color theme="1"/>
        <rFont val="Noto Sans SC"/>
        <family val="2"/>
        <charset val="134"/>
      </rPr>
      <t xml:space="preserve">要长得多</t>
    </r>
  </si>
  <si>
    <t xml:space="preserve">从上图中也不难看出，因为赔付档位的增多，导致数值的设置上会受到比较大的限制</t>
  </si>
  <si>
    <t xml:space="preserve">毕竟分裂是针对一整列图标生效的，如果为了增加波动性而提升高中奖组合的赔付倍数可能会导致单局过高或过低赔付</t>
  </si>
  <si>
    <r>
      <rPr>
        <sz val="11"/>
        <color theme="1"/>
        <rFont val="Noto Sans SC"/>
        <family val="2"/>
        <charset val="134"/>
      </rPr>
      <t xml:space="preserve">因此，如果想要使用分裂图标作为</t>
    </r>
    <r>
      <rPr>
        <sz val="11"/>
        <color theme="1"/>
        <rFont val="Calibri"/>
        <family val="2"/>
        <charset val="1"/>
      </rPr>
      <t xml:space="preserve">Slots</t>
    </r>
    <r>
      <rPr>
        <sz val="11"/>
        <color theme="1"/>
        <rFont val="Noto Sans SC"/>
        <family val="2"/>
        <charset val="134"/>
      </rPr>
      <t xml:space="preserve">产品的</t>
    </r>
    <r>
      <rPr>
        <sz val="11"/>
        <color theme="1"/>
        <rFont val="Calibri"/>
        <family val="2"/>
        <charset val="1"/>
      </rPr>
      <t xml:space="preserve">Feature</t>
    </r>
    <r>
      <rPr>
        <sz val="11"/>
        <color theme="1"/>
        <rFont val="Noto Sans SC"/>
        <family val="2"/>
        <charset val="134"/>
      </rPr>
      <t xml:space="preserve">，建议还是用在</t>
    </r>
    <r>
      <rPr>
        <sz val="11"/>
        <color theme="1"/>
        <rFont val="Calibri"/>
        <family val="2"/>
        <charset val="1"/>
      </rPr>
      <t xml:space="preserve">Grid</t>
    </r>
    <r>
      <rPr>
        <sz val="11"/>
        <color theme="1"/>
        <rFont val="Noto Sans SC"/>
        <family val="2"/>
        <charset val="134"/>
      </rPr>
      <t xml:space="preserve">或者</t>
    </r>
    <r>
      <rPr>
        <sz val="11"/>
        <color theme="1"/>
        <rFont val="Calibri"/>
        <family val="2"/>
        <charset val="1"/>
      </rPr>
      <t xml:space="preserve">Ways</t>
    </r>
    <r>
      <rPr>
        <sz val="11"/>
        <color theme="1"/>
        <rFont val="Noto Sans SC"/>
        <family val="2"/>
        <charset val="134"/>
      </rPr>
      <t xml:space="preserve">这种本身在计算个数时就需要使用到每列图标个数的玩法中</t>
    </r>
  </si>
  <si>
    <r>
      <rPr>
        <sz val="11"/>
        <color theme="1"/>
        <rFont val="Noto Sans SC"/>
        <family val="2"/>
        <charset val="134"/>
      </rPr>
      <t xml:space="preserve">一方面玩家更好理解，开发者不用列出一长串的中奖组合和赔付倍数；另一方面，例如</t>
    </r>
    <r>
      <rPr>
        <sz val="11"/>
        <color theme="1"/>
        <rFont val="Calibri"/>
        <family val="2"/>
        <charset val="1"/>
      </rPr>
      <t xml:space="preserve">Way Slots</t>
    </r>
    <r>
      <rPr>
        <sz val="11"/>
        <color theme="1"/>
        <rFont val="Noto Sans SC"/>
        <family val="2"/>
        <charset val="134"/>
      </rPr>
      <t xml:space="preserve">的计算公式中对图标个数的计算是先单列求和，再各列相乘，在提升波动性的同时对增加了高倍赔付的门槛</t>
    </r>
  </si>
  <si>
    <t xml:space="preserve">分裂图标和多倍图标的区别</t>
  </si>
  <si>
    <t xml:space="preserve">之前的功能图标的介绍中有提到多倍图标</t>
  </si>
  <si>
    <t xml:space="preserve">这类图标会持有随机倍数，在结算时能够让该线的赔付倍数提升该随机倍数</t>
  </si>
  <si>
    <t xml:space="preserve">在对赔付倍数的提升作用上两者是比较相似的，但是具体的运用会存在一些差异</t>
  </si>
  <si>
    <t xml:space="preserve">两者最大的差异自然是在倍数的计算公式上</t>
  </si>
  <si>
    <r>
      <rPr>
        <sz val="11"/>
        <color theme="1"/>
        <rFont val="Noto Sans SC"/>
        <family val="2"/>
        <charset val="134"/>
      </rPr>
      <t xml:space="preserve">在</t>
    </r>
    <r>
      <rPr>
        <sz val="11"/>
        <color theme="1"/>
        <rFont val="Calibri"/>
        <family val="2"/>
        <charset val="1"/>
      </rPr>
      <t xml:space="preserve">Line Slots</t>
    </r>
    <r>
      <rPr>
        <sz val="11"/>
        <color theme="1"/>
        <rFont val="Noto Sans SC"/>
        <family val="2"/>
        <charset val="134"/>
      </rPr>
      <t xml:space="preserve">中由于有中奖线的限制，此时使用多倍图标直接作用于经过该图标的中奖线赔付倍数，使用起来简洁明了</t>
    </r>
  </si>
  <si>
    <t xml:space="preserve">但是如果在多线类型的产品中使用分裂图标的话，就会遇到上述内容中超长赔付表的问题，让玩法规则显得比较臃肿</t>
  </si>
  <si>
    <r>
      <rPr>
        <sz val="11"/>
        <color theme="1"/>
        <rFont val="Noto Sans SC"/>
        <family val="2"/>
        <charset val="134"/>
      </rPr>
      <t xml:space="preserve">在</t>
    </r>
    <r>
      <rPr>
        <sz val="11"/>
        <color theme="1"/>
        <rFont val="Calibri"/>
        <family val="2"/>
        <charset val="1"/>
      </rPr>
      <t xml:space="preserve">Way Slots</t>
    </r>
    <r>
      <rPr>
        <sz val="11"/>
        <color theme="1"/>
        <rFont val="Noto Sans SC"/>
        <family val="2"/>
        <charset val="134"/>
      </rPr>
      <t xml:space="preserve">中则刚好反过来，没有了中奖线的限制，多倍图标在</t>
    </r>
    <r>
      <rPr>
        <sz val="11"/>
        <color theme="1"/>
        <rFont val="Calibri"/>
        <family val="2"/>
        <charset val="1"/>
      </rPr>
      <t xml:space="preserve">Way Slots</t>
    </r>
    <r>
      <rPr>
        <sz val="11"/>
        <color theme="1"/>
        <rFont val="Noto Sans SC"/>
        <family val="2"/>
        <charset val="134"/>
      </rPr>
      <t xml:space="preserve">中一般只能作用在最终赔付倍数上，相当于是增加了一项卷轴外机制，但是又和卷轴内的图标分布相关，如果处理不当，很容易使得游戏规则比较冗杂</t>
    </r>
  </si>
  <si>
    <r>
      <rPr>
        <sz val="11"/>
        <color theme="1"/>
        <rFont val="Noto Sans SC"/>
        <family val="2"/>
        <charset val="134"/>
      </rPr>
      <t xml:space="preserve">市面上有不少添加了多倍图标的</t>
    </r>
    <r>
      <rPr>
        <sz val="11"/>
        <color theme="1"/>
        <rFont val="Calibri"/>
        <family val="2"/>
        <charset val="1"/>
      </rPr>
      <t xml:space="preserve">Ways</t>
    </r>
    <r>
      <rPr>
        <sz val="11"/>
        <color theme="1"/>
        <rFont val="Noto Sans SC"/>
        <family val="2"/>
        <charset val="134"/>
      </rPr>
      <t xml:space="preserve">类型产品就是因为这个原因导致游戏体验不加</t>
    </r>
  </si>
  <si>
    <r>
      <rPr>
        <sz val="11"/>
        <color theme="1"/>
        <rFont val="Noto Sans SC"/>
        <family val="2"/>
        <charset val="134"/>
      </rPr>
      <t xml:space="preserve">而分裂图标，则在</t>
    </r>
    <r>
      <rPr>
        <sz val="11"/>
        <color theme="1"/>
        <rFont val="Calibri"/>
        <family val="2"/>
        <charset val="1"/>
      </rPr>
      <t xml:space="preserve">Way Slots</t>
    </r>
    <r>
      <rPr>
        <sz val="11"/>
        <color theme="1"/>
        <rFont val="Noto Sans SC"/>
        <family val="2"/>
        <charset val="134"/>
      </rPr>
      <t xml:space="preserve">中显得如鱼得水</t>
    </r>
  </si>
  <si>
    <t xml:space="preserve">直接将其作用在计算公式的中奖列图标个数即可</t>
  </si>
  <si>
    <t xml:space="preserve">小结</t>
  </si>
  <si>
    <r>
      <rPr>
        <sz val="11"/>
        <color theme="1"/>
        <rFont val="Noto Sans SC"/>
        <family val="2"/>
        <charset val="134"/>
      </rPr>
      <t xml:space="preserve">根据上述的介绍，不难看出分裂图标对</t>
    </r>
    <r>
      <rPr>
        <sz val="11"/>
        <color theme="1"/>
        <rFont val="Calibri"/>
        <family val="2"/>
        <charset val="1"/>
      </rPr>
      <t xml:space="preserve">Slots</t>
    </r>
    <r>
      <rPr>
        <sz val="11"/>
        <color theme="1"/>
        <rFont val="Noto Sans SC"/>
        <family val="2"/>
        <charset val="134"/>
      </rPr>
      <t xml:space="preserve">的体验优化作用还是十分明显的，特别是在提升玩法的波动性上</t>
    </r>
  </si>
  <si>
    <r>
      <rPr>
        <sz val="11"/>
        <color theme="1"/>
        <rFont val="Noto Sans SC"/>
        <family val="2"/>
        <charset val="134"/>
      </rPr>
      <t xml:space="preserve">如果你当前设计的</t>
    </r>
    <r>
      <rPr>
        <sz val="11"/>
        <color theme="1"/>
        <rFont val="Calibri"/>
        <family val="2"/>
        <charset val="1"/>
      </rPr>
      <t xml:space="preserve">Slots</t>
    </r>
    <r>
      <rPr>
        <sz val="11"/>
        <color theme="1"/>
        <rFont val="Noto Sans SC"/>
        <family val="2"/>
        <charset val="134"/>
      </rPr>
      <t xml:space="preserve">波动性不足，而假如其他翻倍要素后又无法融合得很好的话，不妨尝试分裂图标试试看</t>
    </r>
  </si>
  <si>
    <r>
      <rPr>
        <b val="true"/>
        <sz val="11"/>
        <rFont val="Noto Sans SC"/>
        <family val="2"/>
        <charset val="134"/>
      </rPr>
      <t xml:space="preserve">原文配图清单（共 </t>
    </r>
    <r>
      <rPr>
        <b val="true"/>
        <sz val="11"/>
        <rFont val="Cambria"/>
        <family val="0"/>
        <charset val="1"/>
      </rPr>
      <t xml:space="preserve">6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</si>
  <si>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01</t>
    </r>
    <r>
      <rPr>
        <sz val="11"/>
        <color rgb="FF808080"/>
        <rFont val="Noto Sans SC"/>
        <family val="2"/>
        <charset val="134"/>
      </rPr>
      <t xml:space="preserve">］</t>
    </r>
    <r>
      <rPr>
        <sz val="11"/>
        <color rgb="FF808080"/>
        <rFont val="Cambria"/>
        <family val="0"/>
        <charset val="1"/>
      </rPr>
      <t xml:space="preserve">631770497-01.jpg</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</si>
  <si>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631770497-02.jpg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</si>
  <si>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631770497-03.jpg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</si>
  <si>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631770497-04.jpg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</si>
  <si>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631770497-05.jpg</t>
    </r>
  </si>
  <si>
    <r>
      <rPr>
        <sz val="11"/>
        <color rgb="FF808080"/>
        <rFont val="Noto Sans SC"/>
        <family val="2"/>
        <charset val="134"/>
      </rPr>
      <t xml:space="preserve">［配图 </t>
    </r>
    <r>
      <rPr>
        <sz val="11"/>
        <color rgb="FF808080"/>
        <rFont val="Cambria"/>
        <family val="0"/>
        <charset val="1"/>
      </rPr>
      <t xml:space="preserve">06</t>
    </r>
    <r>
      <rPr>
        <sz val="11"/>
        <color rgb="FF808080"/>
        <rFont val="Noto Sans SC"/>
        <family val="2"/>
        <charset val="134"/>
      </rPr>
      <t xml:space="preserve">］</t>
    </r>
    <r>
      <rPr>
        <sz val="11"/>
        <color rgb="FF808080"/>
        <rFont val="Cambria"/>
        <family val="0"/>
        <charset val="1"/>
      </rPr>
      <t xml:space="preserve">631770497-06.jpg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</si>
  <si>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</si>
  <si>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</si>
  <si>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</si>
  <si>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</si>
  <si>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</si>
  <si>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</si>
  <si>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基础篇——</t>
    </r>
    <r>
      <rPr>
        <sz val="11"/>
        <color rgb="FF808080"/>
        <rFont val="Cambria"/>
        <family val="0"/>
        <charset val="1"/>
      </rPr>
      <t xml:space="preserve">Splitting Symbols</t>
    </r>
    <r>
      <rPr>
        <sz val="11"/>
        <color rgb="FF808080"/>
        <rFont val="Noto Sans SC"/>
        <family val="2"/>
        <charset val="134"/>
      </rPr>
      <t xml:space="preserve">》</t>
    </r>
    <r>
      <rPr>
        <sz val="11"/>
        <color rgb="FF808080"/>
        <rFont val="Cambria"/>
        <family val="0"/>
        <charset val="1"/>
      </rPr>
      <t xml:space="preserve">, https://zhuanlan.zhihu.com/p/631770497</t>
    </r>
  </si>
  <si>
    <r>
      <rPr>
        <b val="true"/>
        <sz val="14"/>
        <color rgb="FF1F4E79"/>
        <rFont val="Noto Sans SC"/>
        <family val="2"/>
        <charset val="134"/>
      </rPr>
      <t xml:space="preserve">基础篇 </t>
    </r>
    <r>
      <rPr>
        <b val="true"/>
        <sz val="14"/>
        <color rgb="FF1F4E79"/>
        <rFont val="Cambria"/>
        <family val="0"/>
        <charset val="1"/>
      </rPr>
      <t xml:space="preserve">· Splitting Symbols —— </t>
    </r>
    <r>
      <rPr>
        <b val="true"/>
        <sz val="14"/>
        <color rgb="FF1F4E79"/>
        <rFont val="Noto Sans SC"/>
        <family val="2"/>
        <charset val="134"/>
      </rPr>
      <t xml:space="preserve">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</si>
  <si>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】分裂图标是什么</t>
    </r>
  </si>
  <si>
    <t xml:space="preserve">对比项</t>
  </si>
  <si>
    <r>
      <rPr>
        <b val="true"/>
        <sz val="11"/>
        <color rgb="FF1F4E79"/>
        <rFont val="Noto Sans SC"/>
        <family val="2"/>
        <charset val="134"/>
      </rPr>
      <t xml:space="preserve">分裂图标 </t>
    </r>
    <r>
      <rPr>
        <b val="true"/>
        <sz val="11"/>
        <color rgb="FF1F4E79"/>
        <rFont val="Cambria"/>
        <family val="0"/>
        <charset val="1"/>
      </rPr>
      <t xml:space="preserve">Splitting Symbols</t>
    </r>
  </si>
  <si>
    <r>
      <rPr>
        <b val="true"/>
        <sz val="11"/>
        <color rgb="FF1F4E79"/>
        <rFont val="Noto Sans SC"/>
        <family val="2"/>
        <charset val="134"/>
      </rPr>
      <t xml:space="preserve">扩展卷轴 </t>
    </r>
    <r>
      <rPr>
        <b val="true"/>
        <sz val="11"/>
        <color rgb="FF1F4E79"/>
        <rFont val="Cambria"/>
        <family val="0"/>
        <charset val="1"/>
      </rPr>
      <t xml:space="preserve">Expanding Reels</t>
    </r>
  </si>
  <si>
    <t xml:space="preserve">作用对象</t>
  </si>
  <si>
    <r>
      <rPr>
        <sz val="11"/>
        <color theme="1"/>
        <rFont val="Noto Sans SC"/>
        <family val="2"/>
        <charset val="134"/>
      </rPr>
      <t xml:space="preserve">单个图标 </t>
    </r>
    <r>
      <rPr>
        <sz val="11"/>
        <color theme="1"/>
        <rFont val="Calibri"/>
        <family val="2"/>
        <charset val="1"/>
      </rPr>
      <t xml:space="preserve">/ </t>
    </r>
    <r>
      <rPr>
        <sz val="11"/>
        <color theme="1"/>
        <rFont val="Noto Sans SC"/>
        <family val="2"/>
        <charset val="134"/>
      </rPr>
      <t xml:space="preserve">单个位置 </t>
    </r>
    <r>
      <rPr>
        <sz val="11"/>
        <color theme="1"/>
        <rFont val="Calibri"/>
        <family val="2"/>
        <charset val="1"/>
      </rPr>
      <t xml:space="preserve">/ </t>
    </r>
    <r>
      <rPr>
        <sz val="11"/>
        <color theme="1"/>
        <rFont val="Noto Sans SC"/>
        <family val="2"/>
        <charset val="134"/>
      </rPr>
      <t xml:space="preserve">整列图标</t>
    </r>
  </si>
  <si>
    <t xml:space="preserve">卷轴区域本身（多出一行或一列）</t>
  </si>
  <si>
    <t xml:space="preserve">画面变化</t>
  </si>
  <si>
    <t xml:space="preserve">图标数量「看起来」变多，但行列不变</t>
  </si>
  <si>
    <t xml:space="preserve">行列数真的变多</t>
  </si>
  <si>
    <t xml:space="preserve">数值入口</t>
  </si>
  <si>
    <t xml:space="preserve">放大「中奖各列图标个数」</t>
  </si>
  <si>
    <r>
      <rPr>
        <sz val="11"/>
        <color theme="1"/>
        <rFont val="Noto Sans SC"/>
        <family val="2"/>
        <charset val="134"/>
      </rPr>
      <t xml:space="preserve">放大列数 </t>
    </r>
    <r>
      <rPr>
        <sz val="11"/>
        <color theme="1"/>
        <rFont val="Calibri"/>
        <family val="2"/>
        <charset val="1"/>
      </rPr>
      <t xml:space="preserve">/ </t>
    </r>
    <r>
      <rPr>
        <sz val="11"/>
        <color theme="1"/>
        <rFont val="Noto Sans SC"/>
        <family val="2"/>
        <charset val="134"/>
      </rPr>
      <t xml:space="preserve">行数，事件总数随之变化</t>
    </r>
  </si>
  <si>
    <t xml:space="preserve">常见玩法</t>
  </si>
  <si>
    <t xml:space="preserve">Ways / Cluster / Grid / Megaways</t>
  </si>
  <si>
    <r>
      <rPr>
        <sz val="11"/>
        <color theme="1"/>
        <rFont val="Calibri"/>
        <family val="2"/>
        <charset val="1"/>
      </rPr>
      <t xml:space="preserve">Megaways / Expanding Reels </t>
    </r>
    <r>
      <rPr>
        <sz val="11"/>
        <color theme="1"/>
        <rFont val="Noto Sans SC"/>
        <family val="2"/>
        <charset val="134"/>
      </rPr>
      <t xml:space="preserve">类</t>
    </r>
  </si>
  <si>
    <t xml:space="preserve">最大倍数示例</t>
  </si>
  <si>
    <r>
      <rPr>
        <sz val="11"/>
        <color theme="1"/>
        <rFont val="Noto Sans SC"/>
        <family val="2"/>
        <charset val="134"/>
      </rPr>
      <t xml:space="preserve">每列最多 </t>
    </r>
    <r>
      <rPr>
        <sz val="11"/>
        <color theme="1"/>
        <rFont val="Calibri"/>
        <family val="2"/>
        <charset val="1"/>
      </rPr>
      <t xml:space="preserve">10 </t>
    </r>
    <r>
      <rPr>
        <sz val="11"/>
        <color theme="1"/>
        <rFont val="Noto Sans SC"/>
        <family val="2"/>
        <charset val="134"/>
      </rPr>
      <t xml:space="preserve">个 → </t>
    </r>
    <r>
      <rPr>
        <sz val="11"/>
        <color theme="1"/>
        <rFont val="Calibri"/>
        <family val="2"/>
        <charset val="1"/>
      </rPr>
      <t xml:space="preserve">10³ </t>
    </r>
    <r>
      <rPr>
        <sz val="11"/>
        <color theme="1"/>
        <rFont val="Noto Sans SC"/>
        <family val="2"/>
        <charset val="134"/>
      </rPr>
      <t xml:space="preserve">＝ </t>
    </r>
    <r>
      <rPr>
        <sz val="11"/>
        <color theme="1"/>
        <rFont val="Calibri"/>
        <family val="2"/>
        <charset val="1"/>
      </rPr>
      <t xml:space="preserve">1000 </t>
    </r>
    <r>
      <rPr>
        <sz val="11"/>
        <color theme="1"/>
        <rFont val="Noto Sans SC"/>
        <family val="2"/>
        <charset val="134"/>
      </rPr>
      <t xml:space="preserve">倍（</t>
    </r>
    <r>
      <rPr>
        <sz val="11"/>
        <color theme="1"/>
        <rFont val="Calibri"/>
        <family val="2"/>
        <charset val="1"/>
      </rPr>
      <t xml:space="preserve">Slashimi</t>
    </r>
    <r>
      <rPr>
        <sz val="11"/>
        <color theme="1"/>
        <rFont val="Noto Sans SC"/>
        <family val="2"/>
        <charset val="134"/>
      </rPr>
      <t xml:space="preserve">）</t>
    </r>
  </si>
  <si>
    <t xml:space="preserve">随行列增加而变</t>
  </si>
  <si>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】三类分裂对照（按作用对象分）</t>
    </r>
  </si>
  <si>
    <t xml:space="preserve">类型</t>
  </si>
  <si>
    <t xml:space="preserve">触发方式</t>
  </si>
  <si>
    <t xml:space="preserve">结算方式</t>
  </si>
  <si>
    <t xml:space="preserve">代表产品</t>
  </si>
  <si>
    <t xml:space="preserve">卷轴转动时同步转动的小卷轴随机抽一个标准图标</t>
  </si>
  <si>
    <t xml:space="preserve">该图标本局结算时视为两个图标</t>
  </si>
  <si>
    <r>
      <rPr>
        <sz val="11"/>
        <color theme="1"/>
        <rFont val="Calibri"/>
        <family val="2"/>
        <charset val="1"/>
      </rPr>
      <t xml:space="preserve">Slashimi</t>
    </r>
    <r>
      <rPr>
        <sz val="11"/>
        <color theme="1"/>
        <rFont val="Noto Sans SC"/>
        <family val="2"/>
        <charset val="134"/>
      </rPr>
      <t xml:space="preserve">（免费摇里会锁成粘性分裂图标）、</t>
    </r>
    <r>
      <rPr>
        <sz val="11"/>
        <color theme="1"/>
        <rFont val="Calibri"/>
        <family val="2"/>
        <charset val="1"/>
      </rPr>
      <t xml:space="preserve">Tombstone RIP</t>
    </r>
    <r>
      <rPr>
        <sz val="11"/>
        <color theme="1"/>
        <rFont val="Noto Sans SC"/>
        <family val="2"/>
        <charset val="134"/>
      </rPr>
      <t xml:space="preserve">（还叠加随机倍数）</t>
    </r>
  </si>
  <si>
    <r>
      <rPr>
        <sz val="11"/>
        <color theme="1"/>
        <rFont val="Noto Sans SC"/>
        <family val="2"/>
        <charset val="134"/>
      </rPr>
      <t xml:space="preserve">触发后该位置被标注倍数，每次触发 </t>
    </r>
    <r>
      <rPr>
        <sz val="11"/>
        <color theme="1"/>
        <rFont val="Calibri"/>
        <family val="2"/>
        <charset val="1"/>
      </rPr>
      <t xml:space="preserve">+1</t>
    </r>
    <r>
      <rPr>
        <sz val="11"/>
        <color theme="1"/>
        <rFont val="Noto Sans SC"/>
        <family val="2"/>
        <charset val="134"/>
      </rPr>
      <t xml:space="preserve">，直到免费摇结束清空</t>
    </r>
  </si>
  <si>
    <t xml:space="preserve">该位置达成中奖时按倍数当作多个图标结算</t>
  </si>
  <si>
    <r>
      <rPr>
        <sz val="11"/>
        <color theme="1"/>
        <rFont val="Calibri"/>
        <family val="2"/>
        <charset val="1"/>
      </rPr>
      <t xml:space="preserve">Hot Rod Racers</t>
    </r>
    <r>
      <rPr>
        <sz val="11"/>
        <color theme="1"/>
        <rFont val="Noto Sans SC"/>
        <family val="2"/>
        <charset val="134"/>
      </rPr>
      <t xml:space="preserve">（抽中 </t>
    </r>
    <r>
      <rPr>
        <sz val="11"/>
        <color theme="1"/>
        <rFont val="Calibri"/>
        <family val="2"/>
        <charset val="1"/>
      </rPr>
      <t xml:space="preserve">Wild </t>
    </r>
    <r>
      <rPr>
        <sz val="11"/>
        <color theme="1"/>
        <rFont val="Noto Sans SC"/>
        <family val="2"/>
        <charset val="134"/>
      </rPr>
      <t xml:space="preserve">后同行高级图标变 </t>
    </r>
    <r>
      <rPr>
        <sz val="11"/>
        <color theme="1"/>
        <rFont val="Calibri"/>
        <family val="2"/>
        <charset val="1"/>
      </rPr>
      <t xml:space="preserve">Wild</t>
    </r>
    <r>
      <rPr>
        <sz val="11"/>
        <color theme="1"/>
        <rFont val="Noto Sans SC"/>
        <family val="2"/>
        <charset val="134"/>
      </rPr>
      <t xml:space="preserve">）</t>
    </r>
  </si>
  <si>
    <r>
      <rPr>
        <sz val="11"/>
        <color theme="1"/>
        <rFont val="Noto Sans SC"/>
        <family val="2"/>
        <charset val="134"/>
      </rPr>
      <t xml:space="preserve">按触发时该列 </t>
    </r>
    <r>
      <rPr>
        <sz val="11"/>
        <color theme="1"/>
        <rFont val="Calibri"/>
        <family val="2"/>
        <charset val="1"/>
      </rPr>
      <t xml:space="preserve">Scatter </t>
    </r>
    <r>
      <rPr>
        <sz val="11"/>
        <color theme="1"/>
        <rFont val="Noto Sans SC"/>
        <family val="2"/>
        <charset val="134"/>
      </rPr>
      <t xml:space="preserve">个数点亮绿灯（每列最多 </t>
    </r>
    <r>
      <rPr>
        <sz val="11"/>
        <color theme="1"/>
        <rFont val="Calibri"/>
        <family val="2"/>
        <charset val="1"/>
      </rPr>
      <t xml:space="preserve">3 </t>
    </r>
    <r>
      <rPr>
        <sz val="11"/>
        <color theme="1"/>
        <rFont val="Noto Sans SC"/>
        <family val="2"/>
        <charset val="134"/>
      </rPr>
      <t xml:space="preserve">个）</t>
    </r>
  </si>
  <si>
    <t xml:space="preserve">中奖时该列所有图标按绿灯数分裂</t>
  </si>
  <si>
    <t xml:space="preserve">Grim The Splitter Dream Drop</t>
  </si>
  <si>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】分裂在 </t>
    </r>
    <r>
      <rPr>
        <b val="true"/>
        <sz val="11"/>
        <color rgb="FF1F4E79"/>
        <rFont val="Cambria"/>
        <family val="0"/>
        <charset val="1"/>
      </rPr>
      <t xml:space="preserve">Way Slots </t>
    </r>
    <r>
      <rPr>
        <b val="true"/>
        <sz val="11"/>
        <color rgb="FF1F4E79"/>
        <rFont val="Noto Sans SC"/>
        <family val="2"/>
        <charset val="134"/>
      </rPr>
      <t xml:space="preserve">赔付公式里的位置</t>
    </r>
  </si>
  <si>
    <t xml:space="preserve">项目</t>
  </si>
  <si>
    <r>
      <rPr>
        <b val="true"/>
        <sz val="11"/>
        <color rgb="FF1F4E79"/>
        <rFont val="Noto Sans SC"/>
        <family val="2"/>
        <charset val="134"/>
      </rPr>
      <t xml:space="preserve">公式 </t>
    </r>
    <r>
      <rPr>
        <b val="true"/>
        <sz val="11"/>
        <color rgb="FF1F4E79"/>
        <rFont val="Cambria"/>
        <family val="0"/>
        <charset val="1"/>
      </rPr>
      <t xml:space="preserve">/ </t>
    </r>
    <r>
      <rPr>
        <b val="true"/>
        <sz val="11"/>
        <color rgb="FF1F4E79"/>
        <rFont val="Noto Sans SC"/>
        <family val="2"/>
        <charset val="134"/>
      </rPr>
      <t xml:space="preserve">说明</t>
    </r>
  </si>
  <si>
    <t xml:space="preserve">实际赔付倍数</t>
  </si>
  <si>
    <r>
      <rPr>
        <sz val="11"/>
        <color theme="1"/>
        <rFont val="Noto Sans SC"/>
        <family val="2"/>
        <charset val="134"/>
      </rPr>
      <t xml:space="preserve">＝ 计算基数 </t>
    </r>
    <r>
      <rPr>
        <sz val="11"/>
        <color theme="1"/>
        <rFont val="Calibri"/>
        <family val="2"/>
        <charset val="1"/>
      </rPr>
      <t xml:space="preserve">× </t>
    </r>
    <r>
      <rPr>
        <sz val="11"/>
        <color theme="1"/>
        <rFont val="Noto Sans SC"/>
        <family val="2"/>
        <charset val="134"/>
      </rPr>
      <t xml:space="preserve">赔付系数 </t>
    </r>
    <r>
      <rPr>
        <sz val="11"/>
        <color theme="1"/>
        <rFont val="Calibri"/>
        <family val="2"/>
        <charset val="1"/>
      </rPr>
      <t xml:space="preserve">× </t>
    </r>
    <r>
      <rPr>
        <sz val="11"/>
        <color theme="1"/>
        <rFont val="Noto Sans SC"/>
        <family val="2"/>
        <charset val="134"/>
      </rPr>
      <t xml:space="preserve">中奖各列图标个数乘积</t>
    </r>
  </si>
  <si>
    <t xml:space="preserve">分裂的作用点</t>
  </si>
  <si>
    <t xml:space="preserve">放大「中奖各列图标个数」→ 先单列求和、再各列相乘</t>
  </si>
  <si>
    <t xml:space="preserve">与多倍图标的差别</t>
  </si>
  <si>
    <t xml:space="preserve">多倍图标放「赔付系数」；分裂放「图标个数」</t>
  </si>
  <si>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】分裂倍数表（原文 </t>
    </r>
    <r>
      <rPr>
        <b val="true"/>
        <sz val="11"/>
        <color rgb="FF1F4E79"/>
        <rFont val="Cambria"/>
        <family val="0"/>
        <charset val="1"/>
      </rPr>
      <t xml:space="preserve">Grim</t>
    </r>
    <r>
      <rPr>
        <b val="true"/>
        <sz val="11"/>
        <color rgb="FF1F4E79"/>
        <rFont val="Noto Sans SC"/>
        <family val="2"/>
        <charset val="134"/>
      </rPr>
      <t xml:space="preserve">：点 </t>
    </r>
    <r>
      <rPr>
        <b val="true"/>
        <sz val="11"/>
        <color rgb="FF1F4E79"/>
        <rFont val="Cambria"/>
        <family val="0"/>
        <charset val="1"/>
      </rPr>
      <t xml:space="preserve">1/2/3 </t>
    </r>
    <r>
      <rPr>
        <b val="true"/>
        <sz val="11"/>
        <color rgb="FF1F4E79"/>
        <rFont val="Noto Sans SC"/>
        <family val="2"/>
        <charset val="134"/>
      </rPr>
      <t xml:space="preserve">个绿灯 → 分裂成 </t>
    </r>
    <r>
      <rPr>
        <b val="true"/>
        <sz val="11"/>
        <color rgb="FF1F4E79"/>
        <rFont val="Cambria"/>
        <family val="0"/>
        <charset val="1"/>
      </rPr>
      <t xml:space="preserve">2/3/4 </t>
    </r>
    <r>
      <rPr>
        <b val="true"/>
        <sz val="11"/>
        <color rgb="FF1F4E79"/>
        <rFont val="Noto Sans SC"/>
        <family val="2"/>
        <charset val="134"/>
      </rPr>
      <t xml:space="preserve">个，数值可改）</t>
    </r>
  </si>
  <si>
    <t xml:space="preserve">点亮绿灯数</t>
  </si>
  <si>
    <t xml:space="preserve">分裂成几个图标</t>
  </si>
  <si>
    <t xml:space="preserve">该列图标个数倍数</t>
  </si>
  <si>
    <t xml:space="preserve">原文：点亮一个 → 分裂成两个</t>
  </si>
  <si>
    <t xml:space="preserve">点亮两个 → 分裂成三个</t>
  </si>
  <si>
    <t xml:space="preserve">点亮三个 → 分裂成四个（上限）</t>
  </si>
  <si>
    <t xml:space="preserve">示例：某列基础图标个数</t>
  </si>
  <si>
    <t xml:space="preserve">分裂倍数</t>
  </si>
  <si>
    <t xml:space="preserve">该列结算图标个数</t>
  </si>
  <si>
    <r>
      <rPr>
        <sz val="11"/>
        <color theme="1"/>
        <rFont val="Noto Sans SC"/>
        <family val="2"/>
        <charset val="134"/>
      </rPr>
      <t xml:space="preserve">基础 </t>
    </r>
    <r>
      <rPr>
        <sz val="11"/>
        <color theme="1"/>
        <rFont val="Calibri"/>
        <family val="2"/>
        <charset val="1"/>
      </rPr>
      <t xml:space="preserve">3 </t>
    </r>
    <r>
      <rPr>
        <sz val="11"/>
        <color theme="1"/>
        <rFont val="Noto Sans SC"/>
        <family val="2"/>
        <charset val="134"/>
      </rPr>
      <t xml:space="preserve">个 </t>
    </r>
    <r>
      <rPr>
        <sz val="11"/>
        <color theme="1"/>
        <rFont val="Calibri"/>
        <family val="2"/>
        <charset val="1"/>
      </rPr>
      <t xml:space="preserve">× </t>
    </r>
    <r>
      <rPr>
        <sz val="11"/>
        <color theme="1"/>
        <rFont val="Noto Sans SC"/>
        <family val="2"/>
        <charset val="134"/>
      </rPr>
      <t xml:space="preserve">分裂 </t>
    </r>
    <r>
      <rPr>
        <sz val="11"/>
        <color theme="1"/>
        <rFont val="Calibri"/>
        <family val="2"/>
        <charset val="1"/>
      </rPr>
      <t xml:space="preserve">4 </t>
    </r>
    <r>
      <rPr>
        <sz val="11"/>
        <color theme="1"/>
        <rFont val="Noto Sans SC"/>
        <family val="2"/>
        <charset val="134"/>
      </rPr>
      <t xml:space="preserve">＝ </t>
    </r>
    <r>
      <rPr>
        <sz val="11"/>
        <color theme="1"/>
        <rFont val="Calibri"/>
        <family val="2"/>
        <charset val="1"/>
      </rPr>
      <t xml:space="preserve">12 </t>
    </r>
    <r>
      <rPr>
        <sz val="11"/>
        <color theme="1"/>
        <rFont val="Noto Sans SC"/>
        <family val="2"/>
        <charset val="134"/>
      </rPr>
      <t xml:space="preserve">个，该列 </t>
    </r>
    <r>
      <rPr>
        <sz val="11"/>
        <color theme="1"/>
        <rFont val="Calibri"/>
        <family val="2"/>
        <charset val="1"/>
      </rPr>
      <t xml:space="preserve">Ways </t>
    </r>
    <r>
      <rPr>
        <sz val="11"/>
        <color theme="1"/>
        <rFont val="Noto Sans SC"/>
        <family val="2"/>
        <charset val="134"/>
      </rPr>
      <t xml:space="preserve">放大 </t>
    </r>
    <r>
      <rPr>
        <sz val="11"/>
        <color theme="1"/>
        <rFont val="Calibri"/>
        <family val="2"/>
        <charset val="1"/>
      </rPr>
      <t xml:space="preserve">4 </t>
    </r>
    <r>
      <rPr>
        <sz val="11"/>
        <color theme="1"/>
        <rFont val="Noto Sans SC"/>
        <family val="2"/>
        <charset val="134"/>
      </rPr>
      <t xml:space="preserve">倍</t>
    </r>
  </si>
  <si>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t>
    </r>
    <r>
      <rPr>
        <b val="true"/>
        <sz val="11"/>
        <color rgb="FF1F4E79"/>
        <rFont val="Cambria"/>
        <family val="0"/>
        <charset val="1"/>
      </rPr>
      <t xml:space="preserve">Slashimi</t>
    </r>
    <r>
      <rPr>
        <b val="true"/>
        <sz val="11"/>
        <color rgb="FF1F4E79"/>
        <rFont val="Noto Sans SC"/>
        <family val="2"/>
        <charset val="134"/>
      </rPr>
      <t xml:space="preserve">：单局最大倍数（每列最多 </t>
    </r>
    <r>
      <rPr>
        <b val="true"/>
        <sz val="11"/>
        <color rgb="FF1F4E79"/>
        <rFont val="Cambria"/>
        <family val="0"/>
        <charset val="1"/>
      </rPr>
      <t xml:space="preserve">10 </t>
    </r>
    <r>
      <rPr>
        <b val="true"/>
        <sz val="11"/>
        <color rgb="FF1F4E79"/>
        <rFont val="Noto Sans SC"/>
        <family val="2"/>
        <charset val="134"/>
      </rPr>
      <t xml:space="preserve">个图标）</t>
    </r>
  </si>
  <si>
    <t xml:space="preserve">数值</t>
  </si>
  <si>
    <t xml:space="preserve">每列最大图标个数</t>
  </si>
  <si>
    <t xml:space="preserve">分裂后单列上限</t>
  </si>
  <si>
    <t xml:space="preserve">列数</t>
  </si>
  <si>
    <r>
      <rPr>
        <sz val="11"/>
        <color theme="1"/>
        <rFont val="Noto Sans SC"/>
        <family val="2"/>
        <charset val="134"/>
      </rPr>
      <t xml:space="preserve">原文例：</t>
    </r>
    <r>
      <rPr>
        <sz val="11"/>
        <color theme="1"/>
        <rFont val="Calibri"/>
        <family val="2"/>
        <charset val="1"/>
      </rPr>
      <t xml:space="preserve">3 </t>
    </r>
    <r>
      <rPr>
        <sz val="11"/>
        <color theme="1"/>
        <rFont val="Noto Sans SC"/>
        <family val="2"/>
        <charset val="134"/>
      </rPr>
      <t xml:space="preserve">列玩法</t>
    </r>
  </si>
  <si>
    <t xml:space="preserve">单局最大倍数</t>
  </si>
  <si>
    <r>
      <rPr>
        <sz val="11"/>
        <color theme="1"/>
        <rFont val="Noto Sans SC"/>
        <family val="2"/>
        <charset val="134"/>
      </rPr>
      <t xml:space="preserve">＝ </t>
    </r>
    <r>
      <rPr>
        <sz val="11"/>
        <color theme="1"/>
        <rFont val="Calibri"/>
        <family val="2"/>
        <charset val="1"/>
      </rPr>
      <t xml:space="preserve">10 × 10 × 10 </t>
    </r>
    <r>
      <rPr>
        <sz val="11"/>
        <color theme="1"/>
        <rFont val="Noto Sans SC"/>
        <family val="2"/>
        <charset val="134"/>
      </rPr>
      <t xml:space="preserve">＝ </t>
    </r>
    <r>
      <rPr>
        <sz val="11"/>
        <color theme="1"/>
        <rFont val="Calibri"/>
        <family val="2"/>
        <charset val="1"/>
      </rPr>
      <t xml:space="preserve">1000 </t>
    </r>
    <r>
      <rPr>
        <sz val="11"/>
        <color theme="1"/>
        <rFont val="Noto Sans SC"/>
        <family val="2"/>
        <charset val="134"/>
      </rPr>
      <t xml:space="preserve">倍</t>
    </r>
  </si>
  <si>
    <t xml:space="preserve">宣传口径</t>
  </si>
  <si>
    <t xml:space="preserve">125~1000 Ways</t>
  </si>
  <si>
    <r>
      <rPr>
        <sz val="11"/>
        <color theme="1"/>
        <rFont val="Noto Sans SC"/>
        <family val="2"/>
        <charset val="134"/>
      </rPr>
      <t xml:space="preserve">便于玩家理解，实际数值体系与 </t>
    </r>
    <r>
      <rPr>
        <sz val="11"/>
        <color theme="1"/>
        <rFont val="Calibri"/>
        <family val="2"/>
        <charset val="1"/>
      </rPr>
      <t xml:space="preserve">Expanding Reels </t>
    </r>
    <r>
      <rPr>
        <sz val="11"/>
        <color theme="1"/>
        <rFont val="Noto Sans SC"/>
        <family val="2"/>
        <charset val="134"/>
      </rPr>
      <t xml:space="preserve">差别很大</t>
    </r>
  </si>
  <si>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t>
    </r>
    <r>
      <rPr>
        <b val="true"/>
        <sz val="11"/>
        <color rgb="FF1F4E79"/>
        <rFont val="Cambria"/>
        <family val="0"/>
        <charset val="1"/>
      </rPr>
      <t xml:space="preserve">Line Slots </t>
    </r>
    <r>
      <rPr>
        <b val="true"/>
        <sz val="11"/>
        <color rgb="FF1F4E79"/>
        <rFont val="Noto Sans SC"/>
        <family val="2"/>
        <charset val="134"/>
      </rPr>
      <t xml:space="preserve">里加分裂图标：只能穷举（原文 </t>
    </r>
    <r>
      <rPr>
        <b val="true"/>
        <sz val="11"/>
        <color rgb="FF1F4E79"/>
        <rFont val="Cambria"/>
        <family val="0"/>
        <charset val="1"/>
      </rPr>
      <t xml:space="preserve">Grim </t>
    </r>
    <r>
      <rPr>
        <b val="true"/>
        <sz val="11"/>
        <color rgb="FF1F4E79"/>
        <rFont val="Noto Sans SC"/>
        <family val="2"/>
        <charset val="134"/>
      </rPr>
      <t xml:space="preserve">的做法）</t>
    </r>
  </si>
  <si>
    <t xml:space="preserve">中奖线上的位置数</t>
  </si>
  <si>
    <r>
      <rPr>
        <sz val="11"/>
        <color theme="1"/>
        <rFont val="Calibri"/>
        <family val="2"/>
        <charset val="1"/>
      </rPr>
      <t xml:space="preserve">3*5 </t>
    </r>
    <r>
      <rPr>
        <sz val="11"/>
        <color theme="1"/>
        <rFont val="Noto Sans SC"/>
        <family val="2"/>
        <charset val="134"/>
      </rPr>
      <t xml:space="preserve">窗口的一条线</t>
    </r>
  </si>
  <si>
    <t xml:space="preserve">每个位置最多分裂成</t>
  </si>
  <si>
    <r>
      <rPr>
        <sz val="11"/>
        <color theme="1"/>
        <rFont val="Noto Sans SC"/>
        <family val="2"/>
        <charset val="134"/>
      </rPr>
      <t xml:space="preserve">对应 </t>
    </r>
    <r>
      <rPr>
        <sz val="11"/>
        <color theme="1"/>
        <rFont val="Calibri"/>
        <family val="2"/>
        <charset val="1"/>
      </rPr>
      <t xml:space="preserve">3 </t>
    </r>
    <r>
      <rPr>
        <sz val="11"/>
        <color theme="1"/>
        <rFont val="Noto Sans SC"/>
        <family val="2"/>
        <charset val="134"/>
      </rPr>
      <t xml:space="preserve">个绿灯</t>
    </r>
  </si>
  <si>
    <t xml:space="preserve">线上一共要覆盖的位置数</t>
  </si>
  <si>
    <r>
      <rPr>
        <sz val="11"/>
        <color theme="1"/>
        <rFont val="Noto Sans SC"/>
        <family val="2"/>
        <charset val="134"/>
      </rPr>
      <t xml:space="preserve">＝ </t>
    </r>
    <r>
      <rPr>
        <sz val="11"/>
        <color theme="1"/>
        <rFont val="Calibri"/>
        <family val="2"/>
        <charset val="1"/>
      </rPr>
      <t xml:space="preserve">5 × 4 </t>
    </r>
    <r>
      <rPr>
        <sz val="11"/>
        <color theme="1"/>
        <rFont val="Noto Sans SC"/>
        <family val="2"/>
        <charset val="134"/>
      </rPr>
      <t xml:space="preserve">＝ </t>
    </r>
    <r>
      <rPr>
        <sz val="11"/>
        <color theme="1"/>
        <rFont val="Calibri"/>
        <family val="2"/>
        <charset val="1"/>
      </rPr>
      <t xml:space="preserve">20 </t>
    </r>
    <r>
      <rPr>
        <sz val="11"/>
        <color theme="1"/>
        <rFont val="Noto Sans SC"/>
        <family val="2"/>
        <charset val="134"/>
      </rPr>
      <t xml:space="preserve">个</t>
    </r>
  </si>
  <si>
    <r>
      <rPr>
        <b val="true"/>
        <sz val="11"/>
        <rFont val="Noto Sans SC"/>
        <family val="2"/>
        <charset val="134"/>
      </rPr>
      <t xml:space="preserve">赔付档位数（</t>
    </r>
    <r>
      <rPr>
        <b val="true"/>
        <sz val="11"/>
        <rFont val="Cambria"/>
        <family val="0"/>
        <charset val="1"/>
      </rPr>
      <t xml:space="preserve">3~20 </t>
    </r>
    <r>
      <rPr>
        <b val="true"/>
        <sz val="11"/>
        <rFont val="Noto Sans SC"/>
        <family val="2"/>
        <charset val="134"/>
      </rPr>
      <t xml:space="preserve">个图标）</t>
    </r>
  </si>
  <si>
    <r>
      <rPr>
        <sz val="11"/>
        <color theme="1"/>
        <rFont val="Noto Sans SC"/>
        <family val="2"/>
        <charset val="134"/>
      </rPr>
      <t xml:space="preserve">＝ </t>
    </r>
    <r>
      <rPr>
        <sz val="11"/>
        <color theme="1"/>
        <rFont val="Calibri"/>
        <family val="2"/>
        <charset val="1"/>
      </rPr>
      <t xml:space="preserve">18 </t>
    </r>
    <r>
      <rPr>
        <sz val="11"/>
        <color theme="1"/>
        <rFont val="Noto Sans SC"/>
        <family val="2"/>
        <charset val="134"/>
      </rPr>
      <t xml:space="preserve">档，赔表因此比同尺寸玩法长得多</t>
    </r>
  </si>
  <si>
    <r>
      <rPr>
        <sz val="11"/>
        <color rgb="FF808080"/>
        <rFont val="Noto Sans SC"/>
        <family val="2"/>
        <charset val="134"/>
      </rPr>
      <t xml:space="preserve">对比：</t>
    </r>
    <r>
      <rPr>
        <sz val="11"/>
        <color rgb="FF808080"/>
        <rFont val="Cambria"/>
        <family val="0"/>
        <charset val="1"/>
      </rPr>
      <t xml:space="preserve">Ways / Grid </t>
    </r>
    <r>
      <rPr>
        <sz val="11"/>
        <color rgb="FF808080"/>
        <rFont val="Noto Sans SC"/>
        <family val="2"/>
        <charset val="134"/>
      </rPr>
      <t xml:space="preserve">只要按列求和再相乘，不需要为「</t>
    </r>
    <r>
      <rPr>
        <sz val="11"/>
        <color rgb="FF808080"/>
        <rFont val="Cambria"/>
        <family val="0"/>
        <charset val="1"/>
      </rPr>
      <t xml:space="preserve">3~20 </t>
    </r>
    <r>
      <rPr>
        <sz val="11"/>
        <color rgb="FF808080"/>
        <rFont val="Noto Sans SC"/>
        <family val="2"/>
        <charset val="134"/>
      </rPr>
      <t xml:space="preserve">个」逐档列赔率；</t>
    </r>
    <r>
      <rPr>
        <sz val="11"/>
        <color rgb="FF808080"/>
        <rFont val="Cambria"/>
        <family val="0"/>
        <charset val="1"/>
      </rPr>
      <t xml:space="preserve">Line Slots </t>
    </r>
    <r>
      <rPr>
        <sz val="11"/>
        <color rgb="FF808080"/>
        <rFont val="Noto Sans SC"/>
        <family val="2"/>
        <charset val="134"/>
      </rPr>
      <t xml:space="preserve">因为按中奖线结算、图标分裂不改变线的分布，只能穷举——这也是原文建议「分裂图标优先用于 </t>
    </r>
    <r>
      <rPr>
        <sz val="11"/>
        <color rgb="FF808080"/>
        <rFont val="Cambria"/>
        <family val="0"/>
        <charset val="1"/>
      </rPr>
      <t xml:space="preserve">Grid / Ways</t>
    </r>
    <r>
      <rPr>
        <sz val="11"/>
        <color rgb="FF808080"/>
        <rFont val="Noto Sans SC"/>
        <family val="2"/>
        <charset val="134"/>
      </rPr>
      <t xml:space="preserve">」的原因。</t>
    </r>
  </si>
  <si>
    <r>
      <rPr>
        <b val="true"/>
        <sz val="11"/>
        <color rgb="FF1F4E79"/>
        <rFont val="Noto Sans SC"/>
        <family val="2"/>
        <charset val="134"/>
      </rPr>
      <t xml:space="preserve">【</t>
    </r>
    <r>
      <rPr>
        <b val="true"/>
        <sz val="11"/>
        <color rgb="FF1F4E79"/>
        <rFont val="Cambria"/>
        <family val="0"/>
        <charset val="1"/>
      </rPr>
      <t xml:space="preserve">7</t>
    </r>
    <r>
      <rPr>
        <b val="true"/>
        <sz val="11"/>
        <color rgb="FF1F4E79"/>
        <rFont val="Noto Sans SC"/>
        <family val="2"/>
        <charset val="134"/>
      </rPr>
      <t xml:space="preserve">】分裂图标 </t>
    </r>
    <r>
      <rPr>
        <b val="true"/>
        <sz val="11"/>
        <color rgb="FF1F4E79"/>
        <rFont val="Cambria"/>
        <family val="0"/>
        <charset val="1"/>
      </rPr>
      <t xml:space="preserve">vs </t>
    </r>
    <r>
      <rPr>
        <b val="true"/>
        <sz val="11"/>
        <color rgb="FF1F4E79"/>
        <rFont val="Noto Sans SC"/>
        <family val="2"/>
        <charset val="134"/>
      </rPr>
      <t xml:space="preserve">多倍图标</t>
    </r>
  </si>
  <si>
    <t xml:space="preserve">维度</t>
  </si>
  <si>
    <t xml:space="preserve">分裂图标</t>
  </si>
  <si>
    <t xml:space="preserve">多倍图标</t>
  </si>
  <si>
    <t xml:space="preserve">作用点</t>
  </si>
  <si>
    <t xml:space="preserve">中奖各列图标个数</t>
  </si>
  <si>
    <t xml:space="preserve">赔付倍数</t>
  </si>
  <si>
    <t xml:space="preserve">Line Slots</t>
  </si>
  <si>
    <r>
      <rPr>
        <sz val="11"/>
        <color theme="1"/>
        <rFont val="Noto Sans SC"/>
        <family val="2"/>
        <charset val="134"/>
      </rPr>
      <t xml:space="preserve">会让赔表暴长（需穷举 </t>
    </r>
    <r>
      <rPr>
        <sz val="11"/>
        <color theme="1"/>
        <rFont val="Calibri"/>
        <family val="2"/>
        <charset val="1"/>
      </rPr>
      <t xml:space="preserve">3~N </t>
    </r>
    <r>
      <rPr>
        <sz val="11"/>
        <color theme="1"/>
        <rFont val="Noto Sans SC"/>
        <family val="2"/>
        <charset val="134"/>
      </rPr>
      <t xml:space="preserve">个图标的档位）</t>
    </r>
  </si>
  <si>
    <t xml:space="preserve">直接作用于经过它的中奖线，简洁明了</t>
  </si>
  <si>
    <t xml:space="preserve">Way Slots</t>
  </si>
  <si>
    <t xml:space="preserve">如鱼得水：直接放大列图标个数</t>
  </si>
  <si>
    <t xml:space="preserve">只能作用于最终赔付，像卷轴外机制，规则易冗杂</t>
  </si>
  <si>
    <t xml:space="preserve">波动性</t>
  </si>
  <si>
    <r>
      <rPr>
        <sz val="11"/>
        <color theme="1"/>
        <rFont val="Noto Sans SC"/>
        <family val="2"/>
        <charset val="134"/>
      </rPr>
      <t xml:space="preserve">同时抬高 </t>
    </r>
    <r>
      <rPr>
        <sz val="11"/>
        <color theme="1"/>
        <rFont val="Calibri"/>
        <family val="2"/>
        <charset val="1"/>
      </rPr>
      <t xml:space="preserve">Ways </t>
    </r>
    <r>
      <rPr>
        <sz val="11"/>
        <color theme="1"/>
        <rFont val="Noto Sans SC"/>
        <family val="2"/>
        <charset val="134"/>
      </rPr>
      <t xml:space="preserve">与赔付额，天然高波动</t>
    </r>
  </si>
  <si>
    <t xml:space="preserve">取决于倍数分布，可平滑可极端</t>
  </si>
  <si>
    <t xml:space="preserve">建议</t>
  </si>
  <si>
    <t xml:space="preserve">波动性不足且其他翻倍要素融合不佳时优先尝试</t>
  </si>
  <si>
    <t xml:space="preserve">与中奖线强绑定，多线产品里更自然</t>
  </si>
  <si>
    <r>
      <rPr>
        <b val="true"/>
        <sz val="11"/>
        <color rgb="FF1F4E79"/>
        <rFont val="Noto Sans SC"/>
        <family val="2"/>
        <charset val="134"/>
      </rPr>
      <t xml:space="preserve">【</t>
    </r>
    <r>
      <rPr>
        <b val="true"/>
        <sz val="11"/>
        <color rgb="FF1F4E79"/>
        <rFont val="Cambria"/>
        <family val="0"/>
        <charset val="1"/>
      </rPr>
      <t xml:space="preserve">8</t>
    </r>
    <r>
      <rPr>
        <b val="true"/>
        <sz val="11"/>
        <color rgb="FF1F4E79"/>
        <rFont val="Noto Sans SC"/>
        <family val="2"/>
        <charset val="134"/>
      </rPr>
      <t xml:space="preserve">】自检</t>
    </r>
  </si>
  <si>
    <t xml:space="preserve">检查项</t>
  </si>
  <si>
    <t xml:space="preserve">结果</t>
  </si>
  <si>
    <r>
      <rPr>
        <sz val="11"/>
        <color theme="1"/>
        <rFont val="Noto Sans SC"/>
        <family val="2"/>
        <charset val="134"/>
      </rPr>
      <t xml:space="preserve">分裂个数 ＝ 绿灯数 ＋ </t>
    </r>
    <r>
      <rPr>
        <sz val="11"/>
        <color theme="1"/>
        <rFont val="Calibri"/>
        <family val="2"/>
        <charset val="1"/>
      </rPr>
      <t xml:space="preserve">1</t>
    </r>
    <r>
      <rPr>
        <sz val="11"/>
        <color theme="1"/>
        <rFont val="Noto Sans SC"/>
        <family val="2"/>
        <charset val="134"/>
      </rPr>
      <t xml:space="preserve">（</t>
    </r>
    <r>
      <rPr>
        <sz val="11"/>
        <color theme="1"/>
        <rFont val="Calibri"/>
        <family val="2"/>
        <charset val="1"/>
      </rPr>
      <t xml:space="preserve">1/2/3 → 2/3/4</t>
    </r>
    <r>
      <rPr>
        <sz val="11"/>
        <color theme="1"/>
        <rFont val="Noto Sans SC"/>
        <family val="2"/>
        <charset val="134"/>
      </rPr>
      <t xml:space="preserve">）</t>
    </r>
  </si>
  <si>
    <r>
      <rPr>
        <sz val="11"/>
        <color theme="1"/>
        <rFont val="Noto Sans SC"/>
        <family val="2"/>
        <charset val="134"/>
      </rPr>
      <t xml:space="preserve">原文 </t>
    </r>
    <r>
      <rPr>
        <sz val="11"/>
        <color theme="1"/>
        <rFont val="Calibri"/>
        <family val="2"/>
        <charset val="1"/>
      </rPr>
      <t xml:space="preserve">Grim</t>
    </r>
  </si>
  <si>
    <r>
      <rPr>
        <sz val="11"/>
        <color theme="1"/>
        <rFont val="Noto Sans SC"/>
        <family val="2"/>
        <charset val="134"/>
      </rPr>
      <t xml:space="preserve">该列结算个数 ＝ 基础个数 </t>
    </r>
    <r>
      <rPr>
        <sz val="11"/>
        <color theme="1"/>
        <rFont val="Calibri"/>
        <family val="2"/>
        <charset val="1"/>
      </rPr>
      <t xml:space="preserve">× </t>
    </r>
    <r>
      <rPr>
        <sz val="11"/>
        <color theme="1"/>
        <rFont val="Noto Sans SC"/>
        <family val="2"/>
        <charset val="134"/>
      </rPr>
      <t xml:space="preserve">分裂倍数</t>
    </r>
  </si>
  <si>
    <r>
      <rPr>
        <sz val="11"/>
        <color theme="1"/>
        <rFont val="Noto Sans SC"/>
        <family val="2"/>
        <charset val="134"/>
      </rPr>
      <t xml:space="preserve">【</t>
    </r>
    <r>
      <rPr>
        <sz val="11"/>
        <color theme="1"/>
        <rFont val="Calibri"/>
        <family val="2"/>
        <charset val="1"/>
      </rPr>
      <t xml:space="preserve">4</t>
    </r>
    <r>
      <rPr>
        <sz val="11"/>
        <color theme="1"/>
        <rFont val="Noto Sans SC"/>
        <family val="2"/>
        <charset val="134"/>
      </rPr>
      <t xml:space="preserve">】示例</t>
    </r>
  </si>
  <si>
    <r>
      <rPr>
        <sz val="11"/>
        <color theme="1"/>
        <rFont val="Calibri"/>
        <family val="2"/>
        <charset val="1"/>
      </rPr>
      <t xml:space="preserve">Slashimi </t>
    </r>
    <r>
      <rPr>
        <sz val="11"/>
        <color theme="1"/>
        <rFont val="Noto Sans SC"/>
        <family val="2"/>
        <charset val="134"/>
      </rPr>
      <t xml:space="preserve">单局最大倍数 ＝ </t>
    </r>
    <r>
      <rPr>
        <sz val="11"/>
        <color theme="1"/>
        <rFont val="Calibri"/>
        <family val="2"/>
        <charset val="1"/>
      </rPr>
      <t xml:space="preserve">1000</t>
    </r>
  </si>
  <si>
    <t xml:space="preserve">10³</t>
  </si>
  <si>
    <r>
      <rPr>
        <sz val="11"/>
        <color theme="1"/>
        <rFont val="Calibri"/>
        <family val="2"/>
        <charset val="1"/>
      </rPr>
      <t xml:space="preserve">Line Slots </t>
    </r>
    <r>
      <rPr>
        <sz val="11"/>
        <color theme="1"/>
        <rFont val="Noto Sans SC"/>
        <family val="2"/>
        <charset val="134"/>
      </rPr>
      <t xml:space="preserve">穷举位置数 ＝ </t>
    </r>
    <r>
      <rPr>
        <sz val="11"/>
        <color theme="1"/>
        <rFont val="Calibri"/>
        <family val="2"/>
        <charset val="1"/>
      </rPr>
      <t xml:space="preserve">20</t>
    </r>
  </si>
  <si>
    <t xml:space="preserve">5 × 4</t>
  </si>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</sst>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2">
    <numFmt numFmtId="164" formatCode="General"/>
    <numFmt numFmtId="165" formatCode="#,##0"/>
  </numFmts>
  <fonts count="16">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00"/>
      <name val="Cambria"/>
      <family val="0"/>
      <charset val="1"/>
    </font>
    <font>
      <sz val="11"/>
      <color rgb="FF0000FF"/>
      <name val="Cambria"/>
      <family val="0"/>
      <charset val="1"/>
    </font>
    <font>
      <sz val="11"/>
      <color rgb="FF000000"/>
      <name val="Noto Sans SC"/>
      <family val="2"/>
      <charset val="134"/>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11" fillId="3"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10" fillId="4"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7" customFormat="false" ht="15.5" hidden="false" customHeight="false" outlineLevel="0" collapsed="false">
      <c r="A7" s="3" t="s">
        <v>5</v>
      </c>
      <c r="B7" s="3"/>
      <c r="C7" s="3"/>
      <c r="D7" s="3"/>
      <c r="E7" s="3"/>
      <c r="F7" s="3"/>
      <c r="G7" s="3"/>
      <c r="H7" s="3"/>
      <c r="I7" s="3"/>
    </row>
    <row r="9" customFormat="false" ht="15" hidden="false" customHeight="false" outlineLevel="0" collapsed="false">
      <c r="A9" s="4" t="s">
        <v>6</v>
      </c>
    </row>
    <row r="10" customFormat="false" ht="29" hidden="false" customHeight="false" outlineLevel="0" collapsed="false">
      <c r="A10" s="25" t="s">
        <v>7</v>
      </c>
    </row>
    <row r="11" customFormat="false" ht="29" hidden="false" customHeight="false" outlineLevel="0" collapsed="false">
      <c r="A11" s="25" t="s">
        <v>8</v>
      </c>
    </row>
    <row r="12" customFormat="false" ht="15" hidden="false" customHeight="false" outlineLevel="0" collapsed="false">
      <c r="A12" s="5"/>
    </row>
    <row r="13" customFormat="false" ht="15" hidden="false" customHeight="false" outlineLevel="0" collapsed="false">
      <c r="A13" s="4" t="s">
        <v>9</v>
      </c>
    </row>
    <row r="14" customFormat="false" ht="15" hidden="false" customHeight="1" outlineLevel="0" collapsed="false">
      <c r="A14" s="26" t="s">
        <v>10</v>
      </c>
      <c r="B14" s="6"/>
      <c r="C14" s="6"/>
    </row>
    <row r="15" customFormat="false" ht="42" hidden="false" customHeight="false" outlineLevel="0" collapsed="false">
      <c r="A15" s="25" t="s">
        <v>11</v>
      </c>
    </row>
    <row r="16" customFormat="false" ht="15" hidden="false" customHeight="1" outlineLevel="0" collapsed="false">
      <c r="A16" s="26" t="s">
        <v>12</v>
      </c>
      <c r="B16" s="6"/>
      <c r="C16" s="6"/>
    </row>
    <row r="17" customFormat="false" ht="15" hidden="false" customHeight="false" outlineLevel="0" collapsed="false">
      <c r="A17" s="5"/>
    </row>
    <row r="18" customFormat="false" ht="15" hidden="false" customHeight="false" outlineLevel="0" collapsed="false">
      <c r="A18" s="4" t="s">
        <v>13</v>
      </c>
    </row>
    <row r="19" customFormat="false" ht="42" hidden="false" customHeight="false" outlineLevel="0" collapsed="false">
      <c r="A19" s="25" t="s">
        <v>14</v>
      </c>
    </row>
    <row r="20" customFormat="false" ht="29" hidden="false" customHeight="false" outlineLevel="0" collapsed="false">
      <c r="A20" s="27" t="s">
        <v>15</v>
      </c>
    </row>
    <row r="21" customFormat="false" ht="29" hidden="false" customHeight="false" outlineLevel="0" collapsed="false">
      <c r="A21" s="25" t="s">
        <v>16</v>
      </c>
    </row>
    <row r="22" customFormat="false" ht="29" hidden="false" customHeight="false" outlineLevel="0" collapsed="false">
      <c r="A22" s="27" t="s">
        <v>17</v>
      </c>
    </row>
    <row r="23" customFormat="false" ht="44" hidden="false" customHeight="false" outlineLevel="0" collapsed="false">
      <c r="A23" s="25" t="s">
        <v>18</v>
      </c>
    </row>
    <row r="24" customFormat="false" ht="29" hidden="false" customHeight="false" outlineLevel="0" collapsed="false">
      <c r="A24" s="27" t="s">
        <v>19</v>
      </c>
    </row>
    <row r="25" customFormat="false" ht="15" hidden="false" customHeight="1" outlineLevel="0" collapsed="false">
      <c r="A25" s="28" t="s">
        <v>20</v>
      </c>
      <c r="B25" s="8"/>
      <c r="C25" s="8"/>
    </row>
    <row r="26" customFormat="false" ht="30" hidden="false" customHeight="false" outlineLevel="0" collapsed="false">
      <c r="A26" s="25" t="s">
        <v>21</v>
      </c>
    </row>
    <row r="27" customFormat="false" ht="43" hidden="false" customHeight="false" outlineLevel="0" collapsed="false">
      <c r="A27" s="27" t="s">
        <v>22</v>
      </c>
    </row>
    <row r="28" customFormat="false" ht="30" hidden="false" customHeight="false" outlineLevel="0" collapsed="false">
      <c r="A28" s="25" t="s">
        <v>23</v>
      </c>
    </row>
    <row r="29" customFormat="false" ht="43" hidden="false" customHeight="false" outlineLevel="0" collapsed="false">
      <c r="A29" s="27" t="s">
        <v>24</v>
      </c>
    </row>
    <row r="30" customFormat="false" ht="29" hidden="false" customHeight="false" outlineLevel="0" collapsed="false">
      <c r="A30" s="25" t="s">
        <v>25</v>
      </c>
    </row>
    <row r="31" customFormat="false" ht="42" hidden="false" customHeight="false" outlineLevel="0" collapsed="false">
      <c r="A31" s="25" t="s">
        <v>26</v>
      </c>
    </row>
    <row r="32" customFormat="false" ht="29" hidden="false" customHeight="false" outlineLevel="0" collapsed="false">
      <c r="A32" s="25" t="s">
        <v>27</v>
      </c>
    </row>
    <row r="33" customFormat="false" ht="29" hidden="false" customHeight="false" outlineLevel="0" collapsed="false">
      <c r="A33" s="27" t="s">
        <v>28</v>
      </c>
    </row>
    <row r="34" customFormat="false" ht="28" hidden="false" customHeight="false" outlineLevel="0" collapsed="false">
      <c r="A34" s="27" t="s">
        <v>29</v>
      </c>
    </row>
    <row r="36" customFormat="false" ht="15" hidden="false" customHeight="false" outlineLevel="0" collapsed="false">
      <c r="A36" s="4" t="s">
        <v>30</v>
      </c>
    </row>
    <row r="37" customFormat="false" ht="15" hidden="false" customHeight="false" outlineLevel="0" collapsed="false">
      <c r="A37" s="7"/>
    </row>
    <row r="38" customFormat="false" ht="30" hidden="false" customHeight="false" outlineLevel="0" collapsed="false">
      <c r="A38" s="25" t="s">
        <v>31</v>
      </c>
    </row>
    <row r="39" customFormat="false" ht="15" hidden="false" customHeight="1" outlineLevel="0" collapsed="false">
      <c r="A39" s="28" t="s">
        <v>32</v>
      </c>
      <c r="B39" s="8"/>
      <c r="C39" s="8"/>
      <c r="D39" s="8"/>
      <c r="E39" s="8"/>
      <c r="F39" s="8"/>
      <c r="G39" s="8"/>
      <c r="H39" s="8"/>
      <c r="I39" s="8"/>
    </row>
    <row r="40" customFormat="false" ht="30" hidden="false" customHeight="false" outlineLevel="0" collapsed="false">
      <c r="A40" s="27" t="s">
        <v>33</v>
      </c>
    </row>
    <row r="41" customFormat="false" ht="29" hidden="false" customHeight="false" outlineLevel="0" collapsed="false">
      <c r="A41" s="27" t="s">
        <v>34</v>
      </c>
    </row>
    <row r="42" customFormat="false" ht="15" hidden="false" customHeight="1" outlineLevel="0" collapsed="false">
      <c r="A42" s="28" t="s">
        <v>35</v>
      </c>
      <c r="B42" s="8"/>
      <c r="C42" s="8"/>
      <c r="D42" s="8"/>
      <c r="E42" s="8"/>
    </row>
    <row r="43" customFormat="false" ht="29" hidden="false" customHeight="false" outlineLevel="0" collapsed="false">
      <c r="A43" s="27" t="s">
        <v>36</v>
      </c>
    </row>
    <row r="44" customFormat="false" ht="15" hidden="false" customHeight="false" outlineLevel="0" collapsed="false">
      <c r="A44" s="7"/>
    </row>
    <row r="45" customFormat="false" ht="15" hidden="false" customHeight="false" outlineLevel="0" collapsed="false">
      <c r="A45" s="7" t="s">
        <v>37</v>
      </c>
    </row>
    <row r="46" customFormat="false" ht="15" hidden="false" customHeight="false" outlineLevel="0" collapsed="false">
      <c r="A46" s="7" t="s">
        <v>38</v>
      </c>
    </row>
    <row r="47" customFormat="false" ht="15" hidden="false" customHeight="false" outlineLevel="0" collapsed="false">
      <c r="A47" s="7" t="s">
        <v>39</v>
      </c>
    </row>
    <row r="48" customFormat="false" ht="28" hidden="false" customHeight="false" outlineLevel="0" collapsed="false">
      <c r="A48" s="27" t="s">
        <v>40</v>
      </c>
    </row>
    <row r="49" customFormat="false" ht="15" hidden="false" customHeight="false" outlineLevel="0" collapsed="false">
      <c r="A49" s="27" t="s">
        <v>41</v>
      </c>
    </row>
    <row r="50" customFormat="false" ht="41" hidden="false" customHeight="false" outlineLevel="0" collapsed="false">
      <c r="A50" s="27" t="s">
        <v>42</v>
      </c>
    </row>
    <row r="51" customFormat="false" ht="29" hidden="false" customHeight="false" outlineLevel="0" collapsed="false">
      <c r="A51" s="27" t="s">
        <v>43</v>
      </c>
    </row>
    <row r="52" customFormat="false" ht="29" hidden="false" customHeight="false" outlineLevel="0" collapsed="false">
      <c r="A52" s="27" t="s">
        <v>44</v>
      </c>
    </row>
    <row r="53" customFormat="false" ht="15" hidden="false" customHeight="false" outlineLevel="0" collapsed="false">
      <c r="A53" s="7" t="s">
        <v>45</v>
      </c>
    </row>
    <row r="54" customFormat="false" ht="15" hidden="false" customHeight="false" outlineLevel="0" collapsed="false">
      <c r="A54" s="7"/>
    </row>
    <row r="55" customFormat="false" ht="16" hidden="false" customHeight="false" outlineLevel="0" collapsed="false">
      <c r="A55" s="7" t="s">
        <v>46</v>
      </c>
    </row>
    <row r="56" customFormat="false" ht="15" hidden="false" customHeight="false" outlineLevel="0" collapsed="false">
      <c r="A56" s="7"/>
    </row>
    <row r="57" customFormat="false" ht="15" hidden="false" customHeight="false" outlineLevel="0" collapsed="false">
      <c r="A57" s="7" t="s">
        <v>47</v>
      </c>
    </row>
    <row r="58" customFormat="false" ht="30" hidden="false" customHeight="false" outlineLevel="0" collapsed="false">
      <c r="A58" s="27" t="s">
        <v>48</v>
      </c>
    </row>
    <row r="59" customFormat="false" ht="29" hidden="false" customHeight="false" outlineLevel="0" collapsed="false">
      <c r="A59" s="27" t="s">
        <v>49</v>
      </c>
    </row>
    <row r="60" customFormat="false" ht="29" hidden="false" customHeight="false" outlineLevel="0" collapsed="false">
      <c r="A60" s="27" t="s">
        <v>50</v>
      </c>
    </row>
    <row r="61" customFormat="false" ht="29" hidden="false" customHeight="false" outlineLevel="0" collapsed="false">
      <c r="A61" s="27" t="s">
        <v>51</v>
      </c>
    </row>
    <row r="62" customFormat="false" ht="43" hidden="false" customHeight="false" outlineLevel="0" collapsed="false">
      <c r="A62" s="27" t="s">
        <v>52</v>
      </c>
    </row>
    <row r="63" customFormat="false" ht="29" hidden="false" customHeight="false" outlineLevel="0" collapsed="false">
      <c r="A63" s="27" t="s">
        <v>53</v>
      </c>
    </row>
    <row r="64" customFormat="false" ht="28" hidden="false" customHeight="false" outlineLevel="0" collapsed="false">
      <c r="A64" s="27" t="s">
        <v>54</v>
      </c>
    </row>
    <row r="65" customFormat="false" ht="15" hidden="false" customHeight="false" outlineLevel="0" collapsed="false">
      <c r="A65" s="7"/>
    </row>
    <row r="66" customFormat="false" ht="16" hidden="false" customHeight="false" outlineLevel="0" collapsed="false">
      <c r="A66" s="7" t="s">
        <v>55</v>
      </c>
    </row>
    <row r="67" customFormat="false" ht="15" hidden="false" customHeight="false" outlineLevel="0" collapsed="false">
      <c r="A67" s="7"/>
    </row>
    <row r="68" customFormat="false" ht="28" hidden="false" customHeight="false" outlineLevel="0" collapsed="false">
      <c r="A68" s="27" t="s">
        <v>56</v>
      </c>
    </row>
    <row r="69" customFormat="false" ht="15" hidden="false" customHeight="1" outlineLevel="0" collapsed="false">
      <c r="A69" s="28" t="s">
        <v>57</v>
      </c>
      <c r="B69" s="8"/>
      <c r="C69" s="8"/>
    </row>
    <row r="70" customFormat="false" ht="15" hidden="false" customHeight="false" outlineLevel="0" collapsed="false">
      <c r="A70" s="7"/>
    </row>
    <row r="71" customFormat="false" ht="16" hidden="false" customHeight="false" outlineLevel="0" collapsed="false">
      <c r="A71" s="7" t="s">
        <v>58</v>
      </c>
    </row>
    <row r="72" customFormat="false" ht="15" hidden="false" customHeight="false" outlineLevel="0" collapsed="false">
      <c r="A72" s="7"/>
    </row>
    <row r="73" customFormat="false" ht="29" hidden="false" customHeight="false" outlineLevel="0" collapsed="false">
      <c r="A73" s="27" t="s">
        <v>59</v>
      </c>
    </row>
    <row r="74" customFormat="false" ht="29" hidden="false" customHeight="false" outlineLevel="0" collapsed="false">
      <c r="A74" s="27" t="s">
        <v>60</v>
      </c>
    </row>
    <row r="75" customFormat="false" ht="15" hidden="false" customHeight="false" outlineLevel="0" collapsed="false">
      <c r="A75" s="7" t="s">
        <v>61</v>
      </c>
    </row>
    <row r="76" customFormat="false" ht="29" hidden="false" customHeight="false" outlineLevel="0" collapsed="false">
      <c r="A76" s="27" t="s">
        <v>62</v>
      </c>
    </row>
    <row r="77" customFormat="false" ht="15" hidden="false" customHeight="1" outlineLevel="0" collapsed="false">
      <c r="A77" s="28" t="s">
        <v>63</v>
      </c>
      <c r="B77" s="8"/>
      <c r="C77" s="8"/>
    </row>
    <row r="78" customFormat="false" ht="42" hidden="false" customHeight="false" outlineLevel="0" collapsed="false">
      <c r="A78" s="27" t="s">
        <v>64</v>
      </c>
    </row>
    <row r="79" customFormat="false" ht="15" hidden="false" customHeight="1" outlineLevel="0" collapsed="false">
      <c r="A79" s="26" t="s">
        <v>65</v>
      </c>
      <c r="B79" s="6"/>
      <c r="C79" s="6"/>
    </row>
    <row r="80" customFormat="false" ht="28" hidden="false" customHeight="false" outlineLevel="0" collapsed="false">
      <c r="A80" s="27" t="s">
        <v>66</v>
      </c>
    </row>
    <row r="81" customFormat="false" ht="29" hidden="false" customHeight="false" outlineLevel="0" collapsed="false">
      <c r="A81" s="27" t="s">
        <v>67</v>
      </c>
    </row>
    <row r="82" customFormat="false" ht="15" hidden="false" customHeight="false" outlineLevel="0" collapsed="false">
      <c r="A82" s="7"/>
    </row>
    <row r="83" customFormat="false" ht="15" hidden="false" customHeight="false" outlineLevel="0" collapsed="false">
      <c r="A83" s="7" t="s">
        <v>68</v>
      </c>
    </row>
    <row r="84" customFormat="false" ht="29" hidden="false" customHeight="false" outlineLevel="0" collapsed="false">
      <c r="A84" s="27" t="s">
        <v>69</v>
      </c>
    </row>
    <row r="85" customFormat="false" ht="30" hidden="false" customHeight="false" outlineLevel="0" collapsed="false">
      <c r="A85" s="27" t="s">
        <v>70</v>
      </c>
    </row>
    <row r="86" customFormat="false" ht="28" hidden="false" customHeight="false" outlineLevel="0" collapsed="false">
      <c r="A86" s="27" t="s">
        <v>71</v>
      </c>
    </row>
    <row r="87" customFormat="false" ht="29" hidden="false" customHeight="false" outlineLevel="0" collapsed="false">
      <c r="A87" s="27" t="s">
        <v>72</v>
      </c>
    </row>
    <row r="88" customFormat="false" ht="41" hidden="false" customHeight="false" outlineLevel="0" collapsed="false">
      <c r="A88" s="27" t="s">
        <v>73</v>
      </c>
    </row>
    <row r="89" customFormat="false" ht="15" hidden="false" customHeight="false" outlineLevel="0" collapsed="false">
      <c r="A89" s="7"/>
    </row>
    <row r="90" customFormat="false" ht="16" hidden="false" customHeight="false" outlineLevel="0" collapsed="false">
      <c r="A90" s="7" t="s">
        <v>74</v>
      </c>
    </row>
    <row r="91" customFormat="false" ht="15" hidden="false" customHeight="false" outlineLevel="0" collapsed="false">
      <c r="A91" s="7"/>
    </row>
    <row r="92" customFormat="false" ht="28" hidden="false" customHeight="false" outlineLevel="0" collapsed="false">
      <c r="A92" s="27" t="s">
        <v>75</v>
      </c>
    </row>
    <row r="93" customFormat="false" ht="15" hidden="false" customHeight="false" outlineLevel="0" collapsed="false">
      <c r="A93" s="27" t="s">
        <v>76</v>
      </c>
    </row>
    <row r="94" customFormat="false" ht="29" hidden="false" customHeight="false" outlineLevel="0" collapsed="false">
      <c r="A94" s="27" t="s">
        <v>77</v>
      </c>
    </row>
    <row r="95" customFormat="false" ht="15" hidden="false" customHeight="false" outlineLevel="0" collapsed="false">
      <c r="A95" s="7"/>
    </row>
    <row r="96" customFormat="false" ht="15" hidden="false" customHeight="false" outlineLevel="0" collapsed="false">
      <c r="A96" s="7" t="s">
        <v>78</v>
      </c>
    </row>
    <row r="97" customFormat="false" ht="43" hidden="false" customHeight="false" outlineLevel="0" collapsed="false">
      <c r="A97" s="27" t="s">
        <v>79</v>
      </c>
    </row>
    <row r="98" customFormat="false" ht="43" hidden="false" customHeight="false" outlineLevel="0" collapsed="false">
      <c r="A98" s="27" t="s">
        <v>80</v>
      </c>
    </row>
    <row r="99" customFormat="false" ht="28" hidden="false" customHeight="false" outlineLevel="0" collapsed="false">
      <c r="A99" s="27" t="s">
        <v>81</v>
      </c>
    </row>
    <row r="100" customFormat="false" ht="15" hidden="false" customHeight="false" outlineLevel="0" collapsed="false">
      <c r="A100" s="7" t="s">
        <v>82</v>
      </c>
    </row>
    <row r="101" customFormat="false" ht="15" hidden="false" customHeight="false" outlineLevel="0" collapsed="false">
      <c r="A101" s="7" t="s">
        <v>83</v>
      </c>
    </row>
    <row r="102" customFormat="false" ht="15" hidden="false" customHeight="false" outlineLevel="0" collapsed="false">
      <c r="A102" s="7" t="s">
        <v>84</v>
      </c>
    </row>
    <row r="103" customFormat="false" ht="15" hidden="false" customHeight="1" outlineLevel="0" collapsed="false">
      <c r="A103" s="28" t="s">
        <v>85</v>
      </c>
      <c r="B103" s="8"/>
      <c r="C103" s="8"/>
    </row>
    <row r="104" customFormat="false" ht="15" hidden="false" customHeight="false" outlineLevel="0" collapsed="false">
      <c r="A104" s="7"/>
    </row>
    <row r="105" customFormat="false" ht="16" hidden="false" customHeight="false" outlineLevel="0" collapsed="false">
      <c r="A105" s="7" t="s">
        <v>86</v>
      </c>
    </row>
    <row r="106" customFormat="false" ht="15" hidden="false" customHeight="false" outlineLevel="0" collapsed="false">
      <c r="A106" s="7"/>
    </row>
    <row r="107" customFormat="false" ht="15" hidden="false" customHeight="false" outlineLevel="0" collapsed="false">
      <c r="A107" s="7" t="s">
        <v>87</v>
      </c>
    </row>
    <row r="108" customFormat="false" ht="16" hidden="false" customHeight="false" outlineLevel="0" collapsed="false">
      <c r="A108" s="7" t="s">
        <v>88</v>
      </c>
    </row>
    <row r="109" customFormat="false" ht="15" hidden="false" customHeight="1" outlineLevel="0" collapsed="false">
      <c r="A109" s="28" t="s">
        <v>89</v>
      </c>
      <c r="B109" s="8"/>
      <c r="C109" s="8"/>
      <c r="D109" s="8"/>
    </row>
    <row r="110" customFormat="false" ht="16" hidden="false" customHeight="false" outlineLevel="0" collapsed="false">
      <c r="A110" s="7" t="s">
        <v>90</v>
      </c>
    </row>
    <row r="111" customFormat="false" ht="16" hidden="false" customHeight="false" outlineLevel="0" collapsed="false">
      <c r="A111" s="27" t="s">
        <v>91</v>
      </c>
    </row>
    <row r="112" customFormat="false" ht="29" hidden="false" customHeight="false" outlineLevel="0" collapsed="false">
      <c r="A112" s="25" t="s">
        <v>92</v>
      </c>
    </row>
    <row r="113" customFormat="false" ht="15" hidden="false" customHeight="false" outlineLevel="0" collapsed="false">
      <c r="A113" s="7"/>
    </row>
    <row r="114" customFormat="false" ht="16" hidden="false" customHeight="false" outlineLevel="0" collapsed="false">
      <c r="A114" s="7" t="s">
        <v>93</v>
      </c>
    </row>
    <row r="115" customFormat="false" ht="15" hidden="false" customHeight="false" outlineLevel="0" collapsed="false">
      <c r="A115" s="7"/>
    </row>
    <row r="116" customFormat="false" ht="29" hidden="false" customHeight="false" outlineLevel="0" collapsed="false">
      <c r="A116" s="27" t="s">
        <v>94</v>
      </c>
    </row>
    <row r="117" customFormat="false" ht="30" hidden="false" customHeight="false" outlineLevel="0" collapsed="false">
      <c r="A117" s="27" t="s">
        <v>95</v>
      </c>
    </row>
    <row r="118" customFormat="false" ht="29" hidden="false" customHeight="false" outlineLevel="0" collapsed="false">
      <c r="A118" s="27" t="s">
        <v>96</v>
      </c>
    </row>
    <row r="119" customFormat="false" ht="29" hidden="false" customHeight="false" outlineLevel="0" collapsed="false">
      <c r="A119" s="27" t="s">
        <v>97</v>
      </c>
    </row>
    <row r="120" customFormat="false" ht="28" hidden="false" customHeight="false" outlineLevel="0" collapsed="false">
      <c r="A120" s="27" t="s">
        <v>98</v>
      </c>
    </row>
    <row r="121" customFormat="false" ht="41" hidden="false" customHeight="false" outlineLevel="0" collapsed="false">
      <c r="A121" s="27" t="s">
        <v>99</v>
      </c>
    </row>
    <row r="122" customFormat="false" ht="15" hidden="false" customHeight="1" outlineLevel="0" collapsed="false">
      <c r="A122" s="28" t="s">
        <v>100</v>
      </c>
      <c r="B122" s="8"/>
      <c r="C122" s="8"/>
      <c r="D122" s="8"/>
    </row>
    <row r="123" customFormat="false" ht="15" hidden="false" customHeight="1" outlineLevel="0" collapsed="false">
      <c r="A123" s="28" t="s">
        <v>101</v>
      </c>
      <c r="B123" s="8"/>
      <c r="C123" s="8"/>
      <c r="D123" s="8"/>
      <c r="E123" s="8"/>
      <c r="F123" s="8"/>
      <c r="G123" s="8"/>
      <c r="H123" s="8"/>
    </row>
    <row r="124" customFormat="false" ht="15" hidden="false" customHeight="false" outlineLevel="0" collapsed="false">
      <c r="A124" s="7"/>
    </row>
    <row r="125" customFormat="false" ht="15" hidden="false" customHeight="false" outlineLevel="0" collapsed="false">
      <c r="A125" s="7" t="s">
        <v>102</v>
      </c>
    </row>
    <row r="126" customFormat="false" ht="15" hidden="false" customHeight="false" outlineLevel="0" collapsed="false">
      <c r="A126" s="7" t="s">
        <v>103</v>
      </c>
    </row>
    <row r="127" customFormat="false" ht="28" hidden="false" customHeight="false" outlineLevel="0" collapsed="false">
      <c r="A127" s="27" t="s">
        <v>104</v>
      </c>
    </row>
    <row r="128" customFormat="false" ht="28" hidden="false" customHeight="false" outlineLevel="0" collapsed="false">
      <c r="A128" s="27" t="s">
        <v>105</v>
      </c>
    </row>
    <row r="129" customFormat="false" ht="15" hidden="false" customHeight="false" outlineLevel="0" collapsed="false">
      <c r="A129" s="7" t="s">
        <v>106</v>
      </c>
    </row>
    <row r="130" customFormat="false" ht="42" hidden="false" customHeight="false" outlineLevel="0" collapsed="false">
      <c r="A130" s="27" t="s">
        <v>107</v>
      </c>
    </row>
    <row r="131" customFormat="false" ht="41" hidden="false" customHeight="false" outlineLevel="0" collapsed="false">
      <c r="A131" s="27" t="s">
        <v>108</v>
      </c>
    </row>
    <row r="132" customFormat="false" ht="15" hidden="false" customHeight="1" outlineLevel="0" collapsed="false">
      <c r="A132" s="28" t="s">
        <v>109</v>
      </c>
      <c r="B132" s="8"/>
      <c r="C132" s="8"/>
      <c r="D132" s="8"/>
      <c r="E132" s="8"/>
      <c r="F132" s="8"/>
      <c r="G132" s="8"/>
      <c r="H132" s="8"/>
      <c r="I132" s="8"/>
    </row>
    <row r="133" customFormat="false" ht="29" hidden="false" customHeight="false" outlineLevel="0" collapsed="false">
      <c r="A133" s="27" t="s">
        <v>110</v>
      </c>
    </row>
    <row r="134" customFormat="false" ht="16" hidden="false" customHeight="false" outlineLevel="0" collapsed="false">
      <c r="A134" s="7" t="s">
        <v>111</v>
      </c>
    </row>
    <row r="135" customFormat="false" ht="15" hidden="false" customHeight="false" outlineLevel="0" collapsed="false">
      <c r="A135" s="27" t="s">
        <v>112</v>
      </c>
    </row>
    <row r="136" customFormat="false" ht="15" hidden="false" customHeight="false" outlineLevel="0" collapsed="false">
      <c r="A136" s="7"/>
    </row>
    <row r="137" customFormat="false" ht="15" hidden="false" customHeight="false" outlineLevel="0" collapsed="false">
      <c r="A137" s="7" t="s">
        <v>113</v>
      </c>
    </row>
    <row r="138" customFormat="false" ht="42" hidden="false" customHeight="false" outlineLevel="0" collapsed="false">
      <c r="A138" s="27" t="s">
        <v>114</v>
      </c>
    </row>
    <row r="139" customFormat="false" ht="42" hidden="false" customHeight="false" outlineLevel="0" collapsed="false">
      <c r="A139" s="27" t="s">
        <v>115</v>
      </c>
    </row>
    <row r="141" customFormat="false" ht="15.5" hidden="false" customHeight="false" outlineLevel="0" collapsed="false">
      <c r="A141" s="29" t="s">
        <v>116</v>
      </c>
    </row>
    <row r="142" customFormat="false" ht="15.5" hidden="false" customHeight="false" outlineLevel="0" collapsed="false">
      <c r="A142" s="2" t="s">
        <v>117</v>
      </c>
    </row>
    <row r="143" customFormat="false" ht="15.5" hidden="false" customHeight="false" outlineLevel="0" collapsed="false">
      <c r="A143" s="2" t="s">
        <v>118</v>
      </c>
    </row>
    <row r="144" customFormat="false" ht="15.5" hidden="false" customHeight="false" outlineLevel="0" collapsed="false">
      <c r="A144" s="2" t="s">
        <v>119</v>
      </c>
    </row>
    <row r="145" customFormat="false" ht="15.5" hidden="false" customHeight="false" outlineLevel="0" collapsed="false">
      <c r="A145" s="2" t="s">
        <v>120</v>
      </c>
    </row>
    <row r="146" customFormat="false" ht="15.5" hidden="false" customHeight="false" outlineLevel="0" collapsed="false">
      <c r="A146" s="2" t="s">
        <v>121</v>
      </c>
    </row>
    <row r="147" customFormat="false" ht="15.5" hidden="false" customHeight="false" outlineLevel="0" collapsed="false">
      <c r="A147" s="2" t="s">
        <v>122</v>
      </c>
    </row>
    <row r="149" customFormat="false" ht="15" hidden="false" customHeight="false" outlineLevel="0" collapsed="false">
      <c r="A149" s="4" t="s">
        <v>123</v>
      </c>
    </row>
    <row r="150" customFormat="false" ht="30" hidden="false" customHeight="false" outlineLevel="0" collapsed="false">
      <c r="A150" s="27" t="s">
        <v>124</v>
      </c>
    </row>
    <row r="151" customFormat="false" ht="28" hidden="false" customHeight="false" outlineLevel="0" collapsed="false">
      <c r="A151" s="27" t="s">
        <v>125</v>
      </c>
    </row>
    <row r="152" customFormat="false" ht="15" hidden="false" customHeight="false" outlineLevel="0" collapsed="false">
      <c r="A152" s="7"/>
    </row>
    <row r="153" customFormat="false" ht="15" hidden="false" customHeight="false" outlineLevel="0" collapsed="false">
      <c r="A153" s="4" t="s">
        <v>126</v>
      </c>
    </row>
    <row r="154" customFormat="false" ht="28" hidden="false" customHeight="false" outlineLevel="0" collapsed="false">
      <c r="A154" s="27" t="s">
        <v>127</v>
      </c>
    </row>
    <row r="155" customFormat="false" ht="29" hidden="false" customHeight="false" outlineLevel="0" collapsed="false">
      <c r="A155" s="27" t="s">
        <v>128</v>
      </c>
    </row>
    <row r="157" customFormat="false" ht="15.5" hidden="false" customHeight="false" outlineLevel="0" collapsed="false">
      <c r="A157" s="9" t="s">
        <v>129</v>
      </c>
    </row>
  </sheetData>
  <mergeCells count="16">
    <mergeCell ref="A5:L5"/>
    <mergeCell ref="A6:J6"/>
    <mergeCell ref="A7:U7"/>
    <mergeCell ref="A14:I14"/>
    <mergeCell ref="A16:J16"/>
    <mergeCell ref="A25:J25"/>
    <mergeCell ref="A39:S39"/>
    <mergeCell ref="A42:M42"/>
    <mergeCell ref="A69:I69"/>
    <mergeCell ref="A77:J77"/>
    <mergeCell ref="A79:J79"/>
    <mergeCell ref="A103:J103"/>
    <mergeCell ref="A109:K109"/>
    <mergeCell ref="A122:K122"/>
    <mergeCell ref="A123:R123"/>
    <mergeCell ref="A132:T1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N177"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10" width="27.31"/>
    <col collapsed="false" customWidth="true" hidden="false" outlineLevel="0" max="7" min="2" style="10" width="14.56"/>
    <col collapsed="false" customWidth="true" hidden="false" outlineLevel="0" max="8" min="8" style="10" width="49.13"/>
  </cols>
  <sheetData>
    <row r="1" customFormat="false" ht="19" hidden="false" customHeight="false" outlineLevel="0" collapsed="false">
      <c r="A1" s="11" t="s">
        <v>130</v>
      </c>
      <c r="B1" s="11"/>
      <c r="C1" s="11"/>
      <c r="D1" s="11"/>
    </row>
    <row r="3" customFormat="false" ht="15.5" hidden="false" customHeight="false" outlineLevel="0" collapsed="false">
      <c r="A3" s="12" t="s">
        <v>131</v>
      </c>
      <c r="B3" s="12"/>
      <c r="C3" s="12"/>
      <c r="D3" s="13"/>
      <c r="E3" s="13"/>
      <c r="F3" s="13"/>
      <c r="G3" s="13"/>
      <c r="H3" s="13"/>
    </row>
    <row r="4" customFormat="false" ht="15.5" hidden="false" customHeight="false" outlineLevel="0" collapsed="false">
      <c r="A4" s="14" t="s">
        <v>132</v>
      </c>
      <c r="B4" s="14" t="s">
        <v>133</v>
      </c>
      <c r="C4" s="15" t="s">
        <v>134</v>
      </c>
      <c r="D4" s="15"/>
      <c r="E4" s="15"/>
    </row>
    <row r="5" customFormat="false" ht="16" hidden="false" customHeight="false" outlineLevel="0" collapsed="false">
      <c r="A5" s="10" t="s">
        <v>135</v>
      </c>
      <c r="B5" s="10" t="s">
        <v>136</v>
      </c>
      <c r="C5" s="16" t="s">
        <v>137</v>
      </c>
      <c r="D5" s="16"/>
      <c r="E5" s="16"/>
    </row>
    <row r="6" customFormat="false" ht="15" hidden="false" customHeight="false" outlineLevel="0" collapsed="false">
      <c r="A6" s="10" t="s">
        <v>138</v>
      </c>
      <c r="B6" s="10" t="s">
        <v>139</v>
      </c>
      <c r="C6" s="16" t="s">
        <v>140</v>
      </c>
      <c r="D6" s="16"/>
    </row>
    <row r="7" customFormat="false" ht="16" hidden="false" customHeight="false" outlineLevel="0" collapsed="false">
      <c r="A7" s="10" t="s">
        <v>141</v>
      </c>
      <c r="B7" s="10" t="s">
        <v>142</v>
      </c>
      <c r="C7" s="16" t="s">
        <v>143</v>
      </c>
      <c r="D7" s="16"/>
      <c r="E7" s="16"/>
    </row>
    <row r="8" customFormat="false" ht="16" hidden="false" customHeight="false" outlineLevel="0" collapsed="false">
      <c r="A8" s="10" t="s">
        <v>144</v>
      </c>
      <c r="B8" s="17" t="s">
        <v>145</v>
      </c>
      <c r="C8" s="18" t="s">
        <v>146</v>
      </c>
      <c r="D8" s="18"/>
      <c r="E8" s="18"/>
    </row>
    <row r="9" customFormat="false" ht="16" hidden="false" customHeight="false" outlineLevel="0" collapsed="false">
      <c r="A9" s="10" t="s">
        <v>147</v>
      </c>
      <c r="B9" s="10" t="s">
        <v>148</v>
      </c>
      <c r="C9" s="16" t="s">
        <v>149</v>
      </c>
      <c r="D9" s="16"/>
    </row>
    <row r="11" customFormat="false" ht="15.5" hidden="false" customHeight="false" outlineLevel="0" collapsed="false">
      <c r="A11" s="12" t="s">
        <v>150</v>
      </c>
      <c r="B11" s="12"/>
      <c r="C11" s="12"/>
      <c r="D11" s="12"/>
      <c r="E11" s="13"/>
      <c r="F11" s="13"/>
      <c r="G11" s="13"/>
      <c r="H11" s="13"/>
    </row>
    <row r="12" customFormat="false" ht="15" hidden="false" customHeight="false" outlineLevel="0" collapsed="false">
      <c r="A12" s="14" t="s">
        <v>151</v>
      </c>
      <c r="B12" s="14" t="s">
        <v>152</v>
      </c>
      <c r="C12" s="14" t="s">
        <v>153</v>
      </c>
      <c r="D12" s="14" t="s">
        <v>154</v>
      </c>
    </row>
    <row r="13" customFormat="false" ht="16" hidden="false" customHeight="false" outlineLevel="0" collapsed="false">
      <c r="A13" s="10" t="s">
        <v>37</v>
      </c>
      <c r="B13" s="10" t="s">
        <v>155</v>
      </c>
      <c r="C13" s="10" t="s">
        <v>156</v>
      </c>
      <c r="D13" s="18" t="s">
        <v>157</v>
      </c>
      <c r="E13" s="18"/>
      <c r="F13" s="18"/>
      <c r="G13" s="18"/>
      <c r="H13" s="18"/>
    </row>
    <row r="14" customFormat="false" ht="16" hidden="false" customHeight="false" outlineLevel="0" collapsed="false">
      <c r="A14" s="10" t="s">
        <v>68</v>
      </c>
      <c r="B14" s="10" t="s">
        <v>158</v>
      </c>
      <c r="C14" s="10" t="s">
        <v>159</v>
      </c>
      <c r="D14" s="18" t="s">
        <v>160</v>
      </c>
      <c r="E14" s="18"/>
      <c r="F14" s="18"/>
      <c r="G14" s="18"/>
      <c r="H14" s="18"/>
    </row>
    <row r="15" customFormat="false" ht="16" hidden="false" customHeight="false" outlineLevel="0" collapsed="false">
      <c r="A15" s="10" t="s">
        <v>78</v>
      </c>
      <c r="B15" s="10" t="s">
        <v>161</v>
      </c>
      <c r="C15" s="10" t="s">
        <v>162</v>
      </c>
      <c r="D15" s="18" t="s">
        <v>163</v>
      </c>
      <c r="E15" s="18"/>
      <c r="F15" s="18"/>
    </row>
    <row r="17" customFormat="false" ht="15.5" hidden="false" customHeight="false" outlineLevel="0" collapsed="false">
      <c r="A17" s="12" t="s">
        <v>164</v>
      </c>
      <c r="B17" s="12"/>
      <c r="C17" s="12"/>
      <c r="D17" s="13"/>
      <c r="E17" s="13"/>
      <c r="F17" s="13"/>
      <c r="G17" s="13"/>
      <c r="H17" s="13"/>
    </row>
    <row r="18" customFormat="false" ht="15.5" hidden="false" customHeight="false" outlineLevel="0" collapsed="false">
      <c r="A18" s="14" t="s">
        <v>165</v>
      </c>
      <c r="B18" s="14" t="s">
        <v>166</v>
      </c>
      <c r="C18" s="14"/>
      <c r="D18" s="14"/>
      <c r="E18" s="14"/>
      <c r="F18" s="14"/>
      <c r="G18" s="14"/>
      <c r="H18" s="14"/>
    </row>
    <row r="19" customFormat="false" ht="16" hidden="false" customHeight="false" outlineLevel="0" collapsed="false">
      <c r="A19" s="10" t="s">
        <v>167</v>
      </c>
      <c r="B19" s="16" t="s">
        <v>168</v>
      </c>
      <c r="C19" s="16"/>
      <c r="D19" s="16"/>
      <c r="E19" s="16"/>
    </row>
    <row r="20" customFormat="false" ht="15" hidden="false" customHeight="false" outlineLevel="0" collapsed="false">
      <c r="A20" s="10" t="s">
        <v>169</v>
      </c>
      <c r="B20" s="16" t="s">
        <v>170</v>
      </c>
      <c r="C20" s="16"/>
      <c r="D20" s="16"/>
      <c r="E20" s="16"/>
      <c r="F20" s="16"/>
    </row>
    <row r="21" customFormat="false" ht="15" hidden="false" customHeight="false" outlineLevel="0" collapsed="false">
      <c r="A21" s="10" t="s">
        <v>171</v>
      </c>
      <c r="B21" s="16" t="s">
        <v>172</v>
      </c>
      <c r="C21" s="16"/>
      <c r="D21" s="16"/>
      <c r="E21" s="16"/>
    </row>
    <row r="23" customFormat="false" ht="15.5" hidden="false" customHeight="false" outlineLevel="0" collapsed="false">
      <c r="A23" s="12" t="s">
        <v>173</v>
      </c>
      <c r="B23" s="12"/>
      <c r="C23" s="12"/>
      <c r="D23" s="12"/>
      <c r="E23" s="13"/>
      <c r="F23" s="13"/>
      <c r="G23" s="13"/>
      <c r="H23" s="13"/>
    </row>
    <row r="24" customFormat="false" ht="15" hidden="false" customHeight="false" outlineLevel="0" collapsed="false">
      <c r="A24" s="14" t="s">
        <v>174</v>
      </c>
      <c r="B24" s="14" t="s">
        <v>175</v>
      </c>
      <c r="C24" s="14" t="s">
        <v>176</v>
      </c>
      <c r="D24" s="14" t="s">
        <v>126</v>
      </c>
      <c r="E24" s="14"/>
      <c r="F24" s="14"/>
      <c r="G24" s="14"/>
      <c r="H24" s="14"/>
    </row>
    <row r="25" customFormat="false" ht="15" hidden="false" customHeight="false" outlineLevel="0" collapsed="false">
      <c r="A25" s="10" t="n">
        <v>1</v>
      </c>
      <c r="B25" s="19" t="n">
        <f aca="false">A25+1</f>
        <v>2</v>
      </c>
      <c r="C25" s="19" t="n">
        <f aca="false">B25</f>
        <v>2</v>
      </c>
      <c r="D25" s="16" t="s">
        <v>177</v>
      </c>
      <c r="E25" s="16"/>
      <c r="F25" s="16"/>
    </row>
    <row r="26" customFormat="false" ht="15" hidden="false" customHeight="false" outlineLevel="0" collapsed="false">
      <c r="A26" s="10" t="n">
        <v>2</v>
      </c>
      <c r="B26" s="19" t="n">
        <f aca="false">A26+1</f>
        <v>3</v>
      </c>
      <c r="C26" s="19" t="n">
        <f aca="false">B26</f>
        <v>3</v>
      </c>
      <c r="D26" s="16" t="s">
        <v>178</v>
      </c>
      <c r="E26" s="16"/>
    </row>
    <row r="27" customFormat="false" ht="15" hidden="false" customHeight="false" outlineLevel="0" collapsed="false">
      <c r="A27" s="10" t="n">
        <v>3</v>
      </c>
      <c r="B27" s="19" t="n">
        <f aca="false">A27+1</f>
        <v>4</v>
      </c>
      <c r="C27" s="19" t="n">
        <f aca="false">B27</f>
        <v>4</v>
      </c>
      <c r="D27" s="16" t="s">
        <v>179</v>
      </c>
      <c r="E27" s="16"/>
      <c r="F27" s="16"/>
    </row>
    <row r="29" customFormat="false" ht="15" hidden="false" customHeight="false" outlineLevel="0" collapsed="false">
      <c r="A29" s="14" t="s">
        <v>180</v>
      </c>
      <c r="B29" s="14" t="s">
        <v>181</v>
      </c>
      <c r="C29" s="14" t="s">
        <v>182</v>
      </c>
      <c r="D29" s="14" t="s">
        <v>126</v>
      </c>
      <c r="E29" s="14"/>
      <c r="F29" s="14"/>
      <c r="G29" s="14"/>
      <c r="H29" s="14"/>
    </row>
    <row r="30" customFormat="false" ht="16" hidden="false" customHeight="false" outlineLevel="0" collapsed="false">
      <c r="A30" s="20" t="n">
        <v>3</v>
      </c>
      <c r="B30" s="19" t="n">
        <f aca="false">C27</f>
        <v>4</v>
      </c>
      <c r="C30" s="19" t="n">
        <f aca="false">A30*B30</f>
        <v>12</v>
      </c>
      <c r="D30" s="16" t="s">
        <v>183</v>
      </c>
      <c r="E30" s="16"/>
      <c r="F30" s="16"/>
      <c r="G30" s="16"/>
      <c r="H30" s="16"/>
    </row>
    <row r="32" customFormat="false" ht="15.5" hidden="false" customHeight="false" outlineLevel="0" collapsed="false">
      <c r="A32" s="12" t="s">
        <v>184</v>
      </c>
      <c r="B32" s="12"/>
      <c r="C32" s="12"/>
      <c r="D32" s="13"/>
      <c r="E32" s="13"/>
      <c r="F32" s="13"/>
      <c r="G32" s="13"/>
      <c r="H32" s="13"/>
    </row>
    <row r="33" customFormat="false" ht="15" hidden="false" customHeight="false" outlineLevel="0" collapsed="false">
      <c r="A33" s="14" t="s">
        <v>165</v>
      </c>
      <c r="B33" s="14" t="s">
        <v>185</v>
      </c>
      <c r="C33" s="14" t="s">
        <v>126</v>
      </c>
      <c r="D33" s="14"/>
      <c r="E33" s="14"/>
      <c r="F33" s="14"/>
      <c r="G33" s="14"/>
      <c r="H33" s="14"/>
    </row>
    <row r="34" customFormat="false" ht="15" hidden="false" customHeight="false" outlineLevel="0" collapsed="false">
      <c r="A34" s="10" t="s">
        <v>186</v>
      </c>
      <c r="B34" s="20" t="n">
        <v>10</v>
      </c>
      <c r="C34" s="16" t="s">
        <v>187</v>
      </c>
      <c r="D34" s="16"/>
    </row>
    <row r="35" customFormat="false" ht="16" hidden="false" customHeight="false" outlineLevel="0" collapsed="false">
      <c r="A35" s="10" t="s">
        <v>188</v>
      </c>
      <c r="B35" s="20" t="n">
        <v>3</v>
      </c>
      <c r="C35" s="16" t="s">
        <v>189</v>
      </c>
      <c r="D35" s="16"/>
    </row>
    <row r="36" customFormat="false" ht="16" hidden="false" customHeight="false" outlineLevel="0" collapsed="false">
      <c r="A36" s="21" t="s">
        <v>190</v>
      </c>
      <c r="B36" s="22" t="n">
        <f aca="false">B34^B35</f>
        <v>1000</v>
      </c>
      <c r="C36" s="16" t="s">
        <v>191</v>
      </c>
      <c r="D36" s="16"/>
      <c r="E36" s="16"/>
    </row>
    <row r="37" customFormat="false" ht="16" hidden="false" customHeight="false" outlineLevel="0" collapsed="false">
      <c r="A37" s="10" t="s">
        <v>192</v>
      </c>
      <c r="B37" s="20" t="s">
        <v>193</v>
      </c>
      <c r="C37" s="16" t="s">
        <v>194</v>
      </c>
      <c r="D37" s="16"/>
      <c r="E37" s="16"/>
      <c r="F37" s="16"/>
      <c r="G37" s="16"/>
    </row>
    <row r="39" customFormat="false" ht="15.5" hidden="false" customHeight="false" outlineLevel="0" collapsed="false">
      <c r="A39" s="12" t="s">
        <v>195</v>
      </c>
      <c r="B39" s="12"/>
      <c r="C39" s="12"/>
      <c r="D39" s="13"/>
      <c r="E39" s="13"/>
      <c r="F39" s="13"/>
      <c r="G39" s="13"/>
      <c r="H39" s="13"/>
    </row>
    <row r="40" customFormat="false" ht="15" hidden="false" customHeight="false" outlineLevel="0" collapsed="false">
      <c r="A40" s="14" t="s">
        <v>165</v>
      </c>
      <c r="B40" s="14" t="s">
        <v>185</v>
      </c>
      <c r="C40" s="14" t="s">
        <v>126</v>
      </c>
      <c r="D40" s="14"/>
      <c r="E40" s="14"/>
      <c r="F40" s="14"/>
      <c r="G40" s="14"/>
      <c r="H40" s="14"/>
    </row>
    <row r="41" customFormat="false" ht="16" hidden="false" customHeight="false" outlineLevel="0" collapsed="false">
      <c r="A41" s="10" t="s">
        <v>196</v>
      </c>
      <c r="B41" s="20" t="n">
        <v>5</v>
      </c>
      <c r="C41" s="18" t="s">
        <v>197</v>
      </c>
      <c r="D41" s="18"/>
    </row>
    <row r="42" customFormat="false" ht="16" hidden="false" customHeight="false" outlineLevel="0" collapsed="false">
      <c r="A42" s="10" t="s">
        <v>198</v>
      </c>
      <c r="B42" s="20" t="n">
        <v>4</v>
      </c>
      <c r="C42" s="10" t="s">
        <v>199</v>
      </c>
    </row>
    <row r="43" customFormat="false" ht="16" hidden="false" customHeight="false" outlineLevel="0" collapsed="false">
      <c r="A43" s="21" t="s">
        <v>200</v>
      </c>
      <c r="B43" s="22" t="n">
        <f aca="false">B41*B42</f>
        <v>20</v>
      </c>
      <c r="C43" s="16" t="s">
        <v>201</v>
      </c>
      <c r="D43" s="16"/>
    </row>
    <row r="44" customFormat="false" ht="16" hidden="false" customHeight="false" outlineLevel="0" collapsed="false">
      <c r="A44" s="21" t="s">
        <v>202</v>
      </c>
      <c r="B44" s="22" t="n">
        <f aca="false">B43-3+1</f>
        <v>18</v>
      </c>
      <c r="C44" s="16" t="s">
        <v>203</v>
      </c>
      <c r="D44" s="16"/>
      <c r="E44" s="16"/>
      <c r="F44" s="16"/>
    </row>
    <row r="45" customFormat="false" ht="15.5" hidden="false" customHeight="true" outlineLevel="0" collapsed="false">
      <c r="A45" s="23" t="s">
        <v>204</v>
      </c>
      <c r="B45" s="23"/>
      <c r="C45" s="23"/>
      <c r="D45" s="23"/>
      <c r="E45" s="23"/>
      <c r="F45" s="23"/>
      <c r="G45" s="23"/>
      <c r="H45" s="23"/>
      <c r="I45" s="23"/>
      <c r="J45" s="23"/>
      <c r="K45" s="23"/>
      <c r="L45" s="23"/>
    </row>
    <row r="47" customFormat="false" ht="15.5" hidden="false" customHeight="false" outlineLevel="0" collapsed="false">
      <c r="A47" s="12" t="s">
        <v>205</v>
      </c>
      <c r="B47" s="12"/>
      <c r="C47" s="12"/>
      <c r="D47" s="13"/>
      <c r="E47" s="13"/>
      <c r="F47" s="13"/>
      <c r="G47" s="13"/>
      <c r="H47" s="13"/>
    </row>
    <row r="48" customFormat="false" ht="15" hidden="false" customHeight="false" outlineLevel="0" collapsed="false">
      <c r="A48" s="14" t="s">
        <v>206</v>
      </c>
      <c r="B48" s="14" t="s">
        <v>207</v>
      </c>
      <c r="C48" s="14" t="s">
        <v>208</v>
      </c>
      <c r="D48" s="14"/>
    </row>
    <row r="49" customFormat="false" ht="15" hidden="false" customHeight="false" outlineLevel="0" collapsed="false">
      <c r="A49" s="10" t="s">
        <v>209</v>
      </c>
      <c r="B49" s="10" t="s">
        <v>210</v>
      </c>
      <c r="C49" s="10" t="s">
        <v>211</v>
      </c>
    </row>
    <row r="50" customFormat="false" ht="16" hidden="false" customHeight="false" outlineLevel="0" collapsed="false">
      <c r="A50" s="17" t="s">
        <v>212</v>
      </c>
      <c r="B50" s="10" t="s">
        <v>213</v>
      </c>
      <c r="C50" s="16" t="s">
        <v>214</v>
      </c>
      <c r="D50" s="16"/>
      <c r="E50" s="16"/>
      <c r="F50" s="16"/>
    </row>
    <row r="51" customFormat="false" ht="15" hidden="false" customHeight="false" outlineLevel="0" collapsed="false">
      <c r="A51" s="17" t="s">
        <v>215</v>
      </c>
      <c r="B51" s="10" t="s">
        <v>216</v>
      </c>
      <c r="C51" s="16" t="s">
        <v>217</v>
      </c>
      <c r="D51" s="16"/>
      <c r="E51" s="16"/>
      <c r="F51" s="16"/>
    </row>
    <row r="52" customFormat="false" ht="16" hidden="false" customHeight="false" outlineLevel="0" collapsed="false">
      <c r="A52" s="10" t="s">
        <v>218</v>
      </c>
      <c r="B52" s="10" t="s">
        <v>219</v>
      </c>
      <c r="C52" s="16" t="s">
        <v>220</v>
      </c>
      <c r="D52" s="16"/>
      <c r="E52" s="16"/>
    </row>
    <row r="53" customFormat="false" ht="15" hidden="false" customHeight="false" outlineLevel="0" collapsed="false">
      <c r="A53" s="10" t="s">
        <v>221</v>
      </c>
      <c r="B53" s="10" t="s">
        <v>222</v>
      </c>
      <c r="C53" s="16" t="s">
        <v>223</v>
      </c>
      <c r="D53" s="16"/>
      <c r="E53" s="16"/>
    </row>
    <row r="55" customFormat="false" ht="15.5" hidden="false" customHeight="false" outlineLevel="0" collapsed="false">
      <c r="A55" s="12" t="s">
        <v>224</v>
      </c>
      <c r="B55" s="12"/>
      <c r="C55" s="12"/>
      <c r="D55" s="13"/>
      <c r="E55" s="13"/>
      <c r="F55" s="13"/>
      <c r="G55" s="13"/>
      <c r="H55" s="13"/>
    </row>
    <row r="56" customFormat="false" ht="15" hidden="false" customHeight="false" outlineLevel="0" collapsed="false">
      <c r="A56" s="14" t="s">
        <v>225</v>
      </c>
      <c r="B56" s="14" t="s">
        <v>226</v>
      </c>
      <c r="C56" s="14" t="s">
        <v>126</v>
      </c>
      <c r="D56" s="14"/>
      <c r="E56" s="14"/>
      <c r="F56" s="14"/>
      <c r="G56" s="14"/>
      <c r="H56" s="14"/>
    </row>
    <row r="57" customFormat="false" ht="16" hidden="false" customHeight="false" outlineLevel="0" collapsed="false">
      <c r="A57" s="10" t="s">
        <v>227</v>
      </c>
      <c r="B57" s="24" t="str">
        <f aca="false">IF(AND(C25=2,C26=3,C27=4),"✓","✗")</f>
        <v>✓</v>
      </c>
      <c r="C57" s="10" t="s">
        <v>228</v>
      </c>
    </row>
    <row r="58" customFormat="false" ht="16" hidden="false" customHeight="false" outlineLevel="0" collapsed="false">
      <c r="A58" s="10" t="s">
        <v>229</v>
      </c>
      <c r="B58" s="24" t="str">
        <f aca="false">IF(C30=A30*B30,"✓","✗")</f>
        <v>✓</v>
      </c>
      <c r="C58" s="10" t="s">
        <v>230</v>
      </c>
    </row>
    <row r="59" customFormat="false" ht="16" hidden="false" customHeight="false" outlineLevel="0" collapsed="false">
      <c r="A59" s="17" t="s">
        <v>231</v>
      </c>
      <c r="B59" s="24" t="str">
        <f aca="false">IF(B36=1000,"✓","✗")</f>
        <v>✓</v>
      </c>
      <c r="C59" s="17" t="s">
        <v>232</v>
      </c>
    </row>
    <row r="60" customFormat="false" ht="16" hidden="false" customHeight="false" outlineLevel="0" collapsed="false">
      <c r="A60" s="17" t="s">
        <v>233</v>
      </c>
      <c r="B60" s="24" t="str">
        <f aca="false">IF(B43=20,"✓","✗")</f>
        <v>✓</v>
      </c>
      <c r="C60" s="17" t="s">
        <v>234</v>
      </c>
    </row>
    <row r="62" customFormat="false" ht="28" hidden="false" customHeight="true" outlineLevel="0" collapsed="false">
      <c r="A62" s="23" t="s">
        <v>235</v>
      </c>
      <c r="B62" s="23"/>
      <c r="C62" s="23"/>
      <c r="D62" s="23"/>
    </row>
  </sheetData>
  <mergeCells count="38">
    <mergeCell ref="A1:D1"/>
    <mergeCell ref="A3:C3"/>
    <mergeCell ref="C4:E4"/>
    <mergeCell ref="C5:E5"/>
    <mergeCell ref="C6:D6"/>
    <mergeCell ref="C7:E7"/>
    <mergeCell ref="C8:E8"/>
    <mergeCell ref="C9:D9"/>
    <mergeCell ref="A11:D11"/>
    <mergeCell ref="D13:H13"/>
    <mergeCell ref="D14:H14"/>
    <mergeCell ref="D15:F15"/>
    <mergeCell ref="A17:C17"/>
    <mergeCell ref="B19:E19"/>
    <mergeCell ref="B20:F20"/>
    <mergeCell ref="B21:E21"/>
    <mergeCell ref="A23:D23"/>
    <mergeCell ref="D25:F25"/>
    <mergeCell ref="D26:E26"/>
    <mergeCell ref="D27:F27"/>
    <mergeCell ref="D30:H30"/>
    <mergeCell ref="A32:C32"/>
    <mergeCell ref="C34:D34"/>
    <mergeCell ref="C35:D35"/>
    <mergeCell ref="C36:E36"/>
    <mergeCell ref="C37:G37"/>
    <mergeCell ref="A39:C39"/>
    <mergeCell ref="C41:D41"/>
    <mergeCell ref="C43:D43"/>
    <mergeCell ref="C44:F44"/>
    <mergeCell ref="A45:L45"/>
    <mergeCell ref="A47:C47"/>
    <mergeCell ref="C50:F50"/>
    <mergeCell ref="C51:F51"/>
    <mergeCell ref="C52:E52"/>
    <mergeCell ref="C53:E53"/>
    <mergeCell ref="A55:C55"/>
    <mergeCell ref="A62:D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Q82"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2026-09-29T15:06:27Z</dcterms:created>
  <dc:creator>openpyxl</dc:creator>
  <dc:description/>
  <dc:language>zh-CN</dc:language>
  <cp:lastModifiedBy/>
  <dcterms:modified xsi:type="dcterms:W3CDTF">2026-09-29T15:06:27Z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