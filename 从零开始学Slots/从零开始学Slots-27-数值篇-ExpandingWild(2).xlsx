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说明" sheetId="1" state="visible" r:id="rId3"/>
    <sheet name="数据配表" sheetId="2" state="visible" r:id="rId4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<sst xmlns="http://schemas.openxmlformats.org/spreadsheetml/2006/main" count="262" uniqueCount="174">
  <si>
    <r>
      <rPr>
        <b val="true"/>
        <sz val="14"/>
        <color rgb="FF1F4E79"/>
        <rFont val="Noto Sans SC"/>
        <family val="2"/>
        <charset val="134"/>
      </rPr>
      <t xml:space="preserve">从零开始学</t>
    </r>
    <r>
      <rPr>
        <b val="true"/>
        <sz val="14"/>
        <color rgb="FF1F4E79"/>
        <rFont val="Cambria"/>
        <family val="0"/>
        <charset val="1"/>
      </rPr>
      <t xml:space="preserve">Slots 27 —— </t>
    </r>
    <r>
      <rPr>
        <b val="true"/>
        <sz val="14"/>
        <color rgb="FF1F4E79"/>
        <rFont val="Noto Sans SC"/>
        <family val="2"/>
        <charset val="134"/>
      </rPr>
      <t xml:space="preserve">数值篇：</t>
    </r>
    <r>
      <rPr>
        <b val="true"/>
        <sz val="14"/>
        <color rgb="FF1F4E79"/>
        <rFont val="Cambria"/>
        <family val="0"/>
        <charset val="1"/>
      </rPr>
      <t xml:space="preserve">Expanding Wild(2)</t>
    </r>
  </si>
  <si>
    <r>
      <rPr>
        <sz val="11"/>
        <color rgb="FF808080"/>
        <rFont val="Noto Sans SC"/>
        <family val="2"/>
        <charset val="134"/>
      </rPr>
      <t xml:space="preserve">来源：知乎《</t>
    </r>
    <r>
      <rPr>
        <sz val="11"/>
        <color rgb="FF808080"/>
        <rFont val="Cambria"/>
        <family val="0"/>
        <charset val="1"/>
      </rPr>
      <t xml:space="preserve">Slots</t>
    </r>
    <r>
      <rPr>
        <sz val="11"/>
        <color rgb="FF808080"/>
        <rFont val="Noto Sans SC"/>
        <family val="2"/>
        <charset val="134"/>
      </rPr>
      <t xml:space="preserve">数值篇——</t>
    </r>
    <r>
      <rPr>
        <sz val="11"/>
        <color rgb="FF808080"/>
        <rFont val="Cambria"/>
        <family val="0"/>
        <charset val="1"/>
      </rPr>
      <t xml:space="preserve">Expanding Wild(2)</t>
    </r>
    <r>
      <rPr>
        <sz val="11"/>
        <color rgb="FF808080"/>
        <rFont val="Noto Sans SC"/>
        <family val="2"/>
        <charset val="134"/>
      </rPr>
      <t xml:space="preserve">》  </t>
    </r>
    <r>
      <rPr>
        <sz val="11"/>
        <color rgb="FF808080"/>
        <rFont val="Cambria"/>
        <family val="0"/>
        <charset val="1"/>
      </rPr>
      <t xml:space="preserve">https://zhuanlan.zhihu.com/p/630384815</t>
    </r>
  </si>
  <si>
    <r>
      <rPr>
        <sz val="11"/>
        <color rgb="FF808080"/>
        <rFont val="Noto Sans SC"/>
        <family val="2"/>
        <charset val="134"/>
      </rPr>
      <t xml:space="preserve">专栏：从零开始学</t>
    </r>
    <r>
      <rPr>
        <sz val="11"/>
        <color rgb="FF808080"/>
        <rFont val="Cambria"/>
        <family val="0"/>
        <charset val="1"/>
      </rPr>
      <t xml:space="preserve">Slots https://zhuanlan.zhihu.com/c_1645024821070356480 </t>
    </r>
    <r>
      <rPr>
        <sz val="11"/>
        <color rgb="FF808080"/>
        <rFont val="Noto Sans SC"/>
        <family val="2"/>
        <charset val="134"/>
      </rPr>
      <t xml:space="preserve">｜ 作者：</t>
    </r>
    <r>
      <rPr>
        <sz val="11"/>
        <color rgb="FF808080"/>
        <rFont val="Cambria"/>
        <family val="0"/>
        <charset val="1"/>
      </rPr>
      <t xml:space="preserve">ASlot</t>
    </r>
  </si>
  <si>
    <r>
      <rPr>
        <sz val="11"/>
        <color rgb="FF808080"/>
        <rFont val="Noto Sans SC"/>
        <family val="2"/>
        <charset val="134"/>
      </rPr>
      <t xml:space="preserve">正文：用户在本机离线保存的网页原件（浏览器「另存为 → 网页，全部」）；本页『原文整理』即该文全文，原文配图已取回 </t>
    </r>
    <r>
      <rPr>
        <sz val="11"/>
        <color rgb="FF808080"/>
        <rFont val="Cambria"/>
        <family val="0"/>
        <charset val="1"/>
      </rPr>
      <t xml:space="preserve">images/slots/</t>
    </r>
    <r>
      <rPr>
        <sz val="11"/>
        <color rgb="FF808080"/>
        <rFont val="Noto Sans SC"/>
        <family val="2"/>
        <charset val="134"/>
      </rPr>
      <t xml:space="preserve">。</t>
    </r>
  </si>
  <si>
    <r>
      <rPr>
        <sz val="11"/>
        <color rgb="FF808080"/>
        <rFont val="Noto Sans SC"/>
        <family val="2"/>
        <charset val="134"/>
      </rPr>
      <t xml:space="preserve">样式模板：捕鱼游戏数学</t>
    </r>
    <r>
      <rPr>
        <sz val="11"/>
        <color rgb="FF808080"/>
        <rFont val="Cambria"/>
        <family val="0"/>
        <charset val="1"/>
      </rPr>
      <t xml:space="preserve">-PartII-</t>
    </r>
    <r>
      <rPr>
        <sz val="11"/>
        <color rgb="FF808080"/>
        <rFont val="Noto Sans SC"/>
        <family val="2"/>
        <charset val="134"/>
      </rPr>
      <t xml:space="preserve">特殊炮模型</t>
    </r>
    <r>
      <rPr>
        <sz val="11"/>
        <color rgb="FF808080"/>
        <rFont val="Cambria"/>
        <family val="0"/>
        <charset val="1"/>
      </rPr>
      <t xml:space="preserve">.xlsx</t>
    </r>
    <r>
      <rPr>
        <sz val="11"/>
        <color rgb="FF808080"/>
        <rFont val="Noto Sans SC"/>
        <family val="2"/>
        <charset val="134"/>
      </rPr>
      <t xml:space="preserve">（分节深蓝底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表头浅蓝底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蓝字可改输入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黑字公式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黄底关键结果）</t>
    </r>
  </si>
  <si>
    <r>
      <rPr>
        <sz val="11"/>
        <color rgb="FF808080"/>
        <rFont val="Noto Sans SC"/>
        <family val="2"/>
        <charset val="134"/>
      </rPr>
      <t xml:space="preserve">配表说明：原文①卷轴、②图标个数、③各中奖线「考虑 </t>
    </r>
    <r>
      <rPr>
        <sz val="11"/>
        <color rgb="FF808080"/>
        <rFont val="Cambria"/>
        <family val="0"/>
        <charset val="1"/>
      </rPr>
      <t xml:space="preserve">Expanding Wild</t>
    </r>
    <r>
      <rPr>
        <sz val="11"/>
        <color rgb="FF808080"/>
        <rFont val="Noto Sans SC"/>
        <family val="2"/>
        <charset val="134"/>
      </rPr>
      <t xml:space="preserve">」后的覆盖个数均取自原文配图；事件数与 </t>
    </r>
    <r>
      <rPr>
        <sz val="11"/>
        <color rgb="FF808080"/>
        <rFont val="Cambria"/>
        <family val="0"/>
        <charset val="1"/>
      </rPr>
      <t xml:space="preserve">RTP </t>
    </r>
    <r>
      <rPr>
        <sz val="11"/>
        <color rgb="FF808080"/>
        <rFont val="Noto Sans SC"/>
        <family val="2"/>
        <charset val="134"/>
      </rPr>
      <t xml:space="preserve">由本簿公式算出，可逐格对照原文的三张「计算 </t>
    </r>
    <r>
      <rPr>
        <sz val="11"/>
        <color rgb="FF808080"/>
        <rFont val="Cambria"/>
        <family val="0"/>
        <charset val="1"/>
      </rPr>
      <t xml:space="preserve">RTP</t>
    </r>
    <r>
      <rPr>
        <sz val="11"/>
        <color rgb="FF808080"/>
        <rFont val="Noto Sans SC"/>
        <family val="2"/>
        <charset val="134"/>
      </rPr>
      <t xml:space="preserve">」表。</t>
    </r>
  </si>
  <si>
    <t xml:space="preserve">页签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</si>
  <si>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说明：本文整理 —— 来源、用法、要点、原文全文、配图清单、校验与声明。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</si>
  <si>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数据配表：把原文讲到的方法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  <charset val="134"/>
      </rPr>
      <t xml:space="preserve">机制做成可改数值的配表（蓝字可改，公式自动联动）。</t>
    </r>
  </si>
  <si>
    <t xml:space="preserve">用法</t>
  </si>
  <si>
    <r>
      <rPr>
        <sz val="11"/>
        <color theme="1"/>
        <rFont val="Calibri"/>
        <family val="2"/>
        <charset val="1"/>
      </rPr>
      <t xml:space="preserve">1) </t>
    </r>
    <r>
      <rPr>
        <sz val="11"/>
        <color theme="1"/>
        <rFont val="Noto Sans SC"/>
        <family val="2"/>
        <charset val="134"/>
      </rPr>
      <t xml:space="preserve">先看本页『原文整理』，对照原文小标题读一遍；配图编号 ［配图 </t>
    </r>
    <r>
      <rPr>
        <sz val="11"/>
        <color theme="1"/>
        <rFont val="Calibri"/>
        <family val="2"/>
        <charset val="1"/>
      </rPr>
      <t xml:space="preserve">NN</t>
    </r>
    <r>
      <rPr>
        <sz val="11"/>
        <color theme="1"/>
        <rFont val="Noto Sans SC"/>
        <family val="2"/>
        <charset val="134"/>
      </rPr>
      <t xml:space="preserve">］ 对应 </t>
    </r>
    <r>
      <rPr>
        <sz val="11"/>
        <color theme="1"/>
        <rFont val="Calibri"/>
        <family val="2"/>
        <charset val="1"/>
      </rPr>
      <t xml:space="preserve">images/slots/630384815-NN.</t>
    </r>
    <r>
      <rPr>
        <sz val="11"/>
        <color theme="1"/>
        <rFont val="Noto Sans SC"/>
        <family val="2"/>
        <charset val="134"/>
      </rPr>
      <t xml:space="preserve">原扩展名。</t>
    </r>
  </si>
  <si>
    <r>
      <rPr>
        <sz val="11"/>
        <color theme="1"/>
        <rFont val="Calibri"/>
        <family val="2"/>
        <charset val="1"/>
      </rPr>
      <t xml:space="preserve">2) </t>
    </r>
    <r>
      <rPr>
        <sz val="11"/>
        <color theme="1"/>
        <rFont val="Noto Sans SC"/>
        <family val="2"/>
        <charset val="134"/>
      </rPr>
      <t xml:space="preserve">再看第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个页签『数据配表』：蓝字＝可改配置，黑字＝公式，黄底＝结果；改配置后各表自动联动。</t>
    </r>
  </si>
  <si>
    <r>
      <rPr>
        <sz val="11"/>
        <color theme="1"/>
        <rFont val="Calibri"/>
        <family val="2"/>
        <charset val="1"/>
      </rPr>
      <t xml:space="preserve">3) </t>
    </r>
    <r>
      <rPr>
        <sz val="11"/>
        <color theme="1"/>
        <rFont val="Noto Sans SC"/>
        <family val="2"/>
        <charset val="134"/>
      </rPr>
      <t xml:space="preserve">表内数值取自原文示例；原文只给方法而未给数值的部分，用同项目《老虎机数学入门 </t>
    </r>
    <r>
      <rPr>
        <sz val="11"/>
        <color theme="1"/>
        <rFont val="Calibri"/>
        <family val="2"/>
        <charset val="1"/>
      </rPr>
      <t xml:space="preserve">Part Ⅰ/Ⅱ</t>
    </r>
    <r>
      <rPr>
        <sz val="11"/>
        <color theme="1"/>
        <rFont val="Noto Sans SC"/>
        <family val="2"/>
        <charset val="134"/>
      </rPr>
      <t xml:space="preserve">》的示例数值（蓝字可改）。</t>
    </r>
  </si>
  <si>
    <t xml:space="preserve">要点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</si>
  <si>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上篇只处理「一列有 </t>
    </r>
    <r>
      <rPr>
        <sz val="11"/>
        <color theme="1"/>
        <rFont val="Calibri"/>
        <family val="2"/>
        <charset val="1"/>
      </rPr>
      <t xml:space="preserve">Expanding Wild</t>
    </r>
    <r>
      <rPr>
        <sz val="11"/>
        <color theme="1"/>
        <rFont val="Noto Sans SC"/>
        <family val="2"/>
        <charset val="134"/>
      </rPr>
      <t xml:space="preserve">」，本篇扩展到 </t>
    </r>
    <r>
      <rPr>
        <sz val="11"/>
        <color theme="1"/>
        <rFont val="Calibri"/>
        <family val="2"/>
        <charset val="1"/>
      </rPr>
      <t xml:space="preserve">2~5 </t>
    </r>
    <r>
      <rPr>
        <sz val="11"/>
        <color theme="1"/>
        <rFont val="Noto Sans SC"/>
        <family val="2"/>
        <charset val="134"/>
      </rPr>
      <t xml:space="preserve">列都有拓展百搭的 </t>
    </r>
    <r>
      <rPr>
        <sz val="11"/>
        <color theme="1"/>
        <rFont val="Calibri"/>
        <family val="2"/>
        <charset val="1"/>
      </rPr>
      <t xml:space="preserve">3*5 Line Slots</t>
    </r>
    <r>
      <rPr>
        <sz val="11"/>
        <color theme="1"/>
        <rFont val="Noto Sans SC"/>
        <family val="2"/>
        <charset val="134"/>
      </rPr>
      <t xml:space="preserve">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</si>
  <si>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结论：处理方式与单列时相同——按中奖线分别处理被覆盖的图标即可；</t>
    </r>
  </si>
  <si>
    <r>
      <rPr>
        <sz val="11"/>
        <color theme="1"/>
        <rFont val="Noto Sans SC"/>
        <family val="2"/>
        <charset val="134"/>
      </rPr>
      <t xml:space="preserve">  之所以能这样「简易处理」，是因为该玩法首列不出现 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，且 </t>
    </r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本身没有赔付倍数，</t>
    </r>
  </si>
  <si>
    <r>
      <rPr>
        <sz val="11"/>
        <color theme="1"/>
        <rFont val="Noto Sans SC"/>
        <family val="2"/>
        <charset val="134"/>
      </rPr>
      <t xml:space="preserve">  否则还要额外考虑「首列为 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」的各种情形。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</si>
  <si>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口径：① </t>
    </r>
    <r>
      <rPr>
        <sz val="11"/>
        <color theme="1"/>
        <rFont val="Calibri"/>
        <family val="2"/>
        <charset val="1"/>
      </rPr>
      <t xml:space="preserve">COUNTIF </t>
    </r>
    <r>
      <rPr>
        <sz val="11"/>
        <color theme="1"/>
        <rFont val="Noto Sans SC"/>
        <family val="2"/>
        <charset val="134"/>
      </rPr>
      <t xml:space="preserve">读图标个数；② 按中奖线把被拓展覆盖的图标个数修正；</t>
    </r>
  </si>
  <si>
    <r>
      <rPr>
        <sz val="11"/>
        <color theme="1"/>
        <rFont val="Noto Sans SC"/>
        <family val="2"/>
        <charset val="134"/>
      </rPr>
      <t xml:space="preserve">  ③ 加上百搭事件数（该列 </t>
    </r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个数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行数）得到出现事件数；</t>
    </r>
  </si>
  <si>
    <t xml:space="preserve">  ④ 用「每列停位数 − 出现事件数」得到不出现事件数；</t>
  </si>
  <si>
    <r>
      <rPr>
        <sz val="11"/>
        <color theme="1"/>
        <rFont val="Noto Sans SC"/>
        <family val="2"/>
        <charset val="134"/>
      </rPr>
      <t xml:space="preserve">  ⑤ 累乘满足中奖组合的事件数 → 除总事件数 → 乘赔付倍数 → 各线 </t>
    </r>
    <r>
      <rPr>
        <sz val="11"/>
        <color theme="1"/>
        <rFont val="Calibri"/>
        <family val="2"/>
        <charset val="1"/>
      </rPr>
      <t xml:space="preserve">RTP → </t>
    </r>
    <r>
      <rPr>
        <sz val="11"/>
        <color theme="1"/>
        <rFont val="Noto Sans SC"/>
        <family val="2"/>
        <charset val="134"/>
      </rPr>
      <t xml:space="preserve">取平均。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</si>
  <si>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本例各列都有 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（除首列）：三条中奖线 </t>
    </r>
    <r>
      <rPr>
        <sz val="11"/>
        <color theme="1"/>
        <rFont val="Calibri"/>
        <family val="2"/>
        <charset val="1"/>
      </rPr>
      <t xml:space="preserve">RTP </t>
    </r>
    <r>
      <rPr>
        <sz val="11"/>
        <color theme="1"/>
        <rFont val="Noto Sans SC"/>
        <family val="2"/>
        <charset val="134"/>
      </rPr>
      <t xml:space="preserve">为 </t>
    </r>
    <r>
      <rPr>
        <sz val="11"/>
        <color theme="1"/>
        <rFont val="Calibri"/>
        <family val="2"/>
        <charset val="1"/>
      </rPr>
      <t xml:space="preserve">1.2618 / 1.0233 / 0.9803</t>
    </r>
    <r>
      <rPr>
        <sz val="11"/>
        <color theme="1"/>
        <rFont val="Noto Sans SC"/>
        <family val="2"/>
        <charset val="134"/>
      </rPr>
      <t xml:space="preserve">，平均 </t>
    </r>
    <r>
      <rPr>
        <sz val="11"/>
        <color theme="1"/>
        <rFont val="Calibri"/>
        <family val="2"/>
        <charset val="1"/>
      </rPr>
      <t xml:space="preserve">1.0884</t>
    </r>
    <r>
      <rPr>
        <sz val="11"/>
        <color theme="1"/>
        <rFont val="Noto Sans SC"/>
        <family val="2"/>
        <charset val="134"/>
      </rPr>
      <t xml:space="preserve">（原文）。</t>
    </r>
  </si>
  <si>
    <t xml:space="preserve">原文整理（全文，按原文小标题分段）</t>
  </si>
  <si>
    <r>
      <rPr>
        <sz val="11"/>
        <color theme="1"/>
        <rFont val="Noto Sans SC"/>
        <family val="2"/>
        <charset val="134"/>
      </rPr>
      <t xml:space="preserve">上篇介绍了仅有一列包含</t>
    </r>
    <r>
      <rPr>
        <sz val="11"/>
        <color theme="1"/>
        <rFont val="Calibri"/>
        <family val="2"/>
        <charset val="1"/>
      </rPr>
      <t xml:space="preserve">Expanding Wild</t>
    </r>
    <r>
      <rPr>
        <sz val="11"/>
        <color theme="1"/>
        <rFont val="Noto Sans SC"/>
        <family val="2"/>
        <charset val="134"/>
      </rPr>
      <t xml:space="preserve">的处理方法</t>
    </r>
  </si>
  <si>
    <t xml:space="preserve">本篇将在上篇的基础上进行拓展</t>
  </si>
  <si>
    <r>
      <rPr>
        <sz val="11"/>
        <color theme="1"/>
        <rFont val="Noto Sans SC"/>
        <family val="2"/>
        <charset val="134"/>
      </rPr>
      <t xml:space="preserve">展示当</t>
    </r>
    <r>
      <rPr>
        <sz val="11"/>
        <color theme="1"/>
        <rFont val="Calibri"/>
        <family val="2"/>
        <charset val="1"/>
      </rPr>
      <t xml:space="preserve">2~5</t>
    </r>
    <r>
      <rPr>
        <sz val="11"/>
        <color theme="1"/>
        <rFont val="Noto Sans SC"/>
        <family val="2"/>
        <charset val="134"/>
      </rPr>
      <t xml:space="preserve">列的均存在</t>
    </r>
    <r>
      <rPr>
        <sz val="11"/>
        <color theme="1"/>
        <rFont val="Calibri"/>
        <family val="2"/>
        <charset val="1"/>
      </rPr>
      <t xml:space="preserve">Exapanding Wild</t>
    </r>
    <r>
      <rPr>
        <sz val="11"/>
        <color theme="1"/>
        <rFont val="Noto Sans SC"/>
        <family val="2"/>
        <charset val="134"/>
      </rPr>
      <t xml:space="preserve">的</t>
    </r>
    <r>
      <rPr>
        <sz val="11"/>
        <color theme="1"/>
        <rFont val="Calibri"/>
        <family val="2"/>
        <charset val="1"/>
      </rPr>
      <t xml:space="preserve">3*5 Line Slots</t>
    </r>
    <r>
      <rPr>
        <sz val="11"/>
        <color theme="1"/>
        <rFont val="Noto Sans SC"/>
        <family val="2"/>
        <charset val="134"/>
      </rPr>
      <t xml:space="preserve">的数值计算方法</t>
    </r>
  </si>
  <si>
    <r>
      <rPr>
        <sz val="11"/>
        <color theme="1"/>
        <rFont val="Noto Sans SC"/>
        <family val="2"/>
        <charset val="134"/>
      </rPr>
      <t xml:space="preserve">关于</t>
    </r>
    <r>
      <rPr>
        <sz val="11"/>
        <color theme="1"/>
        <rFont val="Calibri"/>
        <family val="2"/>
        <charset val="1"/>
      </rPr>
      <t xml:space="preserve">Expanding Wild</t>
    </r>
    <r>
      <rPr>
        <sz val="11"/>
        <color theme="1"/>
        <rFont val="Noto Sans SC"/>
        <family val="2"/>
        <charset val="134"/>
      </rPr>
      <t xml:space="preserve">在计算时标准图标为什么需要减去被覆盖时的出现几率，以及</t>
    </r>
    <r>
      <rPr>
        <sz val="11"/>
        <color theme="1"/>
        <rFont val="Calibri"/>
        <family val="2"/>
        <charset val="1"/>
      </rPr>
      <t xml:space="preserve">Expanding Wild</t>
    </r>
    <r>
      <rPr>
        <sz val="11"/>
        <color theme="1"/>
        <rFont val="Noto Sans SC"/>
        <family val="2"/>
        <charset val="134"/>
      </rPr>
      <t xml:space="preserve">为什么需要区分中奖线计算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在上篇都已经介绍过了，本篇不再赘述</t>
    </r>
  </si>
  <si>
    <t xml:space="preserve">感兴趣的话可以点击以下链接查看往期拓展百搭攻略：</t>
  </si>
  <si>
    <t xml:space="preserve">https://zhuanlan.zhihu.com/p/629840640</t>
  </si>
  <si>
    <t xml:space="preserve">https://zhuanlan.zhihu.com/p/630126758</t>
  </si>
  <si>
    <t xml:space="preserve">直接进入本篇正题</t>
  </si>
  <si>
    <r>
      <rPr>
        <sz val="11"/>
        <color theme="1"/>
        <rFont val="Noto Sans SC"/>
        <family val="2"/>
        <charset val="134"/>
      </rPr>
      <t xml:space="preserve">本篇作为案例的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固定卷轴如下：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</si>
  <si>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01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630384815-01.png</t>
    </r>
  </si>
  <si>
    <r>
      <rPr>
        <sz val="11"/>
        <color theme="1"/>
        <rFont val="Noto Sans SC"/>
        <family val="2"/>
        <charset val="134"/>
      </rPr>
      <t xml:space="preserve">该固定卷轴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共有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Q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K 5</t>
    </r>
    <r>
      <rPr>
        <sz val="11"/>
        <color theme="1"/>
        <rFont val="Noto Sans SC"/>
        <family val="2"/>
        <charset val="134"/>
      </rPr>
      <t xml:space="preserve">种标准图标和</t>
    </r>
    <r>
      <rPr>
        <sz val="11"/>
        <color theme="1"/>
        <rFont val="Calibri"/>
        <family val="2"/>
        <charset val="1"/>
      </rPr>
      <t xml:space="preserve">Wild 1</t>
    </r>
    <r>
      <rPr>
        <sz val="11"/>
        <color theme="1"/>
        <rFont val="Noto Sans SC"/>
        <family val="2"/>
        <charset val="134"/>
      </rPr>
      <t xml:space="preserve">种特殊图标</t>
    </r>
  </si>
  <si>
    <r>
      <rPr>
        <sz val="11"/>
        <color theme="1"/>
        <rFont val="Noto Sans SC"/>
        <family val="2"/>
        <charset val="134"/>
      </rPr>
      <t xml:space="preserve">窗口尺寸为</t>
    </r>
    <r>
      <rPr>
        <sz val="11"/>
        <color theme="1"/>
        <rFont val="Calibri"/>
        <family val="2"/>
        <charset val="1"/>
      </rPr>
      <t xml:space="preserve">3-5</t>
    </r>
  </si>
  <si>
    <r>
      <rPr>
        <sz val="11"/>
        <color theme="1"/>
        <rFont val="Calibri"/>
        <family val="2"/>
        <charset val="1"/>
      </rPr>
      <t xml:space="preserve">Feature</t>
    </r>
    <r>
      <rPr>
        <sz val="11"/>
        <color theme="1"/>
        <rFont val="Noto Sans SC"/>
        <family val="2"/>
        <charset val="134"/>
      </rPr>
      <t xml:space="preserve">为</t>
    </r>
    <r>
      <rPr>
        <sz val="11"/>
        <color theme="1"/>
        <rFont val="Calibri"/>
        <family val="2"/>
        <charset val="1"/>
      </rPr>
      <t xml:space="preserve">Expanding Wild</t>
    </r>
  </si>
  <si>
    <r>
      <rPr>
        <sz val="11"/>
        <color theme="1"/>
        <rFont val="Noto Sans SC"/>
        <family val="2"/>
        <charset val="134"/>
      </rPr>
      <t xml:space="preserve">当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图标在摇奖后停留在卷轴上时，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图标同时向上下两个方向拓展，直至窗口上的该列图标均为百搭图标</t>
    </r>
  </si>
  <si>
    <t xml:space="preserve">接下来按照常规搭建数值模型的步骤，依据卷轴上的图标分度读取图标个数</t>
  </si>
  <si>
    <r>
      <rPr>
        <sz val="11"/>
        <color theme="1"/>
        <rFont val="Noto Sans SC"/>
        <family val="2"/>
        <charset val="134"/>
      </rPr>
      <t xml:space="preserve">这一步使用</t>
    </r>
    <r>
      <rPr>
        <sz val="11"/>
        <color theme="1"/>
        <rFont val="Calibri"/>
        <family val="2"/>
        <charset val="1"/>
      </rPr>
      <t xml:space="preserve">COUNTIF</t>
    </r>
    <r>
      <rPr>
        <sz val="11"/>
        <color theme="1"/>
        <rFont val="Noto Sans SC"/>
        <family val="2"/>
        <charset val="134"/>
      </rPr>
      <t xml:space="preserve">函数读取指定图标的个数即可，没有特殊处理的部分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</si>
  <si>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02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630384815-02.jpg</t>
    </r>
  </si>
  <si>
    <t xml:space="preserve">接下来就应该计算图标停留在卷轴上的事件数了</t>
  </si>
  <si>
    <r>
      <rPr>
        <sz val="11"/>
        <color theme="1"/>
        <rFont val="Noto Sans SC"/>
        <family val="2"/>
        <charset val="134"/>
      </rPr>
      <t xml:space="preserve">但是这里需要分</t>
    </r>
    <r>
      <rPr>
        <sz val="11"/>
        <color theme="1"/>
        <rFont val="Calibri"/>
        <family val="2"/>
        <charset val="1"/>
      </rPr>
      <t xml:space="preserve">Pay Line</t>
    </r>
    <r>
      <rPr>
        <sz val="11"/>
        <color theme="1"/>
        <rFont val="Noto Sans SC"/>
        <family val="2"/>
        <charset val="134"/>
      </rPr>
      <t xml:space="preserve">讨论不同中奖线上图标被拓展的百搭覆盖的情况</t>
    </r>
  </si>
  <si>
    <t xml:space="preserve">得到下图，各中奖线上图标停留在卷轴上的实际事件数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</si>
  <si>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03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630384815-03.jpg</t>
    </r>
  </si>
  <si>
    <t xml:space="preserve">再考虑百搭图标对图标出现事件数的增加效果，得到各中奖线的图标出现事件数</t>
  </si>
  <si>
    <t xml:space="preserve">再使用该列总事件数减去图标停留在卷轴上的事件数，得到该列不出现该图标的事件数</t>
  </si>
  <si>
    <r>
      <rPr>
        <sz val="11"/>
        <color theme="1"/>
        <rFont val="Noto Sans SC"/>
        <family val="2"/>
        <charset val="134"/>
      </rPr>
      <t xml:space="preserve">结合上篇介绍单列存在拓展百搭机制的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数值模型搭建步骤不难发现，当各列均出现拓展百搭时，对计算造成的影响相对比较小</t>
    </r>
  </si>
  <si>
    <r>
      <rPr>
        <sz val="11"/>
        <color theme="1"/>
        <rFont val="Noto Sans SC"/>
        <family val="2"/>
        <charset val="134"/>
      </rPr>
      <t xml:space="preserve">使用处理单列</t>
    </r>
    <r>
      <rPr>
        <sz val="11"/>
        <color theme="1"/>
        <rFont val="Calibri"/>
        <family val="2"/>
        <charset val="1"/>
      </rPr>
      <t xml:space="preserve">Expanding Wild</t>
    </r>
    <r>
      <rPr>
        <sz val="11"/>
        <color theme="1"/>
        <rFont val="Noto Sans SC"/>
        <family val="2"/>
        <charset val="134"/>
      </rPr>
      <t xml:space="preserve">的方法处理多列即可</t>
    </r>
  </si>
  <si>
    <r>
      <rPr>
        <sz val="11"/>
        <color theme="1"/>
        <rFont val="Noto Sans SC"/>
        <family val="2"/>
        <charset val="134"/>
      </rPr>
      <t xml:space="preserve">这里需要注意，该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可以使用该方法进行简易处理是因为该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首列并不会出现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且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本身没有赔付倍数</t>
    </r>
  </si>
  <si>
    <r>
      <rPr>
        <sz val="11"/>
        <color theme="1"/>
        <rFont val="Noto Sans SC"/>
        <family val="2"/>
        <charset val="134"/>
      </rPr>
      <t xml:space="preserve">否则需要考虑当首列为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时的各种情况</t>
    </r>
  </si>
  <si>
    <r>
      <rPr>
        <sz val="11"/>
        <color theme="1"/>
        <rFont val="Noto Sans SC"/>
        <family val="2"/>
        <charset val="134"/>
      </rPr>
      <t xml:space="preserve">在得到了图标停留在卷轴上和不停留在卷轴上的事件数之后，即可利用</t>
    </r>
    <r>
      <rPr>
        <sz val="11"/>
        <color theme="1"/>
        <rFont val="Calibri"/>
        <family val="2"/>
        <charset val="1"/>
      </rPr>
      <t xml:space="preserve">VLOOKUP</t>
    </r>
    <r>
      <rPr>
        <sz val="11"/>
        <color theme="1"/>
        <rFont val="Noto Sans SC"/>
        <family val="2"/>
        <charset val="134"/>
      </rPr>
      <t xml:space="preserve">函数读取满足中奖组合的事件数并将其累乘</t>
    </r>
  </si>
  <si>
    <t xml:space="preserve">得到满足该中奖组合的事件数</t>
  </si>
  <si>
    <r>
      <rPr>
        <sz val="11"/>
        <color theme="1"/>
        <rFont val="Noto Sans SC"/>
        <family val="2"/>
        <charset val="134"/>
      </rPr>
      <t xml:space="preserve">最终再乘上各中奖组合的返奖倍数，即可得到该中奖线的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期望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</si>
  <si>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04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630384815-04.jpg</t>
    </r>
  </si>
  <si>
    <r>
      <rPr>
        <sz val="11"/>
        <color theme="1"/>
        <rFont val="Noto Sans SC"/>
        <family val="2"/>
        <charset val="134"/>
      </rPr>
      <t xml:space="preserve">因为该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的各中奖线中奖几率并没有差异，因此这里只需要将各中奖线的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取平均数，即可得到最终的</t>
    </r>
    <r>
      <rPr>
        <sz val="11"/>
        <color theme="1"/>
        <rFont val="Calibri"/>
        <family val="2"/>
        <charset val="1"/>
      </rPr>
      <t xml:space="preserve">RTP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</si>
  <si>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05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630384815-05.jpg</t>
    </r>
  </si>
  <si>
    <r>
      <rPr>
        <b val="true"/>
        <sz val="11"/>
        <rFont val="Noto Sans SC"/>
        <family val="2"/>
        <charset val="134"/>
      </rPr>
      <t xml:space="preserve">原文配图清单（共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SC"/>
        <family val="2"/>
        <charset val="134"/>
      </rPr>
      <t xml:space="preserve">张，已保存到 </t>
    </r>
    <r>
      <rPr>
        <b val="true"/>
        <sz val="11"/>
        <rFont val="Cambria"/>
        <family val="0"/>
        <charset val="1"/>
      </rPr>
      <t xml:space="preserve">images/slots/</t>
    </r>
    <r>
      <rPr>
        <b val="true"/>
        <sz val="11"/>
        <rFont val="Noto Sans SC"/>
        <family val="2"/>
        <charset val="134"/>
      </rPr>
      <t xml:space="preserve">）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</si>
  <si>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01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630384815-01.png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</si>
  <si>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02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630384815-02.jpg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</si>
  <si>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03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630384815-03.jpg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</si>
  <si>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04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630384815-04.jpg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</si>
  <si>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05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630384815-05.jpg</t>
    </r>
  </si>
  <si>
    <t xml:space="preserve">校验</t>
  </si>
  <si>
    <r>
      <rPr>
        <sz val="11"/>
        <color theme="1"/>
        <rFont val="Noto Sans SC"/>
        <family val="2"/>
        <charset val="134"/>
      </rPr>
      <t xml:space="preserve">① 本簿由 </t>
    </r>
    <r>
      <rPr>
        <sz val="11"/>
        <color theme="1"/>
        <rFont val="Calibri"/>
        <family val="2"/>
        <charset val="1"/>
      </rPr>
      <t xml:space="preserve">openpyxl </t>
    </r>
    <r>
      <rPr>
        <sz val="11"/>
        <color theme="1"/>
        <rFont val="Noto Sans SC"/>
        <family val="2"/>
        <charset val="134"/>
      </rPr>
      <t xml:space="preserve">生成并已开启打开时重算；② 另用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SC"/>
        <family val="2"/>
        <charset val="134"/>
      </rPr>
      <t xml:space="preserve">独立重算复核，公式错误值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SC"/>
        <family val="2"/>
        <charset val="134"/>
      </rPr>
      <t xml:space="preserve">个；</t>
    </r>
  </si>
  <si>
    <t xml:space="preserve">③ 正文与原文逐句一致（用户离线保存的网页原件），配图按正文出现顺序编号。</t>
  </si>
  <si>
    <t xml:space="preserve">说明</t>
  </si>
  <si>
    <t xml:space="preserve">本簿是原文的整理与配表实现，非原文替代品；原文未提供的数值一律标注来源，不臆造。</t>
  </si>
  <si>
    <r>
      <rPr>
        <sz val="11"/>
        <color theme="1"/>
        <rFont val="Noto Sans SC"/>
        <family val="2"/>
        <charset val="134"/>
      </rPr>
      <t xml:space="preserve">原文版权归作者 </t>
    </r>
    <r>
      <rPr>
        <sz val="11"/>
        <color theme="1"/>
        <rFont val="Calibri"/>
        <family val="2"/>
        <charset val="1"/>
      </rPr>
      <t xml:space="preserve">ASlot </t>
    </r>
    <r>
      <rPr>
        <sz val="11"/>
        <color theme="1"/>
        <rFont val="Noto Sans SC"/>
        <family val="2"/>
        <charset val="134"/>
      </rPr>
      <t xml:space="preserve">与知乎所有，本簿仅供个人学习整理使用。</t>
    </r>
  </si>
  <si>
    <r>
      <rPr>
        <sz val="11"/>
        <color rgb="FF808080"/>
        <rFont val="Cambria"/>
        <family val="0"/>
        <charset val="1"/>
      </rPr>
      <t xml:space="preserve">Source: zhihu.com</t>
    </r>
    <r>
      <rPr>
        <sz val="11"/>
        <color rgb="FF808080"/>
        <rFont val="Noto Sans SC"/>
        <family val="2"/>
        <charset val="134"/>
      </rPr>
      <t xml:space="preserve">《</t>
    </r>
    <r>
      <rPr>
        <sz val="11"/>
        <color rgb="FF808080"/>
        <rFont val="Cambria"/>
        <family val="0"/>
        <charset val="1"/>
      </rPr>
      <t xml:space="preserve">Slots</t>
    </r>
    <r>
      <rPr>
        <sz val="11"/>
        <color rgb="FF808080"/>
        <rFont val="Noto Sans SC"/>
        <family val="2"/>
        <charset val="134"/>
      </rPr>
      <t xml:space="preserve">数值篇——</t>
    </r>
    <r>
      <rPr>
        <sz val="11"/>
        <color rgb="FF808080"/>
        <rFont val="Cambria"/>
        <family val="0"/>
        <charset val="1"/>
      </rPr>
      <t xml:space="preserve">Expanding Wild(2)</t>
    </r>
    <r>
      <rPr>
        <sz val="11"/>
        <color rgb="FF808080"/>
        <rFont val="Noto Sans SC"/>
        <family val="2"/>
        <charset val="134"/>
      </rPr>
      <t xml:space="preserve">》</t>
    </r>
    <r>
      <rPr>
        <sz val="11"/>
        <color rgb="FF808080"/>
        <rFont val="Cambria"/>
        <family val="0"/>
        <charset val="1"/>
      </rPr>
      <t xml:space="preserve">, https://zhuanlan.zhihu.com/p/630384815</t>
    </r>
  </si>
  <si>
    <r>
      <rPr>
        <b val="true"/>
        <sz val="14"/>
        <color rgb="FF1F4E79"/>
        <rFont val="Noto Sans SC"/>
        <family val="2"/>
        <charset val="134"/>
      </rPr>
      <t xml:space="preserve">数值篇 </t>
    </r>
    <r>
      <rPr>
        <b val="true"/>
        <sz val="14"/>
        <color rgb="FF1F4E79"/>
        <rFont val="Cambria"/>
        <family val="0"/>
        <charset val="1"/>
      </rPr>
      <t xml:space="preserve">· Expanding Wild(2) —— </t>
    </r>
    <r>
      <rPr>
        <b val="true"/>
        <sz val="14"/>
        <color rgb="FF1F4E79"/>
        <rFont val="Noto Sans SC"/>
        <family val="2"/>
        <charset val="134"/>
      </rPr>
      <t xml:space="preserve">数据配表（蓝字＝可改 </t>
    </r>
    <r>
      <rPr>
        <b val="true"/>
        <sz val="14"/>
        <color rgb="FF1F4E79"/>
        <rFont val="Cambria"/>
        <family val="0"/>
        <charset val="1"/>
      </rPr>
      <t xml:space="preserve">/ </t>
    </r>
    <r>
      <rPr>
        <b val="true"/>
        <sz val="14"/>
        <color rgb="FF1F4E79"/>
        <rFont val="Noto Sans SC"/>
        <family val="2"/>
        <charset val="134"/>
      </rPr>
      <t xml:space="preserve">黑字＝公式 </t>
    </r>
    <r>
      <rPr>
        <b val="true"/>
        <sz val="14"/>
        <color rgb="FF1F4E79"/>
        <rFont val="Cambria"/>
        <family val="0"/>
        <charset val="1"/>
      </rPr>
      <t xml:space="preserve">/ </t>
    </r>
    <r>
      <rPr>
        <b val="true"/>
        <sz val="14"/>
        <color rgb="FF1F4E79"/>
        <rFont val="Noto Sans SC"/>
        <family val="2"/>
        <charset val="134"/>
      </rPr>
      <t xml:space="preserve">黄底＝结果）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</si>
  <si>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1</t>
    </r>
    <r>
      <rPr>
        <b val="true"/>
        <sz val="11"/>
        <color rgb="FF1F4E79"/>
        <rFont val="Noto Sans SC"/>
        <family val="2"/>
        <charset val="134"/>
      </rPr>
      <t xml:space="preserve">】基本参数</t>
    </r>
  </si>
  <si>
    <t xml:space="preserve">项目</t>
  </si>
  <si>
    <t xml:space="preserve">数值</t>
  </si>
  <si>
    <t xml:space="preserve">玩法</t>
  </si>
  <si>
    <r>
      <rPr>
        <sz val="11"/>
        <color rgb="FF0000FF"/>
        <rFont val="Cambria"/>
        <family val="0"/>
        <charset val="1"/>
      </rPr>
      <t xml:space="preserve">3*5 Line Slots</t>
    </r>
    <r>
      <rPr>
        <sz val="11"/>
        <color rgb="FF0000FF"/>
        <rFont val="Noto Sans SC"/>
        <family val="2"/>
        <charset val="134"/>
      </rPr>
      <t xml:space="preserve">（</t>
    </r>
    <r>
      <rPr>
        <sz val="11"/>
        <color rgb="FF0000FF"/>
        <rFont val="Cambria"/>
        <family val="0"/>
        <charset val="1"/>
      </rPr>
      <t xml:space="preserve">2~5 </t>
    </r>
    <r>
      <rPr>
        <sz val="11"/>
        <color rgb="FF0000FF"/>
        <rFont val="Noto Sans SC"/>
        <family val="2"/>
        <charset val="134"/>
      </rPr>
      <t xml:space="preserve">列均有 </t>
    </r>
    <r>
      <rPr>
        <sz val="11"/>
        <color rgb="FF0000FF"/>
        <rFont val="Cambria"/>
        <family val="0"/>
        <charset val="1"/>
      </rPr>
      <t xml:space="preserve">Expanding Wild</t>
    </r>
    <r>
      <rPr>
        <sz val="11"/>
        <color rgb="FF0000FF"/>
        <rFont val="Noto Sans SC"/>
        <family val="2"/>
        <charset val="134"/>
      </rPr>
      <t xml:space="preserve">）</t>
    </r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</si>
  <si>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SC"/>
        <family val="2"/>
        <charset val="134"/>
      </rPr>
      <t xml:space="preserve">个标准图标 ＋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  <charset val="134"/>
      </rPr>
      <t xml:space="preserve">个百搭</t>
    </r>
  </si>
  <si>
    <t xml:space="preserve">卷轴列数</t>
  </si>
  <si>
    <t xml:space="preserve">窗口行数（＝每列格数）</t>
  </si>
  <si>
    <r>
      <rPr>
        <sz val="11"/>
        <color theme="1"/>
        <rFont val="Noto Sans SC"/>
        <family val="2"/>
        <charset val="134"/>
      </rPr>
      <t xml:space="preserve">百搭事件数 ＝ 该列 </t>
    </r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个数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行数</t>
    </r>
  </si>
  <si>
    <t xml:space="preserve">每列停位数</t>
  </si>
  <si>
    <r>
      <rPr>
        <sz val="11"/>
        <color theme="1"/>
        <rFont val="Noto Sans SC"/>
        <family val="2"/>
        <charset val="134"/>
      </rPr>
      <t xml:space="preserve">固定卷轴，每列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SC"/>
        <family val="2"/>
        <charset val="134"/>
      </rPr>
      <t xml:space="preserve">停</t>
    </r>
  </si>
  <si>
    <t xml:space="preserve">总事件数</t>
  </si>
  <si>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15⁵ </t>
    </r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759,375</t>
    </r>
  </si>
  <si>
    <t xml:space="preserve">中奖线</t>
  </si>
  <si>
    <t xml:space="preserve">A1~A5 / B1~B5 / C1~C5</t>
  </si>
  <si>
    <r>
      <rPr>
        <sz val="11"/>
        <color theme="1"/>
        <rFont val="Noto Sans SC"/>
        <family val="2"/>
        <charset val="134"/>
      </rPr>
      <t xml:space="preserve">第一行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SC"/>
        <family val="2"/>
        <charset val="134"/>
      </rPr>
      <t xml:space="preserve">第二行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SC"/>
        <family val="2"/>
        <charset val="134"/>
      </rPr>
      <t xml:space="preserve">第三行</t>
    </r>
  </si>
  <si>
    <t xml:space="preserve">拓展范围</t>
  </si>
  <si>
    <r>
      <rPr>
        <sz val="11"/>
        <color rgb="FF0000FF"/>
        <rFont val="Noto Sans SC"/>
        <family val="2"/>
        <charset val="134"/>
      </rPr>
      <t xml:space="preserve">第 </t>
    </r>
    <r>
      <rPr>
        <sz val="11"/>
        <color rgb="FF0000FF"/>
        <rFont val="Cambria"/>
        <family val="0"/>
        <charset val="1"/>
      </rPr>
      <t xml:space="preserve">2~5 </t>
    </r>
    <r>
      <rPr>
        <sz val="11"/>
        <color rgb="FF0000FF"/>
        <rFont val="Noto Sans SC"/>
        <family val="2"/>
        <charset val="134"/>
      </rPr>
      <t xml:space="preserve">列均有 </t>
    </r>
    <r>
      <rPr>
        <sz val="11"/>
        <color rgb="FF0000FF"/>
        <rFont val="Cambria"/>
        <family val="0"/>
        <charset val="1"/>
      </rPr>
      <t xml:space="preserve">Expanding Wild</t>
    </r>
  </si>
  <si>
    <r>
      <rPr>
        <sz val="11"/>
        <color theme="1"/>
        <rFont val="Noto Sans SC"/>
        <family val="2"/>
        <charset val="134"/>
      </rPr>
      <t xml:space="preserve">首列不出现 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（原文前提）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</si>
  <si>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2</t>
    </r>
    <r>
      <rPr>
        <b val="true"/>
        <sz val="11"/>
        <color rgb="FF1F4E79"/>
        <rFont val="Noto Sans SC"/>
        <family val="2"/>
        <charset val="134"/>
      </rPr>
      <t xml:space="preserve">】固定卷轴排列（</t>
    </r>
    <r>
      <rPr>
        <b val="true"/>
        <sz val="11"/>
        <color rgb="FF1F4E79"/>
        <rFont val="Cambria"/>
        <family val="0"/>
        <charset val="1"/>
      </rPr>
      <t xml:space="preserve">15 </t>
    </r>
    <r>
      <rPr>
        <b val="true"/>
        <sz val="11"/>
        <color rgb="FF1F4E79"/>
        <rFont val="Noto Sans SC"/>
        <family val="2"/>
        <charset val="134"/>
      </rPr>
      <t xml:space="preserve">停 </t>
    </r>
    <r>
      <rPr>
        <b val="true"/>
        <sz val="11"/>
        <color rgb="FF1F4E79"/>
        <rFont val="Cambria"/>
        <family val="0"/>
        <charset val="1"/>
      </rPr>
      <t xml:space="preserve">× 5 </t>
    </r>
    <r>
      <rPr>
        <b val="true"/>
        <sz val="11"/>
        <color rgb="FF1F4E79"/>
        <rFont val="Noto Sans SC"/>
        <family val="2"/>
        <charset val="134"/>
      </rPr>
      <t xml:space="preserve">列，按原文配图转录；第 </t>
    </r>
    <r>
      <rPr>
        <b val="true"/>
        <sz val="11"/>
        <color rgb="FF1F4E79"/>
        <rFont val="Cambria"/>
        <family val="0"/>
        <charset val="1"/>
      </rPr>
      <t xml:space="preserve">2~5 </t>
    </r>
    <r>
      <rPr>
        <b val="true"/>
        <sz val="11"/>
        <color rgb="FF1F4E79"/>
        <rFont val="Noto Sans SC"/>
        <family val="2"/>
        <charset val="134"/>
      </rPr>
      <t xml:space="preserve">列各有 </t>
    </r>
    <r>
      <rPr>
        <b val="true"/>
        <sz val="11"/>
        <color rgb="FF1F4E79"/>
        <rFont val="Cambria"/>
        <family val="0"/>
        <charset val="1"/>
      </rPr>
      <t xml:space="preserve">2 </t>
    </r>
    <r>
      <rPr>
        <b val="true"/>
        <sz val="11"/>
        <color rgb="FF1F4E79"/>
        <rFont val="Noto Sans SC"/>
        <family val="2"/>
        <charset val="134"/>
      </rPr>
      <t xml:space="preserve">个 </t>
    </r>
    <r>
      <rPr>
        <b val="true"/>
        <sz val="11"/>
        <color rgb="FF1F4E79"/>
        <rFont val="Cambria"/>
        <family val="0"/>
        <charset val="1"/>
      </rPr>
      <t xml:space="preserve">Wild</t>
    </r>
    <r>
      <rPr>
        <b val="true"/>
        <sz val="11"/>
        <color rgb="FF1F4E79"/>
        <rFont val="Noto Sans SC"/>
        <family val="2"/>
        <charset val="134"/>
      </rPr>
      <t xml:space="preserve">）</t>
    </r>
  </si>
  <si>
    <t xml:space="preserve">停位</t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</si>
  <si>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1</t>
    </r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</si>
  <si>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2</t>
    </r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</si>
  <si>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3</t>
    </r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</si>
  <si>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4</t>
    </r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</si>
  <si>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5</t>
    </r>
  </si>
  <si>
    <t xml:space="preserve">9</t>
  </si>
  <si>
    <t xml:space="preserve">Wild</t>
  </si>
  <si>
    <t xml:space="preserve">10</t>
  </si>
  <si>
    <t xml:space="preserve">J</t>
  </si>
  <si>
    <t xml:space="preserve">Q</t>
  </si>
  <si>
    <t xml:space="preserve">K</t>
  </si>
  <si>
    <t xml:space="preserve">每列格数</t>
  </si>
  <si>
    <r>
      <rPr>
        <sz val="11"/>
        <color theme="1"/>
        <rFont val="Noto Sans SC"/>
        <family val="2"/>
        <charset val="134"/>
      </rPr>
      <t xml:space="preserve">每列应＝ </t>
    </r>
    <r>
      <rPr>
        <sz val="11"/>
        <color theme="1"/>
        <rFont val="Calibri"/>
        <family val="2"/>
        <charset val="1"/>
      </rPr>
      <t xml:space="preserve">15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</si>
  <si>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3</t>
    </r>
    <r>
      <rPr>
        <b val="true"/>
        <sz val="11"/>
        <color rgb="FF1F4E79"/>
        <rFont val="Noto Sans SC"/>
        <family val="2"/>
        <charset val="134"/>
      </rPr>
      <t xml:space="preserve">】基础图标个数（</t>
    </r>
    <r>
      <rPr>
        <b val="true"/>
        <sz val="11"/>
        <color rgb="FF1F4E79"/>
        <rFont val="Cambria"/>
        <family val="0"/>
        <charset val="1"/>
      </rPr>
      <t xml:space="preserve">COUNTIF </t>
    </r>
    <r>
      <rPr>
        <b val="true"/>
        <sz val="11"/>
        <color rgb="FF1F4E79"/>
        <rFont val="Noto Sans SC"/>
        <family val="2"/>
        <charset val="134"/>
      </rPr>
      <t xml:space="preserve">读取，原文表格）</t>
    </r>
  </si>
  <si>
    <t xml:space="preserve">图标</t>
  </si>
  <si>
    <t xml:space="preserve">合计</t>
  </si>
  <si>
    <r>
      <rPr>
        <sz val="11"/>
        <color theme="1"/>
        <rFont val="Noto Sans SC"/>
        <family val="2"/>
        <charset val="134"/>
      </rPr>
      <t xml:space="preserve">第 </t>
    </r>
    <r>
      <rPr>
        <sz val="11"/>
        <color theme="1"/>
        <rFont val="Calibri"/>
        <family val="2"/>
        <charset val="1"/>
      </rPr>
      <t xml:space="preserve">2~5 </t>
    </r>
    <r>
      <rPr>
        <sz val="11"/>
        <color theme="1"/>
        <rFont val="Noto Sans SC"/>
        <family val="2"/>
        <charset val="134"/>
      </rPr>
      <t xml:space="preserve">列因含 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，</t>
    </r>
    <r>
      <rPr>
        <sz val="11"/>
        <color theme="1"/>
        <rFont val="Calibri"/>
        <family val="2"/>
        <charset val="1"/>
      </rPr>
      <t xml:space="preserve">9/Q </t>
    </r>
    <r>
      <rPr>
        <sz val="11"/>
        <color theme="1"/>
        <rFont val="Noto Sans SC"/>
        <family val="2"/>
        <charset val="134"/>
      </rPr>
      <t xml:space="preserve">各少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  <charset val="134"/>
      </rPr>
      <t xml:space="preserve">个</t>
    </r>
  </si>
  <si>
    <r>
      <rPr>
        <sz val="11"/>
        <color theme="1"/>
        <rFont val="Noto Sans SC"/>
        <family val="2"/>
        <charset val="134"/>
      </rPr>
      <t xml:space="preserve">首列无百搭，第 </t>
    </r>
    <r>
      <rPr>
        <sz val="11"/>
        <color theme="1"/>
        <rFont val="Calibri"/>
        <family val="2"/>
        <charset val="1"/>
      </rPr>
      <t xml:space="preserve">2~5 </t>
    </r>
    <r>
      <rPr>
        <sz val="11"/>
        <color theme="1"/>
        <rFont val="Noto Sans SC"/>
        <family val="2"/>
        <charset val="134"/>
      </rPr>
      <t xml:space="preserve">列各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个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</si>
  <si>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4</t>
    </r>
    <r>
      <rPr>
        <b val="true"/>
        <sz val="11"/>
        <color rgb="FF1F4E79"/>
        <rFont val="Noto Sans SC"/>
        <family val="2"/>
        <charset val="134"/>
      </rPr>
      <t xml:space="preserve">】各中奖线「被覆盖后的图标个数」（原文配图转录）＋ 百搭事件数</t>
    </r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</si>
  <si>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1 </t>
    </r>
    <r>
      <rPr>
        <b val="true"/>
        <sz val="11"/>
        <color rgb="FF1F4E79"/>
        <rFont val="Noto Sans SC"/>
        <family val="2"/>
        <charset val="134"/>
      </rPr>
      <t xml:space="preserve">覆盖后</t>
    </r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</si>
  <si>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2 </t>
    </r>
    <r>
      <rPr>
        <b val="true"/>
        <sz val="11"/>
        <color rgb="FF1F4E79"/>
        <rFont val="Noto Sans SC"/>
        <family val="2"/>
        <charset val="134"/>
      </rPr>
      <t xml:space="preserve">覆盖后</t>
    </r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</si>
  <si>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3 </t>
    </r>
    <r>
      <rPr>
        <b val="true"/>
        <sz val="11"/>
        <color rgb="FF1F4E79"/>
        <rFont val="Noto Sans SC"/>
        <family val="2"/>
        <charset val="134"/>
      </rPr>
      <t xml:space="preserve">覆盖后</t>
    </r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</si>
  <si>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4 </t>
    </r>
    <r>
      <rPr>
        <b val="true"/>
        <sz val="11"/>
        <color rgb="FF1F4E79"/>
        <rFont val="Noto Sans SC"/>
        <family val="2"/>
        <charset val="134"/>
      </rPr>
      <t xml:space="preserve">覆盖后</t>
    </r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</si>
  <si>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5 </t>
    </r>
    <r>
      <rPr>
        <b val="true"/>
        <sz val="11"/>
        <color rgb="FF1F4E79"/>
        <rFont val="Noto Sans SC"/>
        <family val="2"/>
        <charset val="134"/>
      </rPr>
      <t xml:space="preserve">覆盖后</t>
    </r>
  </si>
  <si>
    <r>
      <rPr>
        <sz val="11"/>
        <color theme="1"/>
        <rFont val="Noto Sans SC"/>
        <family val="2"/>
        <charset val="134"/>
      </rPr>
      <t xml:space="preserve">百搭事件数（该列 </t>
    </r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个数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行数）</t>
    </r>
  </si>
  <si>
    <r>
      <rPr>
        <sz val="11"/>
        <color theme="1"/>
        <rFont val="Noto Sans SC"/>
        <family val="2"/>
        <charset val="134"/>
      </rPr>
      <t xml:space="preserve">第 </t>
    </r>
    <r>
      <rPr>
        <sz val="11"/>
        <color theme="1"/>
        <rFont val="Calibri"/>
        <family val="2"/>
        <charset val="1"/>
      </rPr>
      <t xml:space="preserve">2~5 </t>
    </r>
    <r>
      <rPr>
        <sz val="11"/>
        <color theme="1"/>
        <rFont val="Noto Sans SC"/>
        <family val="2"/>
        <charset val="134"/>
      </rPr>
      <t xml:space="preserve">列：</t>
    </r>
    <r>
      <rPr>
        <sz val="11"/>
        <color theme="1"/>
        <rFont val="Calibri"/>
        <family val="2"/>
        <charset val="1"/>
      </rPr>
      <t xml:space="preserve">2 × 3 </t>
    </r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SC"/>
        <family val="2"/>
        <charset val="134"/>
      </rPr>
      <t xml:space="preserve">；首列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SC"/>
        <family val="2"/>
        <charset val="134"/>
      </rPr>
      <t xml:space="preserve">（第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  <charset val="134"/>
      </rPr>
      <t xml:space="preserve">格＝列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SC"/>
        <family val="2"/>
        <charset val="134"/>
      </rPr>
      <t xml:space="preserve">）</t>
    </r>
  </si>
  <si>
    <t xml:space="preserve">A</t>
  </si>
  <si>
    <r>
      <rPr>
        <sz val="11"/>
        <color theme="1"/>
        <rFont val="Noto Sans SC"/>
        <family val="2"/>
        <charset val="134"/>
      </rPr>
      <t xml:space="preserve">中奖线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SC"/>
        <family val="2"/>
        <charset val="134"/>
      </rPr>
      <t xml:space="preserve">上「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SC"/>
        <family val="2"/>
        <charset val="134"/>
      </rPr>
      <t xml:space="preserve">」被拓展覆盖后的个数</t>
    </r>
  </si>
  <si>
    <r>
      <rPr>
        <sz val="11"/>
        <color theme="1"/>
        <rFont val="Noto Sans SC"/>
        <family val="2"/>
        <charset val="134"/>
      </rPr>
      <t xml:space="preserve">中奖线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SC"/>
        <family val="2"/>
        <charset val="134"/>
      </rPr>
      <t xml:space="preserve">上「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SC"/>
        <family val="2"/>
        <charset val="134"/>
      </rPr>
      <t xml:space="preserve">」被拓展覆盖后的个数</t>
    </r>
  </si>
  <si>
    <r>
      <rPr>
        <sz val="11"/>
        <color theme="1"/>
        <rFont val="Noto Sans SC"/>
        <family val="2"/>
        <charset val="134"/>
      </rPr>
      <t xml:space="preserve">中奖线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SC"/>
        <family val="2"/>
        <charset val="134"/>
      </rPr>
      <t xml:space="preserve">上「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SC"/>
        <family val="2"/>
        <charset val="134"/>
      </rPr>
      <t xml:space="preserve">」被拓展覆盖后的个数</t>
    </r>
  </si>
  <si>
    <r>
      <rPr>
        <sz val="11"/>
        <color theme="1"/>
        <rFont val="Noto Sans SC"/>
        <family val="2"/>
        <charset val="134"/>
      </rPr>
      <t xml:space="preserve">中奖线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SC"/>
        <family val="2"/>
        <charset val="134"/>
      </rPr>
      <t xml:space="preserve">上「</t>
    </r>
    <r>
      <rPr>
        <sz val="11"/>
        <color theme="1"/>
        <rFont val="Calibri"/>
        <family val="2"/>
        <charset val="1"/>
      </rPr>
      <t xml:space="preserve">Q</t>
    </r>
    <r>
      <rPr>
        <sz val="11"/>
        <color theme="1"/>
        <rFont val="Noto Sans SC"/>
        <family val="2"/>
        <charset val="134"/>
      </rPr>
      <t xml:space="preserve">」被拓展覆盖后的个数</t>
    </r>
  </si>
  <si>
    <r>
      <rPr>
        <sz val="11"/>
        <color theme="1"/>
        <rFont val="Noto Sans SC"/>
        <family val="2"/>
        <charset val="134"/>
      </rPr>
      <t xml:space="preserve">中奖线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SC"/>
        <family val="2"/>
        <charset val="134"/>
      </rPr>
      <t xml:space="preserve">上「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SC"/>
        <family val="2"/>
        <charset val="134"/>
      </rPr>
      <t xml:space="preserve">」被拓展覆盖后的个数</t>
    </r>
  </si>
  <si>
    <t xml:space="preserve">B</t>
  </si>
  <si>
    <r>
      <rPr>
        <sz val="11"/>
        <color theme="1"/>
        <rFont val="Noto Sans SC"/>
        <family val="2"/>
        <charset val="134"/>
      </rPr>
      <t xml:space="preserve">中奖线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SC"/>
        <family val="2"/>
        <charset val="134"/>
      </rPr>
      <t xml:space="preserve">上「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SC"/>
        <family val="2"/>
        <charset val="134"/>
      </rPr>
      <t xml:space="preserve">」被拓展覆盖后的个数</t>
    </r>
  </si>
  <si>
    <r>
      <rPr>
        <sz val="11"/>
        <color theme="1"/>
        <rFont val="Noto Sans SC"/>
        <family val="2"/>
        <charset val="134"/>
      </rPr>
      <t xml:space="preserve">中奖线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SC"/>
        <family val="2"/>
        <charset val="134"/>
      </rPr>
      <t xml:space="preserve">上「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SC"/>
        <family val="2"/>
        <charset val="134"/>
      </rPr>
      <t xml:space="preserve">」被拓展覆盖后的个数</t>
    </r>
  </si>
  <si>
    <r>
      <rPr>
        <sz val="11"/>
        <color theme="1"/>
        <rFont val="Noto Sans SC"/>
        <family val="2"/>
        <charset val="134"/>
      </rPr>
      <t xml:space="preserve">中奖线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SC"/>
        <family val="2"/>
        <charset val="134"/>
      </rPr>
      <t xml:space="preserve">上「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SC"/>
        <family val="2"/>
        <charset val="134"/>
      </rPr>
      <t xml:space="preserve">」被拓展覆盖后的个数</t>
    </r>
  </si>
  <si>
    <r>
      <rPr>
        <sz val="11"/>
        <color theme="1"/>
        <rFont val="Noto Sans SC"/>
        <family val="2"/>
        <charset val="134"/>
      </rPr>
      <t xml:space="preserve">中奖线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SC"/>
        <family val="2"/>
        <charset val="134"/>
      </rPr>
      <t xml:space="preserve">上「</t>
    </r>
    <r>
      <rPr>
        <sz val="11"/>
        <color theme="1"/>
        <rFont val="Calibri"/>
        <family val="2"/>
        <charset val="1"/>
      </rPr>
      <t xml:space="preserve">Q</t>
    </r>
    <r>
      <rPr>
        <sz val="11"/>
        <color theme="1"/>
        <rFont val="Noto Sans SC"/>
        <family val="2"/>
        <charset val="134"/>
      </rPr>
      <t xml:space="preserve">」被拓展覆盖后的个数</t>
    </r>
  </si>
  <si>
    <r>
      <rPr>
        <sz val="11"/>
        <color theme="1"/>
        <rFont val="Noto Sans SC"/>
        <family val="2"/>
        <charset val="134"/>
      </rPr>
      <t xml:space="preserve">中奖线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SC"/>
        <family val="2"/>
        <charset val="134"/>
      </rPr>
      <t xml:space="preserve">上「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SC"/>
        <family val="2"/>
        <charset val="134"/>
      </rPr>
      <t xml:space="preserve">」被拓展覆盖后的个数</t>
    </r>
  </si>
  <si>
    <t xml:space="preserve">C</t>
  </si>
  <si>
    <r>
      <rPr>
        <sz val="11"/>
        <color theme="1"/>
        <rFont val="Noto Sans SC"/>
        <family val="2"/>
        <charset val="134"/>
      </rPr>
      <t xml:space="preserve">中奖线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SC"/>
        <family val="2"/>
        <charset val="134"/>
      </rPr>
      <t xml:space="preserve">上「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SC"/>
        <family val="2"/>
        <charset val="134"/>
      </rPr>
      <t xml:space="preserve">」被拓展覆盖后的个数</t>
    </r>
  </si>
  <si>
    <r>
      <rPr>
        <sz val="11"/>
        <color theme="1"/>
        <rFont val="Noto Sans SC"/>
        <family val="2"/>
        <charset val="134"/>
      </rPr>
      <t xml:space="preserve">中奖线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SC"/>
        <family val="2"/>
        <charset val="134"/>
      </rPr>
      <t xml:space="preserve">上「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SC"/>
        <family val="2"/>
        <charset val="134"/>
      </rPr>
      <t xml:space="preserve">」被拓展覆盖后的个数</t>
    </r>
  </si>
  <si>
    <r>
      <rPr>
        <sz val="11"/>
        <color theme="1"/>
        <rFont val="Noto Sans SC"/>
        <family val="2"/>
        <charset val="134"/>
      </rPr>
      <t xml:space="preserve">中奖线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SC"/>
        <family val="2"/>
        <charset val="134"/>
      </rPr>
      <t xml:space="preserve">上「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SC"/>
        <family val="2"/>
        <charset val="134"/>
      </rPr>
      <t xml:space="preserve">」被拓展覆盖后的个数</t>
    </r>
  </si>
  <si>
    <r>
      <rPr>
        <sz val="11"/>
        <color theme="1"/>
        <rFont val="Noto Sans SC"/>
        <family val="2"/>
        <charset val="134"/>
      </rPr>
      <t xml:space="preserve">中奖线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SC"/>
        <family val="2"/>
        <charset val="134"/>
      </rPr>
      <t xml:space="preserve">上「</t>
    </r>
    <r>
      <rPr>
        <sz val="11"/>
        <color theme="1"/>
        <rFont val="Calibri"/>
        <family val="2"/>
        <charset val="1"/>
      </rPr>
      <t xml:space="preserve">Q</t>
    </r>
    <r>
      <rPr>
        <sz val="11"/>
        <color theme="1"/>
        <rFont val="Noto Sans SC"/>
        <family val="2"/>
        <charset val="134"/>
      </rPr>
      <t xml:space="preserve">」被拓展覆盖后的个数</t>
    </r>
  </si>
  <si>
    <r>
      <rPr>
        <sz val="11"/>
        <color theme="1"/>
        <rFont val="Noto Sans SC"/>
        <family val="2"/>
        <charset val="134"/>
      </rPr>
      <t xml:space="preserve">中奖线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SC"/>
        <family val="2"/>
        <charset val="134"/>
      </rPr>
      <t xml:space="preserve">上「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SC"/>
        <family val="2"/>
        <charset val="134"/>
      </rPr>
      <t xml:space="preserve">」被拓展覆盖后的个数</t>
    </r>
  </si>
  <si>
    <r>
      <rPr>
        <sz val="11"/>
        <color rgb="FF808080"/>
        <rFont val="Noto Sans SC"/>
        <family val="2"/>
        <charset val="134"/>
      </rPr>
      <t xml:space="preserve">与单列情形同理：越靠上的中奖线，被上方拓展覆盖得越多（</t>
    </r>
    <r>
      <rPr>
        <sz val="11"/>
        <color rgb="FF808080"/>
        <rFont val="Cambria"/>
        <family val="0"/>
        <charset val="1"/>
      </rPr>
      <t xml:space="preserve">A </t>
    </r>
    <r>
      <rPr>
        <sz val="11"/>
        <color rgb="FF808080"/>
        <rFont val="Noto Sans SC"/>
        <family val="2"/>
        <charset val="134"/>
      </rPr>
      <t xml:space="preserve">线 </t>
    </r>
    <r>
      <rPr>
        <sz val="11"/>
        <color rgb="FF808080"/>
        <rFont val="Cambria"/>
        <family val="0"/>
        <charset val="1"/>
      </rPr>
      <t xml:space="preserve">9/Q </t>
    </r>
    <r>
      <rPr>
        <sz val="11"/>
        <color rgb="FF808080"/>
        <rFont val="Noto Sans SC"/>
        <family val="2"/>
        <charset val="134"/>
      </rPr>
      <t xml:space="preserve">被整列覆盖、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SC"/>
        <family val="2"/>
        <charset val="134"/>
      </rPr>
      <t xml:space="preserve">线覆盖最轻）。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</si>
  <si>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5.1</t>
    </r>
    <r>
      <rPr>
        <b val="true"/>
        <sz val="11"/>
        <color rgb="FF1F4E79"/>
        <rFont val="Noto Sans SC"/>
        <family val="2"/>
        <charset val="134"/>
      </rPr>
      <t xml:space="preserve">】中奖线 </t>
    </r>
    <r>
      <rPr>
        <b val="true"/>
        <sz val="11"/>
        <color rgb="FF1F4E79"/>
        <rFont val="Cambria"/>
        <family val="0"/>
        <charset val="1"/>
      </rPr>
      <t xml:space="preserve">A </t>
    </r>
    <r>
      <rPr>
        <b val="true"/>
        <sz val="11"/>
        <color rgb="FF1F4E79"/>
        <rFont val="Noto Sans SC"/>
        <family val="2"/>
        <charset val="134"/>
      </rPr>
      <t xml:space="preserve">的 </t>
    </r>
    <r>
      <rPr>
        <b val="true"/>
        <sz val="11"/>
        <color rgb="FF1F4E79"/>
        <rFont val="Cambria"/>
        <family val="0"/>
        <charset val="1"/>
      </rPr>
      <t xml:space="preserve">RTP</t>
    </r>
    <r>
      <rPr>
        <b val="true"/>
        <sz val="11"/>
        <color rgb="FF1F4E79"/>
        <rFont val="Noto Sans SC"/>
        <family val="2"/>
        <charset val="134"/>
      </rPr>
      <t xml:space="preserve">（逐线计算；覆盖后个数 ＋ 该列百搭事件数）</t>
    </r>
  </si>
  <si>
    <r>
      <rPr>
        <b val="true"/>
        <sz val="11"/>
        <color rgb="FF1F4E79"/>
        <rFont val="Cambria"/>
        <family val="0"/>
        <charset val="1"/>
      </rPr>
      <t xml:space="preserve">3</t>
    </r>
    <r>
      <rPr>
        <b val="true"/>
        <sz val="11"/>
        <color rgb="FF1F4E79"/>
        <rFont val="Noto Sans SC"/>
        <family val="2"/>
        <charset val="134"/>
      </rPr>
      <t xml:space="preserve">连 事件数</t>
    </r>
  </si>
  <si>
    <r>
      <rPr>
        <b val="true"/>
        <sz val="11"/>
        <color rgb="FF1F4E79"/>
        <rFont val="Cambria"/>
        <family val="0"/>
        <charset val="1"/>
      </rPr>
      <t xml:space="preserve">4</t>
    </r>
    <r>
      <rPr>
        <b val="true"/>
        <sz val="11"/>
        <color rgb="FF1F4E79"/>
        <rFont val="Noto Sans SC"/>
        <family val="2"/>
        <charset val="134"/>
      </rPr>
      <t xml:space="preserve">连 事件数</t>
    </r>
  </si>
  <si>
    <r>
      <rPr>
        <b val="true"/>
        <sz val="11"/>
        <color rgb="FF1F4E79"/>
        <rFont val="Cambria"/>
        <family val="0"/>
        <charset val="1"/>
      </rPr>
      <t xml:space="preserve">5</t>
    </r>
    <r>
      <rPr>
        <b val="true"/>
        <sz val="11"/>
        <color rgb="FF1F4E79"/>
        <rFont val="Noto Sans SC"/>
        <family val="2"/>
        <charset val="134"/>
      </rPr>
      <t xml:space="preserve">连 事件数</t>
    </r>
  </si>
  <si>
    <r>
      <rPr>
        <b val="true"/>
        <sz val="11"/>
        <color rgb="FF1F4E79"/>
        <rFont val="Cambria"/>
        <family val="0"/>
        <charset val="1"/>
      </rPr>
      <t xml:space="preserve">3</t>
    </r>
    <r>
      <rPr>
        <b val="true"/>
        <sz val="11"/>
        <color rgb="FF1F4E79"/>
        <rFont val="Noto Sans SC"/>
        <family val="2"/>
        <charset val="134"/>
      </rPr>
      <t xml:space="preserve">连 赔付</t>
    </r>
  </si>
  <si>
    <r>
      <rPr>
        <b val="true"/>
        <sz val="11"/>
        <color rgb="FF1F4E79"/>
        <rFont val="Cambria"/>
        <family val="0"/>
        <charset val="1"/>
      </rPr>
      <t xml:space="preserve">4</t>
    </r>
    <r>
      <rPr>
        <b val="true"/>
        <sz val="11"/>
        <color rgb="FF1F4E79"/>
        <rFont val="Noto Sans SC"/>
        <family val="2"/>
        <charset val="134"/>
      </rPr>
      <t xml:space="preserve">连 赔付</t>
    </r>
  </si>
  <si>
    <r>
      <rPr>
        <b val="true"/>
        <sz val="11"/>
        <color rgb="FF1F4E79"/>
        <rFont val="Cambria"/>
        <family val="0"/>
        <charset val="1"/>
      </rPr>
      <t xml:space="preserve">5</t>
    </r>
    <r>
      <rPr>
        <b val="true"/>
        <sz val="11"/>
        <color rgb="FF1F4E79"/>
        <rFont val="Noto Sans SC"/>
        <family val="2"/>
        <charset val="134"/>
      </rPr>
      <t xml:space="preserve">连 赔付</t>
    </r>
  </si>
  <si>
    <r>
      <rPr>
        <b val="true"/>
        <sz val="11"/>
        <color rgb="FF1F4E79"/>
        <rFont val="Cambria"/>
        <family val="0"/>
        <charset val="1"/>
      </rPr>
      <t xml:space="preserve">3</t>
    </r>
    <r>
      <rPr>
        <b val="true"/>
        <sz val="11"/>
        <color rgb="FF1F4E79"/>
        <rFont val="Noto Sans SC"/>
        <family val="2"/>
        <charset val="134"/>
      </rPr>
      <t xml:space="preserve">连 期望</t>
    </r>
  </si>
  <si>
    <r>
      <rPr>
        <b val="true"/>
        <sz val="11"/>
        <color rgb="FF1F4E79"/>
        <rFont val="Cambria"/>
        <family val="0"/>
        <charset val="1"/>
      </rPr>
      <t xml:space="preserve">4</t>
    </r>
    <r>
      <rPr>
        <b val="true"/>
        <sz val="11"/>
        <color rgb="FF1F4E79"/>
        <rFont val="Noto Sans SC"/>
        <family val="2"/>
        <charset val="134"/>
      </rPr>
      <t xml:space="preserve">连 期望</t>
    </r>
  </si>
  <si>
    <r>
      <rPr>
        <b val="true"/>
        <sz val="11"/>
        <color rgb="FF1F4E79"/>
        <rFont val="Cambria"/>
        <family val="0"/>
        <charset val="1"/>
      </rPr>
      <t xml:space="preserve">5</t>
    </r>
    <r>
      <rPr>
        <b val="true"/>
        <sz val="11"/>
        <color rgb="FF1F4E79"/>
        <rFont val="Noto Sans SC"/>
        <family val="2"/>
        <charset val="134"/>
      </rPr>
      <t xml:space="preserve">连 期望</t>
    </r>
  </si>
  <si>
    <r>
      <rPr>
        <b val="true"/>
        <sz val="11"/>
        <color rgb="FF1F4E79"/>
        <rFont val="Noto Sans SC"/>
        <family val="2"/>
        <charset val="134"/>
      </rPr>
      <t xml:space="preserve">本线 </t>
    </r>
    <r>
      <rPr>
        <b val="true"/>
        <sz val="11"/>
        <color rgb="FF1F4E79"/>
        <rFont val="Cambria"/>
        <family val="0"/>
        <charset val="1"/>
      </rPr>
      <t xml:space="preserve">RTP</t>
    </r>
  </si>
  <si>
    <r>
      <rPr>
        <b val="true"/>
        <sz val="11"/>
        <rFont val="Noto Sans SC"/>
        <family val="2"/>
        <charset val="134"/>
      </rPr>
      <t xml:space="preserve">中奖线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SC"/>
        <family val="2"/>
        <charset val="134"/>
      </rPr>
      <t xml:space="preserve">的 </t>
    </r>
    <r>
      <rPr>
        <b val="true"/>
        <sz val="11"/>
        <rFont val="Cambria"/>
        <family val="0"/>
        <charset val="1"/>
      </rPr>
      <t xml:space="preserve">RTP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</si>
  <si>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5.2</t>
    </r>
    <r>
      <rPr>
        <b val="true"/>
        <sz val="11"/>
        <color rgb="FF1F4E79"/>
        <rFont val="Noto Sans SC"/>
        <family val="2"/>
        <charset val="134"/>
      </rPr>
      <t xml:space="preserve">】中奖线 </t>
    </r>
    <r>
      <rPr>
        <b val="true"/>
        <sz val="11"/>
        <color rgb="FF1F4E79"/>
        <rFont val="Cambria"/>
        <family val="0"/>
        <charset val="1"/>
      </rPr>
      <t xml:space="preserve">B </t>
    </r>
    <r>
      <rPr>
        <b val="true"/>
        <sz val="11"/>
        <color rgb="FF1F4E79"/>
        <rFont val="Noto Sans SC"/>
        <family val="2"/>
        <charset val="134"/>
      </rPr>
      <t xml:space="preserve">的 </t>
    </r>
    <r>
      <rPr>
        <b val="true"/>
        <sz val="11"/>
        <color rgb="FF1F4E79"/>
        <rFont val="Cambria"/>
        <family val="0"/>
        <charset val="1"/>
      </rPr>
      <t xml:space="preserve">RTP</t>
    </r>
    <r>
      <rPr>
        <b val="true"/>
        <sz val="11"/>
        <color rgb="FF1F4E79"/>
        <rFont val="Noto Sans SC"/>
        <family val="2"/>
        <charset val="134"/>
      </rPr>
      <t xml:space="preserve">（逐线计算；覆盖后个数 ＋ 该列百搭事件数）</t>
    </r>
  </si>
  <si>
    <r>
      <rPr>
        <b val="true"/>
        <sz val="11"/>
        <rFont val="Noto Sans SC"/>
        <family val="2"/>
        <charset val="134"/>
      </rPr>
      <t xml:space="preserve">中奖线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SC"/>
        <family val="2"/>
        <charset val="134"/>
      </rPr>
      <t xml:space="preserve">的 </t>
    </r>
    <r>
      <rPr>
        <b val="true"/>
        <sz val="11"/>
        <rFont val="Cambria"/>
        <family val="0"/>
        <charset val="1"/>
      </rPr>
      <t xml:space="preserve">RTP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</si>
  <si>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5.3</t>
    </r>
    <r>
      <rPr>
        <b val="true"/>
        <sz val="11"/>
        <color rgb="FF1F4E79"/>
        <rFont val="Noto Sans SC"/>
        <family val="2"/>
        <charset val="134"/>
      </rPr>
      <t xml:space="preserve">】中奖线 </t>
    </r>
    <r>
      <rPr>
        <b val="true"/>
        <sz val="11"/>
        <color rgb="FF1F4E79"/>
        <rFont val="Cambria"/>
        <family val="0"/>
        <charset val="1"/>
      </rPr>
      <t xml:space="preserve">C </t>
    </r>
    <r>
      <rPr>
        <b val="true"/>
        <sz val="11"/>
        <color rgb="FF1F4E79"/>
        <rFont val="Noto Sans SC"/>
        <family val="2"/>
        <charset val="134"/>
      </rPr>
      <t xml:space="preserve">的 </t>
    </r>
    <r>
      <rPr>
        <b val="true"/>
        <sz val="11"/>
        <color rgb="FF1F4E79"/>
        <rFont val="Cambria"/>
        <family val="0"/>
        <charset val="1"/>
      </rPr>
      <t xml:space="preserve">RTP</t>
    </r>
    <r>
      <rPr>
        <b val="true"/>
        <sz val="11"/>
        <color rgb="FF1F4E79"/>
        <rFont val="Noto Sans SC"/>
        <family val="2"/>
        <charset val="134"/>
      </rPr>
      <t xml:space="preserve">（逐线计算；覆盖后个数 ＋ 该列百搭事件数）</t>
    </r>
  </si>
  <si>
    <r>
      <rPr>
        <b val="true"/>
        <sz val="11"/>
        <rFont val="Noto Sans SC"/>
        <family val="2"/>
        <charset val="134"/>
      </rPr>
      <t xml:space="preserve">中奖线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SC"/>
        <family val="2"/>
        <charset val="134"/>
      </rPr>
      <t xml:space="preserve">的 </t>
    </r>
    <r>
      <rPr>
        <b val="true"/>
        <sz val="11"/>
        <rFont val="Cambria"/>
        <family val="0"/>
        <charset val="1"/>
      </rPr>
      <t xml:space="preserve">RTP</t>
    </r>
  </si>
  <si>
    <r>
      <rPr>
        <b val="true"/>
        <sz val="11"/>
        <rFont val="Noto Sans SC"/>
        <family val="2"/>
        <charset val="134"/>
      </rPr>
      <t xml:space="preserve">三条线平均 </t>
    </r>
    <r>
      <rPr>
        <b val="true"/>
        <sz val="11"/>
        <rFont val="Cambria"/>
        <family val="0"/>
        <charset val="1"/>
      </rPr>
      <t xml:space="preserve">RTP</t>
    </r>
    <r>
      <rPr>
        <b val="true"/>
        <sz val="11"/>
        <rFont val="Noto Sans SC"/>
        <family val="2"/>
        <charset val="134"/>
      </rPr>
      <t xml:space="preserve">（原文最终 </t>
    </r>
    <r>
      <rPr>
        <b val="true"/>
        <sz val="11"/>
        <rFont val="Cambria"/>
        <family val="0"/>
        <charset val="1"/>
      </rPr>
      <t xml:space="preserve">RTP</t>
    </r>
    <r>
      <rPr>
        <b val="true"/>
        <sz val="11"/>
        <rFont val="Noto Sans SC"/>
        <family val="2"/>
        <charset val="134"/>
      </rPr>
      <t xml:space="preserve">）</t>
    </r>
  </si>
  <si>
    <r>
      <rPr>
        <sz val="11"/>
        <color rgb="FF808080"/>
        <rFont val="Noto Sans SC"/>
        <family val="2"/>
        <charset val="134"/>
      </rPr>
      <t xml:space="preserve">验算：中奖线 </t>
    </r>
    <r>
      <rPr>
        <sz val="11"/>
        <color rgb="FF808080"/>
        <rFont val="Cambria"/>
        <family val="0"/>
        <charset val="1"/>
      </rPr>
      <t xml:space="preserve">A </t>
    </r>
    <r>
      <rPr>
        <sz val="11"/>
        <color rgb="FF808080"/>
        <rFont val="Noto Sans SC"/>
        <family val="2"/>
        <charset val="134"/>
      </rPr>
      <t xml:space="preserve">的 </t>
    </r>
    <r>
      <rPr>
        <sz val="11"/>
        <color rgb="FF808080"/>
        <rFont val="Cambria"/>
        <family val="0"/>
        <charset val="1"/>
      </rPr>
      <t xml:space="preserve">9 → </t>
    </r>
    <r>
      <rPr>
        <sz val="11"/>
        <color rgb="FF808080"/>
        <rFont val="Noto Sans SC"/>
        <family val="2"/>
        <charset val="134"/>
      </rPr>
      <t xml:space="preserve">出现事件数 </t>
    </r>
    <r>
      <rPr>
        <sz val="11"/>
        <color rgb="FF808080"/>
        <rFont val="Cambria"/>
        <family val="0"/>
        <charset val="1"/>
      </rPr>
      <t xml:space="preserve">3 / 6 / 6 / 6 / 6</t>
    </r>
    <r>
      <rPr>
        <sz val="11"/>
        <color rgb="FF808080"/>
        <rFont val="Noto Sans SC"/>
        <family val="2"/>
        <charset val="134"/>
      </rPr>
      <t xml:space="preserve">，</t>
    </r>
    <r>
      <rPr>
        <sz val="11"/>
        <color rgb="FF808080"/>
        <rFont val="Cambria"/>
        <family val="0"/>
        <charset val="1"/>
      </rPr>
      <t xml:space="preserve">3</t>
    </r>
    <r>
      <rPr>
        <sz val="11"/>
        <color rgb="FF808080"/>
        <rFont val="Noto Sans SC"/>
        <family val="2"/>
        <charset val="134"/>
      </rPr>
      <t xml:space="preserve">连 ＝ </t>
    </r>
    <r>
      <rPr>
        <sz val="11"/>
        <color rgb="FF808080"/>
        <rFont val="Cambria"/>
        <family val="0"/>
        <charset val="1"/>
      </rPr>
      <t xml:space="preserve">3×6×6×(15−6)×15 </t>
    </r>
    <r>
      <rPr>
        <sz val="11"/>
        <color rgb="FF808080"/>
        <rFont val="Noto Sans SC"/>
        <family val="2"/>
        <charset val="134"/>
      </rPr>
      <t xml:space="preserve">＝ </t>
    </r>
    <r>
      <rPr>
        <sz val="11"/>
        <color rgb="FF808080"/>
        <rFont val="Cambria"/>
        <family val="0"/>
        <charset val="1"/>
      </rPr>
      <t xml:space="preserve">14,580</t>
    </r>
    <r>
      <rPr>
        <sz val="11"/>
        <color rgb="FF808080"/>
        <rFont val="Noto Sans SC"/>
        <family val="2"/>
        <charset val="134"/>
      </rPr>
      <t xml:space="preserve">、</t>
    </r>
    <r>
      <rPr>
        <sz val="11"/>
        <color rgb="FF808080"/>
        <rFont val="Cambria"/>
        <family val="0"/>
        <charset val="1"/>
      </rPr>
      <t xml:space="preserve">4</t>
    </r>
    <r>
      <rPr>
        <sz val="11"/>
        <color rgb="FF808080"/>
        <rFont val="Noto Sans SC"/>
        <family val="2"/>
        <charset val="134"/>
      </rPr>
      <t xml:space="preserve">连 ＝ </t>
    </r>
    <r>
      <rPr>
        <sz val="11"/>
        <color rgb="FF808080"/>
        <rFont val="Cambria"/>
        <family val="0"/>
        <charset val="1"/>
      </rPr>
      <t xml:space="preserve">3×6×6×6×(15−6) </t>
    </r>
    <r>
      <rPr>
        <sz val="11"/>
        <color rgb="FF808080"/>
        <rFont val="Noto Sans SC"/>
        <family val="2"/>
        <charset val="134"/>
      </rPr>
      <t xml:space="preserve">＝ </t>
    </r>
    <r>
      <rPr>
        <sz val="11"/>
        <color rgb="FF808080"/>
        <rFont val="Cambria"/>
        <family val="0"/>
        <charset val="1"/>
      </rPr>
      <t xml:space="preserve">5,832</t>
    </r>
    <r>
      <rPr>
        <sz val="11"/>
        <color rgb="FF808080"/>
        <rFont val="Noto Sans SC"/>
        <family val="2"/>
        <charset val="134"/>
      </rPr>
      <t xml:space="preserve">、</t>
    </r>
    <r>
      <rPr>
        <sz val="11"/>
        <color rgb="FF808080"/>
        <rFont val="Cambria"/>
        <family val="0"/>
        <charset val="1"/>
      </rPr>
      <t xml:space="preserve">5</t>
    </r>
    <r>
      <rPr>
        <sz val="11"/>
        <color rgb="FF808080"/>
        <rFont val="Noto Sans SC"/>
        <family val="2"/>
        <charset val="134"/>
      </rPr>
      <t xml:space="preserve">连 ＝ </t>
    </r>
    <r>
      <rPr>
        <sz val="11"/>
        <color rgb="FF808080"/>
        <rFont val="Cambria"/>
        <family val="0"/>
        <charset val="1"/>
      </rPr>
      <t xml:space="preserve">3×6⁴ </t>
    </r>
    <r>
      <rPr>
        <sz val="11"/>
        <color rgb="FF808080"/>
        <rFont val="Noto Sans SC"/>
        <family val="2"/>
        <charset val="134"/>
      </rPr>
      <t xml:space="preserve">＝ </t>
    </r>
    <r>
      <rPr>
        <sz val="11"/>
        <color rgb="FF808080"/>
        <rFont val="Cambria"/>
        <family val="0"/>
        <charset val="1"/>
      </rPr>
      <t xml:space="preserve">3,888</t>
    </r>
    <r>
      <rPr>
        <sz val="11"/>
        <color rgb="FF808080"/>
        <rFont val="Noto Sans SC"/>
        <family val="2"/>
        <charset val="134"/>
      </rPr>
      <t xml:space="preserve">，与原文配图逐格一致；三条线 </t>
    </r>
    <r>
      <rPr>
        <sz val="11"/>
        <color rgb="FF808080"/>
        <rFont val="Cambria"/>
        <family val="0"/>
        <charset val="1"/>
      </rPr>
      <t xml:space="preserve">RTP </t>
    </r>
    <r>
      <rPr>
        <sz val="11"/>
        <color rgb="FF808080"/>
        <rFont val="Noto Sans SC"/>
        <family val="2"/>
        <charset val="134"/>
      </rPr>
      <t xml:space="preserve">与原文 </t>
    </r>
    <r>
      <rPr>
        <sz val="11"/>
        <color rgb="FF808080"/>
        <rFont val="Cambria"/>
        <family val="0"/>
        <charset val="1"/>
      </rPr>
      <t xml:space="preserve">1.2618 / 1.0233 / 0.9801 </t>
    </r>
    <r>
      <rPr>
        <sz val="11"/>
        <color rgb="FF808080"/>
        <rFont val="Noto Sans SC"/>
        <family val="2"/>
        <charset val="134"/>
      </rPr>
      <t xml:space="preserve">吻合（本簿 </t>
    </r>
    <r>
      <rPr>
        <sz val="11"/>
        <color rgb="FF808080"/>
        <rFont val="Cambria"/>
        <family val="0"/>
        <charset val="1"/>
      </rPr>
      <t xml:space="preserve">0.9803</t>
    </r>
    <r>
      <rPr>
        <sz val="11"/>
        <color rgb="FF808080"/>
        <rFont val="Noto Sans SC"/>
        <family val="2"/>
        <charset val="134"/>
      </rPr>
      <t xml:space="preserve">，差在原文四舍五入）。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</si>
  <si>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6</t>
    </r>
    <r>
      <rPr>
        <b val="true"/>
        <sz val="11"/>
        <color rgb="FF1F4E79"/>
        <rFont val="Noto Sans SC"/>
        <family val="2"/>
        <charset val="134"/>
      </rPr>
      <t xml:space="preserve">】自检</t>
    </r>
  </si>
  <si>
    <t xml:space="preserve">检查项</t>
  </si>
  <si>
    <t xml:space="preserve">结果</t>
  </si>
  <si>
    <r>
      <rPr>
        <sz val="11"/>
        <color theme="1"/>
        <rFont val="Noto Sans SC"/>
        <family val="2"/>
        <charset val="134"/>
      </rPr>
      <t xml:space="preserve">每列格数 ＝ </t>
    </r>
    <r>
      <rPr>
        <sz val="11"/>
        <color theme="1"/>
        <rFont val="Calibri"/>
        <family val="2"/>
        <charset val="1"/>
      </rPr>
      <t xml:space="preserve">15</t>
    </r>
  </si>
  <si>
    <r>
      <rPr>
        <sz val="11"/>
        <color theme="1"/>
        <rFont val="Noto Sans SC"/>
        <family val="2"/>
        <charset val="134"/>
      </rPr>
      <t xml:space="preserve">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SC"/>
        <family val="2"/>
        <charset val="134"/>
      </rPr>
      <t xml:space="preserve">】</t>
    </r>
  </si>
  <si>
    <r>
      <rPr>
        <sz val="11"/>
        <color theme="1"/>
        <rFont val="Noto Sans SC"/>
        <family val="2"/>
        <charset val="134"/>
      </rPr>
      <t xml:space="preserve">基础个数 ＝ 原文（</t>
    </r>
    <r>
      <rPr>
        <sz val="11"/>
        <color theme="1"/>
        <rFont val="Calibri"/>
        <family val="2"/>
        <charset val="1"/>
      </rPr>
      <t xml:space="preserve">9: 3/2/2/2/2</t>
    </r>
    <r>
      <rPr>
        <sz val="11"/>
        <color theme="1"/>
        <rFont val="Noto Sans SC"/>
        <family val="2"/>
        <charset val="134"/>
      </rPr>
      <t xml:space="preserve">）</t>
    </r>
  </si>
  <si>
    <r>
      <rPr>
        <sz val="11"/>
        <color theme="1"/>
        <rFont val="Noto Sans SC"/>
        <family val="2"/>
        <charset val="134"/>
      </rPr>
      <t xml:space="preserve">【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SC"/>
        <family val="2"/>
        <charset val="134"/>
      </rPr>
      <t xml:space="preserve">】</t>
    </r>
  </si>
  <si>
    <r>
      <rPr>
        <sz val="11"/>
        <color theme="1"/>
        <rFont val="Noto Sans SC"/>
        <family val="2"/>
        <charset val="134"/>
      </rPr>
      <t xml:space="preserve">百搭事件数 ＝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SC"/>
        <family val="2"/>
        <charset val="134"/>
      </rPr>
      <t xml:space="preserve">（第 </t>
    </r>
    <r>
      <rPr>
        <sz val="11"/>
        <color theme="1"/>
        <rFont val="Calibri"/>
        <family val="2"/>
        <charset val="1"/>
      </rPr>
      <t xml:space="preserve">2~5 </t>
    </r>
    <r>
      <rPr>
        <sz val="11"/>
        <color theme="1"/>
        <rFont val="Noto Sans SC"/>
        <family val="2"/>
        <charset val="134"/>
      </rPr>
      <t xml:space="preserve">列）、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SC"/>
        <family val="2"/>
        <charset val="134"/>
      </rPr>
      <t xml:space="preserve">（首列）</t>
    </r>
  </si>
  <si>
    <r>
      <rPr>
        <sz val="11"/>
        <color theme="1"/>
        <rFont val="Noto Sans SC"/>
        <family val="2"/>
        <charset val="134"/>
      </rPr>
      <t xml:space="preserve">【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SC"/>
        <family val="2"/>
        <charset val="134"/>
      </rPr>
      <t xml:space="preserve">】</t>
    </r>
  </si>
  <si>
    <r>
      <rPr>
        <sz val="11"/>
        <color theme="1"/>
        <rFont val="Noto Sans SC"/>
        <family val="2"/>
        <charset val="134"/>
      </rPr>
      <t xml:space="preserve">中奖线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SC"/>
        <family val="2"/>
        <charset val="134"/>
      </rPr>
      <t xml:space="preserve">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SC"/>
        <family val="2"/>
        <charset val="134"/>
      </rPr>
      <t xml:space="preserve">三连事件数 ＝ 原文 </t>
    </r>
    <r>
      <rPr>
        <sz val="11"/>
        <color theme="1"/>
        <rFont val="Calibri"/>
        <family val="2"/>
        <charset val="1"/>
      </rPr>
      <t xml:space="preserve">14,580</t>
    </r>
  </si>
  <si>
    <r>
      <rPr>
        <sz val="11"/>
        <color theme="1"/>
        <rFont val="Noto Sans SC"/>
        <family val="2"/>
        <charset val="134"/>
      </rPr>
      <t xml:space="preserve">【</t>
    </r>
    <r>
      <rPr>
        <sz val="11"/>
        <color theme="1"/>
        <rFont val="Calibri"/>
        <family val="2"/>
        <charset val="1"/>
      </rPr>
      <t xml:space="preserve">5.1</t>
    </r>
    <r>
      <rPr>
        <sz val="11"/>
        <color theme="1"/>
        <rFont val="Noto Sans SC"/>
        <family val="2"/>
        <charset val="134"/>
      </rPr>
      <t xml:space="preserve">】</t>
    </r>
  </si>
  <si>
    <r>
      <rPr>
        <sz val="11"/>
        <color theme="1"/>
        <rFont val="Noto Sans SC"/>
        <family val="2"/>
        <charset val="134"/>
      </rPr>
      <t xml:space="preserve">中奖线 </t>
    </r>
    <r>
      <rPr>
        <sz val="11"/>
        <color theme="1"/>
        <rFont val="Calibri"/>
        <family val="2"/>
        <charset val="1"/>
      </rPr>
      <t xml:space="preserve">A RTP </t>
    </r>
    <r>
      <rPr>
        <sz val="11"/>
        <color theme="1"/>
        <rFont val="Noto Sans SC"/>
        <family val="2"/>
        <charset val="134"/>
      </rPr>
      <t xml:space="preserve">＝ 原文 </t>
    </r>
    <r>
      <rPr>
        <sz val="11"/>
        <color theme="1"/>
        <rFont val="Calibri"/>
        <family val="2"/>
        <charset val="1"/>
      </rPr>
      <t xml:space="preserve">1.2618</t>
    </r>
  </si>
  <si>
    <t xml:space="preserve">原文</t>
  </si>
  <si>
    <r>
      <rPr>
        <sz val="11"/>
        <color theme="1"/>
        <rFont val="Noto Sans SC"/>
        <family val="2"/>
        <charset val="134"/>
      </rPr>
      <t xml:space="preserve">中奖线 </t>
    </r>
    <r>
      <rPr>
        <sz val="11"/>
        <color theme="1"/>
        <rFont val="Calibri"/>
        <family val="2"/>
        <charset val="1"/>
      </rPr>
      <t xml:space="preserve">B RTP </t>
    </r>
    <r>
      <rPr>
        <sz val="11"/>
        <color theme="1"/>
        <rFont val="Noto Sans SC"/>
        <family val="2"/>
        <charset val="134"/>
      </rPr>
      <t xml:space="preserve">＝ 原文 </t>
    </r>
    <r>
      <rPr>
        <sz val="11"/>
        <color theme="1"/>
        <rFont val="Calibri"/>
        <family val="2"/>
        <charset val="1"/>
      </rPr>
      <t xml:space="preserve">1.0233</t>
    </r>
  </si>
  <si>
    <r>
      <rPr>
        <sz val="11"/>
        <color theme="1"/>
        <rFont val="Noto Sans SC"/>
        <family val="2"/>
        <charset val="134"/>
      </rPr>
      <t xml:space="preserve">中奖线 </t>
    </r>
    <r>
      <rPr>
        <sz val="11"/>
        <color theme="1"/>
        <rFont val="Calibri"/>
        <family val="2"/>
        <charset val="1"/>
      </rPr>
      <t xml:space="preserve">C RTP ≈ </t>
    </r>
    <r>
      <rPr>
        <sz val="11"/>
        <color theme="1"/>
        <rFont val="Noto Sans SC"/>
        <family val="2"/>
        <charset val="134"/>
      </rPr>
      <t xml:space="preserve">原文 </t>
    </r>
    <r>
      <rPr>
        <sz val="11"/>
        <color theme="1"/>
        <rFont val="Calibri"/>
        <family val="2"/>
        <charset val="1"/>
      </rPr>
      <t xml:space="preserve">0.9801</t>
    </r>
    <r>
      <rPr>
        <sz val="11"/>
        <color theme="1"/>
        <rFont val="Noto Sans SC"/>
        <family val="2"/>
        <charset val="134"/>
      </rPr>
      <t xml:space="preserve">（差 </t>
    </r>
    <r>
      <rPr>
        <sz val="11"/>
        <color theme="1"/>
        <rFont val="Calibri"/>
        <family val="2"/>
        <charset val="1"/>
      </rPr>
      <t xml:space="preserve">&lt; 0.001</t>
    </r>
    <r>
      <rPr>
        <sz val="11"/>
        <color theme="1"/>
        <rFont val="Noto Sans SC"/>
        <family val="2"/>
        <charset val="134"/>
      </rPr>
      <t xml:space="preserve">）</t>
    </r>
  </si>
  <si>
    <t xml:space="preserve">原文四舍五入</t>
  </si>
  <si>
    <r>
      <rPr>
        <sz val="11"/>
        <color theme="1"/>
        <rFont val="Noto Sans SC"/>
        <family val="2"/>
        <charset val="134"/>
      </rPr>
      <t xml:space="preserve">三条线平均 </t>
    </r>
    <r>
      <rPr>
        <sz val="11"/>
        <color theme="1"/>
        <rFont val="Calibri"/>
        <family val="2"/>
        <charset val="1"/>
      </rPr>
      <t xml:space="preserve">RTP </t>
    </r>
    <r>
      <rPr>
        <sz val="11"/>
        <color theme="1"/>
        <rFont val="Noto Sans SC"/>
        <family val="2"/>
        <charset val="134"/>
      </rPr>
      <t xml:space="preserve">＝ 原文 </t>
    </r>
    <r>
      <rPr>
        <sz val="11"/>
        <color theme="1"/>
        <rFont val="Calibri"/>
        <family val="2"/>
        <charset val="1"/>
      </rPr>
      <t xml:space="preserve">1.0884</t>
    </r>
  </si>
  <si>
    <r>
      <rPr>
        <sz val="11"/>
        <color theme="1"/>
        <rFont val="Noto Sans SC"/>
        <family val="2"/>
        <charset val="134"/>
      </rPr>
      <t xml:space="preserve">原文最终 </t>
    </r>
    <r>
      <rPr>
        <sz val="11"/>
        <color theme="1"/>
        <rFont val="Calibri"/>
        <family val="2"/>
        <charset val="1"/>
      </rPr>
      <t xml:space="preserve">RTP</t>
    </r>
  </si>
  <si>
    <t xml:space="preserve">说明：本页为按原文方法落地的配表实现；表内示例数值取自原文，原文未给的部分沿用同项目示例（蓝字可改）。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</si>
</sst>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00"/>
  </numFmts>
  <fonts count="17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4"/>
      <color rgb="FF1F4E79"/>
      <name val="Noto Sans SC"/>
      <family val="2"/>
      <charset val="134"/>
    </font>
    <font>
      <b val="true"/>
      <sz val="14"/>
      <color rgb="FF1F4E79"/>
      <name val="Cambria"/>
      <family val="0"/>
      <charset val="1"/>
    </font>
    <font>
      <sz val="11"/>
      <color rgb="FF808080"/>
      <name val="Noto Sans SC"/>
      <family val="2"/>
      <charset val="134"/>
    </font>
    <font>
      <sz val="11"/>
      <color rgb="FF808080"/>
      <name val="Cambria"/>
      <family val="0"/>
      <charset val="1"/>
    </font>
    <font>
      <b val="true"/>
      <sz val="11"/>
      <name val="Noto Sans SC"/>
      <family val="2"/>
      <charset val="134"/>
    </font>
    <font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1"/>
      <color rgb="FF1F4E79"/>
      <name val="Noto Sans SC"/>
      <family val="2"/>
      <charset val="134"/>
    </font>
    <font>
      <b val="true"/>
      <sz val="11"/>
      <color rgb="FF1F4E79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FF"/>
      <name val="Noto Sans SC"/>
      <family val="2"/>
      <charset val="134"/>
    </font>
    <font>
      <sz val="11"/>
      <color rgb="FF000000"/>
      <name val="Cambria"/>
      <family val="0"/>
      <charset val="1"/>
    </font>
    <font>
      <sz val="11"/>
      <color rgb="FF000000"/>
      <name val="Noto Sans SC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  <fill>
      <patternFill patternType="solid">
        <fgColor rgb="FFDEEBF7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0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0" fontId="12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0" width="42.14"/>
  </cols>
  <sheetData>
    <row r="1" customFormat="false" ht="19" hidden="false" customHeight="false" outlineLevel="0" collapsed="false">
      <c r="A1" s="1" t="s">
        <v>0</v>
      </c>
    </row>
    <row r="3" customFormat="false" ht="15.5" hidden="false" customHeight="false" outlineLevel="0" collapsed="false">
      <c r="A3" s="2" t="s">
        <v>1</v>
      </c>
    </row>
    <row r="4" customFormat="false" ht="15.5" hidden="false" customHeight="false" outlineLevel="0" collapsed="false">
      <c r="A4" s="2" t="s">
        <v>2</v>
      </c>
    </row>
    <row r="5" customFormat="false" ht="15.5" hidden="false" customHeight="false" outlineLevel="0" collapsed="false">
      <c r="A5" s="3" t="s">
        <v>3</v>
      </c>
      <c r="B5" s="3"/>
      <c r="C5" s="3"/>
      <c r="D5" s="3"/>
    </row>
    <row r="6" customFormat="false" ht="15.5" hidden="false" customHeight="false" outlineLevel="0" collapsed="false">
      <c r="A6" s="3" t="s">
        <v>4</v>
      </c>
      <c r="B6" s="3"/>
      <c r="C6" s="3"/>
    </row>
    <row r="7" customFormat="false" ht="15.5" hidden="false" customHeight="false" outlineLevel="0" collapsed="false">
      <c r="A7" s="3" t="s">
        <v>5</v>
      </c>
      <c r="B7" s="3"/>
      <c r="C7" s="3"/>
      <c r="D7" s="3"/>
      <c r="E7" s="3"/>
      <c r="F7" s="3"/>
    </row>
    <row r="9" customFormat="false" ht="15" hidden="false" customHeight="false" outlineLevel="0" collapsed="false">
      <c r="A9" s="4" t="s">
        <v>6</v>
      </c>
    </row>
    <row r="10" customFormat="false" ht="29" hidden="false" customHeight="false" outlineLevel="0" collapsed="false">
      <c r="A10" s="29" t="s">
        <v>7</v>
      </c>
    </row>
    <row r="11" customFormat="false" ht="29" hidden="false" customHeight="false" outlineLevel="0" collapsed="false">
      <c r="A11" s="29" t="s">
        <v>8</v>
      </c>
    </row>
    <row r="12" customFormat="false" ht="15" hidden="false" customHeight="false" outlineLevel="0" collapsed="false">
      <c r="A12" s="5"/>
    </row>
    <row r="13" customFormat="false" ht="15" hidden="false" customHeight="false" outlineLevel="0" collapsed="false">
      <c r="A13" s="4" t="s">
        <v>9</v>
      </c>
    </row>
    <row r="14" customFormat="false" ht="15" hidden="false" customHeight="1" outlineLevel="0" collapsed="false">
      <c r="A14" s="30" t="s">
        <v>10</v>
      </c>
      <c r="B14" s="6"/>
      <c r="C14" s="6"/>
    </row>
    <row r="15" customFormat="false" ht="42" hidden="false" customHeight="false" outlineLevel="0" collapsed="false">
      <c r="A15" s="29" t="s">
        <v>11</v>
      </c>
    </row>
    <row r="16" customFormat="false" ht="15" hidden="false" customHeight="1" outlineLevel="0" collapsed="false">
      <c r="A16" s="30" t="s">
        <v>12</v>
      </c>
      <c r="B16" s="6"/>
      <c r="C16" s="6"/>
    </row>
    <row r="17" customFormat="false" ht="15" hidden="false" customHeight="false" outlineLevel="0" collapsed="false">
      <c r="A17" s="5"/>
    </row>
    <row r="18" customFormat="false" ht="15" hidden="false" customHeight="false" outlineLevel="0" collapsed="false">
      <c r="A18" s="4" t="s">
        <v>13</v>
      </c>
    </row>
    <row r="19" customFormat="false" ht="30" hidden="false" customHeight="false" outlineLevel="0" collapsed="false">
      <c r="A19" s="29" t="s">
        <v>14</v>
      </c>
    </row>
    <row r="20" customFormat="false" ht="29" hidden="false" customHeight="false" outlineLevel="0" collapsed="false">
      <c r="A20" s="29" t="s">
        <v>15</v>
      </c>
    </row>
    <row r="21" customFormat="false" ht="29" hidden="false" customHeight="false" outlineLevel="0" collapsed="false">
      <c r="A21" s="31" t="s">
        <v>16</v>
      </c>
    </row>
    <row r="22" customFormat="false" ht="16" hidden="false" customHeight="false" outlineLevel="0" collapsed="false">
      <c r="A22" s="31" t="s">
        <v>17</v>
      </c>
    </row>
    <row r="23" customFormat="false" ht="29" hidden="false" customHeight="false" outlineLevel="0" collapsed="false">
      <c r="A23" s="29" t="s">
        <v>18</v>
      </c>
    </row>
    <row r="24" customFormat="false" ht="29" hidden="false" customHeight="false" outlineLevel="0" collapsed="false">
      <c r="A24" s="31" t="s">
        <v>19</v>
      </c>
    </row>
    <row r="25" customFormat="false" ht="28" hidden="false" customHeight="false" outlineLevel="0" collapsed="false">
      <c r="A25" s="31" t="s">
        <v>20</v>
      </c>
    </row>
    <row r="26" customFormat="false" ht="29" hidden="false" customHeight="false" outlineLevel="0" collapsed="false">
      <c r="A26" s="31" t="s">
        <v>21</v>
      </c>
    </row>
    <row r="27" customFormat="false" ht="30" hidden="false" customHeight="false" outlineLevel="0" collapsed="false">
      <c r="A27" s="29" t="s">
        <v>22</v>
      </c>
    </row>
    <row r="29" customFormat="false" ht="15" hidden="false" customHeight="false" outlineLevel="0" collapsed="false">
      <c r="A29" s="4" t="s">
        <v>23</v>
      </c>
    </row>
    <row r="30" customFormat="false" ht="15" hidden="false" customHeight="false" outlineLevel="0" collapsed="false">
      <c r="A30" s="7"/>
    </row>
    <row r="31" customFormat="false" ht="16" hidden="false" customHeight="false" outlineLevel="0" collapsed="false">
      <c r="A31" s="31" t="s">
        <v>24</v>
      </c>
    </row>
    <row r="32" customFormat="false" ht="15" hidden="false" customHeight="false" outlineLevel="0" collapsed="false">
      <c r="A32" s="7" t="s">
        <v>25</v>
      </c>
    </row>
    <row r="33" customFormat="false" ht="29" hidden="false" customHeight="false" outlineLevel="0" collapsed="false">
      <c r="A33" s="31" t="s">
        <v>26</v>
      </c>
    </row>
    <row r="34" customFormat="false" ht="15" hidden="false" customHeight="1" outlineLevel="0" collapsed="false">
      <c r="A34" s="32" t="s">
        <v>27</v>
      </c>
      <c r="B34" s="8"/>
      <c r="C34" s="8"/>
      <c r="D34" s="8"/>
      <c r="E34" s="8"/>
      <c r="F34" s="8"/>
    </row>
    <row r="35" customFormat="false" ht="28" hidden="false" customHeight="false" outlineLevel="0" collapsed="false">
      <c r="A35" s="31" t="s">
        <v>28</v>
      </c>
    </row>
    <row r="36" customFormat="false" ht="15" hidden="false" customHeight="false" outlineLevel="0" collapsed="false">
      <c r="A36" s="5" t="s">
        <v>29</v>
      </c>
    </row>
    <row r="37" customFormat="false" ht="15" hidden="false" customHeight="false" outlineLevel="0" collapsed="false">
      <c r="A37" s="5" t="s">
        <v>30</v>
      </c>
    </row>
    <row r="38" customFormat="false" ht="15" hidden="false" customHeight="false" outlineLevel="0" collapsed="false">
      <c r="A38" s="7" t="s">
        <v>31</v>
      </c>
    </row>
    <row r="39" customFormat="false" ht="16" hidden="false" customHeight="false" outlineLevel="0" collapsed="false">
      <c r="A39" s="7" t="s">
        <v>32</v>
      </c>
    </row>
    <row r="40" customFormat="false" ht="15" hidden="false" customHeight="false" outlineLevel="0" collapsed="false">
      <c r="A40" s="7"/>
    </row>
    <row r="41" customFormat="false" ht="16" hidden="false" customHeight="false" outlineLevel="0" collapsed="false">
      <c r="A41" s="7" t="s">
        <v>33</v>
      </c>
    </row>
    <row r="42" customFormat="false" ht="15" hidden="false" customHeight="false" outlineLevel="0" collapsed="false">
      <c r="A42" s="7"/>
    </row>
    <row r="43" customFormat="false" ht="30" hidden="false" customHeight="false" outlineLevel="0" collapsed="false">
      <c r="A43" s="31" t="s">
        <v>34</v>
      </c>
    </row>
    <row r="44" customFormat="false" ht="16" hidden="false" customHeight="false" outlineLevel="0" collapsed="false">
      <c r="A44" s="7" t="s">
        <v>35</v>
      </c>
    </row>
    <row r="45" customFormat="false" ht="16" hidden="false" customHeight="false" outlineLevel="0" collapsed="false">
      <c r="A45" s="5" t="s">
        <v>36</v>
      </c>
    </row>
    <row r="46" customFormat="false" ht="42" hidden="false" customHeight="false" outlineLevel="0" collapsed="false">
      <c r="A46" s="31" t="s">
        <v>37</v>
      </c>
    </row>
    <row r="47" customFormat="false" ht="28" hidden="false" customHeight="false" outlineLevel="0" collapsed="false">
      <c r="A47" s="31" t="s">
        <v>38</v>
      </c>
    </row>
    <row r="48" customFormat="false" ht="29" hidden="false" customHeight="false" outlineLevel="0" collapsed="false">
      <c r="A48" s="31" t="s">
        <v>39</v>
      </c>
    </row>
    <row r="49" customFormat="false" ht="15" hidden="false" customHeight="false" outlineLevel="0" collapsed="false">
      <c r="A49" s="7"/>
    </row>
    <row r="50" customFormat="false" ht="16" hidden="false" customHeight="false" outlineLevel="0" collapsed="false">
      <c r="A50" s="7" t="s">
        <v>40</v>
      </c>
    </row>
    <row r="51" customFormat="false" ht="15" hidden="false" customHeight="false" outlineLevel="0" collapsed="false">
      <c r="A51" s="7"/>
    </row>
    <row r="52" customFormat="false" ht="15" hidden="false" customHeight="false" outlineLevel="0" collapsed="false">
      <c r="A52" s="31" t="s">
        <v>41</v>
      </c>
    </row>
    <row r="53" customFormat="false" ht="29" hidden="false" customHeight="false" outlineLevel="0" collapsed="false">
      <c r="A53" s="31" t="s">
        <v>42</v>
      </c>
    </row>
    <row r="54" customFormat="false" ht="28" hidden="false" customHeight="false" outlineLevel="0" collapsed="false">
      <c r="A54" s="31" t="s">
        <v>43</v>
      </c>
    </row>
    <row r="55" customFormat="false" ht="15" hidden="false" customHeight="false" outlineLevel="0" collapsed="false">
      <c r="A55" s="7"/>
    </row>
    <row r="56" customFormat="false" ht="16" hidden="false" customHeight="false" outlineLevel="0" collapsed="false">
      <c r="A56" s="7" t="s">
        <v>44</v>
      </c>
    </row>
    <row r="57" customFormat="false" ht="15" hidden="false" customHeight="false" outlineLevel="0" collapsed="false">
      <c r="A57" s="7"/>
    </row>
    <row r="58" customFormat="false" ht="28" hidden="false" customHeight="false" outlineLevel="0" collapsed="false">
      <c r="A58" s="31" t="s">
        <v>45</v>
      </c>
    </row>
    <row r="59" customFormat="false" ht="28" hidden="false" customHeight="false" outlineLevel="0" collapsed="false">
      <c r="A59" s="31" t="s">
        <v>46</v>
      </c>
    </row>
    <row r="60" customFormat="false" ht="15" hidden="false" customHeight="1" outlineLevel="0" collapsed="false">
      <c r="A60" s="32" t="s">
        <v>47</v>
      </c>
      <c r="B60" s="8"/>
      <c r="C60" s="8"/>
    </row>
    <row r="61" customFormat="false" ht="16" hidden="false" customHeight="false" outlineLevel="0" collapsed="false">
      <c r="A61" s="31" t="s">
        <v>48</v>
      </c>
    </row>
    <row r="62" customFormat="false" ht="43" hidden="false" customHeight="false" outlineLevel="0" collapsed="false">
      <c r="A62" s="31" t="s">
        <v>49</v>
      </c>
    </row>
    <row r="63" customFormat="false" ht="16" hidden="false" customHeight="false" outlineLevel="0" collapsed="false">
      <c r="A63" s="7" t="s">
        <v>50</v>
      </c>
    </row>
    <row r="64" customFormat="false" ht="42" hidden="false" customHeight="false" outlineLevel="0" collapsed="false">
      <c r="A64" s="31" t="s">
        <v>51</v>
      </c>
    </row>
    <row r="65" customFormat="false" ht="15" hidden="false" customHeight="false" outlineLevel="0" collapsed="false">
      <c r="A65" s="7" t="s">
        <v>52</v>
      </c>
    </row>
    <row r="66" customFormat="false" ht="29" hidden="false" customHeight="false" outlineLevel="0" collapsed="false">
      <c r="A66" s="31" t="s">
        <v>53</v>
      </c>
    </row>
    <row r="67" customFormat="false" ht="15" hidden="false" customHeight="false" outlineLevel="0" collapsed="false">
      <c r="A67" s="7"/>
    </row>
    <row r="68" customFormat="false" ht="16" hidden="false" customHeight="false" outlineLevel="0" collapsed="false">
      <c r="A68" s="7" t="s">
        <v>54</v>
      </c>
    </row>
    <row r="69" customFormat="false" ht="15" hidden="false" customHeight="false" outlineLevel="0" collapsed="false">
      <c r="A69" s="7"/>
    </row>
    <row r="70" customFormat="false" ht="44" hidden="false" customHeight="false" outlineLevel="0" collapsed="false">
      <c r="A70" s="31" t="s">
        <v>55</v>
      </c>
    </row>
    <row r="71" customFormat="false" ht="15" hidden="false" customHeight="false" outlineLevel="0" collapsed="false">
      <c r="A71" s="7"/>
    </row>
    <row r="72" customFormat="false" ht="16" hidden="false" customHeight="false" outlineLevel="0" collapsed="false">
      <c r="A72" s="7" t="s">
        <v>56</v>
      </c>
    </row>
    <row r="74" customFormat="false" ht="15.5" hidden="false" customHeight="false" outlineLevel="0" collapsed="false">
      <c r="A74" s="33" t="s">
        <v>57</v>
      </c>
    </row>
    <row r="75" customFormat="false" ht="15.5" hidden="false" customHeight="false" outlineLevel="0" collapsed="false">
      <c r="A75" s="2" t="s">
        <v>58</v>
      </c>
    </row>
    <row r="76" customFormat="false" ht="15.5" hidden="false" customHeight="false" outlineLevel="0" collapsed="false">
      <c r="A76" s="2" t="s">
        <v>59</v>
      </c>
    </row>
    <row r="77" customFormat="false" ht="15.5" hidden="false" customHeight="false" outlineLevel="0" collapsed="false">
      <c r="A77" s="2" t="s">
        <v>60</v>
      </c>
    </row>
    <row r="78" customFormat="false" ht="15.5" hidden="false" customHeight="false" outlineLevel="0" collapsed="false">
      <c r="A78" s="2" t="s">
        <v>61</v>
      </c>
    </row>
    <row r="79" customFormat="false" ht="15.5" hidden="false" customHeight="false" outlineLevel="0" collapsed="false">
      <c r="A79" s="2" t="s">
        <v>62</v>
      </c>
    </row>
    <row r="81" customFormat="false" ht="15" hidden="false" customHeight="false" outlineLevel="0" collapsed="false">
      <c r="A81" s="4" t="s">
        <v>63</v>
      </c>
    </row>
    <row r="82" customFormat="false" ht="30" hidden="false" customHeight="false" outlineLevel="0" collapsed="false">
      <c r="A82" s="31" t="s">
        <v>64</v>
      </c>
    </row>
    <row r="83" customFormat="false" ht="28" hidden="false" customHeight="false" outlineLevel="0" collapsed="false">
      <c r="A83" s="31" t="s">
        <v>65</v>
      </c>
    </row>
    <row r="84" customFormat="false" ht="15" hidden="false" customHeight="false" outlineLevel="0" collapsed="false">
      <c r="A84" s="7"/>
    </row>
    <row r="85" customFormat="false" ht="15" hidden="false" customHeight="false" outlineLevel="0" collapsed="false">
      <c r="A85" s="4" t="s">
        <v>66</v>
      </c>
    </row>
    <row r="86" customFormat="false" ht="28" hidden="false" customHeight="false" outlineLevel="0" collapsed="false">
      <c r="A86" s="31" t="s">
        <v>67</v>
      </c>
    </row>
    <row r="87" customFormat="false" ht="29" hidden="false" customHeight="false" outlineLevel="0" collapsed="false">
      <c r="A87" s="31" t="s">
        <v>68</v>
      </c>
    </row>
    <row r="89" customFormat="false" ht="15.5" hidden="false" customHeight="false" outlineLevel="0" collapsed="false">
      <c r="A89" s="9" t="s">
        <v>69</v>
      </c>
    </row>
  </sheetData>
  <mergeCells count="7">
    <mergeCell ref="A5:L5"/>
    <mergeCell ref="A6:J6"/>
    <mergeCell ref="A7:O7"/>
    <mergeCell ref="A14:I14"/>
    <mergeCell ref="A16:J16"/>
    <mergeCell ref="A34:N34"/>
    <mergeCell ref="A60:J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K109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10" width="27.31"/>
    <col collapsed="false" customWidth="true" hidden="false" outlineLevel="0" max="7" min="2" style="10" width="14.56"/>
    <col collapsed="false" customWidth="true" hidden="false" outlineLevel="0" max="8" min="8" style="10" width="49.13"/>
  </cols>
  <sheetData>
    <row r="1" customFormat="false" ht="19" hidden="false" customHeight="false" outlineLevel="0" collapsed="false">
      <c r="A1" s="11" t="s">
        <v>70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3" customFormat="false" ht="15.5" hidden="false" customHeight="false" outlineLevel="0" collapsed="false">
      <c r="A3" s="12" t="s">
        <v>71</v>
      </c>
      <c r="B3" s="12"/>
      <c r="C3" s="12"/>
      <c r="D3" s="13"/>
      <c r="E3" s="13"/>
      <c r="F3" s="13"/>
      <c r="G3" s="13"/>
      <c r="H3" s="13"/>
    </row>
    <row r="4" customFormat="false" ht="15" hidden="false" customHeight="false" outlineLevel="0" collapsed="false">
      <c r="A4" s="14" t="s">
        <v>72</v>
      </c>
      <c r="B4" s="14" t="s">
        <v>73</v>
      </c>
      <c r="C4" s="14" t="s">
        <v>66</v>
      </c>
      <c r="D4" s="14"/>
      <c r="E4" s="14"/>
      <c r="F4" s="14"/>
      <c r="G4" s="14"/>
      <c r="H4" s="14"/>
    </row>
    <row r="5" customFormat="false" ht="16" hidden="false" customHeight="false" outlineLevel="0" collapsed="false">
      <c r="A5" s="10" t="s">
        <v>74</v>
      </c>
      <c r="B5" s="15" t="s">
        <v>75</v>
      </c>
      <c r="C5" s="34">
        <v>5</v>
      </c>
      <c r="D5" s="16"/>
      <c r="E5" s="16"/>
    </row>
    <row r="6" customFormat="false" ht="15" hidden="false" customHeight="false" outlineLevel="0" collapsed="false">
      <c r="A6" s="10" t="s">
        <v>77</v>
      </c>
      <c r="B6" s="15" t="n">
        <v>5</v>
      </c>
    </row>
    <row r="7" customFormat="false" ht="16" hidden="false" customHeight="false" outlineLevel="0" collapsed="false">
      <c r="A7" s="10" t="s">
        <v>78</v>
      </c>
      <c r="B7" s="15" t="n">
        <v>3</v>
      </c>
      <c r="C7" s="17" t="s">
        <v>79</v>
      </c>
      <c r="D7" s="17"/>
      <c r="E7" s="17"/>
      <c r="F7" s="17"/>
    </row>
    <row r="8" customFormat="false" ht="16" hidden="false" customHeight="false" outlineLevel="0" collapsed="false">
      <c r="A8" s="10" t="s">
        <v>80</v>
      </c>
      <c r="B8" s="15" t="n">
        <v>15</v>
      </c>
      <c r="C8" s="17" t="s">
        <v>81</v>
      </c>
      <c r="D8" s="17"/>
    </row>
    <row r="9" customFormat="false" ht="16" hidden="false" customHeight="false" outlineLevel="0" collapsed="false">
      <c r="A9" s="10" t="s">
        <v>82</v>
      </c>
      <c r="B9" s="18" t="n">
        <f aca="false">B8^B6</f>
        <v>759375</v>
      </c>
      <c r="C9" s="17" t="s">
        <v>83</v>
      </c>
      <c r="D9" s="17"/>
    </row>
    <row r="10" customFormat="false" ht="16" hidden="false" customHeight="false" outlineLevel="0" collapsed="false">
      <c r="A10" s="10" t="s">
        <v>84</v>
      </c>
      <c r="B10" s="15" t="s">
        <v>85</v>
      </c>
      <c r="C10" s="17" t="s">
        <v>86</v>
      </c>
      <c r="D10" s="17"/>
      <c r="E10" s="17"/>
    </row>
    <row r="11" customFormat="false" ht="16" hidden="false" customHeight="false" outlineLevel="0" collapsed="false">
      <c r="A11" s="10" t="s">
        <v>87</v>
      </c>
      <c r="B11" s="19" t="s">
        <v>88</v>
      </c>
      <c r="C11" s="17" t="s">
        <v>89</v>
      </c>
      <c r="D11" s="17"/>
      <c r="E11" s="17"/>
    </row>
    <row r="13" customFormat="false" ht="15.5" hidden="false" customHeight="false" outlineLevel="0" collapsed="false">
      <c r="A13" s="12" t="s">
        <v>90</v>
      </c>
      <c r="B13" s="12"/>
      <c r="C13" s="12"/>
      <c r="D13" s="12"/>
      <c r="E13" s="12"/>
      <c r="F13" s="12"/>
      <c r="G13" s="13"/>
      <c r="H13" s="13"/>
    </row>
    <row r="14" customFormat="false" ht="15.5" hidden="false" customHeight="false" outlineLevel="0" collapsed="false">
      <c r="A14" s="14" t="s">
        <v>91</v>
      </c>
      <c r="B14" s="14" t="s">
        <v>92</v>
      </c>
      <c r="C14" s="14" t="s">
        <v>93</v>
      </c>
      <c r="D14" s="14" t="s">
        <v>94</v>
      </c>
      <c r="E14" s="14" t="s">
        <v>95</v>
      </c>
      <c r="F14" s="14" t="s">
        <v>96</v>
      </c>
      <c r="G14" s="14"/>
      <c r="H14" s="14"/>
    </row>
    <row r="15" customFormat="false" ht="15" hidden="false" customHeight="false" outlineLevel="0" collapsed="false">
      <c r="A15" s="10" t="n">
        <v>1</v>
      </c>
      <c r="B15" s="35">
        <v>9</v>
      </c>
      <c r="C15" s="35">
        <v>9</v>
      </c>
      <c r="D15" s="35">
        <v>9</v>
      </c>
      <c r="E15" s="35">
        <v>9</v>
      </c>
      <c r="F15" s="35">
        <v>9</v>
      </c>
    </row>
    <row r="16" customFormat="false" ht="15" hidden="false" customHeight="false" outlineLevel="0" collapsed="false">
      <c r="A16" s="10" t="n">
        <v>2</v>
      </c>
      <c r="B16" s="35">
        <v>9</v>
      </c>
      <c r="C16" s="35">
        <v>9</v>
      </c>
      <c r="D16" s="35">
        <v>9</v>
      </c>
      <c r="E16" s="35">
        <v>9</v>
      </c>
      <c r="F16" s="35">
        <v>9</v>
      </c>
    </row>
    <row r="17" customFormat="false" ht="15" hidden="false" customHeight="false" outlineLevel="0" collapsed="false">
      <c r="A17" s="10" t="n">
        <v>3</v>
      </c>
      <c r="B17" s="35">
        <v>9</v>
      </c>
      <c r="C17" s="15" t="s">
        <v>98</v>
      </c>
      <c r="D17" s="15" t="s">
        <v>98</v>
      </c>
      <c r="E17" s="15" t="s">
        <v>98</v>
      </c>
      <c r="F17" s="15" t="s">
        <v>98</v>
      </c>
    </row>
    <row r="18" customFormat="false" ht="15" hidden="false" customHeight="false" outlineLevel="0" collapsed="false">
      <c r="A18" s="10" t="n">
        <v>4</v>
      </c>
      <c r="B18" s="35">
        <v>10</v>
      </c>
      <c r="C18" s="35">
        <v>10</v>
      </c>
      <c r="D18" s="35">
        <v>10</v>
      </c>
      <c r="E18" s="35">
        <v>10</v>
      </c>
      <c r="F18" s="35">
        <v>10</v>
      </c>
    </row>
    <row r="19" customFormat="false" ht="15" hidden="false" customHeight="false" outlineLevel="0" collapsed="false">
      <c r="A19" s="10" t="n">
        <v>5</v>
      </c>
      <c r="B19" s="35">
        <v>10</v>
      </c>
      <c r="C19" s="35">
        <v>10</v>
      </c>
      <c r="D19" s="35">
        <v>10</v>
      </c>
      <c r="E19" s="35">
        <v>10</v>
      </c>
      <c r="F19" s="35">
        <v>10</v>
      </c>
    </row>
    <row r="20" customFormat="false" ht="15" hidden="false" customHeight="false" outlineLevel="0" collapsed="false">
      <c r="A20" s="10" t="n">
        <v>6</v>
      </c>
      <c r="B20" s="35">
        <v>10</v>
      </c>
      <c r="C20" s="35">
        <v>10</v>
      </c>
      <c r="D20" s="35">
        <v>10</v>
      </c>
      <c r="E20" s="35">
        <v>10</v>
      </c>
      <c r="F20" s="35">
        <v>10</v>
      </c>
    </row>
    <row r="21" customFormat="false" ht="15" hidden="false" customHeight="false" outlineLevel="0" collapsed="false">
      <c r="A21" s="10" t="n">
        <v>7</v>
      </c>
      <c r="B21" s="15" t="s">
        <v>100</v>
      </c>
      <c r="C21" s="15" t="s">
        <v>100</v>
      </c>
      <c r="D21" s="15" t="s">
        <v>100</v>
      </c>
      <c r="E21" s="15" t="s">
        <v>100</v>
      </c>
      <c r="F21" s="15" t="s">
        <v>100</v>
      </c>
    </row>
    <row r="22" customFormat="false" ht="15" hidden="false" customHeight="false" outlineLevel="0" collapsed="false">
      <c r="A22" s="10" t="n">
        <v>8</v>
      </c>
      <c r="B22" s="15" t="s">
        <v>100</v>
      </c>
      <c r="C22" s="15" t="s">
        <v>100</v>
      </c>
      <c r="D22" s="15" t="s">
        <v>100</v>
      </c>
      <c r="E22" s="15" t="s">
        <v>100</v>
      </c>
      <c r="F22" s="15" t="s">
        <v>100</v>
      </c>
    </row>
    <row r="23" customFormat="false" ht="15" hidden="false" customHeight="false" outlineLevel="0" collapsed="false">
      <c r="A23" s="10" t="n">
        <v>9</v>
      </c>
      <c r="B23" s="15" t="s">
        <v>100</v>
      </c>
      <c r="C23" s="15" t="s">
        <v>100</v>
      </c>
      <c r="D23" s="15" t="s">
        <v>100</v>
      </c>
      <c r="E23" s="15" t="s">
        <v>100</v>
      </c>
      <c r="F23" s="15" t="s">
        <v>100</v>
      </c>
    </row>
    <row r="24" customFormat="false" ht="15" hidden="false" customHeight="false" outlineLevel="0" collapsed="false">
      <c r="A24" s="10" t="n">
        <v>10</v>
      </c>
      <c r="B24" s="15" t="s">
        <v>101</v>
      </c>
      <c r="C24" s="15" t="s">
        <v>101</v>
      </c>
      <c r="D24" s="15" t="s">
        <v>101</v>
      </c>
      <c r="E24" s="15" t="s">
        <v>101</v>
      </c>
      <c r="F24" s="15" t="s">
        <v>101</v>
      </c>
    </row>
    <row r="25" customFormat="false" ht="15" hidden="false" customHeight="false" outlineLevel="0" collapsed="false">
      <c r="A25" s="10" t="n">
        <v>11</v>
      </c>
      <c r="B25" s="15" t="s">
        <v>101</v>
      </c>
      <c r="C25" s="15" t="s">
        <v>101</v>
      </c>
      <c r="D25" s="15" t="s">
        <v>101</v>
      </c>
      <c r="E25" s="15" t="s">
        <v>101</v>
      </c>
      <c r="F25" s="15" t="s">
        <v>101</v>
      </c>
    </row>
    <row r="26" customFormat="false" ht="15" hidden="false" customHeight="false" outlineLevel="0" collapsed="false">
      <c r="A26" s="10" t="n">
        <v>12</v>
      </c>
      <c r="B26" s="15" t="s">
        <v>101</v>
      </c>
      <c r="C26" s="15" t="s">
        <v>98</v>
      </c>
      <c r="D26" s="15" t="s">
        <v>98</v>
      </c>
      <c r="E26" s="15" t="s">
        <v>98</v>
      </c>
      <c r="F26" s="15" t="s">
        <v>98</v>
      </c>
    </row>
    <row r="27" customFormat="false" ht="15" hidden="false" customHeight="false" outlineLevel="0" collapsed="false">
      <c r="A27" s="10" t="n">
        <v>13</v>
      </c>
      <c r="B27" s="15" t="s">
        <v>102</v>
      </c>
      <c r="C27" s="15" t="s">
        <v>102</v>
      </c>
      <c r="D27" s="15" t="s">
        <v>102</v>
      </c>
      <c r="E27" s="15" t="s">
        <v>102</v>
      </c>
      <c r="F27" s="15" t="s">
        <v>102</v>
      </c>
    </row>
    <row r="28" customFormat="false" ht="15" hidden="false" customHeight="false" outlineLevel="0" collapsed="false">
      <c r="A28" s="10" t="n">
        <v>14</v>
      </c>
      <c r="B28" s="15" t="s">
        <v>102</v>
      </c>
      <c r="C28" s="15" t="s">
        <v>102</v>
      </c>
      <c r="D28" s="15" t="s">
        <v>102</v>
      </c>
      <c r="E28" s="15" t="s">
        <v>102</v>
      </c>
      <c r="F28" s="15" t="s">
        <v>102</v>
      </c>
    </row>
    <row r="29" customFormat="false" ht="15" hidden="false" customHeight="false" outlineLevel="0" collapsed="false">
      <c r="A29" s="10" t="n">
        <v>15</v>
      </c>
      <c r="B29" s="15" t="s">
        <v>102</v>
      </c>
      <c r="C29" s="15" t="s">
        <v>102</v>
      </c>
      <c r="D29" s="15" t="s">
        <v>102</v>
      </c>
      <c r="E29" s="15" t="s">
        <v>102</v>
      </c>
      <c r="F29" s="15" t="s">
        <v>102</v>
      </c>
    </row>
    <row r="30" customFormat="false" ht="16" hidden="false" customHeight="false" outlineLevel="0" collapsed="false">
      <c r="A30" s="10" t="s">
        <v>103</v>
      </c>
      <c r="B30" s="18" t="n">
        <f aca="false">COUNTA(B15:B29)</f>
        <v>15</v>
      </c>
      <c r="C30" s="18" t="n">
        <f aca="false">COUNTA(C15:C29)</f>
        <v>15</v>
      </c>
      <c r="D30" s="18" t="n">
        <f aca="false">COUNTA(D15:D29)</f>
        <v>15</v>
      </c>
      <c r="E30" s="18" t="n">
        <f aca="false">COUNTA(E15:E29)</f>
        <v>15</v>
      </c>
      <c r="F30" s="18" t="n">
        <f aca="false">COUNTA(F15:F29)</f>
        <v>15</v>
      </c>
      <c r="H30" s="10" t="s">
        <v>104</v>
      </c>
    </row>
    <row r="32" customFormat="false" ht="15.5" hidden="false" customHeight="false" outlineLevel="0" collapsed="false">
      <c r="A32" s="12" t="s">
        <v>105</v>
      </c>
      <c r="B32" s="12"/>
      <c r="C32" s="12"/>
      <c r="D32" s="12"/>
      <c r="E32" s="12"/>
      <c r="F32" s="12"/>
      <c r="G32" s="13"/>
      <c r="H32" s="13"/>
    </row>
    <row r="33" customFormat="false" ht="15.5" hidden="false" customHeight="false" outlineLevel="0" collapsed="false">
      <c r="A33" s="14" t="s">
        <v>106</v>
      </c>
      <c r="B33" s="14" t="s">
        <v>92</v>
      </c>
      <c r="C33" s="14" t="s">
        <v>93</v>
      </c>
      <c r="D33" s="14" t="s">
        <v>94</v>
      </c>
      <c r="E33" s="14" t="s">
        <v>95</v>
      </c>
      <c r="F33" s="14" t="s">
        <v>96</v>
      </c>
      <c r="G33" s="14" t="s">
        <v>107</v>
      </c>
      <c r="H33" s="14" t="s">
        <v>66</v>
      </c>
    </row>
    <row r="34" customFormat="false" ht="16" hidden="false" customHeight="false" outlineLevel="0" collapsed="false">
      <c r="A34" s="36">
        <v>9</v>
      </c>
      <c r="B34" s="18" t="n">
        <f aca="false">COUNTIF(B15:B29,"9")</f>
        <v>3</v>
      </c>
      <c r="C34" s="18" t="n">
        <f aca="false">COUNTIF(C15:C29,"9")</f>
        <v>2</v>
      </c>
      <c r="D34" s="18" t="n">
        <f aca="false">COUNTIF(D15:D29,"9")</f>
        <v>2</v>
      </c>
      <c r="E34" s="18" t="n">
        <f aca="false">COUNTIF(E15:E29,"9")</f>
        <v>2</v>
      </c>
      <c r="F34" s="18" t="n">
        <f aca="false">COUNTIF(F15:F29,"9")</f>
        <v>2</v>
      </c>
      <c r="G34" s="18" t="n">
        <f aca="false">SUM(B34:F34)</f>
        <v>11</v>
      </c>
      <c r="H34" s="10" t="s">
        <v>108</v>
      </c>
    </row>
    <row r="35" customFormat="false" ht="16" hidden="false" customHeight="false" outlineLevel="0" collapsed="false">
      <c r="A35" s="36">
        <v>10</v>
      </c>
      <c r="B35" s="18" t="n">
        <f aca="false">COUNTIF(B15:B29,"10")</f>
        <v>3</v>
      </c>
      <c r="C35" s="18" t="n">
        <f aca="false">COUNTIF(C15:C29,"10")</f>
        <v>3</v>
      </c>
      <c r="D35" s="18" t="n">
        <f aca="false">COUNTIF(D15:D29,"10")</f>
        <v>3</v>
      </c>
      <c r="E35" s="18" t="n">
        <f aca="false">COUNTIF(E15:E29,"10")</f>
        <v>3</v>
      </c>
      <c r="F35" s="18" t="n">
        <f aca="false">COUNTIF(F15:F29,"10")</f>
        <v>3</v>
      </c>
      <c r="G35" s="18" t="n">
        <f aca="false">SUM(B35:F35)</f>
        <v>15</v>
      </c>
      <c r="H35" s="10" t="s">
        <v>108</v>
      </c>
    </row>
    <row r="36" customFormat="false" ht="16" hidden="false" customHeight="false" outlineLevel="0" collapsed="false">
      <c r="A36" s="20" t="s">
        <v>100</v>
      </c>
      <c r="B36" s="18" t="n">
        <f aca="false">COUNTIF(B15:B29,"J")</f>
        <v>3</v>
      </c>
      <c r="C36" s="18" t="n">
        <f aca="false">COUNTIF(C15:C29,"J")</f>
        <v>3</v>
      </c>
      <c r="D36" s="18" t="n">
        <f aca="false">COUNTIF(D15:D29,"J")</f>
        <v>3</v>
      </c>
      <c r="E36" s="18" t="n">
        <f aca="false">COUNTIF(E15:E29,"J")</f>
        <v>3</v>
      </c>
      <c r="F36" s="18" t="n">
        <f aca="false">COUNTIF(F15:F29,"J")</f>
        <v>3</v>
      </c>
      <c r="G36" s="18" t="n">
        <f aca="false">SUM(B36:F36)</f>
        <v>15</v>
      </c>
      <c r="H36" s="10" t="s">
        <v>108</v>
      </c>
    </row>
    <row r="37" customFormat="false" ht="16" hidden="false" customHeight="false" outlineLevel="0" collapsed="false">
      <c r="A37" s="20" t="s">
        <v>101</v>
      </c>
      <c r="B37" s="18" t="n">
        <f aca="false">COUNTIF(B15:B29,"Q")</f>
        <v>3</v>
      </c>
      <c r="C37" s="18" t="n">
        <f aca="false">COUNTIF(C15:C29,"Q")</f>
        <v>2</v>
      </c>
      <c r="D37" s="18" t="n">
        <f aca="false">COUNTIF(D15:D29,"Q")</f>
        <v>2</v>
      </c>
      <c r="E37" s="18" t="n">
        <f aca="false">COUNTIF(E15:E29,"Q")</f>
        <v>2</v>
      </c>
      <c r="F37" s="18" t="n">
        <f aca="false">COUNTIF(F15:F29,"Q")</f>
        <v>2</v>
      </c>
      <c r="G37" s="18" t="n">
        <f aca="false">SUM(B37:F37)</f>
        <v>11</v>
      </c>
      <c r="H37" s="10" t="s">
        <v>108</v>
      </c>
    </row>
    <row r="38" customFormat="false" ht="16" hidden="false" customHeight="false" outlineLevel="0" collapsed="false">
      <c r="A38" s="20" t="s">
        <v>102</v>
      </c>
      <c r="B38" s="18" t="n">
        <f aca="false">COUNTIF(B15:B29,"K")</f>
        <v>3</v>
      </c>
      <c r="C38" s="18" t="n">
        <f aca="false">COUNTIF(C15:C29,"K")</f>
        <v>3</v>
      </c>
      <c r="D38" s="18" t="n">
        <f aca="false">COUNTIF(D15:D29,"K")</f>
        <v>3</v>
      </c>
      <c r="E38" s="18" t="n">
        <f aca="false">COUNTIF(E15:E29,"K")</f>
        <v>3</v>
      </c>
      <c r="F38" s="18" t="n">
        <f aca="false">COUNTIF(F15:F29,"K")</f>
        <v>3</v>
      </c>
      <c r="G38" s="18" t="n">
        <f aca="false">SUM(B38:F38)</f>
        <v>15</v>
      </c>
      <c r="H38" s="10" t="s">
        <v>108</v>
      </c>
    </row>
    <row r="39" customFormat="false" ht="16" hidden="false" customHeight="false" outlineLevel="0" collapsed="false">
      <c r="A39" s="20" t="s">
        <v>98</v>
      </c>
      <c r="B39" s="18" t="n">
        <f aca="false">COUNTIF(B15:B29,"Wild")</f>
        <v>0</v>
      </c>
      <c r="C39" s="18" t="n">
        <f aca="false">COUNTIF(C15:C29,"Wild")</f>
        <v>2</v>
      </c>
      <c r="D39" s="18" t="n">
        <f aca="false">COUNTIF(D15:D29,"Wild")</f>
        <v>2</v>
      </c>
      <c r="E39" s="18" t="n">
        <f aca="false">COUNTIF(E15:E29,"Wild")</f>
        <v>2</v>
      </c>
      <c r="F39" s="18" t="n">
        <f aca="false">COUNTIF(F15:F29,"Wild")</f>
        <v>2</v>
      </c>
      <c r="H39" s="10" t="s">
        <v>109</v>
      </c>
    </row>
    <row r="41" customFormat="false" ht="15.5" hidden="false" customHeight="false" outlineLevel="0" collapsed="false">
      <c r="A41" s="12" t="s">
        <v>110</v>
      </c>
      <c r="B41" s="12"/>
      <c r="C41" s="12"/>
      <c r="D41" s="12"/>
      <c r="E41" s="12"/>
      <c r="F41" s="12"/>
      <c r="G41" s="13"/>
      <c r="H41" s="13"/>
    </row>
    <row r="42" customFormat="false" ht="15.5" hidden="false" customHeight="false" outlineLevel="0" collapsed="false">
      <c r="A42" s="14" t="s">
        <v>84</v>
      </c>
      <c r="B42" s="14" t="s">
        <v>106</v>
      </c>
      <c r="C42" s="14" t="s">
        <v>111</v>
      </c>
      <c r="D42" s="14" t="s">
        <v>112</v>
      </c>
      <c r="E42" s="14" t="s">
        <v>113</v>
      </c>
      <c r="F42" s="14" t="s">
        <v>114</v>
      </c>
      <c r="G42" s="14" t="s">
        <v>115</v>
      </c>
      <c r="H42" s="14" t="s">
        <v>66</v>
      </c>
    </row>
    <row r="43" customFormat="false" ht="16" hidden="false" customHeight="false" outlineLevel="0" collapsed="false">
      <c r="A43" s="17" t="s">
        <v>116</v>
      </c>
      <c r="B43" s="17"/>
      <c r="C43" s="18" t="n">
        <f aca="false">COUNTIF(B15:B29,"Wild")*$B$7</f>
        <v>0</v>
      </c>
      <c r="D43" s="18" t="n">
        <f aca="false">COUNTIF(C15:C29,"Wild")*$B$7</f>
        <v>6</v>
      </c>
      <c r="E43" s="18" t="n">
        <f aca="false">COUNTIF(D15:D29,"Wild")*$B$7</f>
        <v>6</v>
      </c>
      <c r="F43" s="18" t="n">
        <f aca="false">COUNTIF(E15:E29,"Wild")*$B$7</f>
        <v>6</v>
      </c>
      <c r="G43" s="18" t="n">
        <f aca="false">COUNTIF(F15:F29,"Wild")*$B$7</f>
        <v>6</v>
      </c>
      <c r="H43" s="10" t="s">
        <v>117</v>
      </c>
    </row>
    <row r="44" customFormat="false" ht="16" hidden="false" customHeight="false" outlineLevel="0" collapsed="false">
      <c r="A44" s="20" t="s">
        <v>118</v>
      </c>
      <c r="B44" s="36">
        <v>9</v>
      </c>
      <c r="C44" s="21" t="n">
        <v>3</v>
      </c>
      <c r="D44" s="21" t="n">
        <v>0</v>
      </c>
      <c r="E44" s="21" t="n">
        <v>0</v>
      </c>
      <c r="F44" s="21" t="n">
        <v>0</v>
      </c>
      <c r="G44" s="21" t="n">
        <v>0</v>
      </c>
      <c r="H44" s="10" t="s">
        <v>119</v>
      </c>
    </row>
    <row r="45" customFormat="false" ht="16" hidden="false" customHeight="false" outlineLevel="0" collapsed="false">
      <c r="A45" s="20" t="s">
        <v>118</v>
      </c>
      <c r="B45" s="36">
        <v>10</v>
      </c>
      <c r="C45" s="21" t="n">
        <v>3</v>
      </c>
      <c r="D45" s="21" t="n">
        <v>3</v>
      </c>
      <c r="E45" s="21" t="n">
        <v>3</v>
      </c>
      <c r="F45" s="21" t="n">
        <v>3</v>
      </c>
      <c r="G45" s="21" t="n">
        <v>3</v>
      </c>
      <c r="H45" s="10" t="s">
        <v>120</v>
      </c>
    </row>
    <row r="46" customFormat="false" ht="16" hidden="false" customHeight="false" outlineLevel="0" collapsed="false">
      <c r="A46" s="20" t="s">
        <v>118</v>
      </c>
      <c r="B46" s="20" t="s">
        <v>100</v>
      </c>
      <c r="C46" s="21" t="n">
        <v>3</v>
      </c>
      <c r="D46" s="21" t="n">
        <v>3</v>
      </c>
      <c r="E46" s="21" t="n">
        <v>3</v>
      </c>
      <c r="F46" s="21" t="n">
        <v>3</v>
      </c>
      <c r="G46" s="21" t="n">
        <v>3</v>
      </c>
      <c r="H46" s="10" t="s">
        <v>121</v>
      </c>
    </row>
    <row r="47" customFormat="false" ht="16" hidden="false" customHeight="false" outlineLevel="0" collapsed="false">
      <c r="A47" s="20" t="s">
        <v>118</v>
      </c>
      <c r="B47" s="20" t="s">
        <v>101</v>
      </c>
      <c r="C47" s="21" t="n">
        <v>3</v>
      </c>
      <c r="D47" s="21" t="n">
        <v>0</v>
      </c>
      <c r="E47" s="21" t="n">
        <v>0</v>
      </c>
      <c r="F47" s="21" t="n">
        <v>0</v>
      </c>
      <c r="G47" s="21" t="n">
        <v>0</v>
      </c>
      <c r="H47" s="10" t="s">
        <v>122</v>
      </c>
    </row>
    <row r="48" customFormat="false" ht="16" hidden="false" customHeight="false" outlineLevel="0" collapsed="false">
      <c r="A48" s="20" t="s">
        <v>118</v>
      </c>
      <c r="B48" s="20" t="s">
        <v>102</v>
      </c>
      <c r="C48" s="21" t="n">
        <v>3</v>
      </c>
      <c r="D48" s="21" t="n">
        <v>3</v>
      </c>
      <c r="E48" s="21" t="n">
        <v>3</v>
      </c>
      <c r="F48" s="21" t="n">
        <v>3</v>
      </c>
      <c r="G48" s="21" t="n">
        <v>3</v>
      </c>
      <c r="H48" s="10" t="s">
        <v>123</v>
      </c>
    </row>
    <row r="49" customFormat="false" ht="16" hidden="false" customHeight="false" outlineLevel="0" collapsed="false">
      <c r="A49" s="20" t="s">
        <v>124</v>
      </c>
      <c r="B49" s="36">
        <v>9</v>
      </c>
      <c r="C49" s="21" t="n">
        <v>3</v>
      </c>
      <c r="D49" s="21" t="n">
        <v>1</v>
      </c>
      <c r="E49" s="21" t="n">
        <v>1</v>
      </c>
      <c r="F49" s="21" t="n">
        <v>1</v>
      </c>
      <c r="G49" s="21" t="n">
        <v>1</v>
      </c>
      <c r="H49" s="10" t="s">
        <v>125</v>
      </c>
    </row>
    <row r="50" customFormat="false" ht="16" hidden="false" customHeight="false" outlineLevel="0" collapsed="false">
      <c r="A50" s="20" t="s">
        <v>124</v>
      </c>
      <c r="B50" s="36">
        <v>10</v>
      </c>
      <c r="C50" s="21" t="n">
        <v>3</v>
      </c>
      <c r="D50" s="21" t="n">
        <v>2</v>
      </c>
      <c r="E50" s="21" t="n">
        <v>2</v>
      </c>
      <c r="F50" s="21" t="n">
        <v>2</v>
      </c>
      <c r="G50" s="21" t="n">
        <v>2</v>
      </c>
      <c r="H50" s="10" t="s">
        <v>126</v>
      </c>
    </row>
    <row r="51" customFormat="false" ht="16" hidden="false" customHeight="false" outlineLevel="0" collapsed="false">
      <c r="A51" s="20" t="s">
        <v>124</v>
      </c>
      <c r="B51" s="20" t="s">
        <v>100</v>
      </c>
      <c r="C51" s="21" t="n">
        <v>3</v>
      </c>
      <c r="D51" s="21" t="n">
        <v>2</v>
      </c>
      <c r="E51" s="21" t="n">
        <v>2</v>
      </c>
      <c r="F51" s="21" t="n">
        <v>2</v>
      </c>
      <c r="G51" s="21" t="n">
        <v>2</v>
      </c>
      <c r="H51" s="10" t="s">
        <v>127</v>
      </c>
    </row>
    <row r="52" customFormat="false" ht="16" hidden="false" customHeight="false" outlineLevel="0" collapsed="false">
      <c r="A52" s="20" t="s">
        <v>124</v>
      </c>
      <c r="B52" s="20" t="s">
        <v>101</v>
      </c>
      <c r="C52" s="21" t="n">
        <v>3</v>
      </c>
      <c r="D52" s="21" t="n">
        <v>1</v>
      </c>
      <c r="E52" s="21" t="n">
        <v>1</v>
      </c>
      <c r="F52" s="21" t="n">
        <v>1</v>
      </c>
      <c r="G52" s="21" t="n">
        <v>1</v>
      </c>
      <c r="H52" s="10" t="s">
        <v>128</v>
      </c>
    </row>
    <row r="53" customFormat="false" ht="16" hidden="false" customHeight="false" outlineLevel="0" collapsed="false">
      <c r="A53" s="20" t="s">
        <v>124</v>
      </c>
      <c r="B53" s="20" t="s">
        <v>102</v>
      </c>
      <c r="C53" s="21" t="n">
        <v>3</v>
      </c>
      <c r="D53" s="21" t="n">
        <v>2</v>
      </c>
      <c r="E53" s="21" t="n">
        <v>2</v>
      </c>
      <c r="F53" s="21" t="n">
        <v>2</v>
      </c>
      <c r="G53" s="21" t="n">
        <v>2</v>
      </c>
      <c r="H53" s="10" t="s">
        <v>129</v>
      </c>
    </row>
    <row r="54" customFormat="false" ht="16" hidden="false" customHeight="false" outlineLevel="0" collapsed="false">
      <c r="A54" s="20" t="s">
        <v>130</v>
      </c>
      <c r="B54" s="36">
        <v>9</v>
      </c>
      <c r="C54" s="21" t="n">
        <v>3</v>
      </c>
      <c r="D54" s="21" t="n">
        <v>2</v>
      </c>
      <c r="E54" s="21" t="n">
        <v>2</v>
      </c>
      <c r="F54" s="21" t="n">
        <v>2</v>
      </c>
      <c r="G54" s="21" t="n">
        <v>2</v>
      </c>
      <c r="H54" s="10" t="s">
        <v>131</v>
      </c>
    </row>
    <row r="55" customFormat="false" ht="16" hidden="false" customHeight="false" outlineLevel="0" collapsed="false">
      <c r="A55" s="20" t="s">
        <v>130</v>
      </c>
      <c r="B55" s="36">
        <v>10</v>
      </c>
      <c r="C55" s="21" t="n">
        <v>3</v>
      </c>
      <c r="D55" s="21" t="n">
        <v>1</v>
      </c>
      <c r="E55" s="21" t="n">
        <v>1</v>
      </c>
      <c r="F55" s="21" t="n">
        <v>1</v>
      </c>
      <c r="G55" s="21" t="n">
        <v>1</v>
      </c>
      <c r="H55" s="10" t="s">
        <v>132</v>
      </c>
    </row>
    <row r="56" customFormat="false" ht="16" hidden="false" customHeight="false" outlineLevel="0" collapsed="false">
      <c r="A56" s="20" t="s">
        <v>130</v>
      </c>
      <c r="B56" s="20" t="s">
        <v>100</v>
      </c>
      <c r="C56" s="21" t="n">
        <v>3</v>
      </c>
      <c r="D56" s="21" t="n">
        <v>3</v>
      </c>
      <c r="E56" s="21" t="n">
        <v>3</v>
      </c>
      <c r="F56" s="21" t="n">
        <v>3</v>
      </c>
      <c r="G56" s="21" t="n">
        <v>3</v>
      </c>
      <c r="H56" s="10" t="s">
        <v>133</v>
      </c>
    </row>
    <row r="57" customFormat="false" ht="16" hidden="false" customHeight="false" outlineLevel="0" collapsed="false">
      <c r="A57" s="20" t="s">
        <v>130</v>
      </c>
      <c r="B57" s="20" t="s">
        <v>101</v>
      </c>
      <c r="C57" s="21" t="n">
        <v>3</v>
      </c>
      <c r="D57" s="21" t="n">
        <v>2</v>
      </c>
      <c r="E57" s="21" t="n">
        <v>2</v>
      </c>
      <c r="F57" s="21" t="n">
        <v>2</v>
      </c>
      <c r="G57" s="21" t="n">
        <v>2</v>
      </c>
      <c r="H57" s="10" t="s">
        <v>134</v>
      </c>
    </row>
    <row r="58" customFormat="false" ht="16" hidden="false" customHeight="false" outlineLevel="0" collapsed="false">
      <c r="A58" s="20" t="s">
        <v>130</v>
      </c>
      <c r="B58" s="20" t="s">
        <v>102</v>
      </c>
      <c r="C58" s="21" t="n">
        <v>3</v>
      </c>
      <c r="D58" s="21" t="n">
        <v>1</v>
      </c>
      <c r="E58" s="21" t="n">
        <v>1</v>
      </c>
      <c r="F58" s="21" t="n">
        <v>1</v>
      </c>
      <c r="G58" s="21" t="n">
        <v>1</v>
      </c>
      <c r="H58" s="10" t="s">
        <v>135</v>
      </c>
    </row>
    <row r="59" customFormat="false" ht="15.5" hidden="false" customHeight="true" outlineLevel="0" collapsed="false">
      <c r="A59" s="22" t="s">
        <v>136</v>
      </c>
      <c r="B59" s="22"/>
      <c r="C59" s="22"/>
      <c r="D59" s="22"/>
      <c r="E59" s="22"/>
      <c r="F59" s="22"/>
      <c r="G59" s="22"/>
    </row>
    <row r="61" customFormat="false" ht="15.5" hidden="false" customHeight="false" outlineLevel="0" collapsed="false">
      <c r="A61" s="12" t="s">
        <v>137</v>
      </c>
      <c r="B61" s="12"/>
      <c r="C61" s="12"/>
      <c r="D61" s="12"/>
      <c r="E61" s="12"/>
      <c r="F61" s="12"/>
      <c r="G61" s="13"/>
      <c r="H61" s="13"/>
    </row>
    <row r="62" customFormat="false" ht="15.5" hidden="false" customHeight="false" outlineLevel="0" collapsed="false">
      <c r="A62" s="14" t="s">
        <v>106</v>
      </c>
      <c r="B62" s="37">
        <v>3</v>
      </c>
      <c r="C62" s="37">
        <v>4</v>
      </c>
      <c r="D62" s="37">
        <v>5</v>
      </c>
      <c r="E62" s="37">
        <v>3</v>
      </c>
      <c r="F62" s="37">
        <v>4</v>
      </c>
      <c r="G62" s="37">
        <v>5</v>
      </c>
      <c r="H62" s="37">
        <v>3</v>
      </c>
      <c r="I62" s="37">
        <v>4</v>
      </c>
      <c r="J62" s="37">
        <v>5</v>
      </c>
      <c r="K62" s="14" t="s">
        <v>147</v>
      </c>
    </row>
    <row r="63" customFormat="false" ht="15" hidden="false" customHeight="false" outlineLevel="0" collapsed="false">
      <c r="A63" s="36">
        <v>9</v>
      </c>
      <c r="B63" s="18" t="n">
        <f aca="false">(C44+$C$43)*(D44+$D$43)*(E44+$E$43)*($B$8-(F44+$F$43))*$B$8</f>
        <v>14580</v>
      </c>
      <c r="C63" s="18" t="n">
        <f aca="false">(C44+$C$43)*(D44+$D$43)*(E44+$E$43)*(F44+$F$43)*($B$8-(G44+$G$43))</f>
        <v>5832</v>
      </c>
      <c r="D63" s="18" t="n">
        <f aca="false">(C44+$C$43)*(D44+$D$43)*(E44+$E$43)*(F44+$F$43)*(G44+$G$43)</f>
        <v>3888</v>
      </c>
      <c r="E63" s="15" t="n">
        <v>1</v>
      </c>
      <c r="F63" s="15" t="n">
        <v>3</v>
      </c>
      <c r="G63" s="15" t="n">
        <v>5</v>
      </c>
      <c r="H63" s="24" t="n">
        <f aca="false">B63/$B$9*E63</f>
        <v>0.0192</v>
      </c>
      <c r="I63" s="24" t="n">
        <f aca="false">C63/$B$9*F63</f>
        <v>0.02304</v>
      </c>
      <c r="J63" s="24" t="n">
        <f aca="false">D63/$B$9*G63</f>
        <v>0.0256</v>
      </c>
    </row>
    <row r="64" customFormat="false" ht="15" hidden="false" customHeight="false" outlineLevel="0" collapsed="false">
      <c r="A64" s="36">
        <v>10</v>
      </c>
      <c r="B64" s="18" t="n">
        <f aca="false">(C45+$C$43)*(D45+$D$43)*(E45+$E$43)*($B$8-(F45+$F$43))*$B$8</f>
        <v>21870</v>
      </c>
      <c r="C64" s="18" t="n">
        <f aca="false">(C45+$C$43)*(D45+$D$43)*(E45+$E$43)*(F45+$F$43)*($B$8-(G45+$G$43))</f>
        <v>13122</v>
      </c>
      <c r="D64" s="18" t="n">
        <f aca="false">(C45+$C$43)*(D45+$D$43)*(E45+$E$43)*(F45+$F$43)*(G45+$G$43)</f>
        <v>19683</v>
      </c>
      <c r="E64" s="15" t="n">
        <v>1</v>
      </c>
      <c r="F64" s="15" t="n">
        <v>3</v>
      </c>
      <c r="G64" s="15" t="n">
        <v>5</v>
      </c>
      <c r="H64" s="24" t="n">
        <f aca="false">B64/$B$9*E64</f>
        <v>0.0288</v>
      </c>
      <c r="I64" s="24" t="n">
        <f aca="false">C64/$B$9*F64</f>
        <v>0.05184</v>
      </c>
      <c r="J64" s="24" t="n">
        <f aca="false">D64/$B$9*G64</f>
        <v>0.1296</v>
      </c>
    </row>
    <row r="65" customFormat="false" ht="15" hidden="false" customHeight="false" outlineLevel="0" collapsed="false">
      <c r="A65" s="20" t="s">
        <v>100</v>
      </c>
      <c r="B65" s="18" t="n">
        <f aca="false">(C46+$C$43)*(D46+$D$43)*(E46+$E$43)*($B$8-(F46+$F$43))*$B$8</f>
        <v>21870</v>
      </c>
      <c r="C65" s="18" t="n">
        <f aca="false">(C46+$C$43)*(D46+$D$43)*(E46+$E$43)*(F46+$F$43)*($B$8-(G46+$G$43))</f>
        <v>13122</v>
      </c>
      <c r="D65" s="18" t="n">
        <f aca="false">(C46+$C$43)*(D46+$D$43)*(E46+$E$43)*(F46+$F$43)*(G46+$G$43)</f>
        <v>19683</v>
      </c>
      <c r="E65" s="15" t="n">
        <v>1</v>
      </c>
      <c r="F65" s="15" t="n">
        <v>3</v>
      </c>
      <c r="G65" s="15" t="n">
        <v>5</v>
      </c>
      <c r="H65" s="24" t="n">
        <f aca="false">B65/$B$9*E65</f>
        <v>0.0288</v>
      </c>
      <c r="I65" s="24" t="n">
        <f aca="false">C65/$B$9*F65</f>
        <v>0.05184</v>
      </c>
      <c r="J65" s="24" t="n">
        <f aca="false">D65/$B$9*G65</f>
        <v>0.1296</v>
      </c>
    </row>
    <row r="66" customFormat="false" ht="15" hidden="false" customHeight="false" outlineLevel="0" collapsed="false">
      <c r="A66" s="20" t="s">
        <v>101</v>
      </c>
      <c r="B66" s="18" t="n">
        <f aca="false">(C47+$C$43)*(D47+$D$43)*(E47+$E$43)*($B$8-(F47+$F$43))*$B$8</f>
        <v>14580</v>
      </c>
      <c r="C66" s="18" t="n">
        <f aca="false">(C47+$C$43)*(D47+$D$43)*(E47+$E$43)*(F47+$F$43)*($B$8-(G47+$G$43))</f>
        <v>5832</v>
      </c>
      <c r="D66" s="18" t="n">
        <f aca="false">(C47+$C$43)*(D47+$D$43)*(E47+$E$43)*(F47+$F$43)*(G47+$G$43)</f>
        <v>3888</v>
      </c>
      <c r="E66" s="15" t="n">
        <v>1</v>
      </c>
      <c r="F66" s="15" t="n">
        <v>3</v>
      </c>
      <c r="G66" s="15" t="n">
        <v>5</v>
      </c>
      <c r="H66" s="24" t="n">
        <f aca="false">B66/$B$9*E66</f>
        <v>0.0192</v>
      </c>
      <c r="I66" s="24" t="n">
        <f aca="false">C66/$B$9*F66</f>
        <v>0.02304</v>
      </c>
      <c r="J66" s="24" t="n">
        <f aca="false">D66/$B$9*G66</f>
        <v>0.0256</v>
      </c>
    </row>
    <row r="67" customFormat="false" ht="15" hidden="false" customHeight="false" outlineLevel="0" collapsed="false">
      <c r="A67" s="20" t="s">
        <v>102</v>
      </c>
      <c r="B67" s="18" t="n">
        <f aca="false">(C48+$C$43)*(D48+$D$43)*(E48+$E$43)*($B$8-(F48+$F$43))*$B$8</f>
        <v>21870</v>
      </c>
      <c r="C67" s="18" t="n">
        <f aca="false">(C48+$C$43)*(D48+$D$43)*(E48+$E$43)*(F48+$F$43)*($B$8-(G48+$G$43))</f>
        <v>13122</v>
      </c>
      <c r="D67" s="18" t="n">
        <f aca="false">(C48+$C$43)*(D48+$D$43)*(E48+$E$43)*(F48+$F$43)*(G48+$G$43)</f>
        <v>19683</v>
      </c>
      <c r="E67" s="15" t="n">
        <v>5</v>
      </c>
      <c r="F67" s="15" t="n">
        <v>10</v>
      </c>
      <c r="G67" s="15" t="n">
        <v>15</v>
      </c>
      <c r="H67" s="24" t="n">
        <f aca="false">B67/$B$9*E67</f>
        <v>0.144</v>
      </c>
      <c r="I67" s="24" t="n">
        <f aca="false">C67/$B$9*F67</f>
        <v>0.1728</v>
      </c>
      <c r="J67" s="24" t="n">
        <f aca="false">D67/$B$9*G67</f>
        <v>0.3888</v>
      </c>
    </row>
    <row r="68" customFormat="false" ht="15.5" hidden="false" customHeight="false" outlineLevel="0" collapsed="false">
      <c r="A68" s="25" t="s">
        <v>148</v>
      </c>
      <c r="K68" s="26" t="n">
        <f aca="false">SUM(H63:J67)</f>
        <v>1.26176</v>
      </c>
    </row>
    <row r="69" customFormat="false" ht="15.5" hidden="false" customHeight="false" outlineLevel="0" collapsed="false">
      <c r="A69" s="12" t="s">
        <v>149</v>
      </c>
      <c r="B69" s="12"/>
      <c r="C69" s="12"/>
      <c r="D69" s="12"/>
      <c r="E69" s="12"/>
      <c r="F69" s="12"/>
      <c r="G69" s="13"/>
      <c r="H69" s="13"/>
    </row>
    <row r="70" customFormat="false" ht="15.5" hidden="false" customHeight="false" outlineLevel="0" collapsed="false">
      <c r="A70" s="14" t="s">
        <v>106</v>
      </c>
      <c r="B70" s="37">
        <v>3</v>
      </c>
      <c r="C70" s="37">
        <v>4</v>
      </c>
      <c r="D70" s="37">
        <v>5</v>
      </c>
      <c r="E70" s="37">
        <v>3</v>
      </c>
      <c r="F70" s="37">
        <v>4</v>
      </c>
      <c r="G70" s="37">
        <v>5</v>
      </c>
      <c r="H70" s="37">
        <v>3</v>
      </c>
      <c r="I70" s="37">
        <v>4</v>
      </c>
      <c r="J70" s="37">
        <v>5</v>
      </c>
      <c r="K70" s="14" t="s">
        <v>147</v>
      </c>
    </row>
    <row r="71" customFormat="false" ht="15" hidden="false" customHeight="false" outlineLevel="0" collapsed="false">
      <c r="A71" s="36">
        <v>9</v>
      </c>
      <c r="B71" s="18" t="n">
        <f aca="false">(C49+$C$43)*(D49+$D$43)*(E49+$E$43)*($B$8-(F49+$F$43))*$B$8</f>
        <v>17640</v>
      </c>
      <c r="C71" s="18" t="n">
        <f aca="false">(C49+$C$43)*(D49+$D$43)*(E49+$E$43)*(F49+$F$43)*($B$8-(G49+$G$43))</f>
        <v>8232</v>
      </c>
      <c r="D71" s="18" t="n">
        <f aca="false">(C49+$C$43)*(D49+$D$43)*(E49+$E$43)*(F49+$F$43)*(G49+$G$43)</f>
        <v>7203</v>
      </c>
      <c r="E71" s="15" t="n">
        <v>1</v>
      </c>
      <c r="F71" s="15" t="n">
        <v>3</v>
      </c>
      <c r="G71" s="15" t="n">
        <v>5</v>
      </c>
      <c r="H71" s="24" t="n">
        <f aca="false">B71/$B$9*E71</f>
        <v>0.0232296296296296</v>
      </c>
      <c r="I71" s="24" t="n">
        <f aca="false">C71/$B$9*F71</f>
        <v>0.0325214814814815</v>
      </c>
      <c r="J71" s="24" t="n">
        <f aca="false">D71/$B$9*G71</f>
        <v>0.0474271604938272</v>
      </c>
    </row>
    <row r="72" customFormat="false" ht="15" hidden="false" customHeight="false" outlineLevel="0" collapsed="false">
      <c r="A72" s="36">
        <v>10</v>
      </c>
      <c r="B72" s="18" t="n">
        <f aca="false">(C50+$C$43)*(D50+$D$43)*(E50+$E$43)*($B$8-(F50+$F$43))*$B$8</f>
        <v>20160</v>
      </c>
      <c r="C72" s="18" t="n">
        <f aca="false">(C50+$C$43)*(D50+$D$43)*(E50+$E$43)*(F50+$F$43)*($B$8-(G50+$G$43))</f>
        <v>10752</v>
      </c>
      <c r="D72" s="18" t="n">
        <f aca="false">(C50+$C$43)*(D50+$D$43)*(E50+$E$43)*(F50+$F$43)*(G50+$G$43)</f>
        <v>12288</v>
      </c>
      <c r="E72" s="15" t="n">
        <v>1</v>
      </c>
      <c r="F72" s="15" t="n">
        <v>3</v>
      </c>
      <c r="G72" s="15" t="n">
        <v>5</v>
      </c>
      <c r="H72" s="24" t="n">
        <f aca="false">B72/$B$9*E72</f>
        <v>0.0265481481481481</v>
      </c>
      <c r="I72" s="24" t="n">
        <f aca="false">C72/$B$9*F72</f>
        <v>0.042477037037037</v>
      </c>
      <c r="J72" s="24" t="n">
        <f aca="false">D72/$B$9*G72</f>
        <v>0.0809086419753086</v>
      </c>
    </row>
    <row r="73" customFormat="false" ht="15" hidden="false" customHeight="false" outlineLevel="0" collapsed="false">
      <c r="A73" s="20" t="s">
        <v>100</v>
      </c>
      <c r="B73" s="18" t="n">
        <f aca="false">(C51+$C$43)*(D51+$D$43)*(E51+$E$43)*($B$8-(F51+$F$43))*$B$8</f>
        <v>20160</v>
      </c>
      <c r="C73" s="18" t="n">
        <f aca="false">(C51+$C$43)*(D51+$D$43)*(E51+$E$43)*(F51+$F$43)*($B$8-(G51+$G$43))</f>
        <v>10752</v>
      </c>
      <c r="D73" s="18" t="n">
        <f aca="false">(C51+$C$43)*(D51+$D$43)*(E51+$E$43)*(F51+$F$43)*(G51+$G$43)</f>
        <v>12288</v>
      </c>
      <c r="E73" s="15" t="n">
        <v>1</v>
      </c>
      <c r="F73" s="15" t="n">
        <v>3</v>
      </c>
      <c r="G73" s="15" t="n">
        <v>5</v>
      </c>
      <c r="H73" s="24" t="n">
        <f aca="false">B73/$B$9*E73</f>
        <v>0.0265481481481481</v>
      </c>
      <c r="I73" s="24" t="n">
        <f aca="false">C73/$B$9*F73</f>
        <v>0.042477037037037</v>
      </c>
      <c r="J73" s="24" t="n">
        <f aca="false">D73/$B$9*G73</f>
        <v>0.0809086419753086</v>
      </c>
    </row>
    <row r="74" customFormat="false" ht="15" hidden="false" customHeight="false" outlineLevel="0" collapsed="false">
      <c r="A74" s="20" t="s">
        <v>101</v>
      </c>
      <c r="B74" s="18" t="n">
        <f aca="false">(C52+$C$43)*(D52+$D$43)*(E52+$E$43)*($B$8-(F52+$F$43))*$B$8</f>
        <v>17640</v>
      </c>
      <c r="C74" s="18" t="n">
        <f aca="false">(C52+$C$43)*(D52+$D$43)*(E52+$E$43)*(F52+$F$43)*($B$8-(G52+$G$43))</f>
        <v>8232</v>
      </c>
      <c r="D74" s="18" t="n">
        <f aca="false">(C52+$C$43)*(D52+$D$43)*(E52+$E$43)*(F52+$F$43)*(G52+$G$43)</f>
        <v>7203</v>
      </c>
      <c r="E74" s="15" t="n">
        <v>1</v>
      </c>
      <c r="F74" s="15" t="n">
        <v>3</v>
      </c>
      <c r="G74" s="15" t="n">
        <v>5</v>
      </c>
      <c r="H74" s="24" t="n">
        <f aca="false">B74/$B$9*E74</f>
        <v>0.0232296296296296</v>
      </c>
      <c r="I74" s="24" t="n">
        <f aca="false">C74/$B$9*F74</f>
        <v>0.0325214814814815</v>
      </c>
      <c r="J74" s="24" t="n">
        <f aca="false">D74/$B$9*G74</f>
        <v>0.0474271604938272</v>
      </c>
    </row>
    <row r="75" customFormat="false" ht="15" hidden="false" customHeight="false" outlineLevel="0" collapsed="false">
      <c r="A75" s="20" t="s">
        <v>102</v>
      </c>
      <c r="B75" s="18" t="n">
        <f aca="false">(C53+$C$43)*(D53+$D$43)*(E53+$E$43)*($B$8-(F53+$F$43))*$B$8</f>
        <v>20160</v>
      </c>
      <c r="C75" s="18" t="n">
        <f aca="false">(C53+$C$43)*(D53+$D$43)*(E53+$E$43)*(F53+$F$43)*($B$8-(G53+$G$43))</f>
        <v>10752</v>
      </c>
      <c r="D75" s="18" t="n">
        <f aca="false">(C53+$C$43)*(D53+$D$43)*(E53+$E$43)*(F53+$F$43)*(G53+$G$43)</f>
        <v>12288</v>
      </c>
      <c r="E75" s="15" t="n">
        <v>5</v>
      </c>
      <c r="F75" s="15" t="n">
        <v>10</v>
      </c>
      <c r="G75" s="15" t="n">
        <v>15</v>
      </c>
      <c r="H75" s="24" t="n">
        <f aca="false">B75/$B$9*E75</f>
        <v>0.132740740740741</v>
      </c>
      <c r="I75" s="24" t="n">
        <f aca="false">C75/$B$9*F75</f>
        <v>0.14159012345679</v>
      </c>
      <c r="J75" s="24" t="n">
        <f aca="false">D75/$B$9*G75</f>
        <v>0.242725925925926</v>
      </c>
    </row>
    <row r="76" customFormat="false" ht="15.5" hidden="false" customHeight="false" outlineLevel="0" collapsed="false">
      <c r="A76" s="25" t="s">
        <v>150</v>
      </c>
      <c r="K76" s="26" t="n">
        <f aca="false">SUM(H71:J75)</f>
        <v>1.02328098765432</v>
      </c>
    </row>
    <row r="77" customFormat="false" ht="15.5" hidden="false" customHeight="false" outlineLevel="0" collapsed="false">
      <c r="A77" s="12" t="s">
        <v>151</v>
      </c>
      <c r="B77" s="12"/>
      <c r="C77" s="12"/>
      <c r="D77" s="12"/>
      <c r="E77" s="12"/>
      <c r="F77" s="12"/>
      <c r="G77" s="13"/>
      <c r="H77" s="13"/>
    </row>
    <row r="78" customFormat="false" ht="15.5" hidden="false" customHeight="false" outlineLevel="0" collapsed="false">
      <c r="A78" s="14" t="s">
        <v>106</v>
      </c>
      <c r="B78" s="37">
        <v>3</v>
      </c>
      <c r="C78" s="37">
        <v>4</v>
      </c>
      <c r="D78" s="37">
        <v>5</v>
      </c>
      <c r="E78" s="37">
        <v>3</v>
      </c>
      <c r="F78" s="37">
        <v>4</v>
      </c>
      <c r="G78" s="37">
        <v>5</v>
      </c>
      <c r="H78" s="37">
        <v>3</v>
      </c>
      <c r="I78" s="37">
        <v>4</v>
      </c>
      <c r="J78" s="37">
        <v>5</v>
      </c>
      <c r="K78" s="14" t="s">
        <v>147</v>
      </c>
    </row>
    <row r="79" customFormat="false" ht="15" hidden="false" customHeight="false" outlineLevel="0" collapsed="false">
      <c r="A79" s="36">
        <v>9</v>
      </c>
      <c r="B79" s="18" t="n">
        <f aca="false">(C54+$C$43)*(D54+$D$43)*(E54+$E$43)*($B$8-(F54+$F$43))*$B$8</f>
        <v>20160</v>
      </c>
      <c r="C79" s="18" t="n">
        <f aca="false">(C54+$C$43)*(D54+$D$43)*(E54+$E$43)*(F54+$F$43)*($B$8-(G54+$G$43))</f>
        <v>10752</v>
      </c>
      <c r="D79" s="18" t="n">
        <f aca="false">(C54+$C$43)*(D54+$D$43)*(E54+$E$43)*(F54+$F$43)*(G54+$G$43)</f>
        <v>12288</v>
      </c>
      <c r="E79" s="15" t="n">
        <v>1</v>
      </c>
      <c r="F79" s="15" t="n">
        <v>3</v>
      </c>
      <c r="G79" s="15" t="n">
        <v>5</v>
      </c>
      <c r="H79" s="24" t="n">
        <f aca="false">B79/$B$9*E79</f>
        <v>0.0265481481481481</v>
      </c>
      <c r="I79" s="24" t="n">
        <f aca="false">C79/$B$9*F79</f>
        <v>0.042477037037037</v>
      </c>
      <c r="J79" s="24" t="n">
        <f aca="false">D79/$B$9*G79</f>
        <v>0.0809086419753086</v>
      </c>
    </row>
    <row r="80" customFormat="false" ht="15" hidden="false" customHeight="false" outlineLevel="0" collapsed="false">
      <c r="A80" s="36">
        <v>10</v>
      </c>
      <c r="B80" s="18" t="n">
        <f aca="false">(C55+$C$43)*(D55+$D$43)*(E55+$E$43)*($B$8-(F55+$F$43))*$B$8</f>
        <v>17640</v>
      </c>
      <c r="C80" s="18" t="n">
        <f aca="false">(C55+$C$43)*(D55+$D$43)*(E55+$E$43)*(F55+$F$43)*($B$8-(G55+$G$43))</f>
        <v>8232</v>
      </c>
      <c r="D80" s="18" t="n">
        <f aca="false">(C55+$C$43)*(D55+$D$43)*(E55+$E$43)*(F55+$F$43)*(G55+$G$43)</f>
        <v>7203</v>
      </c>
      <c r="E80" s="15" t="n">
        <v>1</v>
      </c>
      <c r="F80" s="15" t="n">
        <v>3</v>
      </c>
      <c r="G80" s="15" t="n">
        <v>5</v>
      </c>
      <c r="H80" s="24" t="n">
        <f aca="false">B80/$B$9*E80</f>
        <v>0.0232296296296296</v>
      </c>
      <c r="I80" s="24" t="n">
        <f aca="false">C80/$B$9*F80</f>
        <v>0.0325214814814815</v>
      </c>
      <c r="J80" s="24" t="n">
        <f aca="false">D80/$B$9*G80</f>
        <v>0.0474271604938272</v>
      </c>
    </row>
    <row r="81" customFormat="false" ht="15" hidden="false" customHeight="false" outlineLevel="0" collapsed="false">
      <c r="A81" s="20" t="s">
        <v>100</v>
      </c>
      <c r="B81" s="18" t="n">
        <f aca="false">(C56+$C$43)*(D56+$D$43)*(E56+$E$43)*($B$8-(F56+$F$43))*$B$8</f>
        <v>21870</v>
      </c>
      <c r="C81" s="18" t="n">
        <f aca="false">(C56+$C$43)*(D56+$D$43)*(E56+$E$43)*(F56+$F$43)*($B$8-(G56+$G$43))</f>
        <v>13122</v>
      </c>
      <c r="D81" s="18" t="n">
        <f aca="false">(C56+$C$43)*(D56+$D$43)*(E56+$E$43)*(F56+$F$43)*(G56+$G$43)</f>
        <v>19683</v>
      </c>
      <c r="E81" s="15" t="n">
        <v>1</v>
      </c>
      <c r="F81" s="15" t="n">
        <v>3</v>
      </c>
      <c r="G81" s="15" t="n">
        <v>5</v>
      </c>
      <c r="H81" s="24" t="n">
        <f aca="false">B81/$B$9*E81</f>
        <v>0.0288</v>
      </c>
      <c r="I81" s="24" t="n">
        <f aca="false">C81/$B$9*F81</f>
        <v>0.05184</v>
      </c>
      <c r="J81" s="24" t="n">
        <f aca="false">D81/$B$9*G81</f>
        <v>0.1296</v>
      </c>
    </row>
    <row r="82" customFormat="false" ht="15" hidden="false" customHeight="false" outlineLevel="0" collapsed="false">
      <c r="A82" s="20" t="s">
        <v>101</v>
      </c>
      <c r="B82" s="18" t="n">
        <f aca="false">(C57+$C$43)*(D57+$D$43)*(E57+$E$43)*($B$8-(F57+$F$43))*$B$8</f>
        <v>20160</v>
      </c>
      <c r="C82" s="18" t="n">
        <f aca="false">(C57+$C$43)*(D57+$D$43)*(E57+$E$43)*(F57+$F$43)*($B$8-(G57+$G$43))</f>
        <v>10752</v>
      </c>
      <c r="D82" s="18" t="n">
        <f aca="false">(C57+$C$43)*(D57+$D$43)*(E57+$E$43)*(F57+$F$43)*(G57+$G$43)</f>
        <v>12288</v>
      </c>
      <c r="E82" s="15" t="n">
        <v>1</v>
      </c>
      <c r="F82" s="15" t="n">
        <v>3</v>
      </c>
      <c r="G82" s="15" t="n">
        <v>5</v>
      </c>
      <c r="H82" s="24" t="n">
        <f aca="false">B82/$B$9*E82</f>
        <v>0.0265481481481481</v>
      </c>
      <c r="I82" s="24" t="n">
        <f aca="false">C82/$B$9*F82</f>
        <v>0.042477037037037</v>
      </c>
      <c r="J82" s="24" t="n">
        <f aca="false">D82/$B$9*G82</f>
        <v>0.0809086419753086</v>
      </c>
    </row>
    <row r="83" customFormat="false" ht="15" hidden="false" customHeight="false" outlineLevel="0" collapsed="false">
      <c r="A83" s="20" t="s">
        <v>102</v>
      </c>
      <c r="B83" s="18" t="n">
        <f aca="false">(C58+$C$43)*(D58+$D$43)*(E58+$E$43)*($B$8-(F58+$F$43))*$B$8</f>
        <v>17640</v>
      </c>
      <c r="C83" s="18" t="n">
        <f aca="false">(C58+$C$43)*(D58+$D$43)*(E58+$E$43)*(F58+$F$43)*($B$8-(G58+$G$43))</f>
        <v>8232</v>
      </c>
      <c r="D83" s="18" t="n">
        <f aca="false">(C58+$C$43)*(D58+$D$43)*(E58+$E$43)*(F58+$F$43)*(G58+$G$43)</f>
        <v>7203</v>
      </c>
      <c r="E83" s="15" t="n">
        <v>5</v>
      </c>
      <c r="F83" s="15" t="n">
        <v>10</v>
      </c>
      <c r="G83" s="15" t="n">
        <v>15</v>
      </c>
      <c r="H83" s="24" t="n">
        <f aca="false">B83/$B$9*E83</f>
        <v>0.116148148148148</v>
      </c>
      <c r="I83" s="24" t="n">
        <f aca="false">C83/$B$9*F83</f>
        <v>0.108404938271605</v>
      </c>
      <c r="J83" s="24" t="n">
        <f aca="false">D83/$B$9*G83</f>
        <v>0.142281481481481</v>
      </c>
    </row>
    <row r="84" customFormat="false" ht="15.5" hidden="false" customHeight="false" outlineLevel="0" collapsed="false">
      <c r="A84" s="25" t="s">
        <v>152</v>
      </c>
      <c r="K84" s="26" t="n">
        <f aca="false">SUM(H79:J83)</f>
        <v>0.980120493827161</v>
      </c>
    </row>
    <row r="86" customFormat="false" ht="15.5" hidden="false" customHeight="false" outlineLevel="0" collapsed="false">
      <c r="A86" s="27" t="s">
        <v>153</v>
      </c>
      <c r="B86" s="27"/>
      <c r="K86" s="26" t="n">
        <f aca="false">AVERAGE(K68,K76,K84)</f>
        <v>1.08838716049383</v>
      </c>
    </row>
    <row r="87" customFormat="false" ht="15.5" hidden="false" customHeight="true" outlineLevel="0" collapsed="false">
      <c r="A87" s="22" t="s">
        <v>154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</row>
    <row r="89" customFormat="false" ht="15.5" hidden="false" customHeight="false" outlineLevel="0" collapsed="false">
      <c r="A89" s="12" t="s">
        <v>155</v>
      </c>
      <c r="B89" s="12"/>
      <c r="C89" s="12"/>
      <c r="D89" s="13"/>
      <c r="E89" s="13"/>
      <c r="F89" s="13"/>
      <c r="G89" s="13"/>
      <c r="H89" s="13"/>
    </row>
    <row r="90" customFormat="false" ht="15" hidden="false" customHeight="false" outlineLevel="0" collapsed="false">
      <c r="A90" s="14" t="s">
        <v>156</v>
      </c>
      <c r="B90" s="14" t="s">
        <v>157</v>
      </c>
      <c r="C90" s="14" t="s">
        <v>66</v>
      </c>
      <c r="D90" s="14"/>
      <c r="E90" s="14"/>
      <c r="F90" s="14"/>
      <c r="G90" s="14"/>
      <c r="H90" s="14"/>
    </row>
    <row r="91" customFormat="false" ht="16" hidden="false" customHeight="false" outlineLevel="0" collapsed="false">
      <c r="A91" s="10" t="s">
        <v>158</v>
      </c>
      <c r="B91" s="28" t="str">
        <f aca="false">IF(AND(B30=$B$8,C30=$B$8,D30=$B$8,E30=$B$8,F30=$B$8),"✓","✗")</f>
        <v>✓</v>
      </c>
      <c r="C91" s="10" t="s">
        <v>159</v>
      </c>
    </row>
    <row r="92" customFormat="false" ht="16" hidden="false" customHeight="false" outlineLevel="0" collapsed="false">
      <c r="A92" s="10" t="s">
        <v>160</v>
      </c>
      <c r="B92" s="28" t="str">
        <f aca="false">IF(AND(B34=3,C34=2,D34=2,E34=2,F34=2),"✓","✗")</f>
        <v>✓</v>
      </c>
      <c r="C92" s="10" t="s">
        <v>161</v>
      </c>
    </row>
    <row r="93" customFormat="false" ht="16" hidden="false" customHeight="false" outlineLevel="0" collapsed="false">
      <c r="A93" s="10" t="s">
        <v>162</v>
      </c>
      <c r="B93" s="28" t="str">
        <f aca="false">IF(AND(C43=0,D43=6,E43=6,F43=6,G43=6),"✓","✗")</f>
        <v>✓</v>
      </c>
      <c r="C93" s="10" t="s">
        <v>163</v>
      </c>
    </row>
    <row r="94" customFormat="false" ht="16" hidden="false" customHeight="false" outlineLevel="0" collapsed="false">
      <c r="A94" s="10" t="s">
        <v>164</v>
      </c>
      <c r="B94" s="28" t="str">
        <f aca="false">IF(B63=14580,"✓","✗")</f>
        <v>✓</v>
      </c>
      <c r="C94" s="10" t="s">
        <v>165</v>
      </c>
    </row>
    <row r="95" customFormat="false" ht="16" hidden="false" customHeight="false" outlineLevel="0" collapsed="false">
      <c r="A95" s="10" t="s">
        <v>166</v>
      </c>
      <c r="B95" s="28" t="str">
        <f aca="false">IF(ABS(K68-1.2618)&lt;0.0005,"✓","✗")</f>
        <v>✓</v>
      </c>
      <c r="C95" s="10" t="s">
        <v>167</v>
      </c>
    </row>
    <row r="96" customFormat="false" ht="16" hidden="false" customHeight="false" outlineLevel="0" collapsed="false">
      <c r="A96" s="10" t="s">
        <v>168</v>
      </c>
      <c r="B96" s="28" t="str">
        <f aca="false">IF(ABS(K76-1.0233)&lt;0.0005,"✓","✗")</f>
        <v>✓</v>
      </c>
      <c r="C96" s="10" t="s">
        <v>167</v>
      </c>
    </row>
    <row r="97" customFormat="false" ht="16" hidden="false" customHeight="false" outlineLevel="0" collapsed="false">
      <c r="A97" s="10" t="s">
        <v>169</v>
      </c>
      <c r="B97" s="28" t="str">
        <f aca="false">IF(ABS(K84-0.9801)&lt;0.001,"✓","✗")</f>
        <v>✓</v>
      </c>
      <c r="C97" s="10" t="s">
        <v>170</v>
      </c>
    </row>
    <row r="98" customFormat="false" ht="16" hidden="false" customHeight="false" outlineLevel="0" collapsed="false">
      <c r="A98" s="10" t="s">
        <v>171</v>
      </c>
      <c r="B98" s="28" t="str">
        <f aca="false">IF(ABS(K86-1.0884)&lt;0.0005,"✓","✗")</f>
        <v>✓</v>
      </c>
      <c r="C98" s="10" t="s">
        <v>172</v>
      </c>
    </row>
    <row r="100" customFormat="false" ht="15" hidden="false" customHeight="true" outlineLevel="0" collapsed="false">
      <c r="A100" s="22" t="s">
        <v>173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</row>
  </sheetData>
  <mergeCells count="20">
    <mergeCell ref="A1:K1"/>
    <mergeCell ref="A3:C3"/>
    <mergeCell ref="C5:E5"/>
    <mergeCell ref="C7:F7"/>
    <mergeCell ref="C8:D8"/>
    <mergeCell ref="C9:D9"/>
    <mergeCell ref="C10:E10"/>
    <mergeCell ref="C11:E11"/>
    <mergeCell ref="A13:F13"/>
    <mergeCell ref="A32:F32"/>
    <mergeCell ref="A41:F41"/>
    <mergeCell ref="A43:B43"/>
    <mergeCell ref="A59:G59"/>
    <mergeCell ref="A61:F61"/>
    <mergeCell ref="A69:F69"/>
    <mergeCell ref="A77:F77"/>
    <mergeCell ref="A86:B86"/>
    <mergeCell ref="A87:P87"/>
    <mergeCell ref="A89:C89"/>
    <mergeCell ref="A100:K10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U120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2026-09-29T15:06:27Z</dcterms:created>
  <dc:creator>openpyxl</dc:creator>
  <dc:description/>
  <dc:language>zh-CN</dc:language>
  <cp:lastModifiedBy/>
  <dcterms:modified xsi:type="dcterms:W3CDTF">2026-09-29T15:06:27Z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