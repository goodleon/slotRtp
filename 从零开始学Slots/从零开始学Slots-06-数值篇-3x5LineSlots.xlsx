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<sst xmlns="http://schemas.openxmlformats.org/spreadsheetml/2006/main" count="188" uniqueCount="135">
  <si>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06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3*5 Line Slots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</si>
  <si>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3*5 Line Slots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https://zhuanlan.zhihu.com/p/624040358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</si>
  <si>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</si>
  <si>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</si>
  <si>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</si>
  <si>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</si>
  <si>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</si>
  <si>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</si>
  <si>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</si>
  <si>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images/slots/624040358-NN.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</si>
  <si>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</si>
  <si>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</si>
  <si>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</si>
  <si>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3*3 </t>
    </r>
    <r>
      <rPr>
        <sz val="11"/>
        <color theme="1"/>
        <rFont val="Noto Sans SC"/>
        <family val="2"/>
        <charset val="134"/>
      </rPr>
      <t xml:space="preserve">及以下，中奖线的列数与中奖组合的列数完全一致（每个图标只有一个中奖组合）；</t>
    </r>
  </si>
  <si>
    <r>
      <rPr>
        <sz val="11"/>
        <color theme="1"/>
        <rFont val="Noto Sans SC"/>
        <family val="2"/>
        <charset val="134"/>
      </rPr>
      <t xml:space="preserve">  到 </t>
    </r>
    <r>
      <rPr>
        <sz val="11"/>
        <color theme="1"/>
        <rFont val="Calibri"/>
        <family val="2"/>
        <charset val="1"/>
      </rPr>
      <t xml:space="preserve">3*5 </t>
    </r>
    <r>
      <rPr>
        <sz val="11"/>
        <color theme="1"/>
        <rFont val="Noto Sans SC"/>
        <family val="2"/>
        <charset val="134"/>
      </rPr>
      <t xml:space="preserve">之后必须考虑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连、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连，因此事件数要多算一件事：图标「不出现」的事件数。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</si>
  <si>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原文公式（以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连为例）：</t>
    </r>
    <r>
      <rPr>
        <sz val="11"/>
        <color theme="1"/>
        <rFont val="Calibri"/>
        <family val="2"/>
        <charset val="1"/>
      </rPr>
      <t xml:space="preserve">P(J3)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J1 × J2 × J3 × X_J4 —— </t>
    </r>
    <r>
      <rPr>
        <sz val="11"/>
        <color theme="1"/>
        <rFont val="Noto Sans SC"/>
        <family val="2"/>
        <charset val="134"/>
      </rPr>
      <t xml:space="preserve">前三列必须是 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，第四列必须不是 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，</t>
    </r>
  </si>
  <si>
    <r>
      <rPr>
        <sz val="11"/>
        <color theme="1"/>
        <rFont val="Noto Sans SC"/>
        <family val="2"/>
        <charset val="134"/>
      </rPr>
      <t xml:space="preserve">  第五列不限；这样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连</t>
    </r>
    <r>
      <rPr>
        <sz val="11"/>
        <color theme="1"/>
        <rFont val="Calibri"/>
        <family val="2"/>
        <charset val="1"/>
      </rPr>
      <t xml:space="preserve">/4 </t>
    </r>
    <r>
      <rPr>
        <sz val="11"/>
        <color theme="1"/>
        <rFont val="Noto Sans SC"/>
        <family val="2"/>
        <charset val="134"/>
      </rPr>
      <t xml:space="preserve">连</t>
    </r>
    <r>
      <rPr>
        <sz val="11"/>
        <color theme="1"/>
        <rFont val="Calibri"/>
        <family val="2"/>
        <charset val="1"/>
      </rPr>
      <t xml:space="preserve">/5 </t>
    </r>
    <r>
      <rPr>
        <sz val="11"/>
        <color theme="1"/>
        <rFont val="Noto Sans SC"/>
        <family val="2"/>
        <charset val="134"/>
      </rPr>
      <t xml:space="preserve">连互不重复计数。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</si>
  <si>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本例（原文配图）：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 </t>
    </r>
    <r>
      <rPr>
        <sz val="11"/>
        <color theme="1"/>
        <rFont val="Calibri"/>
        <family val="2"/>
        <charset val="1"/>
      </rPr>
      <t xml:space="preserve">× 6 </t>
    </r>
    <r>
      <rPr>
        <sz val="11"/>
        <color theme="1"/>
        <rFont val="Noto Sans SC"/>
        <family val="2"/>
        <charset val="134"/>
      </rPr>
      <t xml:space="preserve">停，</t>
    </r>
    <r>
      <rPr>
        <sz val="11"/>
        <color theme="1"/>
        <rFont val="Calibri"/>
        <family val="2"/>
        <charset val="1"/>
      </rPr>
      <t xml:space="preserve">J/Q/K </t>
    </r>
    <r>
      <rPr>
        <sz val="11"/>
        <color theme="1"/>
        <rFont val="Noto Sans SC"/>
        <family val="2"/>
        <charset val="134"/>
      </rPr>
      <t xml:space="preserve">三图标、每列各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个，总事件数 </t>
    </r>
    <r>
      <rPr>
        <sz val="11"/>
        <color theme="1"/>
        <rFont val="Calibri"/>
        <family val="2"/>
        <charset val="1"/>
      </rPr>
      <t xml:space="preserve">6⁵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7776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</si>
  <si>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赔付倍数 </t>
    </r>
    <r>
      <rPr>
        <sz val="11"/>
        <color theme="1"/>
        <rFont val="Calibri"/>
        <family val="2"/>
        <charset val="1"/>
      </rPr>
      <t xml:space="preserve">J(3/5/10)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Q(3/5/10)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K(10/20/50) → </t>
    </r>
    <r>
      <rPr>
        <sz val="11"/>
        <color theme="1"/>
        <rFont val="Noto Sans SC"/>
        <family val="2"/>
        <charset val="134"/>
      </rPr>
      <t xml:space="preserve">事件数 </t>
    </r>
    <r>
      <rPr>
        <sz val="11"/>
        <color theme="1"/>
        <rFont val="Calibri"/>
        <family val="2"/>
        <charset val="1"/>
      </rPr>
      <t xml:space="preserve">192/64/32</t>
    </r>
    <r>
      <rPr>
        <sz val="11"/>
        <color theme="1"/>
        <rFont val="Noto Sans SC"/>
        <family val="2"/>
        <charset val="134"/>
      </rPr>
      <t xml:space="preserve">，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93%</t>
    </r>
    <r>
      <rPr>
        <sz val="11"/>
        <color theme="1"/>
        <rFont val="Noto Sans SC"/>
        <family val="2"/>
        <charset val="134"/>
      </rPr>
      <t xml:space="preserve">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</si>
  <si>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</si>
  <si>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之前介绍了</t>
    </r>
    <r>
      <rPr>
        <sz val="11"/>
        <color theme="1"/>
        <rFont val="Calibri"/>
        <family val="2"/>
        <charset val="1"/>
      </rPr>
      <t xml:space="preserve">1*3 </t>
    </r>
    <r>
      <rPr>
        <sz val="11"/>
        <color theme="1"/>
        <rFont val="Noto Sans SC"/>
        <family val="2"/>
        <charset val="134"/>
      </rPr>
      <t xml:space="preserve">和 </t>
    </r>
    <r>
      <rPr>
        <sz val="11"/>
        <color theme="1"/>
        <rFont val="Calibri"/>
        <family val="2"/>
        <charset val="1"/>
      </rPr>
      <t xml:space="preserve">3*3 Line Slots</t>
    </r>
  </si>
  <si>
    <r>
      <rPr>
        <sz val="11"/>
        <color theme="1"/>
        <rFont val="Noto Sans SC"/>
        <family val="2"/>
        <charset val="134"/>
      </rPr>
      <t xml:space="preserve">这两款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在中奖线的列数和中奖组合的列数完全一致</t>
    </r>
  </si>
  <si>
    <t xml:space="preserve">可以视为每个图标只有一个中奖组合</t>
  </si>
  <si>
    <r>
      <rPr>
        <sz val="11"/>
        <color theme="1"/>
        <rFont val="Noto Sans SC"/>
        <family val="2"/>
        <charset val="134"/>
      </rPr>
      <t xml:space="preserve">当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的尺寸继续扩大，到了</t>
    </r>
    <r>
      <rPr>
        <sz val="11"/>
        <color theme="1"/>
        <rFont val="Calibri"/>
        <family val="2"/>
        <charset val="1"/>
      </rPr>
      <t xml:space="preserve">3*5</t>
    </r>
    <r>
      <rPr>
        <sz val="11"/>
        <color theme="1"/>
        <rFont val="Noto Sans SC"/>
        <family val="2"/>
        <charset val="134"/>
      </rPr>
      <t xml:space="preserve">的尺寸后</t>
    </r>
  </si>
  <si>
    <t xml:space="preserve">在计算数值时最重要的差别在于需要考虑三列以上的中奖组合</t>
  </si>
  <si>
    <t xml:space="preserve">但是逻辑还是和前两期介绍的玩法基本一致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</si>
  <si>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624040358-01.jpg</t>
    </r>
  </si>
  <si>
    <r>
      <rPr>
        <sz val="11"/>
        <color theme="1"/>
        <rFont val="Noto Sans SC"/>
        <family val="2"/>
        <charset val="134"/>
      </rPr>
      <t xml:space="preserve">数值计算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固定卷轴</t>
    </r>
  </si>
  <si>
    <t xml:space="preserve">依旧先从固定卷轴的情况聊起</t>
  </si>
  <si>
    <r>
      <rPr>
        <sz val="11"/>
        <color theme="1"/>
        <rFont val="Noto Sans SC"/>
        <family val="2"/>
        <charset val="134"/>
      </rPr>
      <t xml:space="preserve">假设当前</t>
    </r>
    <r>
      <rPr>
        <sz val="11"/>
        <color theme="1"/>
        <rFont val="Calibri"/>
        <family val="2"/>
        <charset val="1"/>
      </rPr>
      <t xml:space="preserve">3*5 Line Slots </t>
    </r>
    <r>
      <rPr>
        <sz val="11"/>
        <color theme="1"/>
        <rFont val="Noto Sans SC"/>
        <family val="2"/>
        <charset val="134"/>
      </rPr>
      <t xml:space="preserve">共有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三种图标</t>
    </r>
  </si>
  <si>
    <r>
      <rPr>
        <sz val="11"/>
        <color theme="1"/>
        <rFont val="Noto Sans SC"/>
        <family val="2"/>
        <charset val="134"/>
      </rPr>
      <t xml:space="preserve">三种图标都能出现在</t>
    </r>
    <r>
      <rPr>
        <sz val="11"/>
        <color theme="1"/>
        <rFont val="Calibri"/>
        <family val="2"/>
        <charset val="1"/>
      </rPr>
      <t xml:space="preserve">1~5</t>
    </r>
    <r>
      <rPr>
        <sz val="11"/>
        <color theme="1"/>
        <rFont val="Noto Sans SC"/>
        <family val="2"/>
        <charset val="134"/>
      </rPr>
      <t xml:space="preserve">列上</t>
    </r>
  </si>
  <si>
    <t xml:space="preserve">在固定卷轴上，这三个图标按照以下顺序排列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</si>
  <si>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624040358-02.png</t>
    </r>
  </si>
  <si>
    <t xml:space="preserve">读取固定卷轴上各图标的分布情况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</si>
  <si>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624040358-03.jpg</t>
    </r>
  </si>
  <si>
    <r>
      <rPr>
        <sz val="11"/>
        <color theme="1"/>
        <rFont val="Noto Sans SC"/>
        <family val="2"/>
        <charset val="134"/>
      </rPr>
      <t xml:space="preserve">因为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相较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的版本，需要添加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两种中奖组合</t>
    </r>
  </si>
  <si>
    <t xml:space="preserve">在计算事件数的时候要避免重复计算</t>
  </si>
  <si>
    <t xml:space="preserve">因此除去图标分布，还需要计算图标不出现的事件数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</si>
  <si>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624040358-04.jpg</t>
    </r>
  </si>
  <si>
    <t xml:space="preserve">累乘各列的事件数，得到各中奖组合的事件数</t>
  </si>
  <si>
    <r>
      <rPr>
        <sz val="11"/>
        <color theme="1"/>
        <rFont val="Noto Sans SC"/>
        <family val="2"/>
        <charset val="134"/>
      </rPr>
      <t xml:space="preserve">例如</t>
    </r>
    <r>
      <rPr>
        <sz val="11"/>
        <color theme="1"/>
        <rFont val="Calibri"/>
        <family val="2"/>
        <charset val="1"/>
      </rPr>
      <t xml:space="preserve">J3</t>
    </r>
    <r>
      <rPr>
        <sz val="11"/>
        <color theme="1"/>
        <rFont val="Noto Sans SC"/>
        <family val="2"/>
        <charset val="134"/>
      </rPr>
      <t xml:space="preserve">连的事件数其计算公式为：</t>
    </r>
  </si>
  <si>
    <t xml:space="preserve">P(J3) = PRODUCT( J1 * J2 * J3 * X_J4)</t>
  </si>
  <si>
    <r>
      <rPr>
        <sz val="11"/>
        <color theme="1"/>
        <rFont val="Noto Sans SC"/>
        <family val="2"/>
        <charset val="134"/>
      </rPr>
      <t xml:space="preserve">其中，</t>
    </r>
    <r>
      <rPr>
        <sz val="11"/>
        <color theme="1"/>
        <rFont val="Calibri"/>
        <family val="2"/>
        <charset val="1"/>
      </rPr>
      <t xml:space="preserve">J1~J3</t>
    </r>
    <r>
      <rPr>
        <sz val="11"/>
        <color theme="1"/>
        <rFont val="Noto Sans SC"/>
        <family val="2"/>
        <charset val="134"/>
      </rPr>
      <t xml:space="preserve">代表该图标在一到三列出现的事件数</t>
    </r>
  </si>
  <si>
    <r>
      <rPr>
        <sz val="11"/>
        <color theme="1"/>
        <rFont val="Calibri"/>
        <family val="2"/>
        <charset val="1"/>
      </rPr>
      <t xml:space="preserve">X_J4</t>
    </r>
    <r>
      <rPr>
        <sz val="11"/>
        <color theme="1"/>
        <rFont val="Noto Sans SC"/>
        <family val="2"/>
        <charset val="134"/>
      </rPr>
      <t xml:space="preserve">代表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图标不出现在第四列的事件数</t>
    </r>
  </si>
  <si>
    <r>
      <rPr>
        <sz val="11"/>
        <color theme="1"/>
        <rFont val="Noto Sans SC"/>
        <family val="2"/>
        <charset val="134"/>
      </rPr>
      <t xml:space="preserve">将以上事件数想成得到仅满足图标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连中奖组合的事件数</t>
    </r>
  </si>
  <si>
    <t xml:space="preserve">进而可以计算得出中奖率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</si>
  <si>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624040358-05.jpg</t>
    </r>
  </si>
  <si>
    <t xml:space="preserve">最后一步只需要注意给新增的各中奖组合设计对应的赔付倍数即可</t>
  </si>
  <si>
    <t xml:space="preserve">最终得到：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</si>
  <si>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624040358-06.jpg</t>
    </r>
  </si>
  <si>
    <r>
      <rPr>
        <sz val="11"/>
        <color theme="1"/>
        <rFont val="Noto Sans SC"/>
        <family val="2"/>
        <charset val="134"/>
      </rPr>
      <t xml:space="preserve">数值计算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随机卷轴</t>
    </r>
  </si>
  <si>
    <r>
      <rPr>
        <sz val="11"/>
        <color theme="1"/>
        <rFont val="Noto Sans SC"/>
        <family val="2"/>
        <charset val="134"/>
      </rPr>
      <t xml:space="preserve">使用非固定卷轴实现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整体流程和固定卷轴一致，具体计算过程如下：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</si>
  <si>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624040358-07.jpg</t>
    </r>
  </si>
  <si>
    <r>
      <rPr>
        <sz val="11"/>
        <color theme="1"/>
        <rFont val="Noto Sans SC"/>
        <family val="2"/>
        <charset val="134"/>
      </rPr>
      <t xml:space="preserve">结合上两篇对</t>
    </r>
    <r>
      <rPr>
        <sz val="11"/>
        <color theme="1"/>
        <rFont val="Calibri"/>
        <family val="2"/>
        <charset val="1"/>
      </rPr>
      <t xml:space="preserve">1*3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3*3 Line Slots</t>
    </r>
    <r>
      <rPr>
        <sz val="11"/>
        <color theme="1"/>
        <rFont val="Noto Sans SC"/>
        <family val="2"/>
        <charset val="134"/>
      </rPr>
      <t xml:space="preserve">的数值模型介绍，基础的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数值模型就搭建完毕了但是当前的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数值模型只能说是基础框架需要做成线上的产品还需要添加</t>
    </r>
    <r>
      <rPr>
        <sz val="11"/>
        <color theme="1"/>
        <rFont val="Calibri"/>
        <family val="2"/>
        <charset val="1"/>
      </rPr>
      <t xml:space="preserve">Feature</t>
    </r>
    <r>
      <rPr>
        <sz val="11"/>
        <color theme="1"/>
        <rFont val="Noto Sans SC"/>
        <family val="2"/>
        <charset val="134"/>
      </rPr>
      <t xml:space="preserve">在后续几篇文章中将要介绍包含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Jackpot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数值体系应该如何搭建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</si>
  <si>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</si>
  <si>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</si>
  <si>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624040358-02.png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</si>
  <si>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</si>
  <si>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</si>
  <si>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</si>
  <si>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</si>
  <si>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624040358-07.jpg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</si>
  <si>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</si>
  <si>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</si>
  <si>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</si>
  <si>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</si>
  <si>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</si>
  <si>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</si>
  <si>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3*5 Line Slots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https://zhuanlan.zhihu.com/p/624040358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</si>
  <si>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3*5 Line Slots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</si>
  <si>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】基本参数</t>
    </r>
  </si>
  <si>
    <t xml:space="preserve">项目</t>
  </si>
  <si>
    <t xml:space="preserve">数值</t>
  </si>
  <si>
    <t xml:space="preserve">玩法</t>
  </si>
  <si>
    <t xml:space="preserve">3*5 Line Slots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</si>
  <si>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× 5 </t>
    </r>
    <r>
      <rPr>
        <sz val="11"/>
        <color theme="1"/>
        <rFont val="Noto Sans SC"/>
        <family val="2"/>
        <charset val="134"/>
      </rPr>
      <t xml:space="preserve">列</t>
    </r>
  </si>
  <si>
    <t xml:space="preserve">卷轴列数</t>
  </si>
  <si>
    <t xml:space="preserve">窗口行数</t>
  </si>
  <si>
    <t xml:space="preserve">每列停位数</t>
  </si>
  <si>
    <r>
      <rPr>
        <sz val="11"/>
        <color theme="1"/>
        <rFont val="Noto Sans SC"/>
        <family val="2"/>
        <charset val="134"/>
      </rPr>
      <t xml:space="preserve">固定卷轴每列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SC"/>
        <family val="2"/>
        <charset val="134"/>
      </rPr>
      <t xml:space="preserve">个停位</t>
    </r>
  </si>
  <si>
    <t xml:space="preserve">卷轴类型</t>
  </si>
  <si>
    <t xml:space="preserve">固定卷轴</t>
  </si>
  <si>
    <t xml:space="preserve">总事件数</t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</si>
  <si>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6⁵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7776</t>
    </r>
  </si>
  <si>
    <t xml:space="preserve">赔付基数</t>
  </si>
  <si>
    <t xml:space="preserve">Line Bet</t>
  </si>
  <si>
    <t xml:space="preserve">中奖组合</t>
  </si>
  <si>
    <r>
      <rPr>
        <sz val="11"/>
        <color rgb="FF0000FF"/>
        <rFont val="Cambria"/>
        <family val="0"/>
        <charset val="1"/>
      </rPr>
      <t xml:space="preserve">3 / 4 / 5 </t>
    </r>
    <r>
      <rPr>
        <sz val="11"/>
        <color rgb="FF0000FF"/>
        <rFont val="Noto Sans SC"/>
        <family val="2"/>
        <charset val="134"/>
      </rPr>
      <t xml:space="preserve">连</t>
    </r>
  </si>
  <si>
    <r>
      <rPr>
        <sz val="11"/>
        <color theme="1"/>
        <rFont val="Calibri"/>
        <family val="2"/>
        <charset val="1"/>
      </rPr>
      <t xml:space="preserve">3*5 </t>
    </r>
    <r>
      <rPr>
        <sz val="11"/>
        <color theme="1"/>
        <rFont val="Noto Sans SC"/>
        <family val="2"/>
        <charset val="134"/>
      </rPr>
      <t xml:space="preserve">常见的三档；连续列数越多倍数越高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</si>
  <si>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】固定卷轴排列（</t>
    </r>
    <r>
      <rPr>
        <b val="true"/>
        <sz val="11"/>
        <color rgb="FF1F4E79"/>
        <rFont val="Cambria"/>
        <family val="0"/>
        <charset val="1"/>
      </rPr>
      <t xml:space="preserve">5 </t>
    </r>
    <r>
      <rPr>
        <b val="true"/>
        <sz val="11"/>
        <color rgb="FF1F4E79"/>
        <rFont val="Noto Sans SC"/>
        <family val="2"/>
        <charset val="134"/>
      </rPr>
      <t xml:space="preserve">列 </t>
    </r>
    <r>
      <rPr>
        <b val="true"/>
        <sz val="11"/>
        <color rgb="FF1F4E79"/>
        <rFont val="Cambria"/>
        <family val="0"/>
        <charset val="1"/>
      </rPr>
      <t xml:space="preserve">× 6 </t>
    </r>
    <r>
      <rPr>
        <b val="true"/>
        <sz val="11"/>
        <color rgb="FF1F4E79"/>
        <rFont val="Noto Sans SC"/>
        <family val="2"/>
        <charset val="134"/>
      </rPr>
      <t xml:space="preserve">停，按原文配图转录；蓝字可改）</t>
    </r>
  </si>
  <si>
    <t xml:space="preserve">停位</t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</si>
  <si>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1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</si>
  <si>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2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</si>
  <si>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3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</si>
  <si>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4</t>
    </r>
  </si>
  <si>
    <r>
      <rPr>
        <b val="true"/>
        <sz val="11"/>
        <color rgb="FF1F4E79"/>
        <rFont val="Noto Sans SC"/>
        <family val="2"/>
        <charset val="134"/>
      </rPr>
      <t xml:space="preserve">列</t>
    </r>
    <r>
      <rPr>
        <b val="true"/>
        <sz val="11"/>
        <color rgb="FF1F4E79"/>
        <rFont val="Cambria"/>
        <family val="0"/>
        <charset val="1"/>
      </rPr>
      <t xml:space="preserve">5</t>
    </r>
  </si>
  <si>
    <t xml:space="preserve">J</t>
  </si>
  <si>
    <t xml:space="preserve">Q</t>
  </si>
  <si>
    <t xml:space="preserve">K</t>
  </si>
  <si>
    <t xml:space="preserve">每列格数</t>
  </si>
  <si>
    <r>
      <rPr>
        <sz val="11"/>
        <color theme="1"/>
        <rFont val="Noto Sans SC"/>
        <family val="2"/>
        <charset val="134"/>
      </rPr>
      <t xml:space="preserve">应与【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】每列停位数一致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</si>
  <si>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】各图标逐列「出现数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不出现数」（原文③④）</t>
    </r>
  </si>
  <si>
    <t xml:space="preserve">图标</t>
  </si>
  <si>
    <t xml:space="preserve">不出现数（每列相同）</t>
  </si>
  <si>
    <t xml:space="preserve">不出现 ＝ 每列格数 − 该图标出现数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</si>
  <si>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】各中奖组合的事件数（原文：避免重复计数 —— 只排除「下一列」的该图标）</t>
    </r>
  </si>
  <si>
    <t xml:space="preserve">事件数</t>
  </si>
  <si>
    <t xml:space="preserve">中奖率</t>
  </si>
  <si>
    <t xml:space="preserve">赔付倍数</t>
  </si>
  <si>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贡献</t>
    </r>
  </si>
  <si>
    <r>
      <rPr>
        <b val="true"/>
        <sz val="11"/>
        <rFont val="Noto Sans SC"/>
        <family val="2"/>
        <charset val="134"/>
      </rPr>
      <t xml:space="preserve">合计 </t>
    </r>
    <r>
      <rPr>
        <b val="true"/>
        <sz val="11"/>
        <rFont val="Cambria"/>
        <family val="0"/>
        <charset val="1"/>
      </rPr>
      <t xml:space="preserve">RTP</t>
    </r>
  </si>
  <si>
    <t xml:space="preserve">—</t>
  </si>
  <si>
    <r>
      <rPr>
        <sz val="11"/>
        <color theme="1"/>
        <rFont val="Noto Sans SC"/>
        <family val="2"/>
        <charset val="134"/>
      </rPr>
      <t xml:space="preserve">原文公布 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</si>
  <si>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原文⑤ 表：总计 </t>
    </r>
    <r>
      <rPr>
        <sz val="11"/>
        <color theme="1"/>
        <rFont val="Calibri"/>
        <family val="2"/>
        <charset val="1"/>
      </rPr>
      <t xml:space="preserve">0.9300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</si>
  <si>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】目标 </t>
    </r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反算（统一缩放赔付倍数）</t>
    </r>
  </si>
  <si>
    <r>
      <rPr>
        <sz val="11"/>
        <color theme="1"/>
        <rFont val="Noto Sans SC"/>
        <family val="2"/>
        <charset val="134"/>
      </rPr>
      <t xml:space="preserve">当前 </t>
    </r>
    <r>
      <rPr>
        <sz val="11"/>
        <color theme="1"/>
        <rFont val="Calibri"/>
        <family val="2"/>
        <charset val="1"/>
      </rPr>
      <t xml:space="preserve">RTP</t>
    </r>
  </si>
  <si>
    <t xml:space="preserve">由本簿卷轴与赔付表算出</t>
  </si>
  <si>
    <r>
      <rPr>
        <sz val="11"/>
        <color theme="1"/>
        <rFont val="Noto Sans SC"/>
        <family val="2"/>
        <charset val="134"/>
      </rPr>
      <t xml:space="preserve">目标 </t>
    </r>
    <r>
      <rPr>
        <sz val="11"/>
        <color theme="1"/>
        <rFont val="Calibri"/>
        <family val="2"/>
        <charset val="1"/>
      </rPr>
      <t xml:space="preserve">RTP</t>
    </r>
  </si>
  <si>
    <t xml:space="preserve">蓝字可改</t>
  </si>
  <si>
    <t xml:space="preserve">统一赔付缩放系数</t>
  </si>
  <si>
    <r>
      <rPr>
        <sz val="11"/>
        <color theme="1"/>
        <rFont val="Noto Sans SC"/>
        <family val="2"/>
        <charset val="134"/>
      </rPr>
      <t xml:space="preserve">把所有赔付倍数乘以该系数，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即落到目标值</t>
    </r>
  </si>
  <si>
    <r>
      <rPr>
        <sz val="11"/>
        <color theme="1"/>
        <rFont val="Noto Sans SC"/>
        <family val="2"/>
        <charset val="134"/>
      </rPr>
      <t xml:space="preserve">缩放后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连倍数</t>
    </r>
  </si>
  <si>
    <r>
      <rPr>
        <sz val="11"/>
        <color theme="1"/>
        <rFont val="Calibri"/>
        <family val="2"/>
        <charset val="1"/>
      </rPr>
      <t xml:space="preserve">10 × </t>
    </r>
    <r>
      <rPr>
        <sz val="11"/>
        <color theme="1"/>
        <rFont val="Noto Sans SC"/>
        <family val="2"/>
        <charset val="134"/>
      </rPr>
      <t xml:space="preserve">系数（四舍五入后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会有微小偏差）</t>
    </r>
  </si>
  <si>
    <r>
      <rPr>
        <sz val="11"/>
        <color theme="1"/>
        <rFont val="Noto Sans SC"/>
        <family val="2"/>
        <charset val="134"/>
      </rPr>
      <t xml:space="preserve">缩放后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连倍数</t>
    </r>
  </si>
  <si>
    <r>
      <rPr>
        <sz val="11"/>
        <color theme="1"/>
        <rFont val="Noto Sans SC"/>
        <family val="2"/>
        <charset val="134"/>
      </rPr>
      <t xml:space="preserve">缩放后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连倍数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</si>
  <si>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</si>
  <si>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</si>
  <si>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</si>
  <si>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每列格数一致且等于【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】设定</t>
    </r>
  </si>
  <si>
    <t xml:space="preserve">出现数 ＋ 不出现数 ＝ 每列格数</t>
  </si>
  <si>
    <t xml:space="preserve">原文强调：不出现数必须用实际图标总数相减</t>
  </si>
  <si>
    <t xml:space="preserve">三档事件数互不重复且合计 ≤ 总事件数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</si>
  <si>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连已排除第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列的该图标、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连已排除第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列的该图标</t>
    </r>
  </si>
  <si>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与原文一致（</t>
    </r>
    <r>
      <rPr>
        <sz val="11"/>
        <color theme="1"/>
        <rFont val="Calibri"/>
        <family val="2"/>
        <charset val="1"/>
      </rPr>
      <t xml:space="preserve">93.00%</t>
    </r>
    <r>
      <rPr>
        <sz val="11"/>
        <color theme="1"/>
        <rFont val="Noto Sans SC"/>
        <family val="2"/>
        <charset val="134"/>
      </rPr>
      <t xml:space="preserve">）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</si>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</sst>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00"/>
    <numFmt numFmtId="168" formatCode="0.0000%"/>
    <numFmt numFmtId="169" formatCode="0.000000000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8" customFormat="false" ht="15" hidden="false" customHeight="false" outlineLevel="0" collapsed="false">
      <c r="A8" s="4" t="s">
        <v>5</v>
      </c>
    </row>
    <row r="9" customFormat="false" ht="29" hidden="false" customHeight="false" outlineLevel="0" collapsed="false">
      <c r="A9" s="31" t="s">
        <v>6</v>
      </c>
    </row>
    <row r="10" customFormat="false" ht="29" hidden="false" customHeight="false" outlineLevel="0" collapsed="false">
      <c r="A10" s="31" t="s">
        <v>7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4" t="s">
        <v>8</v>
      </c>
    </row>
    <row r="13" customFormat="false" ht="15" hidden="false" customHeight="1" outlineLevel="0" collapsed="false">
      <c r="A13" s="32" t="s">
        <v>9</v>
      </c>
      <c r="B13" s="6"/>
      <c r="C13" s="6"/>
    </row>
    <row r="14" customFormat="false" ht="42" hidden="false" customHeight="false" outlineLevel="0" collapsed="false">
      <c r="A14" s="31" t="s">
        <v>10</v>
      </c>
    </row>
    <row r="15" customFormat="false" ht="15" hidden="false" customHeight="1" outlineLevel="0" collapsed="false">
      <c r="A15" s="32" t="s">
        <v>11</v>
      </c>
      <c r="B15" s="6"/>
      <c r="C15" s="6"/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4" t="s">
        <v>12</v>
      </c>
    </row>
    <row r="18" customFormat="false" ht="29" hidden="false" customHeight="false" outlineLevel="0" collapsed="false">
      <c r="A18" s="31" t="s">
        <v>13</v>
      </c>
    </row>
    <row r="19" customFormat="false" ht="29" hidden="false" customHeight="false" outlineLevel="0" collapsed="false">
      <c r="A19" s="33" t="s">
        <v>14</v>
      </c>
    </row>
    <row r="20" customFormat="false" ht="30" hidden="false" customHeight="false" outlineLevel="0" collapsed="false">
      <c r="A20" s="31" t="s">
        <v>15</v>
      </c>
    </row>
    <row r="21" customFormat="false" ht="16" hidden="false" customHeight="false" outlineLevel="0" collapsed="false">
      <c r="A21" s="33" t="s">
        <v>16</v>
      </c>
    </row>
    <row r="22" customFormat="false" ht="30" hidden="false" customHeight="false" outlineLevel="0" collapsed="false">
      <c r="A22" s="31" t="s">
        <v>17</v>
      </c>
    </row>
    <row r="23" customFormat="false" ht="30" hidden="false" customHeight="false" outlineLevel="0" collapsed="false">
      <c r="A23" s="3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7"/>
    </row>
    <row r="27" customFormat="false" ht="16" hidden="false" customHeight="false" outlineLevel="0" collapsed="false">
      <c r="A27" s="7" t="s">
        <v>20</v>
      </c>
    </row>
    <row r="28" customFormat="false" ht="29" hidden="false" customHeight="false" outlineLevel="0" collapsed="false">
      <c r="A28" s="33" t="s">
        <v>21</v>
      </c>
    </row>
    <row r="29" customFormat="false" ht="15" hidden="false" customHeight="false" outlineLevel="0" collapsed="false">
      <c r="A29" s="7" t="s">
        <v>22</v>
      </c>
    </row>
    <row r="30" customFormat="false" ht="16" hidden="false" customHeight="false" outlineLevel="0" collapsed="false">
      <c r="A30" s="7" t="s">
        <v>23</v>
      </c>
    </row>
    <row r="31" customFormat="false" ht="28" hidden="false" customHeight="false" outlineLevel="0" collapsed="false">
      <c r="A31" s="33" t="s">
        <v>24</v>
      </c>
    </row>
    <row r="32" customFormat="false" ht="15" hidden="false" customHeight="false" outlineLevel="0" collapsed="false">
      <c r="A32" s="7" t="s">
        <v>25</v>
      </c>
    </row>
    <row r="33" customFormat="false" ht="15" hidden="false" customHeight="false" outlineLevel="0" collapsed="false">
      <c r="A33" s="7"/>
    </row>
    <row r="34" customFormat="false" ht="16" hidden="false" customHeight="false" outlineLevel="0" collapsed="false">
      <c r="A34" s="7" t="s">
        <v>26</v>
      </c>
    </row>
    <row r="35" customFormat="false" ht="15" hidden="false" customHeight="false" outlineLevel="0" collapsed="false">
      <c r="A35" s="7"/>
    </row>
    <row r="36" customFormat="false" ht="16" hidden="false" customHeight="false" outlineLevel="0" collapsed="false">
      <c r="A36" s="7" t="s">
        <v>27</v>
      </c>
    </row>
    <row r="37" customFormat="false" ht="15" hidden="false" customHeight="false" outlineLevel="0" collapsed="false">
      <c r="A37" s="7" t="s">
        <v>28</v>
      </c>
    </row>
    <row r="38" customFormat="false" ht="16" hidden="false" customHeight="false" outlineLevel="0" collapsed="false">
      <c r="A38" s="33" t="s">
        <v>29</v>
      </c>
    </row>
    <row r="39" customFormat="false" ht="16" hidden="false" customHeight="false" outlineLevel="0" collapsed="false">
      <c r="A39" s="7" t="s">
        <v>30</v>
      </c>
    </row>
    <row r="40" customFormat="false" ht="15" hidden="false" customHeight="false" outlineLevel="0" collapsed="false">
      <c r="A40" s="7" t="s">
        <v>31</v>
      </c>
    </row>
    <row r="41" customFormat="false" ht="15" hidden="false" customHeight="false" outlineLevel="0" collapsed="false">
      <c r="A41" s="7"/>
    </row>
    <row r="42" customFormat="false" ht="16" hidden="false" customHeight="false" outlineLevel="0" collapsed="false">
      <c r="A42" s="7" t="s">
        <v>32</v>
      </c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 t="s">
        <v>33</v>
      </c>
    </row>
    <row r="45" customFormat="false" ht="15" hidden="false" customHeight="false" outlineLevel="0" collapsed="false">
      <c r="A45" s="7"/>
    </row>
    <row r="46" customFormat="false" ht="16" hidden="false" customHeight="false" outlineLevel="0" collapsed="false">
      <c r="A46" s="7" t="s">
        <v>34</v>
      </c>
    </row>
    <row r="47" customFormat="false" ht="15" hidden="false" customHeight="false" outlineLevel="0" collapsed="false">
      <c r="A47" s="7"/>
    </row>
    <row r="48" customFormat="false" ht="29" hidden="false" customHeight="false" outlineLevel="0" collapsed="false">
      <c r="A48" s="33" t="s">
        <v>35</v>
      </c>
    </row>
    <row r="49" customFormat="false" ht="15" hidden="false" customHeight="false" outlineLevel="0" collapsed="false">
      <c r="A49" s="7" t="s">
        <v>36</v>
      </c>
    </row>
    <row r="50" customFormat="false" ht="28" hidden="false" customHeight="false" outlineLevel="0" collapsed="false">
      <c r="A50" s="33" t="s">
        <v>37</v>
      </c>
    </row>
    <row r="51" customFormat="false" ht="15" hidden="false" customHeight="false" outlineLevel="0" collapsed="false">
      <c r="A51" s="7"/>
    </row>
    <row r="52" customFormat="false" ht="16" hidden="false" customHeight="false" outlineLevel="0" collapsed="false">
      <c r="A52" s="7" t="s">
        <v>38</v>
      </c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 t="s">
        <v>39</v>
      </c>
    </row>
    <row r="55" customFormat="false" ht="16" hidden="false" customHeight="false" outlineLevel="0" collapsed="false">
      <c r="A55" s="7" t="s">
        <v>40</v>
      </c>
    </row>
    <row r="56" customFormat="false" ht="15" hidden="false" customHeight="false" outlineLevel="0" collapsed="false">
      <c r="A56" s="5" t="s">
        <v>41</v>
      </c>
    </row>
    <row r="57" customFormat="false" ht="16" hidden="false" customHeight="false" outlineLevel="0" collapsed="false">
      <c r="A57" s="33" t="s">
        <v>42</v>
      </c>
    </row>
    <row r="58" customFormat="false" ht="16" hidden="false" customHeight="false" outlineLevel="0" collapsed="false">
      <c r="A58" s="5" t="s">
        <v>43</v>
      </c>
    </row>
    <row r="59" customFormat="false" ht="29" hidden="false" customHeight="false" outlineLevel="0" collapsed="false">
      <c r="A59" s="33" t="s">
        <v>44</v>
      </c>
    </row>
    <row r="60" customFormat="false" ht="15" hidden="false" customHeight="false" outlineLevel="0" collapsed="false">
      <c r="A60" s="7" t="s">
        <v>45</v>
      </c>
    </row>
    <row r="61" customFormat="false" ht="15" hidden="false" customHeight="false" outlineLevel="0" collapsed="false">
      <c r="A61" s="7"/>
    </row>
    <row r="62" customFormat="false" ht="16" hidden="false" customHeight="false" outlineLevel="0" collapsed="false">
      <c r="A62" s="7" t="s">
        <v>46</v>
      </c>
    </row>
    <row r="63" customFormat="false" ht="15" hidden="false" customHeight="false" outlineLevel="0" collapsed="false">
      <c r="A63" s="7"/>
    </row>
    <row r="64" customFormat="false" ht="28" hidden="false" customHeight="false" outlineLevel="0" collapsed="false">
      <c r="A64" s="33" t="s">
        <v>47</v>
      </c>
    </row>
    <row r="65" customFormat="false" ht="15" hidden="false" customHeight="false" outlineLevel="0" collapsed="false">
      <c r="A65" s="7" t="s">
        <v>48</v>
      </c>
    </row>
    <row r="66" customFormat="false" ht="15" hidden="false" customHeight="false" outlineLevel="0" collapsed="false">
      <c r="A66" s="7"/>
    </row>
    <row r="67" customFormat="false" ht="16" hidden="false" customHeight="false" outlineLevel="0" collapsed="false">
      <c r="A67" s="7" t="s">
        <v>49</v>
      </c>
    </row>
    <row r="68" customFormat="false" ht="15" hidden="false" customHeight="false" outlineLevel="0" collapsed="false">
      <c r="A68" s="7"/>
    </row>
    <row r="69" customFormat="false" ht="16" hidden="false" customHeight="false" outlineLevel="0" collapsed="false">
      <c r="A69" s="7" t="s">
        <v>50</v>
      </c>
    </row>
    <row r="70" customFormat="false" ht="29" hidden="false" customHeight="false" outlineLevel="0" collapsed="false">
      <c r="A70" s="33" t="s">
        <v>51</v>
      </c>
    </row>
    <row r="71" customFormat="false" ht="15" hidden="false" customHeight="false" outlineLevel="0" collapsed="false">
      <c r="A71" s="7"/>
    </row>
    <row r="72" customFormat="false" ht="16" hidden="false" customHeight="false" outlineLevel="0" collapsed="false">
      <c r="A72" s="7" t="s">
        <v>52</v>
      </c>
    </row>
    <row r="73" customFormat="false" ht="15" hidden="false" customHeight="false" outlineLevel="0" collapsed="false">
      <c r="A73" s="7"/>
    </row>
    <row r="74" customFormat="false" ht="15" hidden="false" customHeight="1" outlineLevel="0" collapsed="false">
      <c r="A74" s="34" t="s">
        <v>53</v>
      </c>
      <c r="B74" s="8"/>
      <c r="C74" s="8"/>
      <c r="D74" s="8"/>
      <c r="E74" s="8"/>
      <c r="F74" s="8"/>
      <c r="G74" s="8"/>
      <c r="H74" s="8"/>
      <c r="I74" s="8"/>
    </row>
    <row r="76" customFormat="false" ht="15.5" hidden="false" customHeight="false" outlineLevel="0" collapsed="false">
      <c r="A76" s="35" t="s">
        <v>54</v>
      </c>
    </row>
    <row r="77" customFormat="false" ht="15.5" hidden="false" customHeight="false" outlineLevel="0" collapsed="false">
      <c r="A77" s="2" t="s">
        <v>55</v>
      </c>
    </row>
    <row r="78" customFormat="false" ht="15.5" hidden="false" customHeight="false" outlineLevel="0" collapsed="false">
      <c r="A78" s="2" t="s">
        <v>56</v>
      </c>
    </row>
    <row r="79" customFormat="false" ht="15.5" hidden="false" customHeight="false" outlineLevel="0" collapsed="false">
      <c r="A79" s="2" t="s">
        <v>57</v>
      </c>
    </row>
    <row r="80" customFormat="false" ht="15.5" hidden="false" customHeight="false" outlineLevel="0" collapsed="false">
      <c r="A80" s="2" t="s">
        <v>58</v>
      </c>
    </row>
    <row r="81" customFormat="false" ht="15.5" hidden="false" customHeight="false" outlineLevel="0" collapsed="false">
      <c r="A81" s="2" t="s">
        <v>59</v>
      </c>
    </row>
    <row r="82" customFormat="false" ht="15.5" hidden="false" customHeight="false" outlineLevel="0" collapsed="false">
      <c r="A82" s="2" t="s">
        <v>60</v>
      </c>
    </row>
    <row r="83" customFormat="false" ht="15.5" hidden="false" customHeight="false" outlineLevel="0" collapsed="false">
      <c r="A83" s="2" t="s">
        <v>61</v>
      </c>
    </row>
    <row r="85" customFormat="false" ht="15" hidden="false" customHeight="false" outlineLevel="0" collapsed="false">
      <c r="A85" s="4" t="s">
        <v>62</v>
      </c>
    </row>
    <row r="86" customFormat="false" ht="30" hidden="false" customHeight="false" outlineLevel="0" collapsed="false">
      <c r="A86" s="33" t="s">
        <v>63</v>
      </c>
    </row>
    <row r="87" customFormat="false" ht="28" hidden="false" customHeight="false" outlineLevel="0" collapsed="false">
      <c r="A87" s="33" t="s">
        <v>64</v>
      </c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4" t="s">
        <v>65</v>
      </c>
    </row>
    <row r="90" customFormat="false" ht="28" hidden="false" customHeight="false" outlineLevel="0" collapsed="false">
      <c r="A90" s="33" t="s">
        <v>66</v>
      </c>
    </row>
    <row r="91" customFormat="false" ht="29" hidden="false" customHeight="false" outlineLevel="0" collapsed="false">
      <c r="A91" s="33" t="s">
        <v>67</v>
      </c>
    </row>
    <row r="93" customFormat="false" ht="15.5" hidden="false" customHeight="false" outlineLevel="0" collapsed="false">
      <c r="A93" s="9" t="s">
        <v>68</v>
      </c>
    </row>
  </sheetData>
  <mergeCells count="5">
    <mergeCell ref="A5:L5"/>
    <mergeCell ref="A6:J6"/>
    <mergeCell ref="A13:I13"/>
    <mergeCell ref="A15:J15"/>
    <mergeCell ref="A74:Y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11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69</v>
      </c>
      <c r="B1" s="11"/>
      <c r="C1" s="11"/>
      <c r="D1" s="11"/>
      <c r="E1" s="11"/>
      <c r="F1" s="11"/>
      <c r="G1" s="11"/>
      <c r="H1" s="11"/>
    </row>
    <row r="3" customFormat="false" ht="15.5" hidden="false" customHeight="false" outlineLevel="0" collapsed="false">
      <c r="A3" s="12" t="s">
        <v>70</v>
      </c>
      <c r="B3" s="12"/>
      <c r="C3" s="12"/>
      <c r="D3" s="13"/>
      <c r="E3" s="13"/>
      <c r="F3" s="13"/>
      <c r="G3" s="13"/>
      <c r="H3" s="13"/>
    </row>
    <row r="4" customFormat="false" ht="15" hidden="false" customHeight="false" outlineLevel="0" collapsed="false">
      <c r="A4" s="14" t="s">
        <v>71</v>
      </c>
      <c r="B4" s="14" t="s">
        <v>72</v>
      </c>
      <c r="C4" s="14" t="s">
        <v>65</v>
      </c>
    </row>
    <row r="5" customFormat="false" ht="16" hidden="false" customHeight="false" outlineLevel="0" collapsed="false">
      <c r="A5" s="10" t="s">
        <v>73</v>
      </c>
      <c r="B5" s="15" t="s">
        <v>74</v>
      </c>
      <c r="C5" s="36">
        <v>3</v>
      </c>
    </row>
    <row r="6" customFormat="false" ht="15" hidden="false" customHeight="false" outlineLevel="0" collapsed="false">
      <c r="A6" s="10" t="s">
        <v>76</v>
      </c>
      <c r="B6" s="15" t="n">
        <v>5</v>
      </c>
    </row>
    <row r="7" customFormat="false" ht="15" hidden="false" customHeight="false" outlineLevel="0" collapsed="false">
      <c r="A7" s="10" t="s">
        <v>77</v>
      </c>
      <c r="B7" s="15" t="n">
        <v>3</v>
      </c>
    </row>
    <row r="8" customFormat="false" ht="16" hidden="false" customHeight="false" outlineLevel="0" collapsed="false">
      <c r="A8" s="10" t="s">
        <v>78</v>
      </c>
      <c r="B8" s="15" t="n">
        <v>6</v>
      </c>
      <c r="C8" s="17" t="s">
        <v>79</v>
      </c>
      <c r="D8" s="17"/>
    </row>
    <row r="9" customFormat="false" ht="15" hidden="false" customHeight="false" outlineLevel="0" collapsed="false">
      <c r="A9" s="10" t="s">
        <v>80</v>
      </c>
      <c r="B9" s="18" t="s">
        <v>81</v>
      </c>
    </row>
    <row r="10" customFormat="false" ht="16" hidden="false" customHeight="false" outlineLevel="0" collapsed="false">
      <c r="A10" s="10" t="s">
        <v>82</v>
      </c>
      <c r="B10" s="19" t="n">
        <f aca="false">B8^B6</f>
        <v>7776</v>
      </c>
      <c r="C10" s="10" t="s">
        <v>83</v>
      </c>
    </row>
    <row r="11" customFormat="false" ht="15" hidden="false" customHeight="false" outlineLevel="0" collapsed="false">
      <c r="A11" s="10" t="s">
        <v>84</v>
      </c>
      <c r="B11" s="16" t="s">
        <v>85</v>
      </c>
    </row>
    <row r="12" customFormat="false" ht="16" hidden="false" customHeight="false" outlineLevel="0" collapsed="false">
      <c r="A12" s="10" t="s">
        <v>86</v>
      </c>
      <c r="B12" s="15" t="s">
        <v>87</v>
      </c>
      <c r="C12" s="20" t="s">
        <v>88</v>
      </c>
      <c r="D12" s="20"/>
      <c r="E12" s="20"/>
      <c r="F12" s="20"/>
    </row>
    <row r="14" customFormat="false" ht="15.5" hidden="false" customHeight="false" outlineLevel="0" collapsed="false">
      <c r="A14" s="12" t="s">
        <v>89</v>
      </c>
      <c r="B14" s="12"/>
      <c r="C14" s="12"/>
      <c r="D14" s="12"/>
      <c r="E14" s="12"/>
      <c r="F14" s="12"/>
      <c r="G14" s="13"/>
      <c r="H14" s="13"/>
    </row>
    <row r="15" customFormat="false" ht="15.5" hidden="false" customHeight="false" outlineLevel="0" collapsed="false">
      <c r="A15" s="14" t="s">
        <v>90</v>
      </c>
      <c r="B15" s="14" t="s">
        <v>91</v>
      </c>
      <c r="C15" s="14" t="s">
        <v>92</v>
      </c>
      <c r="D15" s="14" t="s">
        <v>93</v>
      </c>
      <c r="E15" s="14" t="s">
        <v>94</v>
      </c>
      <c r="F15" s="14" t="s">
        <v>95</v>
      </c>
      <c r="G15" s="14"/>
    </row>
    <row r="16" customFormat="false" ht="15" hidden="false" customHeight="false" outlineLevel="0" collapsed="false">
      <c r="A16" s="10" t="n">
        <v>1</v>
      </c>
      <c r="B16" s="15" t="s">
        <v>96</v>
      </c>
      <c r="C16" s="15" t="s">
        <v>97</v>
      </c>
      <c r="D16" s="15" t="s">
        <v>98</v>
      </c>
      <c r="E16" s="15" t="s">
        <v>98</v>
      </c>
      <c r="F16" s="15" t="s">
        <v>96</v>
      </c>
    </row>
    <row r="17" customFormat="false" ht="15" hidden="false" customHeight="false" outlineLevel="0" collapsed="false">
      <c r="A17" s="10" t="n">
        <v>2</v>
      </c>
      <c r="B17" s="15" t="s">
        <v>97</v>
      </c>
      <c r="C17" s="15" t="s">
        <v>96</v>
      </c>
      <c r="D17" s="15" t="s">
        <v>96</v>
      </c>
      <c r="E17" s="15" t="s">
        <v>97</v>
      </c>
      <c r="F17" s="15" t="s">
        <v>98</v>
      </c>
    </row>
    <row r="18" customFormat="false" ht="15" hidden="false" customHeight="false" outlineLevel="0" collapsed="false">
      <c r="A18" s="10" t="n">
        <v>3</v>
      </c>
      <c r="B18" s="15" t="s">
        <v>98</v>
      </c>
      <c r="C18" s="15" t="s">
        <v>98</v>
      </c>
      <c r="D18" s="15" t="s">
        <v>97</v>
      </c>
      <c r="E18" s="15" t="s">
        <v>96</v>
      </c>
      <c r="F18" s="15" t="s">
        <v>97</v>
      </c>
    </row>
    <row r="19" customFormat="false" ht="15" hidden="false" customHeight="false" outlineLevel="0" collapsed="false">
      <c r="A19" s="10" t="n">
        <v>4</v>
      </c>
      <c r="B19" s="15" t="s">
        <v>96</v>
      </c>
      <c r="C19" s="15" t="s">
        <v>97</v>
      </c>
      <c r="D19" s="15" t="s">
        <v>98</v>
      </c>
      <c r="E19" s="15" t="s">
        <v>98</v>
      </c>
      <c r="F19" s="15" t="s">
        <v>96</v>
      </c>
    </row>
    <row r="20" customFormat="false" ht="15" hidden="false" customHeight="false" outlineLevel="0" collapsed="false">
      <c r="A20" s="10" t="n">
        <v>5</v>
      </c>
      <c r="B20" s="15" t="s">
        <v>97</v>
      </c>
      <c r="C20" s="15" t="s">
        <v>96</v>
      </c>
      <c r="D20" s="15" t="s">
        <v>96</v>
      </c>
      <c r="E20" s="15" t="s">
        <v>97</v>
      </c>
      <c r="F20" s="15" t="s">
        <v>98</v>
      </c>
    </row>
    <row r="21" customFormat="false" ht="15" hidden="false" customHeight="false" outlineLevel="0" collapsed="false">
      <c r="A21" s="10" t="n">
        <v>6</v>
      </c>
      <c r="B21" s="15" t="s">
        <v>98</v>
      </c>
      <c r="C21" s="15" t="s">
        <v>98</v>
      </c>
      <c r="D21" s="15" t="s">
        <v>97</v>
      </c>
      <c r="E21" s="15" t="s">
        <v>96</v>
      </c>
      <c r="F21" s="15" t="s">
        <v>97</v>
      </c>
    </row>
    <row r="22" customFormat="false" ht="16" hidden="false" customHeight="false" outlineLevel="0" collapsed="false">
      <c r="A22" s="10" t="s">
        <v>99</v>
      </c>
      <c r="B22" s="19" t="n">
        <f aca="false">COUNTA(B16:B21)</f>
        <v>6</v>
      </c>
      <c r="C22" s="19" t="n">
        <f aca="false">COUNTA(C16:C21)</f>
        <v>6</v>
      </c>
      <c r="D22" s="19" t="n">
        <f aca="false">COUNTA(D16:D21)</f>
        <v>6</v>
      </c>
      <c r="E22" s="19" t="n">
        <f aca="false">COUNTA(E16:E21)</f>
        <v>6</v>
      </c>
      <c r="F22" s="19" t="n">
        <f aca="false">COUNTA(F16:F21)</f>
        <v>6</v>
      </c>
      <c r="G22" s="17" t="s">
        <v>100</v>
      </c>
      <c r="H22" s="17"/>
    </row>
    <row r="24" customFormat="false" ht="15.5" hidden="false" customHeight="false" outlineLevel="0" collapsed="false">
      <c r="A24" s="12" t="s">
        <v>101</v>
      </c>
      <c r="B24" s="12"/>
      <c r="C24" s="12"/>
      <c r="D24" s="12"/>
      <c r="E24" s="12"/>
      <c r="F24" s="12"/>
      <c r="G24" s="13"/>
      <c r="H24" s="13"/>
    </row>
    <row r="25" customFormat="false" ht="15.5" hidden="false" customHeight="false" outlineLevel="0" collapsed="false">
      <c r="A25" s="14" t="s">
        <v>102</v>
      </c>
      <c r="B25" s="14" t="s">
        <v>91</v>
      </c>
      <c r="C25" s="14" t="s">
        <v>92</v>
      </c>
      <c r="D25" s="14" t="s">
        <v>93</v>
      </c>
      <c r="E25" s="14" t="s">
        <v>94</v>
      </c>
      <c r="F25" s="14" t="s">
        <v>95</v>
      </c>
      <c r="G25" s="14" t="s">
        <v>103</v>
      </c>
      <c r="H25" s="14" t="s">
        <v>65</v>
      </c>
    </row>
    <row r="26" customFormat="false" ht="15" hidden="false" customHeight="false" outlineLevel="0" collapsed="false">
      <c r="A26" s="16" t="s">
        <v>96</v>
      </c>
      <c r="B26" s="19" t="n">
        <f aca="false">COUNTIF(B16:B21,"J")</f>
        <v>2</v>
      </c>
      <c r="C26" s="19" t="n">
        <f aca="false">COUNTIF(C16:C21,"J")</f>
        <v>2</v>
      </c>
      <c r="D26" s="19" t="n">
        <f aca="false">COUNTIF(D16:D21,"J")</f>
        <v>2</v>
      </c>
      <c r="E26" s="19" t="n">
        <f aca="false">COUNTIF(E16:E21,"J")</f>
        <v>2</v>
      </c>
      <c r="F26" s="19" t="n">
        <f aca="false">COUNTIF(F16:F21,"J")</f>
        <v>2</v>
      </c>
      <c r="G26" s="19" t="n">
        <f aca="false">$B$8-B26</f>
        <v>4</v>
      </c>
      <c r="H26" s="10" t="s">
        <v>104</v>
      </c>
    </row>
    <row r="27" customFormat="false" ht="15" hidden="false" customHeight="false" outlineLevel="0" collapsed="false">
      <c r="A27" s="16" t="s">
        <v>97</v>
      </c>
      <c r="B27" s="19" t="n">
        <f aca="false">COUNTIF(B16:B21,"Q")</f>
        <v>2</v>
      </c>
      <c r="C27" s="19" t="n">
        <f aca="false">COUNTIF(C16:C21,"Q")</f>
        <v>2</v>
      </c>
      <c r="D27" s="19" t="n">
        <f aca="false">COUNTIF(D16:D21,"Q")</f>
        <v>2</v>
      </c>
      <c r="E27" s="19" t="n">
        <f aca="false">COUNTIF(E16:E21,"Q")</f>
        <v>2</v>
      </c>
      <c r="F27" s="19" t="n">
        <f aca="false">COUNTIF(F16:F21,"Q")</f>
        <v>2</v>
      </c>
      <c r="G27" s="19" t="n">
        <f aca="false">$B$8-B27</f>
        <v>4</v>
      </c>
      <c r="H27" s="10" t="s">
        <v>104</v>
      </c>
    </row>
    <row r="28" customFormat="false" ht="15" hidden="false" customHeight="false" outlineLevel="0" collapsed="false">
      <c r="A28" s="16" t="s">
        <v>98</v>
      </c>
      <c r="B28" s="19" t="n">
        <f aca="false">COUNTIF(B16:B21,"K")</f>
        <v>2</v>
      </c>
      <c r="C28" s="19" t="n">
        <f aca="false">COUNTIF(C16:C21,"K")</f>
        <v>2</v>
      </c>
      <c r="D28" s="19" t="n">
        <f aca="false">COUNTIF(D16:D21,"K")</f>
        <v>2</v>
      </c>
      <c r="E28" s="19" t="n">
        <f aca="false">COUNTIF(E16:E21,"K")</f>
        <v>2</v>
      </c>
      <c r="F28" s="19" t="n">
        <f aca="false">COUNTIF(F16:F21,"K")</f>
        <v>2</v>
      </c>
      <c r="G28" s="19" t="n">
        <f aca="false">$B$8-B28</f>
        <v>4</v>
      </c>
      <c r="H28" s="10" t="s">
        <v>104</v>
      </c>
    </row>
    <row r="30" customFormat="false" ht="15.5" hidden="false" customHeight="false" outlineLevel="0" collapsed="false">
      <c r="A30" s="12" t="s">
        <v>105</v>
      </c>
      <c r="B30" s="12"/>
      <c r="C30" s="12"/>
      <c r="D30" s="12"/>
      <c r="E30" s="12"/>
      <c r="F30" s="12"/>
      <c r="G30" s="13"/>
      <c r="H30" s="13"/>
    </row>
    <row r="31" customFormat="false" ht="15.5" hidden="false" customHeight="false" outlineLevel="0" collapsed="false">
      <c r="A31" s="14" t="s">
        <v>102</v>
      </c>
      <c r="B31" s="14" t="s">
        <v>86</v>
      </c>
      <c r="C31" s="14" t="s">
        <v>106</v>
      </c>
      <c r="D31" s="14" t="s">
        <v>82</v>
      </c>
      <c r="E31" s="14" t="s">
        <v>107</v>
      </c>
      <c r="F31" s="14" t="s">
        <v>108</v>
      </c>
      <c r="G31" s="21" t="s">
        <v>109</v>
      </c>
      <c r="H31" s="14"/>
    </row>
    <row r="32" customFormat="false" ht="15" hidden="false" customHeight="false" outlineLevel="0" collapsed="false">
      <c r="A32" s="16" t="s">
        <v>96</v>
      </c>
      <c r="B32" s="15" t="n">
        <v>3</v>
      </c>
      <c r="C32" s="19" t="n">
        <f aca="false">B26*C26*D26*G26*$B$8</f>
        <v>192</v>
      </c>
      <c r="D32" s="19" t="n">
        <f aca="false">$B$10</f>
        <v>7776</v>
      </c>
      <c r="E32" s="38" t="n">
        <f aca="false">C32/D32</f>
        <v>0.0246913580246914</v>
      </c>
      <c r="F32" s="15" t="n">
        <v>3</v>
      </c>
      <c r="G32" s="23" t="n">
        <f aca="false">E32*F32</f>
        <v>0.0740740740740741</v>
      </c>
    </row>
    <row r="33" customFormat="false" ht="15" hidden="false" customHeight="false" outlineLevel="0" collapsed="false">
      <c r="A33" s="16" t="s">
        <v>96</v>
      </c>
      <c r="B33" s="15" t="n">
        <v>4</v>
      </c>
      <c r="C33" s="19" t="n">
        <f aca="false">B26*C26*D26*E26*G26</f>
        <v>64</v>
      </c>
      <c r="D33" s="19" t="n">
        <f aca="false">$B$10</f>
        <v>7776</v>
      </c>
      <c r="E33" s="38" t="n">
        <f aca="false">C33/D33</f>
        <v>0.00823045267489712</v>
      </c>
      <c r="F33" s="15" t="n">
        <v>5</v>
      </c>
      <c r="G33" s="23" t="n">
        <f aca="false">E33*F33</f>
        <v>0.0411522633744856</v>
      </c>
    </row>
    <row r="34" customFormat="false" ht="15" hidden="false" customHeight="false" outlineLevel="0" collapsed="false">
      <c r="A34" s="16" t="s">
        <v>96</v>
      </c>
      <c r="B34" s="15" t="n">
        <v>5</v>
      </c>
      <c r="C34" s="19" t="n">
        <f aca="false">B26*C26*D26*E26*F26</f>
        <v>32</v>
      </c>
      <c r="D34" s="19" t="n">
        <f aca="false">$B$10</f>
        <v>7776</v>
      </c>
      <c r="E34" s="38" t="n">
        <f aca="false">C34/D34</f>
        <v>0.00411522633744856</v>
      </c>
      <c r="F34" s="15" t="n">
        <v>10</v>
      </c>
      <c r="G34" s="23" t="n">
        <f aca="false">E34*F34</f>
        <v>0.0411522633744856</v>
      </c>
    </row>
    <row r="35" customFormat="false" ht="15" hidden="false" customHeight="false" outlineLevel="0" collapsed="false">
      <c r="A35" s="16" t="s">
        <v>97</v>
      </c>
      <c r="B35" s="15" t="n">
        <v>3</v>
      </c>
      <c r="C35" s="19" t="n">
        <f aca="false">B27*C27*D27*G27*$B$8</f>
        <v>192</v>
      </c>
      <c r="D35" s="19" t="n">
        <f aca="false">$B$10</f>
        <v>7776</v>
      </c>
      <c r="E35" s="38" t="n">
        <f aca="false">C35/D35</f>
        <v>0.0246913580246914</v>
      </c>
      <c r="F35" s="15" t="n">
        <v>3</v>
      </c>
      <c r="G35" s="23" t="n">
        <f aca="false">E35*F35</f>
        <v>0.0740740740740741</v>
      </c>
    </row>
    <row r="36" customFormat="false" ht="15" hidden="false" customHeight="false" outlineLevel="0" collapsed="false">
      <c r="A36" s="16" t="s">
        <v>97</v>
      </c>
      <c r="B36" s="15" t="n">
        <v>4</v>
      </c>
      <c r="C36" s="19" t="n">
        <f aca="false">B27*C27*D27*E27*G27</f>
        <v>64</v>
      </c>
      <c r="D36" s="19" t="n">
        <f aca="false">$B$10</f>
        <v>7776</v>
      </c>
      <c r="E36" s="38" t="n">
        <f aca="false">C36/D36</f>
        <v>0.00823045267489712</v>
      </c>
      <c r="F36" s="15" t="n">
        <v>5</v>
      </c>
      <c r="G36" s="23" t="n">
        <f aca="false">E36*F36</f>
        <v>0.0411522633744856</v>
      </c>
    </row>
    <row r="37" customFormat="false" ht="15" hidden="false" customHeight="false" outlineLevel="0" collapsed="false">
      <c r="A37" s="16" t="s">
        <v>97</v>
      </c>
      <c r="B37" s="15" t="n">
        <v>5</v>
      </c>
      <c r="C37" s="19" t="n">
        <f aca="false">B27*C27*D27*E27*F27</f>
        <v>32</v>
      </c>
      <c r="D37" s="19" t="n">
        <f aca="false">$B$10</f>
        <v>7776</v>
      </c>
      <c r="E37" s="38" t="n">
        <f aca="false">C37/D37</f>
        <v>0.00411522633744856</v>
      </c>
      <c r="F37" s="15" t="n">
        <v>10</v>
      </c>
      <c r="G37" s="23" t="n">
        <f aca="false">E37*F37</f>
        <v>0.0411522633744856</v>
      </c>
    </row>
    <row r="38" customFormat="false" ht="15" hidden="false" customHeight="false" outlineLevel="0" collapsed="false">
      <c r="A38" s="16" t="s">
        <v>98</v>
      </c>
      <c r="B38" s="15" t="n">
        <v>3</v>
      </c>
      <c r="C38" s="19" t="n">
        <f aca="false">B28*C28*D28*G28*$B$8</f>
        <v>192</v>
      </c>
      <c r="D38" s="19" t="n">
        <f aca="false">$B$10</f>
        <v>7776</v>
      </c>
      <c r="E38" s="38" t="n">
        <f aca="false">C38/D38</f>
        <v>0.0246913580246914</v>
      </c>
      <c r="F38" s="15" t="n">
        <v>10</v>
      </c>
      <c r="G38" s="23" t="n">
        <f aca="false">E38*F38</f>
        <v>0.246913580246914</v>
      </c>
    </row>
    <row r="39" customFormat="false" ht="15" hidden="false" customHeight="false" outlineLevel="0" collapsed="false">
      <c r="A39" s="16" t="s">
        <v>98</v>
      </c>
      <c r="B39" s="15" t="n">
        <v>4</v>
      </c>
      <c r="C39" s="19" t="n">
        <f aca="false">B28*C28*D28*E28*G28</f>
        <v>64</v>
      </c>
      <c r="D39" s="19" t="n">
        <f aca="false">$B$10</f>
        <v>7776</v>
      </c>
      <c r="E39" s="38" t="n">
        <f aca="false">C39/D39</f>
        <v>0.00823045267489712</v>
      </c>
      <c r="F39" s="15" t="n">
        <v>20</v>
      </c>
      <c r="G39" s="23" t="n">
        <f aca="false">E39*F39</f>
        <v>0.164609053497942</v>
      </c>
    </row>
    <row r="40" customFormat="false" ht="15" hidden="false" customHeight="false" outlineLevel="0" collapsed="false">
      <c r="A40" s="16" t="s">
        <v>98</v>
      </c>
      <c r="B40" s="15" t="n">
        <v>5</v>
      </c>
      <c r="C40" s="19" t="n">
        <f aca="false">B28*C28*D28*E28*F28</f>
        <v>32</v>
      </c>
      <c r="D40" s="19" t="n">
        <f aca="false">$B$10</f>
        <v>7776</v>
      </c>
      <c r="E40" s="38" t="n">
        <f aca="false">C40/D40</f>
        <v>0.00411522633744856</v>
      </c>
      <c r="F40" s="15" t="n">
        <v>50</v>
      </c>
      <c r="G40" s="23" t="n">
        <f aca="false">E40*F40</f>
        <v>0.205761316872428</v>
      </c>
    </row>
    <row r="41" customFormat="false" ht="15.5" hidden="false" customHeight="false" outlineLevel="0" collapsed="false">
      <c r="A41" s="24" t="s">
        <v>110</v>
      </c>
      <c r="B41" s="10" t="s">
        <v>111</v>
      </c>
      <c r="C41" s="19" t="n">
        <f aca="false">SUM(C32:C40)</f>
        <v>864</v>
      </c>
      <c r="G41" s="25" t="n">
        <f aca="false">SUM(G32:G40)</f>
        <v>0.930041152263375</v>
      </c>
    </row>
    <row r="42" customFormat="false" ht="16" hidden="false" customHeight="false" outlineLevel="0" collapsed="false">
      <c r="A42" s="10" t="s">
        <v>112</v>
      </c>
      <c r="B42" s="26" t="n">
        <v>0.93</v>
      </c>
      <c r="C42" s="17" t="s">
        <v>113</v>
      </c>
      <c r="D42" s="17"/>
      <c r="H42" s="23" t="n">
        <f aca="false">G41-B42</f>
        <v>4.11522633744221E-005</v>
      </c>
    </row>
    <row r="44" customFormat="false" ht="15.5" hidden="false" customHeight="false" outlineLevel="0" collapsed="false">
      <c r="A44" s="12" t="s">
        <v>114</v>
      </c>
      <c r="B44" s="12"/>
      <c r="C44" s="12"/>
      <c r="D44" s="13"/>
      <c r="E44" s="13"/>
      <c r="F44" s="13"/>
      <c r="G44" s="13"/>
      <c r="H44" s="13"/>
    </row>
    <row r="45" customFormat="false" ht="15" hidden="false" customHeight="false" outlineLevel="0" collapsed="false">
      <c r="A45" s="14" t="s">
        <v>71</v>
      </c>
      <c r="B45" s="14" t="s">
        <v>72</v>
      </c>
      <c r="C45" s="14" t="s">
        <v>65</v>
      </c>
      <c r="D45" s="14"/>
      <c r="E45" s="14"/>
      <c r="F45" s="14"/>
      <c r="G45" s="14"/>
      <c r="H45" s="14"/>
    </row>
    <row r="46" customFormat="false" ht="16" hidden="false" customHeight="false" outlineLevel="0" collapsed="false">
      <c r="A46" s="10" t="s">
        <v>115</v>
      </c>
      <c r="B46" s="39" t="n">
        <f aca="false">G41</f>
        <v>0.930041152263375</v>
      </c>
      <c r="C46" s="17" t="s">
        <v>116</v>
      </c>
      <c r="D46" s="17"/>
    </row>
    <row r="47" customFormat="false" ht="16" hidden="false" customHeight="false" outlineLevel="0" collapsed="false">
      <c r="A47" s="10" t="s">
        <v>117</v>
      </c>
      <c r="B47" s="28" t="n">
        <v>0.96</v>
      </c>
      <c r="C47" s="10" t="s">
        <v>118</v>
      </c>
    </row>
    <row r="48" customFormat="false" ht="16" hidden="false" customHeight="false" outlineLevel="0" collapsed="false">
      <c r="A48" s="10" t="s">
        <v>119</v>
      </c>
      <c r="B48" s="25" t="n">
        <f aca="false">B47/B46</f>
        <v>1.03221238938053</v>
      </c>
      <c r="C48" s="17" t="s">
        <v>120</v>
      </c>
      <c r="D48" s="17"/>
      <c r="E48" s="17"/>
      <c r="F48" s="17"/>
    </row>
    <row r="49" customFormat="false" ht="16" hidden="false" customHeight="false" outlineLevel="0" collapsed="false">
      <c r="A49" s="10" t="s">
        <v>121</v>
      </c>
      <c r="B49" s="23" t="n">
        <f aca="false">10*B48</f>
        <v>10.3221238938053</v>
      </c>
      <c r="C49" s="20" t="s">
        <v>122</v>
      </c>
      <c r="D49" s="20"/>
      <c r="E49" s="20"/>
      <c r="F49" s="20"/>
    </row>
    <row r="50" customFormat="false" ht="16" hidden="false" customHeight="false" outlineLevel="0" collapsed="false">
      <c r="A50" s="10" t="s">
        <v>123</v>
      </c>
      <c r="B50" s="23" t="n">
        <f aca="false">20*B48</f>
        <v>20.6442477876106</v>
      </c>
    </row>
    <row r="51" customFormat="false" ht="16" hidden="false" customHeight="false" outlineLevel="0" collapsed="false">
      <c r="A51" s="10" t="s">
        <v>124</v>
      </c>
      <c r="B51" s="23" t="n">
        <f aca="false">50*B48</f>
        <v>51.6106194690266</v>
      </c>
    </row>
    <row r="53" customFormat="false" ht="15.5" hidden="false" customHeight="false" outlineLevel="0" collapsed="false">
      <c r="A53" s="12" t="s">
        <v>125</v>
      </c>
      <c r="B53" s="12"/>
      <c r="C53" s="12"/>
      <c r="D53" s="13"/>
      <c r="E53" s="13"/>
      <c r="F53" s="13"/>
      <c r="G53" s="13"/>
      <c r="H53" s="13"/>
    </row>
    <row r="54" customFormat="false" ht="15" hidden="false" customHeight="false" outlineLevel="0" collapsed="false">
      <c r="A54" s="14" t="s">
        <v>126</v>
      </c>
      <c r="B54" s="14" t="s">
        <v>127</v>
      </c>
      <c r="C54" s="14" t="s">
        <v>65</v>
      </c>
    </row>
    <row r="55" customFormat="false" ht="16" hidden="false" customHeight="false" outlineLevel="0" collapsed="false">
      <c r="A55" s="10" t="s">
        <v>128</v>
      </c>
      <c r="B55" s="29" t="str">
        <f aca="false">IF(AND(B22=C22,C22=D22,D22=E22,E22=F22,B22=$B$8),"✓","✗")</f>
        <v>✓</v>
      </c>
    </row>
    <row r="56" customFormat="false" ht="15" hidden="false" customHeight="false" outlineLevel="0" collapsed="false">
      <c r="A56" s="10" t="s">
        <v>129</v>
      </c>
      <c r="B56" s="29" t="str">
        <f aca="false">IF(B26+G26=$B$8,"✓","✗")</f>
        <v>✓</v>
      </c>
      <c r="C56" s="17" t="s">
        <v>130</v>
      </c>
      <c r="D56" s="17"/>
      <c r="E56" s="17"/>
      <c r="F56" s="17"/>
    </row>
    <row r="57" customFormat="false" ht="16" hidden="false" customHeight="false" outlineLevel="0" collapsed="false">
      <c r="A57" s="10" t="s">
        <v>131</v>
      </c>
      <c r="B57" s="29" t="str">
        <f aca="false">IF(SUM(C32:C40)&lt;=$B$10,"✓","✗")</f>
        <v>✓</v>
      </c>
      <c r="C57" s="37">
        <v>3</v>
      </c>
      <c r="D57" s="20"/>
      <c r="E57" s="20"/>
      <c r="F57" s="20"/>
      <c r="G57" s="20"/>
    </row>
    <row r="58" customFormat="false" ht="16" hidden="false" customHeight="false" outlineLevel="0" collapsed="false">
      <c r="A58" s="16" t="s">
        <v>133</v>
      </c>
      <c r="B58" s="29" t="str">
        <f aca="false">IF(ABS(G41-B42)&lt;0.00005,"✓","✗")</f>
        <v>✓</v>
      </c>
    </row>
    <row r="60" customFormat="false" ht="15" hidden="false" customHeight="true" outlineLevel="0" collapsed="false">
      <c r="A60" s="30" t="s">
        <v>134</v>
      </c>
      <c r="B60" s="30"/>
      <c r="C60" s="30"/>
      <c r="D60" s="30"/>
      <c r="E60" s="30"/>
      <c r="F60" s="30"/>
      <c r="G60" s="30"/>
      <c r="H60" s="30"/>
    </row>
  </sheetData>
  <mergeCells count="17">
    <mergeCell ref="A1:H1"/>
    <mergeCell ref="A3:C3"/>
    <mergeCell ref="C8:D8"/>
    <mergeCell ref="C12:F12"/>
    <mergeCell ref="A14:F14"/>
    <mergeCell ref="G22:H22"/>
    <mergeCell ref="A24:F24"/>
    <mergeCell ref="A30:F30"/>
    <mergeCell ref="C42:D42"/>
    <mergeCell ref="A44:C44"/>
    <mergeCell ref="C46:D46"/>
    <mergeCell ref="C48:F48"/>
    <mergeCell ref="C49:F49"/>
    <mergeCell ref="A53:C53"/>
    <mergeCell ref="C56:F56"/>
    <mergeCell ref="C57:G57"/>
    <mergeCell ref="A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M8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2026-09-29T15:06:25Z</dcterms:created>
  <dc:creator>openpyxl</dc:creator>
  <dc:description/>
  <dc:language>zh-CN</dc:language>
  <cp:lastModifiedBy/>
  <dcterms:modified xsi:type="dcterms:W3CDTF">2026-09-29T15:06:25Z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