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数据配表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<sst xmlns="http://schemas.openxmlformats.org/spreadsheetml/2006/main" count="226" uniqueCount="215">
  <si>
    <r>
      <rPr>
        <b val="true"/>
        <sz val="14"/>
        <color rgb="FF1F4E79"/>
        <rFont val="Noto Sans SC"/>
        <family val="2"/>
        <charset val="134"/>
      </rPr>
      <t xml:space="preserve">从零开始学</t>
    </r>
    <r>
      <rPr>
        <b val="true"/>
        <sz val="14"/>
        <color rgb="FF1F4E79"/>
        <rFont val="Cambria"/>
        <family val="0"/>
        <charset val="1"/>
      </rPr>
      <t xml:space="preserve">Slots 31 —— </t>
    </r>
    <r>
      <rPr>
        <b val="true"/>
        <sz val="14"/>
        <color rgb="FF1F4E79"/>
        <rFont val="Noto Sans SC"/>
        <family val="2"/>
        <charset val="134"/>
      </rPr>
      <t xml:space="preserve">番外篇：</t>
    </r>
    <r>
      <rPr>
        <b val="true"/>
        <sz val="14"/>
        <color rgb="FF1F4E79"/>
        <rFont val="Cambria"/>
        <family val="0"/>
        <charset val="1"/>
      </rPr>
      <t xml:space="preserve">Python</t>
    </r>
    <r>
      <rPr>
        <b val="true"/>
        <sz val="14"/>
        <color rgb="FF1F4E79"/>
        <rFont val="Noto Sans SC"/>
        <family val="2"/>
        <charset val="134"/>
      </rPr>
      <t xml:space="preserve">模拟</t>
    </r>
    <r>
      <rPr>
        <b val="true"/>
        <sz val="14"/>
        <color rgb="FF1F4E79"/>
        <rFont val="Cambria"/>
        <family val="0"/>
        <charset val="1"/>
      </rPr>
      <t xml:space="preserve">Way Slots</t>
    </r>
  </si>
  <si>
    <r>
      <rPr>
        <sz val="11"/>
        <color rgb="FF808080"/>
        <rFont val="Noto Sans SC"/>
        <family val="2"/>
        <charset val="134"/>
      </rPr>
      <t xml:space="preserve">来源：知乎《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番外篇——</t>
    </r>
    <r>
      <rPr>
        <sz val="11"/>
        <color rgb="FF808080"/>
        <rFont val="Cambria"/>
        <family val="0"/>
        <charset val="1"/>
      </rPr>
      <t xml:space="preserve">Python</t>
    </r>
    <r>
      <rPr>
        <sz val="11"/>
        <color rgb="FF808080"/>
        <rFont val="Noto Sans SC"/>
        <family val="2"/>
        <charset val="134"/>
      </rPr>
      <t xml:space="preserve">模拟</t>
    </r>
    <r>
      <rPr>
        <sz val="11"/>
        <color rgb="FF808080"/>
        <rFont val="Cambria"/>
        <family val="0"/>
        <charset val="1"/>
      </rPr>
      <t xml:space="preserve">Way Slots</t>
    </r>
    <r>
      <rPr>
        <sz val="11"/>
        <color rgb="FF808080"/>
        <rFont val="Noto Sans SC"/>
        <family val="2"/>
        <charset val="134"/>
      </rPr>
      <t xml:space="preserve">》  </t>
    </r>
    <r>
      <rPr>
        <sz val="11"/>
        <color rgb="FF808080"/>
        <rFont val="Cambria"/>
        <family val="0"/>
        <charset val="1"/>
      </rPr>
      <t xml:space="preserve">https://zhuanlan.zhihu.com/p/634251282</t>
    </r>
  </si>
  <si>
    <r>
      <rPr>
        <sz val="11"/>
        <color rgb="FF808080"/>
        <rFont val="Noto Sans SC"/>
        <family val="2"/>
        <charset val="134"/>
      </rPr>
      <t xml:space="preserve">专栏：从零开始学</t>
    </r>
    <r>
      <rPr>
        <sz val="11"/>
        <color rgb="FF808080"/>
        <rFont val="Cambria"/>
        <family val="0"/>
        <charset val="1"/>
      </rPr>
      <t xml:space="preserve">Slots https://zhuanlan.zhihu.com/c_1645024821070356480 </t>
    </r>
    <r>
      <rPr>
        <sz val="11"/>
        <color rgb="FF808080"/>
        <rFont val="Noto Sans SC"/>
        <family val="2"/>
        <charset val="134"/>
      </rPr>
      <t xml:space="preserve">｜ 作者：</t>
    </r>
    <r>
      <rPr>
        <sz val="11"/>
        <color rgb="FF808080"/>
        <rFont val="Cambria"/>
        <family val="0"/>
        <charset val="1"/>
      </rPr>
      <t xml:space="preserve">ASlot</t>
    </r>
  </si>
  <si>
    <r>
      <rPr>
        <sz val="11"/>
        <color rgb="FF808080"/>
        <rFont val="Noto Sans SC"/>
        <family val="2"/>
        <charset val="134"/>
      </rPr>
      <t xml:space="preserve">正文：用户在本机离线保存的网页原件（浏览器「另存为 → 网页，全部」）；本页『原文整理』即该文全文，原文配图已取回 </t>
    </r>
    <r>
      <rPr>
        <sz val="11"/>
        <color rgb="FF808080"/>
        <rFont val="Cambria"/>
        <family val="0"/>
        <charset val="1"/>
      </rPr>
      <t xml:space="preserve">images/slots/</t>
    </r>
    <r>
      <rPr>
        <sz val="11"/>
        <color rgb="FF808080"/>
        <rFont val="Noto Sans SC"/>
        <family val="2"/>
        <charset val="134"/>
      </rPr>
      <t xml:space="preserve">。</t>
    </r>
  </si>
  <si>
    <r>
      <rPr>
        <sz val="11"/>
        <color rgb="FF808080"/>
        <rFont val="Noto Sans SC"/>
        <family val="2"/>
        <charset val="134"/>
      </rPr>
      <t xml:space="preserve">样式模板：捕鱼游戏数学</t>
    </r>
    <r>
      <rPr>
        <sz val="11"/>
        <color rgb="FF808080"/>
        <rFont val="Cambria"/>
        <family val="0"/>
        <charset val="1"/>
      </rPr>
      <t xml:space="preserve">-PartII-</t>
    </r>
    <r>
      <rPr>
        <sz val="11"/>
        <color rgb="FF808080"/>
        <rFont val="Noto Sans SC"/>
        <family val="2"/>
        <charset val="134"/>
      </rPr>
      <t xml:space="preserve">特殊炮模型</t>
    </r>
    <r>
      <rPr>
        <sz val="11"/>
        <color rgb="FF808080"/>
        <rFont val="Cambria"/>
        <family val="0"/>
        <charset val="1"/>
      </rPr>
      <t xml:space="preserve">.xlsx</t>
    </r>
    <r>
      <rPr>
        <sz val="11"/>
        <color rgb="FF808080"/>
        <rFont val="Noto Sans SC"/>
        <family val="2"/>
        <charset val="134"/>
      </rPr>
      <t xml:space="preserve">（分节深蓝底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表头浅蓝底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蓝字可改输入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黑字公式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黄底关键结果）</t>
    </r>
  </si>
  <si>
    <r>
      <rPr>
        <sz val="11"/>
        <color rgb="FF808080"/>
        <rFont val="Noto Sans SC"/>
        <family val="2"/>
        <charset val="134"/>
      </rPr>
      <t xml:space="preserve">配表说明：本篇的权重、赔付倍数、</t>
    </r>
    <r>
      <rPr>
        <sz val="11"/>
        <color rgb="FF808080"/>
        <rFont val="Cambria"/>
        <family val="0"/>
        <charset val="1"/>
      </rPr>
      <t xml:space="preserve">BET </t>
    </r>
    <r>
      <rPr>
        <sz val="11"/>
        <color rgb="FF808080"/>
        <rFont val="Noto Sans SC"/>
        <family val="2"/>
        <charset val="134"/>
      </rPr>
      <t xml:space="preserve">与模拟结果均取自原文代码与结论；【</t>
    </r>
    <r>
      <rPr>
        <sz val="11"/>
        <color rgb="FF808080"/>
        <rFont val="Cambria"/>
        <family val="0"/>
        <charset val="1"/>
      </rPr>
      <t xml:space="preserve">2</t>
    </r>
    <r>
      <rPr>
        <sz val="11"/>
        <color rgb="FF808080"/>
        <rFont val="Noto Sans SC"/>
        <family val="2"/>
        <charset val="134"/>
      </rPr>
      <t xml:space="preserve">】把代码里「挨个累加得到比较标准」的写法搬成一张可改表格，便于核对抽取口径。</t>
    </r>
  </si>
  <si>
    <t xml:space="preserve">页签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</si>
  <si>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说明：本文整理 —— 来源、用法、要点、原文全文、配图清单、校验与声明。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</si>
  <si>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数据配表：把原文讲到的方法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机制做成可改数值的配表（蓝字可改，公式自动联动）。</t>
    </r>
  </si>
  <si>
    <t xml:space="preserve">用法</t>
  </si>
  <si>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SC"/>
        <family val="2"/>
        <charset val="134"/>
      </rPr>
      <t xml:space="preserve">先看本页『原文整理』，对照原文小标题读一遍；配图编号 ［配图 </t>
    </r>
    <r>
      <rPr>
        <sz val="11"/>
        <color theme="1"/>
        <rFont val="Calibri"/>
        <family val="2"/>
        <charset val="1"/>
      </rPr>
      <t xml:space="preserve">NN</t>
    </r>
    <r>
      <rPr>
        <sz val="11"/>
        <color theme="1"/>
        <rFont val="Noto Sans SC"/>
        <family val="2"/>
        <charset val="134"/>
      </rPr>
      <t xml:space="preserve">］ 对应 </t>
    </r>
    <r>
      <rPr>
        <sz val="11"/>
        <color theme="1"/>
        <rFont val="Calibri"/>
        <family val="2"/>
        <charset val="1"/>
      </rPr>
      <t xml:space="preserve">images/slots/634251282-NN.</t>
    </r>
    <r>
      <rPr>
        <sz val="11"/>
        <color theme="1"/>
        <rFont val="Noto Sans SC"/>
        <family val="2"/>
        <charset val="134"/>
      </rPr>
      <t xml:space="preserve">原扩展名。</t>
    </r>
  </si>
  <si>
    <r>
      <rPr>
        <sz val="11"/>
        <color theme="1"/>
        <rFont val="Calibri"/>
        <family val="2"/>
        <charset val="1"/>
      </rPr>
      <t xml:space="preserve">2) </t>
    </r>
    <r>
      <rPr>
        <sz val="11"/>
        <color theme="1"/>
        <rFont val="Noto Sans SC"/>
        <family val="2"/>
        <charset val="134"/>
      </rPr>
      <t xml:space="preserve">再看第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个页签『数据配表』：蓝字＝可改配置，黑字＝公式，黄底＝结果；改配置后各表自动联动。</t>
    </r>
  </si>
  <si>
    <r>
      <rPr>
        <sz val="11"/>
        <color theme="1"/>
        <rFont val="Calibri"/>
        <family val="2"/>
        <charset val="1"/>
      </rPr>
      <t xml:space="preserve">3) </t>
    </r>
    <r>
      <rPr>
        <sz val="11"/>
        <color theme="1"/>
        <rFont val="Noto Sans SC"/>
        <family val="2"/>
        <charset val="134"/>
      </rPr>
      <t xml:space="preserve">表内数值取自原文示例；原文只给方法而未给数值的部分，用同项目《老虎机数学入门 </t>
    </r>
    <r>
      <rPr>
        <sz val="11"/>
        <color theme="1"/>
        <rFont val="Calibri"/>
        <family val="2"/>
        <charset val="1"/>
      </rPr>
      <t xml:space="preserve">Part Ⅰ/Ⅱ</t>
    </r>
    <r>
      <rPr>
        <sz val="11"/>
        <color theme="1"/>
        <rFont val="Noto Sans SC"/>
        <family val="2"/>
        <charset val="134"/>
      </rPr>
      <t xml:space="preserve">》的示例数值（蓝字可改）。</t>
    </r>
  </si>
  <si>
    <t xml:space="preserve">要点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</si>
  <si>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承接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SC"/>
        <family val="2"/>
        <charset val="134"/>
      </rPr>
      <t xml:space="preserve">篇：把模拟对象从 </t>
    </r>
    <r>
      <rPr>
        <sz val="11"/>
        <color theme="1"/>
        <rFont val="Calibri"/>
        <family val="2"/>
        <charset val="1"/>
      </rPr>
      <t xml:space="preserve">Line Slots </t>
    </r>
    <r>
      <rPr>
        <sz val="11"/>
        <color theme="1"/>
        <rFont val="Noto Sans SC"/>
        <family val="2"/>
        <charset val="134"/>
      </rPr>
      <t xml:space="preserve">换成 </t>
    </r>
    <r>
      <rPr>
        <sz val="11"/>
        <color theme="1"/>
        <rFont val="Calibri"/>
        <family val="2"/>
        <charset val="1"/>
      </rPr>
      <t xml:space="preserve">Way Slots</t>
    </r>
    <r>
      <rPr>
        <sz val="11"/>
        <color theme="1"/>
        <rFont val="Noto Sans SC"/>
        <family val="2"/>
        <charset val="134"/>
      </rPr>
      <t xml:space="preserve">（不再分中奖线，按图标逐个判定再加总）。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</si>
  <si>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图标抽取用「权重累加」法：把各图标出现几率挨个累加，相当于在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SC"/>
        <family val="2"/>
        <charset val="134"/>
      </rPr>
      <t xml:space="preserve">长的直线上划分区段，</t>
    </r>
  </si>
  <si>
    <t xml:space="preserve">  随机点落在哪一段就取哪个图标（实现最简单，也可换成别的方式）。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</si>
  <si>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本例（与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SC"/>
        <family val="2"/>
        <charset val="134"/>
      </rPr>
      <t xml:space="preserve">篇同一套数值）：</t>
    </r>
    <r>
      <rPr>
        <sz val="11"/>
        <color theme="1"/>
        <rFont val="Calibri"/>
        <family val="2"/>
        <charset val="1"/>
      </rPr>
      <t xml:space="preserve">Way Slots</t>
    </r>
    <r>
      <rPr>
        <sz val="11"/>
        <color theme="1"/>
        <rFont val="Noto Sans SC"/>
        <family val="2"/>
        <charset val="134"/>
      </rPr>
      <t xml:space="preserve">、随机卷轴、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个标准图标 </t>
    </r>
    <r>
      <rPr>
        <sz val="11"/>
        <color theme="1"/>
        <rFont val="Calibri"/>
        <family val="2"/>
        <charset val="1"/>
      </rPr>
      <t xml:space="preserve">10/J/Q/K/A </t>
    </r>
    <r>
      <rPr>
        <sz val="11"/>
        <color theme="1"/>
        <rFont val="Noto Sans SC"/>
        <family val="2"/>
        <charset val="134"/>
      </rPr>
      <t xml:space="preserve">＋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；</t>
    </r>
  </si>
  <si>
    <r>
      <rPr>
        <sz val="11"/>
        <color theme="1"/>
        <rFont val="Noto Sans SC"/>
        <family val="2"/>
        <charset val="134"/>
      </rPr>
      <t xml:space="preserve">  场上 </t>
    </r>
    <r>
      <rPr>
        <sz val="11"/>
        <color theme="1"/>
        <rFont val="Calibri"/>
        <family val="2"/>
        <charset val="1"/>
      </rPr>
      <t xml:space="preserve">Scatter ≥ 3 </t>
    </r>
    <r>
      <rPr>
        <sz val="11"/>
        <color theme="1"/>
        <rFont val="Noto Sans SC"/>
        <family val="2"/>
        <charset val="134"/>
      </rPr>
      <t xml:space="preserve">个进入特殊模式（本篇代码只做普通摇）。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</si>
  <si>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判定要点：某列「图标个数 ＋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个数 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SC"/>
        <family val="2"/>
        <charset val="134"/>
      </rPr>
      <t xml:space="preserve">」才算参与，列内个数累乘；</t>
    </r>
  </si>
  <si>
    <r>
      <rPr>
        <sz val="11"/>
        <color theme="1"/>
        <rFont val="Noto Sans SC"/>
        <family val="2"/>
        <charset val="134"/>
      </rPr>
      <t xml:space="preserve">  出现列数 ≥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才中奖，只取满足的最高档赔付；中奖额 ＝ 赔付倍数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个数乘积 </t>
    </r>
    <r>
      <rPr>
        <sz val="11"/>
        <color theme="1"/>
        <rFont val="Calibri"/>
        <family val="2"/>
        <charset val="1"/>
      </rPr>
      <t xml:space="preserve">× BET ÷ 100</t>
    </r>
    <r>
      <rPr>
        <sz val="11"/>
        <color theme="1"/>
        <rFont val="Noto Sans SC"/>
        <family val="2"/>
        <charset val="134"/>
      </rPr>
      <t xml:space="preserve">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</si>
  <si>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原文跑 </t>
    </r>
    <r>
      <rPr>
        <sz val="11"/>
        <color theme="1"/>
        <rFont val="Calibri"/>
        <family val="2"/>
        <charset val="1"/>
      </rPr>
      <t xml:space="preserve">100,000 </t>
    </r>
    <r>
      <rPr>
        <sz val="11"/>
        <color theme="1"/>
        <rFont val="Noto Sans SC"/>
        <family val="2"/>
        <charset val="134"/>
      </rPr>
      <t xml:space="preserve">局 </t>
    </r>
    <r>
      <rPr>
        <sz val="11"/>
        <color theme="1"/>
        <rFont val="Calibri"/>
        <family val="2"/>
        <charset val="1"/>
      </rPr>
      <t xml:space="preserve">× 10 </t>
    </r>
    <r>
      <rPr>
        <sz val="11"/>
        <color theme="1"/>
        <rFont val="Noto Sans SC"/>
        <family val="2"/>
        <charset val="134"/>
      </rPr>
      <t xml:space="preserve">次，得到 </t>
    </r>
    <r>
      <rPr>
        <sz val="11"/>
        <color theme="1"/>
        <rFont val="Calibri"/>
        <family val="2"/>
        <charset val="1"/>
      </rPr>
      <t xml:space="preserve">RTP ≈ 0.5110</t>
    </r>
    <r>
      <rPr>
        <sz val="11"/>
        <color theme="1"/>
        <rFont val="Noto Sans SC"/>
        <family val="2"/>
        <charset val="134"/>
      </rPr>
      <t xml:space="preserve">，与计算的 </t>
    </r>
    <r>
      <rPr>
        <sz val="11"/>
        <color theme="1"/>
        <rFont val="Calibri"/>
        <family val="2"/>
        <charset val="1"/>
      </rPr>
      <t xml:space="preserve">Base Game RTP 0.5097 </t>
    </r>
    <r>
      <rPr>
        <sz val="11"/>
        <color theme="1"/>
        <rFont val="Noto Sans SC"/>
        <family val="2"/>
        <charset val="134"/>
      </rPr>
      <t xml:space="preserve">相差约 </t>
    </r>
    <r>
      <rPr>
        <sz val="11"/>
        <color theme="1"/>
        <rFont val="Calibri"/>
        <family val="2"/>
        <charset val="1"/>
      </rPr>
      <t xml:space="preserve">0.0003</t>
    </r>
    <r>
      <rPr>
        <sz val="11"/>
        <color theme="1"/>
        <rFont val="Noto Sans SC"/>
        <family val="2"/>
        <charset val="134"/>
      </rPr>
      <t xml:space="preserve">。</t>
    </r>
  </si>
  <si>
    <t xml:space="preserve">原文整理（全文，按原文小标题分段）</t>
  </si>
  <si>
    <r>
      <rPr>
        <sz val="11"/>
        <color theme="1"/>
        <rFont val="Noto Sans SC"/>
        <family val="2"/>
        <charset val="134"/>
      </rPr>
      <t xml:space="preserve">上篇中介绍了使用</t>
    </r>
    <r>
      <rPr>
        <sz val="11"/>
        <color theme="1"/>
        <rFont val="Calibri"/>
        <family val="2"/>
        <charset val="1"/>
      </rPr>
      <t xml:space="preserve">Python</t>
    </r>
    <r>
      <rPr>
        <sz val="11"/>
        <color theme="1"/>
        <rFont val="Noto Sans SC"/>
        <family val="2"/>
        <charset val="134"/>
      </rPr>
      <t xml:space="preserve">模拟多线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的操作方法，本篇将在上篇的基础上进行调整，介绍如何使用</t>
    </r>
    <r>
      <rPr>
        <sz val="11"/>
        <color theme="1"/>
        <rFont val="Calibri"/>
        <family val="2"/>
        <charset val="1"/>
      </rPr>
      <t xml:space="preserve">Python</t>
    </r>
    <r>
      <rPr>
        <sz val="11"/>
        <color theme="1"/>
        <rFont val="Noto Sans SC"/>
        <family val="2"/>
        <charset val="134"/>
      </rPr>
      <t xml:space="preserve">模拟</t>
    </r>
    <r>
      <rPr>
        <sz val="11"/>
        <color theme="1"/>
        <rFont val="Calibri"/>
        <family val="2"/>
        <charset val="1"/>
      </rPr>
      <t xml:space="preserve">Way Slots</t>
    </r>
    <r>
      <rPr>
        <sz val="11"/>
        <color theme="1"/>
        <rFont val="Noto Sans SC"/>
        <family val="2"/>
        <charset val="134"/>
      </rPr>
      <t xml:space="preserve">的基本功能</t>
    </r>
  </si>
  <si>
    <r>
      <rPr>
        <sz val="11"/>
        <color theme="1"/>
        <rFont val="Noto Sans SC"/>
        <family val="2"/>
        <charset val="134"/>
      </rPr>
      <t xml:space="preserve">首先，这里也使用直接输入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图标、赔付倍数和出现几率的方式进行配置</t>
    </r>
  </si>
  <si>
    <t xml:space="preserve">这里进行了特别处理的是在设置图标的出现几率后，需要将其挨个累加构成随机抽取图标时标准</t>
  </si>
  <si>
    <r>
      <rPr>
        <sz val="11"/>
        <color theme="1"/>
        <rFont val="Noto Sans SC"/>
        <family val="2"/>
        <charset val="134"/>
      </rPr>
      <t xml:space="preserve">相当于把图标的出现几率用长度来表示，所有图标出现几率之和就是一段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SC"/>
        <family val="2"/>
        <charset val="134"/>
      </rPr>
      <t xml:space="preserve">长度的直线</t>
    </r>
  </si>
  <si>
    <t xml:space="preserve">依据随机点落在直线上的位置判断抽取到的是哪一个图标</t>
  </si>
  <si>
    <t xml:space="preserve">这只是抽取图标的一种方法，可以根据实际情况选择合适的图标抽取方式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</si>
  <si>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01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634251282-01.jpg</t>
    </r>
  </si>
  <si>
    <r>
      <rPr>
        <sz val="11"/>
        <color theme="1"/>
        <rFont val="Noto Sans SC"/>
        <family val="2"/>
        <charset val="134"/>
      </rPr>
      <t xml:space="preserve">接下来就是依据图标的基础信息，生成一个</t>
    </r>
    <r>
      <rPr>
        <sz val="11"/>
        <color theme="1"/>
        <rFont val="Calibri"/>
        <family val="2"/>
        <charset val="1"/>
      </rPr>
      <t xml:space="preserve">3*5</t>
    </r>
    <r>
      <rPr>
        <sz val="11"/>
        <color theme="1"/>
        <rFont val="Noto Sans SC"/>
        <family val="2"/>
        <charset val="134"/>
      </rPr>
      <t xml:space="preserve">尺寸的卷轴区域</t>
    </r>
  </si>
  <si>
    <t xml:space="preserve">处理内容如下：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</si>
  <si>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634251282-02.jpg</t>
    </r>
  </si>
  <si>
    <t xml:space="preserve">得到卷轴上图标的分布情况后就可以对中奖结果进行判定了</t>
  </si>
  <si>
    <r>
      <rPr>
        <sz val="11"/>
        <color theme="1"/>
        <rFont val="Calibri"/>
        <family val="2"/>
        <charset val="1"/>
      </rPr>
      <t xml:space="preserve">Way Slots</t>
    </r>
    <r>
      <rPr>
        <sz val="11"/>
        <color theme="1"/>
        <rFont val="Noto Sans SC"/>
        <family val="2"/>
        <charset val="134"/>
      </rPr>
      <t xml:space="preserve">和</t>
    </r>
    <r>
      <rPr>
        <sz val="11"/>
        <color theme="1"/>
        <rFont val="Calibri"/>
        <family val="2"/>
        <charset val="1"/>
      </rPr>
      <t xml:space="preserve">Line Slot</t>
    </r>
    <r>
      <rPr>
        <sz val="11"/>
        <color theme="1"/>
        <rFont val="Noto Sans SC"/>
        <family val="2"/>
        <charset val="134"/>
      </rPr>
      <t xml:space="preserve">在中奖判定上比较大的区别就是</t>
    </r>
    <r>
      <rPr>
        <sz val="11"/>
        <color theme="1"/>
        <rFont val="Calibri"/>
        <family val="2"/>
        <charset val="1"/>
      </rPr>
      <t xml:space="preserve">Ways</t>
    </r>
    <r>
      <rPr>
        <sz val="11"/>
        <color theme="1"/>
        <rFont val="Noto Sans SC"/>
        <family val="2"/>
        <charset val="134"/>
      </rPr>
      <t xml:space="preserve">类型的产品无需再分</t>
    </r>
    <r>
      <rPr>
        <sz val="11"/>
        <color theme="1"/>
        <rFont val="Calibri"/>
        <family val="2"/>
        <charset val="1"/>
      </rPr>
      <t xml:space="preserve">Pay Line</t>
    </r>
    <r>
      <rPr>
        <sz val="11"/>
        <color theme="1"/>
        <rFont val="Noto Sans SC"/>
        <family val="2"/>
        <charset val="134"/>
      </rPr>
      <t xml:space="preserve">进行判定，这里只用分别处理各图标的中奖情况再加总即可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</si>
  <si>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634251282-03.jpg</t>
    </r>
  </si>
  <si>
    <t xml:space="preserve">至此基本的计算过程就结束了，会在本文末尾放上完整的代码</t>
  </si>
  <si>
    <r>
      <rPr>
        <sz val="11"/>
        <color theme="1"/>
        <rFont val="Noto Sans SC"/>
        <family val="2"/>
        <charset val="134"/>
      </rPr>
      <t xml:space="preserve">本篇选择的示例为之前介绍</t>
    </r>
    <r>
      <rPr>
        <sz val="11"/>
        <color theme="1"/>
        <rFont val="Calibri"/>
        <family val="2"/>
        <charset val="1"/>
      </rPr>
      <t xml:space="preserve">Way Slots</t>
    </r>
    <r>
      <rPr>
        <sz val="11"/>
        <color theme="1"/>
        <rFont val="Noto Sans SC"/>
        <family val="2"/>
        <charset val="134"/>
      </rPr>
      <t xml:space="preserve">时选择的示例，可以点击下方链接进行回顾：</t>
    </r>
  </si>
  <si>
    <t xml:space="preserve">这里简单介绍示例情况：</t>
  </si>
  <si>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类型：</t>
    </r>
    <r>
      <rPr>
        <sz val="11"/>
        <color theme="1"/>
        <rFont val="Calibri"/>
        <family val="2"/>
        <charset val="1"/>
      </rPr>
      <t xml:space="preserve">Way Slots</t>
    </r>
  </si>
  <si>
    <t xml:space="preserve">卷轴类型：随机卷轴</t>
  </si>
  <si>
    <t xml:space="preserve">图标：</t>
  </si>
  <si>
    <r>
      <rPr>
        <sz val="11"/>
        <color theme="1"/>
        <rFont val="Calibri"/>
        <family val="2"/>
        <charset val="1"/>
      </rPr>
      <t xml:space="preserve"> 5</t>
    </r>
    <r>
      <rPr>
        <sz val="11"/>
        <color theme="1"/>
        <rFont val="Noto Sans SC"/>
        <family val="2"/>
        <charset val="134"/>
      </rPr>
      <t xml:space="preserve">个标准图标：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</si>
  <si>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2</t>
    </r>
    <r>
      <rPr>
        <sz val="11"/>
        <color theme="1"/>
        <rFont val="Noto Sans SC"/>
        <family val="2"/>
        <charset val="134"/>
      </rPr>
      <t xml:space="preserve">个特殊图标：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Scatter</t>
    </r>
  </si>
  <si>
    <t xml:space="preserve">特殊模式：</t>
  </si>
  <si>
    <r>
      <rPr>
        <sz val="11"/>
        <color theme="1"/>
        <rFont val="Noto Sans SC"/>
        <family val="2"/>
        <charset val="134"/>
      </rPr>
      <t xml:space="preserve">当场上的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图标大于等于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SC"/>
        <family val="2"/>
        <charset val="134"/>
      </rPr>
      <t xml:space="preserve">个时，即可进入特殊模式</t>
    </r>
  </si>
  <si>
    <t xml:space="preserve">根据之前的数据分析，得到以下数值模型表：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</si>
  <si>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634251282-04.jpg</t>
    </r>
  </si>
  <si>
    <t xml:space="preserve">本篇介绍的代码内容仅涉及普通摇奖部分，因此这里先无需考虑特殊模式的影响</t>
  </si>
  <si>
    <r>
      <rPr>
        <sz val="11"/>
        <color theme="1"/>
        <rFont val="Noto Sans SC"/>
        <family val="2"/>
        <charset val="134"/>
      </rPr>
      <t xml:space="preserve">如果代码和数值体系均正确，代码得出的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应当与计算得到的</t>
    </r>
    <r>
      <rPr>
        <sz val="11"/>
        <color theme="1"/>
        <rFont val="Calibri"/>
        <family val="2"/>
        <charset val="1"/>
      </rPr>
      <t xml:space="preserve">Base Game 0.5097</t>
    </r>
    <r>
      <rPr>
        <sz val="11"/>
        <color theme="1"/>
        <rFont val="Noto Sans SC"/>
        <family val="2"/>
        <charset val="134"/>
      </rPr>
      <t xml:space="preserve">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相等</t>
    </r>
  </si>
  <si>
    <r>
      <rPr>
        <sz val="11"/>
        <color theme="1"/>
        <rFont val="Noto Sans SC"/>
        <family val="2"/>
        <charset val="134"/>
      </rPr>
      <t xml:space="preserve">这里设定跑</t>
    </r>
    <r>
      <rPr>
        <sz val="11"/>
        <color theme="1"/>
        <rFont val="Calibri"/>
        <family val="2"/>
        <charset val="1"/>
      </rPr>
      <t xml:space="preserve">100,000</t>
    </r>
    <r>
      <rPr>
        <sz val="11"/>
        <color theme="1"/>
        <rFont val="Noto Sans SC"/>
        <family val="2"/>
        <charset val="134"/>
      </rPr>
      <t xml:space="preserve">局数据，跑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次求其平均值，得到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约为</t>
    </r>
    <r>
      <rPr>
        <sz val="11"/>
        <color theme="1"/>
        <rFont val="Calibri"/>
        <family val="2"/>
        <charset val="1"/>
      </rPr>
      <t xml:space="preserve">0.5110</t>
    </r>
  </si>
  <si>
    <r>
      <rPr>
        <sz val="11"/>
        <color theme="1"/>
        <rFont val="Noto Sans SC"/>
        <family val="2"/>
        <charset val="134"/>
      </rPr>
      <t xml:space="preserve">和计算得到的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相差</t>
    </r>
    <r>
      <rPr>
        <sz val="11"/>
        <color theme="1"/>
        <rFont val="Calibri"/>
        <family val="2"/>
        <charset val="1"/>
      </rPr>
      <t xml:space="preserve">0.0003</t>
    </r>
    <r>
      <rPr>
        <sz val="11"/>
        <color theme="1"/>
        <rFont val="Noto Sans SC"/>
        <family val="2"/>
        <charset val="134"/>
      </rPr>
      <t xml:space="preserve">左右，处于可接受范围之内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</si>
  <si>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634251282-05.jpg</t>
    </r>
  </si>
  <si>
    <r>
      <rPr>
        <sz val="11"/>
        <color theme="1"/>
        <rFont val="Noto Sans SC"/>
        <family val="2"/>
        <charset val="134"/>
      </rPr>
      <t xml:space="preserve">这里分享的</t>
    </r>
    <r>
      <rPr>
        <sz val="11"/>
        <color theme="1"/>
        <rFont val="Calibri"/>
        <family val="2"/>
        <charset val="1"/>
      </rPr>
      <t xml:space="preserve">Way Game</t>
    </r>
    <r>
      <rPr>
        <sz val="11"/>
        <color theme="1"/>
        <rFont val="Noto Sans SC"/>
        <family val="2"/>
        <charset val="134"/>
      </rPr>
      <t xml:space="preserve">跑数据工具也只是娱乐性的分享</t>
    </r>
  </si>
  <si>
    <t xml:space="preserve">实际的跑数据工具还需要对代码进行大量的优化，以节省跑数据时间</t>
  </si>
  <si>
    <t xml:space="preserve">这里放出本次分享的代码：</t>
  </si>
  <si>
    <r>
      <rPr>
        <sz val="11"/>
        <color theme="1"/>
        <rFont val="Calibri"/>
        <family val="2"/>
        <charset val="1"/>
      </rPr>
      <t xml:space="preserve">totaltimes = int(input("</t>
    </r>
    <r>
      <rPr>
        <sz val="11"/>
        <color theme="1"/>
        <rFont val="Noto Sans SC"/>
        <family val="2"/>
        <charset val="134"/>
      </rPr>
      <t xml:space="preserve">请输入模拟次数</t>
    </r>
    <r>
      <rPr>
        <sz val="11"/>
        <color theme="1"/>
        <rFont val="Calibri"/>
        <family val="2"/>
        <charset val="1"/>
      </rPr>
      <t xml:space="preserve">:"))# </t>
    </r>
    <r>
      <rPr>
        <sz val="11"/>
        <color theme="1"/>
        <rFont val="Noto Sans SC"/>
        <family val="2"/>
        <charset val="134"/>
      </rPr>
      <t xml:space="preserve">输入模拟次数</t>
    </r>
  </si>
  <si>
    <t xml:space="preserve">while totaltimes != "end" or "END":</t>
  </si>
  <si>
    <t xml:space="preserve"> BET = 1000</t>
  </si>
  <si>
    <t xml:space="preserve"> ColumnSeting = 5</t>
  </si>
  <si>
    <t xml:space="preserve"> RowSetting = 3</t>
  </si>
  <si>
    <t xml:space="preserve"> Symbols = ["10","J","Q","K","A","Wild","Scatter"]</t>
  </si>
  <si>
    <r>
      <rPr>
        <sz val="11"/>
        <color theme="1"/>
        <rFont val="Calibri"/>
        <family val="2"/>
        <charset val="1"/>
      </rPr>
      <t xml:space="preserve"> Symbol10Odds = [10,30,50]#</t>
    </r>
    <r>
      <rPr>
        <sz val="11"/>
        <color theme="1"/>
        <rFont val="Noto Sans SC"/>
        <family val="2"/>
        <charset val="134"/>
      </rPr>
      <t xml:space="preserve">图标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赔付倍数配置</t>
    </r>
  </si>
  <si>
    <r>
      <rPr>
        <sz val="11"/>
        <color theme="1"/>
        <rFont val="Calibri"/>
        <family val="2"/>
        <charset val="1"/>
      </rPr>
      <t xml:space="preserve"> SymbolJOdds = [10,30,50]#</t>
    </r>
    <r>
      <rPr>
        <sz val="11"/>
        <color theme="1"/>
        <rFont val="Noto Sans SC"/>
        <family val="2"/>
        <charset val="134"/>
      </rPr>
      <t xml:space="preserve">图标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赔付倍数配置</t>
    </r>
  </si>
  <si>
    <r>
      <rPr>
        <sz val="11"/>
        <color theme="1"/>
        <rFont val="Calibri"/>
        <family val="2"/>
        <charset val="1"/>
      </rPr>
      <t xml:space="preserve"> SymbolQOdds = [10,30,50]#</t>
    </r>
    <r>
      <rPr>
        <sz val="11"/>
        <color theme="1"/>
        <rFont val="Noto Sans SC"/>
        <family val="2"/>
        <charset val="134"/>
      </rPr>
      <t xml:space="preserve">图标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SC"/>
        <family val="2"/>
        <charset val="134"/>
      </rPr>
      <t xml:space="preserve">赔付倍数配置</t>
    </r>
  </si>
  <si>
    <r>
      <rPr>
        <sz val="11"/>
        <color theme="1"/>
        <rFont val="Calibri"/>
        <family val="2"/>
        <charset val="1"/>
      </rPr>
      <t xml:space="preserve"> SymbolKOdds = [10,30,50]#</t>
    </r>
    <r>
      <rPr>
        <sz val="11"/>
        <color theme="1"/>
        <rFont val="Noto Sans SC"/>
        <family val="2"/>
        <charset val="134"/>
      </rPr>
      <t xml:space="preserve">图标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SC"/>
        <family val="2"/>
        <charset val="134"/>
      </rPr>
      <t xml:space="preserve">赔付倍数配置</t>
    </r>
  </si>
  <si>
    <r>
      <rPr>
        <sz val="11"/>
        <color theme="1"/>
        <rFont val="Calibri"/>
        <family val="2"/>
        <charset val="1"/>
      </rPr>
      <t xml:space="preserve"> SymbolAOdds = [50,80,100]#</t>
    </r>
    <r>
      <rPr>
        <sz val="11"/>
        <color theme="1"/>
        <rFont val="Noto Sans SC"/>
        <family val="2"/>
        <charset val="134"/>
      </rPr>
      <t xml:space="preserve">图标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SC"/>
        <family val="2"/>
        <charset val="134"/>
      </rPr>
      <t xml:space="preserve">赔付倍数配置</t>
    </r>
  </si>
  <si>
    <t xml:space="preserve"> SymbolOdds = [Symbol10Odds,SymbolJOdds,SymbolQOdds,SymbolKOdds,SymbolAOdds]</t>
  </si>
  <si>
    <r>
      <rPr>
        <sz val="11"/>
        <color theme="1"/>
        <rFont val="Calibri"/>
        <family val="2"/>
        <charset val="1"/>
      </rPr>
      <t xml:space="preserve"> SymbolRate10 = [1781,1781,1781,1781,1781,]#</t>
    </r>
    <r>
      <rPr>
        <sz val="11"/>
        <color theme="1"/>
        <rFont val="Noto Sans SC"/>
        <family val="2"/>
        <charset val="134"/>
      </rPr>
      <t xml:space="preserve">图标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SC"/>
        <family val="2"/>
        <charset val="134"/>
      </rPr>
      <t xml:space="preserve">概率配置</t>
    </r>
  </si>
  <si>
    <r>
      <rPr>
        <sz val="11"/>
        <color theme="1"/>
        <rFont val="Calibri"/>
        <family val="2"/>
        <charset val="1"/>
      </rPr>
      <t xml:space="preserve"> SymbolRateJ = [1781,1781,1781,1781,1781,]#</t>
    </r>
    <r>
      <rPr>
        <sz val="11"/>
        <color theme="1"/>
        <rFont val="Noto Sans SC"/>
        <family val="2"/>
        <charset val="134"/>
      </rPr>
      <t xml:space="preserve">图标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SC"/>
        <family val="2"/>
        <charset val="134"/>
      </rPr>
      <t xml:space="preserve">概率配置</t>
    </r>
  </si>
  <si>
    <r>
      <rPr>
        <sz val="11"/>
        <color theme="1"/>
        <rFont val="Calibri"/>
        <family val="2"/>
        <charset val="1"/>
      </rPr>
      <t xml:space="preserve"> SymbolRateQ = [1781,1781,1781,1781,1781,]#</t>
    </r>
    <r>
      <rPr>
        <sz val="11"/>
        <color theme="1"/>
        <rFont val="Noto Sans SC"/>
        <family val="2"/>
        <charset val="134"/>
      </rPr>
      <t xml:space="preserve">图标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概率配置</t>
    </r>
  </si>
  <si>
    <r>
      <rPr>
        <sz val="11"/>
        <color theme="1"/>
        <rFont val="Calibri"/>
        <family val="2"/>
        <charset val="1"/>
      </rPr>
      <t xml:space="preserve"> SymbolRateK = [1781,1781,1781,1781,1781,]#</t>
    </r>
    <r>
      <rPr>
        <sz val="11"/>
        <color theme="1"/>
        <rFont val="Noto Sans SC"/>
        <family val="2"/>
        <charset val="134"/>
      </rPr>
      <t xml:space="preserve">图标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SC"/>
        <family val="2"/>
        <charset val="134"/>
      </rPr>
      <t xml:space="preserve">概率配置</t>
    </r>
  </si>
  <si>
    <r>
      <rPr>
        <sz val="11"/>
        <color theme="1"/>
        <rFont val="Calibri"/>
        <family val="2"/>
        <charset val="1"/>
      </rPr>
      <t xml:space="preserve"> SymbolRateA = [2000,2000,2000,2000,2000,]#</t>
    </r>
    <r>
      <rPr>
        <sz val="11"/>
        <color theme="1"/>
        <rFont val="Noto Sans SC"/>
        <family val="2"/>
        <charset val="134"/>
      </rPr>
      <t xml:space="preserve">图标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SC"/>
        <family val="2"/>
        <charset val="134"/>
      </rPr>
      <t xml:space="preserve">概率配置</t>
    </r>
  </si>
  <si>
    <r>
      <rPr>
        <sz val="11"/>
        <color theme="1"/>
        <rFont val="Calibri"/>
        <family val="2"/>
        <charset val="1"/>
      </rPr>
      <t xml:space="preserve"> SymbolRateWild = [175,175,175,175,175,]#</t>
    </r>
    <r>
      <rPr>
        <sz val="11"/>
        <color theme="1"/>
        <rFont val="Noto Sans SC"/>
        <family val="2"/>
        <charset val="134"/>
      </rPr>
      <t xml:space="preserve">图标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概率配置</t>
    </r>
  </si>
  <si>
    <r>
      <rPr>
        <sz val="11"/>
        <color theme="1"/>
        <rFont val="Calibri"/>
        <family val="2"/>
        <charset val="1"/>
      </rPr>
      <t xml:space="preserve"> SymbolRateScatter = [700,700,700,700,700,]#</t>
    </r>
    <r>
      <rPr>
        <sz val="11"/>
        <color theme="1"/>
        <rFont val="Noto Sans SC"/>
        <family val="2"/>
        <charset val="134"/>
      </rPr>
      <t xml:space="preserve">图标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概率配置</t>
    </r>
  </si>
  <si>
    <t xml:space="preserve"> SymbolRateSetting = [SymbolRate10,SymbolRateJ,SymbolRateQ,SymbolRateK,SymbolRateA,SymbolRateWild,SymbolRateScatter]</t>
  </si>
  <si>
    <r>
      <rPr>
        <sz val="11"/>
        <color theme="1"/>
        <rFont val="Calibri"/>
        <family val="2"/>
        <charset val="1"/>
      </rPr>
      <t xml:space="preserve"> Standard1 = []#</t>
    </r>
    <r>
      <rPr>
        <sz val="11"/>
        <color theme="1"/>
        <rFont val="Noto Sans SC"/>
        <family val="2"/>
        <charset val="134"/>
      </rPr>
      <t xml:space="preserve">第一列比较数值</t>
    </r>
  </si>
  <si>
    <r>
      <rPr>
        <sz val="11"/>
        <color theme="1"/>
        <rFont val="Calibri"/>
        <family val="2"/>
        <charset val="1"/>
      </rPr>
      <t xml:space="preserve"> Standard2 = []#</t>
    </r>
    <r>
      <rPr>
        <sz val="11"/>
        <color theme="1"/>
        <rFont val="Noto Sans SC"/>
        <family val="2"/>
        <charset val="134"/>
      </rPr>
      <t xml:space="preserve">第二列比较数值</t>
    </r>
  </si>
  <si>
    <r>
      <rPr>
        <sz val="11"/>
        <color theme="1"/>
        <rFont val="Calibri"/>
        <family val="2"/>
        <charset val="1"/>
      </rPr>
      <t xml:space="preserve"> Standard3 = []#</t>
    </r>
    <r>
      <rPr>
        <sz val="11"/>
        <color theme="1"/>
        <rFont val="Noto Sans SC"/>
        <family val="2"/>
        <charset val="134"/>
      </rPr>
      <t xml:space="preserve">第三列比较数值</t>
    </r>
  </si>
  <si>
    <r>
      <rPr>
        <sz val="11"/>
        <color theme="1"/>
        <rFont val="Calibri"/>
        <family val="2"/>
        <charset val="1"/>
      </rPr>
      <t xml:space="preserve"> Standard4 = []#</t>
    </r>
    <r>
      <rPr>
        <sz val="11"/>
        <color theme="1"/>
        <rFont val="Noto Sans SC"/>
        <family val="2"/>
        <charset val="134"/>
      </rPr>
      <t xml:space="preserve">第四列比较数值</t>
    </r>
  </si>
  <si>
    <r>
      <rPr>
        <sz val="11"/>
        <color theme="1"/>
        <rFont val="Calibri"/>
        <family val="2"/>
        <charset val="1"/>
      </rPr>
      <t xml:space="preserve"> Standard5 = []#</t>
    </r>
    <r>
      <rPr>
        <sz val="11"/>
        <color theme="1"/>
        <rFont val="Noto Sans SC"/>
        <family val="2"/>
        <charset val="134"/>
      </rPr>
      <t xml:space="preserve">第五列比较数值</t>
    </r>
  </si>
  <si>
    <t xml:space="preserve"> SymbolRateStandard = [Standard1,Standard2,Standard3,Standard4,Standard5]</t>
  </si>
  <si>
    <t xml:space="preserve"> Count1 = 0</t>
  </si>
  <si>
    <t xml:space="preserve"> while Count1 &lt; ColumnSeting:</t>
  </si>
  <si>
    <t xml:space="preserve"> Count2 = 0</t>
  </si>
  <si>
    <t xml:space="preserve"> Standard = 0</t>
  </si>
  <si>
    <t xml:space="preserve"> while Count2 &lt; len(SymbolRateSetting):</t>
  </si>
  <si>
    <t xml:space="preserve"> Standard = Standard + SymbolRateSetting[Count2][Count1]</t>
  </si>
  <si>
    <t xml:space="preserve"> SymbolRateStandard[Count1].append(Standard)</t>
  </si>
  <si>
    <t xml:space="preserve"> Count2 = Count2 + 1</t>
  </si>
  <si>
    <t xml:space="preserve"> Count1 = Count1 + 1</t>
  </si>
  <si>
    <r>
      <rPr>
        <sz val="11"/>
        <color theme="1"/>
        <rFont val="Calibri"/>
        <family val="2"/>
        <charset val="1"/>
      </rPr>
      <t xml:space="preserve"> N = 10#</t>
    </r>
    <r>
      <rPr>
        <sz val="11"/>
        <color theme="1"/>
        <rFont val="Noto Sans SC"/>
        <family val="2"/>
        <charset val="134"/>
      </rPr>
      <t xml:space="preserve">设置模拟次数</t>
    </r>
  </si>
  <si>
    <t xml:space="preserve"> AllRTP = []</t>
  </si>
  <si>
    <t xml:space="preserve"> import numpy as np</t>
  </si>
  <si>
    <r>
      <rPr>
        <sz val="11"/>
        <color theme="1"/>
        <rFont val="Calibri"/>
        <family val="2"/>
        <charset val="1"/>
      </rPr>
      <t xml:space="preserve"> for N in range(10):#</t>
    </r>
    <r>
      <rPr>
        <sz val="11"/>
        <color theme="1"/>
        <rFont val="Noto Sans SC"/>
        <family val="2"/>
        <charset val="134"/>
      </rPr>
      <t xml:space="preserve">开始模拟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次数据</t>
    </r>
  </si>
  <si>
    <t xml:space="preserve"> times = totaltimes</t>
  </si>
  <si>
    <t xml:space="preserve"> TotalBet = 0</t>
  </si>
  <si>
    <t xml:space="preserve"> WIN = 0</t>
  </si>
  <si>
    <t xml:space="preserve"> while times&gt;0:</t>
  </si>
  <si>
    <t xml:space="preserve"> TotalBet = TotalBet + BET</t>
  </si>
  <si>
    <t xml:space="preserve"> Column1 = [0,0,0,]</t>
  </si>
  <si>
    <t xml:space="preserve"> Column2 = [0,0,0,]</t>
  </si>
  <si>
    <t xml:space="preserve"> Column3 = [0,0,0,]</t>
  </si>
  <si>
    <t xml:space="preserve"> Column4 = [0,0,0,]</t>
  </si>
  <si>
    <t xml:space="preserve"> Column5 = [0,0,0,]</t>
  </si>
  <si>
    <t xml:space="preserve"> Reels = [Column1,Column2,Column3,Column4,Column5,]</t>
  </si>
  <si>
    <r>
      <rPr>
        <sz val="11"/>
        <color theme="1"/>
        <rFont val="Calibri"/>
        <family val="2"/>
        <charset val="1"/>
      </rPr>
      <t xml:space="preserve"> i1 = 0#</t>
    </r>
    <r>
      <rPr>
        <sz val="11"/>
        <color theme="1"/>
        <rFont val="Noto Sans SC"/>
        <family val="2"/>
        <charset val="134"/>
      </rPr>
      <t xml:space="preserve">开始生成图标</t>
    </r>
  </si>
  <si>
    <t xml:space="preserve"> while i1 &lt; ColumnSeting:</t>
  </si>
  <si>
    <t xml:space="preserve"> i2 = 0</t>
  </si>
  <si>
    <t xml:space="preserve"> while i2 &lt; RowSetting:</t>
  </si>
  <si>
    <t xml:space="preserve"> i3 = 0</t>
  </si>
  <si>
    <t xml:space="preserve"> RandOdds = np.random.random()*10000</t>
  </si>
  <si>
    <t xml:space="preserve"> while i3 &lt; len(Symbols):</t>
  </si>
  <si>
    <t xml:space="preserve"> if RandOdds &lt;= int(SymbolRateStandard[i1][i3]):</t>
  </si>
  <si>
    <t xml:space="preserve"> Reels[i1][i2] = Symbols[i3]</t>
  </si>
  <si>
    <t xml:space="preserve"> break</t>
  </si>
  <si>
    <t xml:space="preserve"> else:</t>
  </si>
  <si>
    <t xml:space="preserve"> i3=i3+1</t>
  </si>
  <si>
    <t xml:space="preserve"> i2 = i2 + 1</t>
  </si>
  <si>
    <t xml:space="preserve"> i1= i1 + 1</t>
  </si>
  <si>
    <t xml:space="preserve"> CheckSymbols = 0</t>
  </si>
  <si>
    <t xml:space="preserve"> while CheckSymbols &lt; len(SymbolOdds):</t>
  </si>
  <si>
    <t xml:space="preserve"> CheckReels = 0</t>
  </si>
  <si>
    <t xml:space="preserve"> SymbolAmountProduct = 1</t>
  </si>
  <si>
    <t xml:space="preserve"> Combination = 0</t>
  </si>
  <si>
    <t xml:space="preserve"> SymbolWin = 0</t>
  </si>
  <si>
    <t xml:space="preserve"> while CheckReels &lt; len(Reels):</t>
  </si>
  <si>
    <t xml:space="preserve"> if (Reels[CheckReels].count(Symbols[CheckSymbols]) + Reels[CheckReels].count(Symbols[5])) &gt; 0:</t>
  </si>
  <si>
    <t xml:space="preserve"> SymbolAmountProduct = SymbolAmountProduct * (Reels[CheckReels].count(Symbols[CheckSymbols]) + Reels[CheckReels].count(Symbols[5]))</t>
  </si>
  <si>
    <t xml:space="preserve"> Combination = Combination + 1</t>
  </si>
  <si>
    <t xml:space="preserve"> if Combination &gt;= 3:</t>
  </si>
  <si>
    <t xml:space="preserve"> SymbolWin = SymbolOdds[CheckSymbols][Combination-3] * SymbolAmountProduct * BET /100</t>
  </si>
  <si>
    <t xml:space="preserve"> CheckReels = CheckReels + 1</t>
  </si>
  <si>
    <t xml:space="preserve"> WIN = WIN + SymbolWin</t>
  </si>
  <si>
    <t xml:space="preserve"> CheckSymbols = CheckSymbols + 1</t>
  </si>
  <si>
    <t xml:space="preserve"> times = times - 1</t>
  </si>
  <si>
    <t xml:space="preserve"> RTP = WIN / TotalBet</t>
  </si>
  <si>
    <t xml:space="preserve"> AllRTP.append(RTP)</t>
  </si>
  <si>
    <t xml:space="preserve"> print("RTP=",RTP)</t>
  </si>
  <si>
    <t xml:space="preserve"> print(np.mean(AllRTP),np.var(AllRTP),np.sqrt(np.var(AllRTP)))</t>
  </si>
  <si>
    <r>
      <rPr>
        <sz val="11"/>
        <color theme="1"/>
        <rFont val="Calibri"/>
        <family val="2"/>
        <charset val="1"/>
      </rPr>
      <t xml:space="preserve"> totaltimes = int(input("</t>
    </r>
    <r>
      <rPr>
        <sz val="11"/>
        <color theme="1"/>
        <rFont val="Noto Sans SC"/>
        <family val="2"/>
        <charset val="134"/>
      </rPr>
      <t xml:space="preserve">请输入模拟次数</t>
    </r>
    <r>
      <rPr>
        <sz val="11"/>
        <color theme="1"/>
        <rFont val="Calibri"/>
        <family val="2"/>
        <charset val="1"/>
      </rPr>
      <t xml:space="preserve">:"))#</t>
    </r>
    <r>
      <rPr>
        <sz val="11"/>
        <color theme="1"/>
        <rFont val="Noto Sans SC"/>
        <family val="2"/>
        <charset val="134"/>
      </rPr>
      <t xml:space="preserve">输入模拟次</t>
    </r>
  </si>
  <si>
    <r>
      <rPr>
        <b val="true"/>
        <sz val="11"/>
        <rFont val="Noto Sans SC"/>
        <family val="2"/>
        <charset val="134"/>
      </rPr>
      <t xml:space="preserve">原文配图清单（共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SC"/>
        <family val="2"/>
        <charset val="134"/>
      </rPr>
      <t xml:space="preserve">张，已保存到 </t>
    </r>
    <r>
      <rPr>
        <b val="true"/>
        <sz val="11"/>
        <rFont val="Cambria"/>
        <family val="0"/>
        <charset val="1"/>
      </rPr>
      <t xml:space="preserve">images/slots/</t>
    </r>
    <r>
      <rPr>
        <b val="true"/>
        <sz val="11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</si>
  <si>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01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634251282-01.jpg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</si>
  <si>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02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634251282-02.jpg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</si>
  <si>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03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634251282-03.jpg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</si>
  <si>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04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634251282-04.jpg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</si>
  <si>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05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634251282-05.jpg</t>
    </r>
  </si>
  <si>
    <t xml:space="preserve">校验</t>
  </si>
  <si>
    <r>
      <rPr>
        <sz val="11"/>
        <color theme="1"/>
        <rFont val="Noto Sans SC"/>
        <family val="2"/>
        <charset val="134"/>
      </rPr>
      <t xml:space="preserve">① 本簿由 </t>
    </r>
    <r>
      <rPr>
        <sz val="11"/>
        <color theme="1"/>
        <rFont val="Calibri"/>
        <family val="2"/>
        <charset val="1"/>
      </rPr>
      <t xml:space="preserve">openpyxl </t>
    </r>
    <r>
      <rPr>
        <sz val="11"/>
        <color theme="1"/>
        <rFont val="Noto Sans SC"/>
        <family val="2"/>
        <charset val="134"/>
      </rPr>
      <t xml:space="preserve">生成并已开启打开时重算；② 另用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SC"/>
        <family val="2"/>
        <charset val="134"/>
      </rPr>
      <t xml:space="preserve">独立重算复核，公式错误值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个；</t>
    </r>
  </si>
  <si>
    <t xml:space="preserve">③ 正文与原文逐句一致（用户离线保存的网页原件），配图按正文出现顺序编号。</t>
  </si>
  <si>
    <t xml:space="preserve">说明</t>
  </si>
  <si>
    <t xml:space="preserve">本簿是原文的整理与配表实现，非原文替代品；原文未提供的数值一律标注来源，不臆造。</t>
  </si>
  <si>
    <r>
      <rPr>
        <sz val="11"/>
        <color theme="1"/>
        <rFont val="Noto Sans SC"/>
        <family val="2"/>
        <charset val="134"/>
      </rPr>
      <t xml:space="preserve">原文版权归作者 </t>
    </r>
    <r>
      <rPr>
        <sz val="11"/>
        <color theme="1"/>
        <rFont val="Calibri"/>
        <family val="2"/>
        <charset val="1"/>
      </rPr>
      <t xml:space="preserve">ASlot </t>
    </r>
    <r>
      <rPr>
        <sz val="11"/>
        <color theme="1"/>
        <rFont val="Noto Sans SC"/>
        <family val="2"/>
        <charset val="134"/>
      </rPr>
      <t xml:space="preserve">与知乎所有，本簿仅供个人学习整理使用。</t>
    </r>
  </si>
  <si>
    <r>
      <rPr>
        <sz val="11"/>
        <color rgb="FF808080"/>
        <rFont val="Cambria"/>
        <family val="0"/>
        <charset val="1"/>
      </rPr>
      <t xml:space="preserve">Source: zhihu.com</t>
    </r>
    <r>
      <rPr>
        <sz val="11"/>
        <color rgb="FF808080"/>
        <rFont val="Noto Sans SC"/>
        <family val="2"/>
        <charset val="134"/>
      </rPr>
      <t xml:space="preserve">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番外篇——</t>
    </r>
    <r>
      <rPr>
        <sz val="11"/>
        <color rgb="FF808080"/>
        <rFont val="Cambria"/>
        <family val="0"/>
        <charset val="1"/>
      </rPr>
      <t xml:space="preserve">Python</t>
    </r>
    <r>
      <rPr>
        <sz val="11"/>
        <color rgb="FF808080"/>
        <rFont val="Noto Sans SC"/>
        <family val="2"/>
        <charset val="134"/>
      </rPr>
      <t xml:space="preserve">模拟</t>
    </r>
    <r>
      <rPr>
        <sz val="11"/>
        <color rgb="FF808080"/>
        <rFont val="Cambria"/>
        <family val="0"/>
        <charset val="1"/>
      </rPr>
      <t xml:space="preserve">Way Slots</t>
    </r>
    <r>
      <rPr>
        <sz val="11"/>
        <color rgb="FF808080"/>
        <rFont val="Noto Sans SC"/>
        <family val="2"/>
        <charset val="134"/>
      </rPr>
      <t xml:space="preserve">》</t>
    </r>
    <r>
      <rPr>
        <sz val="11"/>
        <color rgb="FF808080"/>
        <rFont val="Cambria"/>
        <family val="0"/>
        <charset val="1"/>
      </rPr>
      <t xml:space="preserve">, https://zhuanlan.zhihu.com/p/634251282</t>
    </r>
  </si>
  <si>
    <r>
      <rPr>
        <b val="true"/>
        <sz val="14"/>
        <color rgb="FF1F4E79"/>
        <rFont val="Noto Sans SC"/>
        <family val="2"/>
        <charset val="134"/>
      </rPr>
      <t xml:space="preserve">番外篇 </t>
    </r>
    <r>
      <rPr>
        <b val="true"/>
        <sz val="14"/>
        <color rgb="FF1F4E79"/>
        <rFont val="Cambria"/>
        <family val="0"/>
        <charset val="1"/>
      </rPr>
      <t xml:space="preserve">· Python</t>
    </r>
    <r>
      <rPr>
        <b val="true"/>
        <sz val="14"/>
        <color rgb="FF1F4E79"/>
        <rFont val="Noto Sans SC"/>
        <family val="2"/>
        <charset val="134"/>
      </rPr>
      <t xml:space="preserve">模拟</t>
    </r>
    <r>
      <rPr>
        <b val="true"/>
        <sz val="14"/>
        <color rgb="FF1F4E79"/>
        <rFont val="Cambria"/>
        <family val="0"/>
        <charset val="1"/>
      </rPr>
      <t xml:space="preserve">Way Slots —— </t>
    </r>
    <r>
      <rPr>
        <b val="true"/>
        <sz val="14"/>
        <color rgb="FF1F4E79"/>
        <rFont val="Noto Sans SC"/>
        <family val="2"/>
        <charset val="134"/>
      </rPr>
      <t xml:space="preserve">数据配表（蓝字＝可改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黑字＝公式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黄底＝结果）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</si>
  <si>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1</t>
    </r>
    <r>
      <rPr>
        <b val="true"/>
        <sz val="11"/>
        <color rgb="FF1F4E79"/>
        <rFont val="Noto Sans SC"/>
        <family val="2"/>
        <charset val="134"/>
      </rPr>
      <t xml:space="preserve">】本例配置（原文代码）</t>
    </r>
  </si>
  <si>
    <t xml:space="preserve">图标</t>
  </si>
  <si>
    <t xml:space="preserve">各列权重</t>
  </si>
  <si>
    <r>
      <rPr>
        <b val="true"/>
        <sz val="11"/>
        <color rgb="FF1F4E79"/>
        <rFont val="Noto Sans SC"/>
        <family val="2"/>
        <charset val="134"/>
      </rPr>
      <t xml:space="preserve">出现几率（权重 </t>
    </r>
    <r>
      <rPr>
        <b val="true"/>
        <sz val="11"/>
        <color rgb="FF1F4E79"/>
        <rFont val="Cambria"/>
        <family val="0"/>
        <charset val="1"/>
      </rPr>
      <t xml:space="preserve">÷ 10000</t>
    </r>
    <r>
      <rPr>
        <b val="true"/>
        <sz val="11"/>
        <color rgb="FF1F4E79"/>
        <rFont val="Noto Sans SC"/>
        <family val="2"/>
        <charset val="134"/>
      </rPr>
      <t xml:space="preserve">）</t>
    </r>
  </si>
  <si>
    <r>
      <rPr>
        <b val="true"/>
        <sz val="11"/>
        <color rgb="FF1F4E79"/>
        <rFont val="Noto Sans SC"/>
        <family val="2"/>
        <charset val="134"/>
      </rPr>
      <t xml:space="preserve">赔付倍数（</t>
    </r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连</t>
    </r>
    <r>
      <rPr>
        <b val="true"/>
        <sz val="11"/>
        <color rgb="FF1F4E79"/>
        <rFont val="Cambria"/>
        <family val="0"/>
        <charset val="1"/>
      </rPr>
      <t xml:space="preserve">/4</t>
    </r>
    <r>
      <rPr>
        <b val="true"/>
        <sz val="11"/>
        <color rgb="FF1F4E79"/>
        <rFont val="Noto Sans SC"/>
        <family val="2"/>
        <charset val="134"/>
      </rPr>
      <t xml:space="preserve">连</t>
    </r>
    <r>
      <rPr>
        <b val="true"/>
        <sz val="11"/>
        <color rgb="FF1F4E79"/>
        <rFont val="Cambria"/>
        <family val="0"/>
        <charset val="1"/>
      </rPr>
      <t xml:space="preserve">/5</t>
    </r>
    <r>
      <rPr>
        <b val="true"/>
        <sz val="11"/>
        <color rgb="FF1F4E79"/>
        <rFont val="Noto Sans SC"/>
        <family val="2"/>
        <charset val="134"/>
      </rPr>
      <t xml:space="preserve">连）</t>
    </r>
  </si>
  <si>
    <t xml:space="preserve">10</t>
  </si>
  <si>
    <t xml:space="preserve">10 / 30 / 50</t>
  </si>
  <si>
    <t xml:space="preserve">J</t>
  </si>
  <si>
    <t xml:space="preserve">Q</t>
  </si>
  <si>
    <t xml:space="preserve">K</t>
  </si>
  <si>
    <t xml:space="preserve">A</t>
  </si>
  <si>
    <t xml:space="preserve">50 / 80 / 100</t>
  </si>
  <si>
    <t xml:space="preserve">Wild</t>
  </si>
  <si>
    <t xml:space="preserve">—（百搭，无赔付）</t>
  </si>
  <si>
    <t xml:space="preserve">Scatter</t>
  </si>
  <si>
    <r>
      <rPr>
        <sz val="11"/>
        <color theme="1"/>
        <rFont val="Noto Sans SC"/>
        <family val="2"/>
        <charset val="134"/>
      </rPr>
      <t xml:space="preserve">—（≥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个触发特殊模式）</t>
    </r>
  </si>
  <si>
    <t xml:space="preserve">权重合计</t>
  </si>
  <si>
    <r>
      <rPr>
        <sz val="11"/>
        <color theme="1"/>
        <rFont val="Noto Sans SC"/>
        <family val="2"/>
        <charset val="134"/>
      </rPr>
      <t xml:space="preserve">原文为 </t>
    </r>
    <r>
      <rPr>
        <sz val="11"/>
        <color theme="1"/>
        <rFont val="Calibri"/>
        <family val="2"/>
        <charset val="1"/>
      </rPr>
      <t xml:space="preserve">9999</t>
    </r>
    <r>
      <rPr>
        <sz val="11"/>
        <color theme="1"/>
        <rFont val="Noto Sans SC"/>
        <family val="2"/>
        <charset val="134"/>
      </rPr>
      <t xml:space="preserve">（≈</t>
    </r>
    <r>
      <rPr>
        <sz val="11"/>
        <color theme="1"/>
        <rFont val="Calibri"/>
        <family val="2"/>
        <charset val="1"/>
      </rPr>
      <t xml:space="preserve">10000</t>
    </r>
    <r>
      <rPr>
        <sz val="11"/>
        <color theme="1"/>
        <rFont val="Noto Sans SC"/>
        <family val="2"/>
        <charset val="134"/>
      </rPr>
      <t xml:space="preserve">，随机数取 </t>
    </r>
    <r>
      <rPr>
        <sz val="11"/>
        <color theme="1"/>
        <rFont val="Calibri"/>
        <family val="2"/>
        <charset val="1"/>
      </rPr>
      <t xml:space="preserve">1~10000</t>
    </r>
    <r>
      <rPr>
        <sz val="11"/>
        <color theme="1"/>
        <rFont val="Noto Sans SC"/>
        <family val="2"/>
        <charset val="134"/>
      </rPr>
      <t xml:space="preserve">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</si>
  <si>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2</t>
    </r>
    <r>
      <rPr>
        <b val="true"/>
        <sz val="11"/>
        <color rgb="FF1F4E79"/>
        <rFont val="Noto Sans SC"/>
        <family val="2"/>
        <charset val="134"/>
      </rPr>
      <t xml:space="preserve">】权重累加成「抽取阈值」（原文 </t>
    </r>
    <r>
      <rPr>
        <b val="true"/>
        <sz val="11"/>
        <color rgb="FF1F4E79"/>
        <rFont val="Cambria"/>
        <family val="0"/>
        <charset val="1"/>
      </rPr>
      <t xml:space="preserve">SymbolRateStandard </t>
    </r>
    <r>
      <rPr>
        <b val="true"/>
        <sz val="11"/>
        <color rgb="FF1F4E79"/>
        <rFont val="Noto Sans SC"/>
        <family val="2"/>
        <charset val="134"/>
      </rPr>
      <t xml:space="preserve">的思路）</t>
    </r>
  </si>
  <si>
    <t xml:space="preserve">权重</t>
  </si>
  <si>
    <t xml:space="preserve">累加阈值</t>
  </si>
  <si>
    <t xml:space="preserve">随机数落点判断</t>
  </si>
  <si>
    <t xml:space="preserve">随机数 ≤ 该阈值即取本图标</t>
  </si>
  <si>
    <t xml:space="preserve">最末阈值</t>
  </si>
  <si>
    <r>
      <rPr>
        <sz val="11"/>
        <color theme="1"/>
        <rFont val="Noto Sans SC"/>
        <family val="2"/>
        <charset val="134"/>
      </rPr>
      <t xml:space="preserve">应 ≈ 随机数上限 </t>
    </r>
    <r>
      <rPr>
        <sz val="11"/>
        <color theme="1"/>
        <rFont val="Calibri"/>
        <family val="2"/>
        <charset val="1"/>
      </rPr>
      <t xml:space="preserve">10000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</si>
  <si>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】</t>
    </r>
    <r>
      <rPr>
        <b val="true"/>
        <sz val="11"/>
        <color rgb="FF1F4E79"/>
        <rFont val="Cambria"/>
        <family val="0"/>
        <charset val="1"/>
      </rPr>
      <t xml:space="preserve">Ways </t>
    </r>
    <r>
      <rPr>
        <b val="true"/>
        <sz val="11"/>
        <color rgb="FF1F4E79"/>
        <rFont val="Noto Sans SC"/>
        <family val="2"/>
        <charset val="134"/>
      </rPr>
      <t xml:space="preserve">判定与结算要点（原文代码逻辑）</t>
    </r>
  </si>
  <si>
    <t xml:space="preserve">环节</t>
  </si>
  <si>
    <t xml:space="preserve">规则</t>
  </si>
  <si>
    <t xml:space="preserve">参与条件</t>
  </si>
  <si>
    <r>
      <rPr>
        <sz val="11"/>
        <color theme="1"/>
        <rFont val="Noto Sans SC"/>
        <family val="2"/>
        <charset val="134"/>
      </rPr>
      <t xml:space="preserve">某列「该图标个数 ＋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个数 ＞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SC"/>
        <family val="2"/>
        <charset val="134"/>
      </rPr>
      <t xml:space="preserve">」才算该列参与（其余列不作为中奖列）</t>
    </r>
  </si>
  <si>
    <t xml:space="preserve">个数累乘</t>
  </si>
  <si>
    <r>
      <rPr>
        <sz val="11"/>
        <color theme="1"/>
        <rFont val="Noto Sans SC"/>
        <family val="2"/>
        <charset val="134"/>
      </rPr>
      <t xml:space="preserve">各参与列的（图标个数 ＋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个数）相乘 → </t>
    </r>
    <r>
      <rPr>
        <sz val="11"/>
        <color theme="1"/>
        <rFont val="Calibri"/>
        <family val="2"/>
        <charset val="1"/>
      </rPr>
      <t xml:space="preserve">SymbolAmountProduct</t>
    </r>
  </si>
  <si>
    <t xml:space="preserve">中奖门槛</t>
  </si>
  <si>
    <r>
      <rPr>
        <sz val="11"/>
        <color theme="1"/>
        <rFont val="Noto Sans SC"/>
        <family val="2"/>
        <charset val="134"/>
      </rPr>
      <t xml:space="preserve">连续参与列数 ≥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才中奖，并只取满足的最高档赔付</t>
    </r>
  </si>
  <si>
    <t xml:space="preserve">中奖额</t>
  </si>
  <si>
    <r>
      <rPr>
        <sz val="11"/>
        <color theme="1"/>
        <rFont val="Noto Sans SC"/>
        <family val="2"/>
        <charset val="134"/>
      </rPr>
      <t xml:space="preserve">＝ 赔付倍数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个数乘积 </t>
    </r>
    <r>
      <rPr>
        <sz val="11"/>
        <color theme="1"/>
        <rFont val="Calibri"/>
        <family val="2"/>
        <charset val="1"/>
      </rPr>
      <t xml:space="preserve">× BET ÷ 100</t>
    </r>
    <r>
      <rPr>
        <sz val="11"/>
        <color theme="1"/>
        <rFont val="Noto Sans SC"/>
        <family val="2"/>
        <charset val="134"/>
      </rPr>
      <t xml:space="preserve">（本例 </t>
    </r>
    <r>
      <rPr>
        <sz val="11"/>
        <color theme="1"/>
        <rFont val="Calibri"/>
        <family val="2"/>
        <charset val="1"/>
      </rPr>
      <t xml:space="preserve">BET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1000 → </t>
    </r>
    <r>
      <rPr>
        <sz val="11"/>
        <color theme="1"/>
        <rFont val="Noto Sans SC"/>
        <family val="2"/>
        <charset val="134"/>
      </rPr>
      <t xml:space="preserve">基数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</si>
  <si>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Noto Sans SC"/>
        <family val="2"/>
        <charset val="134"/>
      </rPr>
      <t xml:space="preserve">与 </t>
    </r>
    <r>
      <rPr>
        <sz val="11"/>
        <color theme="1"/>
        <rFont val="Calibri"/>
        <family val="2"/>
        <charset val="1"/>
      </rPr>
      <t xml:space="preserve">Line Slots </t>
    </r>
    <r>
      <rPr>
        <sz val="11"/>
        <color theme="1"/>
        <rFont val="Noto Sans SC"/>
        <family val="2"/>
        <charset val="134"/>
      </rPr>
      <t xml:space="preserve">的差别</t>
    </r>
  </si>
  <si>
    <t xml:space="preserve">不需要按中奖线判定，逐图标处理各列再加总即可</t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</si>
  <si>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】理论值与模拟值对照（原文）</t>
    </r>
  </si>
  <si>
    <t xml:space="preserve">项目</t>
  </si>
  <si>
    <t xml:space="preserve">数值</t>
  </si>
  <si>
    <r>
      <rPr>
        <sz val="11"/>
        <color theme="1"/>
        <rFont val="Calibri"/>
        <family val="2"/>
        <charset val="1"/>
      </rPr>
      <t xml:space="preserve">Base Game </t>
    </r>
    <r>
      <rPr>
        <sz val="11"/>
        <color theme="1"/>
        <rFont val="Noto Sans SC"/>
        <family val="2"/>
        <charset val="134"/>
      </rPr>
      <t xml:space="preserve">理论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（</t>
    </r>
    <r>
      <rPr>
        <sz val="11"/>
        <color theme="1"/>
        <rFont val="Calibri"/>
        <family val="2"/>
        <charset val="1"/>
      </rPr>
      <t xml:space="preserve">24/25 </t>
    </r>
    <r>
      <rPr>
        <sz val="11"/>
        <color theme="1"/>
        <rFont val="Noto Sans SC"/>
        <family val="2"/>
        <charset val="134"/>
      </rPr>
      <t xml:space="preserve">篇口径）</t>
    </r>
  </si>
  <si>
    <t xml:space="preserve">原文计算值</t>
  </si>
  <si>
    <r>
      <rPr>
        <sz val="11"/>
        <color theme="1"/>
        <rFont val="Noto Sans SC"/>
        <family val="2"/>
        <charset val="134"/>
      </rPr>
      <t xml:space="preserve">模拟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（原文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SC"/>
        <family val="2"/>
        <charset val="134"/>
      </rPr>
      <t xml:space="preserve">万局 </t>
    </r>
    <r>
      <rPr>
        <sz val="11"/>
        <color theme="1"/>
        <rFont val="Calibri"/>
        <family val="2"/>
        <charset val="1"/>
      </rPr>
      <t xml:space="preserve">× 10 </t>
    </r>
    <r>
      <rPr>
        <sz val="11"/>
        <color theme="1"/>
        <rFont val="Noto Sans SC"/>
        <family val="2"/>
        <charset val="134"/>
      </rPr>
      <t xml:space="preserve">次）</t>
    </r>
  </si>
  <si>
    <r>
      <rPr>
        <sz val="11"/>
        <color theme="1"/>
        <rFont val="Noto Sans SC"/>
        <family val="2"/>
        <charset val="134"/>
      </rPr>
      <t xml:space="preserve">与理论值相差约 </t>
    </r>
    <r>
      <rPr>
        <sz val="11"/>
        <color theme="1"/>
        <rFont val="Calibri"/>
        <family val="2"/>
        <charset val="1"/>
      </rPr>
      <t xml:space="preserve">0.0003</t>
    </r>
  </si>
  <si>
    <t xml:space="preserve">偏差</t>
  </si>
  <si>
    <t xml:space="preserve">在抽样误差内 → 代码与配表口径一致</t>
  </si>
  <si>
    <r>
      <rPr>
        <sz val="11"/>
        <color rgb="FF808080"/>
        <rFont val="Noto Sans SC"/>
        <family val="2"/>
        <charset val="134"/>
      </rPr>
      <t xml:space="preserve">原文特别说明：本篇代码只跑普通摇，未含特殊模式；把 </t>
    </r>
    <r>
      <rPr>
        <sz val="11"/>
        <color rgb="FF808080"/>
        <rFont val="Cambria"/>
        <family val="0"/>
        <charset val="1"/>
      </rPr>
      <t xml:space="preserve">Scatter </t>
    </r>
    <r>
      <rPr>
        <sz val="11"/>
        <color rgb="FF808080"/>
        <rFont val="Noto Sans SC"/>
        <family val="2"/>
        <charset val="134"/>
      </rPr>
      <t xml:space="preserve">触发免费摇的期望加上后才是完整 </t>
    </r>
    <r>
      <rPr>
        <sz val="11"/>
        <color rgb="FF808080"/>
        <rFont val="Cambria"/>
        <family val="0"/>
        <charset val="1"/>
      </rPr>
      <t xml:space="preserve">RTP</t>
    </r>
    <r>
      <rPr>
        <sz val="11"/>
        <color rgb="FF808080"/>
        <rFont val="Noto Sans SC"/>
        <family val="2"/>
        <charset val="134"/>
      </rPr>
      <t xml:space="preserve">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</si>
  <si>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5</t>
    </r>
    <r>
      <rPr>
        <b val="true"/>
        <sz val="11"/>
        <color rgb="FF1F4E79"/>
        <rFont val="Noto Sans SC"/>
        <family val="2"/>
        <charset val="134"/>
      </rPr>
      <t xml:space="preserve">】自检</t>
    </r>
  </si>
  <si>
    <t xml:space="preserve">检查项</t>
  </si>
  <si>
    <t xml:space="preserve">结果</t>
  </si>
  <si>
    <r>
      <rPr>
        <sz val="11"/>
        <color theme="1"/>
        <rFont val="Noto Sans SC"/>
        <family val="2"/>
        <charset val="134"/>
      </rPr>
      <t xml:space="preserve">权重合计 ≈ </t>
    </r>
    <r>
      <rPr>
        <sz val="11"/>
        <color theme="1"/>
        <rFont val="Calibri"/>
        <family val="2"/>
        <charset val="1"/>
      </rPr>
      <t xml:space="preserve">10000</t>
    </r>
    <r>
      <rPr>
        <sz val="11"/>
        <color theme="1"/>
        <rFont val="Noto Sans SC"/>
        <family val="2"/>
        <charset val="134"/>
      </rPr>
      <t xml:space="preserve">（原文 </t>
    </r>
    <r>
      <rPr>
        <sz val="11"/>
        <color theme="1"/>
        <rFont val="Calibri"/>
        <family val="2"/>
        <charset val="1"/>
      </rPr>
      <t xml:space="preserve">9999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</si>
  <si>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Noto Sans SC"/>
        <family val="2"/>
        <charset val="134"/>
      </rPr>
      <t xml:space="preserve">原文留了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的余量</t>
    </r>
  </si>
  <si>
    <t xml:space="preserve">各列阈值单调递增</t>
  </si>
  <si>
    <t xml:space="preserve">累加阈值必须递增才能用「≤ 阈值」判断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</si>
  <si>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SC"/>
        <family val="2"/>
        <charset val="134"/>
      </rPr>
      <t xml:space="preserve">的出现几率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SC"/>
        <family val="2"/>
        <charset val="134"/>
      </rPr>
      <t xml:space="preserve">＞ </t>
    </r>
    <r>
      <rPr>
        <sz val="11"/>
        <color theme="1"/>
        <rFont val="Calibri"/>
        <family val="2"/>
        <charset val="1"/>
      </rPr>
      <t xml:space="preserve">10/J/Q/K </t>
    </r>
    <r>
      <rPr>
        <sz val="11"/>
        <color theme="1"/>
        <rFont val="Noto Sans SC"/>
        <family val="2"/>
        <charset val="134"/>
      </rPr>
      <t xml:space="preserve">的 </t>
    </r>
    <r>
      <rPr>
        <sz val="11"/>
        <color theme="1"/>
        <rFont val="Calibri"/>
        <family val="2"/>
        <charset val="1"/>
      </rPr>
      <t xml:space="preserve">17.81%</t>
    </r>
  </si>
  <si>
    <t xml:space="preserve">原文权重配置</t>
  </si>
  <si>
    <r>
      <rPr>
        <sz val="11"/>
        <color theme="1"/>
        <rFont val="Noto Sans SC"/>
        <family val="2"/>
        <charset val="134"/>
      </rPr>
      <t xml:space="preserve">模拟值与理论值偏差 ＜ </t>
    </r>
    <r>
      <rPr>
        <sz val="11"/>
        <color theme="1"/>
        <rFont val="Calibri"/>
        <family val="2"/>
        <charset val="1"/>
      </rPr>
      <t xml:space="preserve">0.002</t>
    </r>
  </si>
  <si>
    <r>
      <rPr>
        <sz val="11"/>
        <color theme="1"/>
        <rFont val="Noto Sans SC"/>
        <family val="2"/>
        <charset val="134"/>
      </rPr>
      <t xml:space="preserve">原文称相差约 </t>
    </r>
    <r>
      <rPr>
        <sz val="11"/>
        <color theme="1"/>
        <rFont val="Calibri"/>
        <family val="2"/>
        <charset val="1"/>
      </rPr>
      <t xml:space="preserve">0.0003</t>
    </r>
    <r>
      <rPr>
        <sz val="11"/>
        <color theme="1"/>
        <rFont val="Noto Sans SC"/>
        <family val="2"/>
        <charset val="134"/>
      </rPr>
      <t xml:space="preserve">；按文中两个数值</t>
    </r>
    <r>
      <rPr>
        <sz val="11"/>
        <color theme="1"/>
        <rFont val="Calibri"/>
        <family val="2"/>
        <charset val="1"/>
      </rPr>
      <t xml:space="preserve">(0.5110 </t>
    </r>
    <r>
      <rPr>
        <sz val="11"/>
        <color theme="1"/>
        <rFont val="Noto Sans SC"/>
        <family val="2"/>
        <charset val="134"/>
      </rPr>
      <t xml:space="preserve">与 </t>
    </r>
    <r>
      <rPr>
        <sz val="11"/>
        <color theme="1"/>
        <rFont val="Calibri"/>
        <family val="2"/>
        <charset val="1"/>
      </rPr>
      <t xml:space="preserve">0.5097)</t>
    </r>
    <r>
      <rPr>
        <sz val="11"/>
        <color theme="1"/>
        <rFont val="Noto Sans SC"/>
        <family val="2"/>
        <charset val="134"/>
      </rPr>
      <t xml:space="preserve">实为 </t>
    </r>
    <r>
      <rPr>
        <sz val="11"/>
        <color theme="1"/>
        <rFont val="Calibri"/>
        <family val="2"/>
        <charset val="1"/>
      </rPr>
      <t xml:space="preserve">0.0013</t>
    </r>
  </si>
  <si>
    <t xml:space="preserve">说明：本页为按原文方法落地的配表实现；表内示例数值取自原文，原文未给的部分沿用同项目示例（蓝字可改）。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</si>
</sst>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#,##0"/>
    <numFmt numFmtId="167" formatCode="0.0000%"/>
    <numFmt numFmtId="168" formatCode="0.0000"/>
    <numFmt numFmtId="169" formatCode="0.0000000000%"/>
  </numFmts>
  <fonts count="16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1F4E79"/>
      <name val="Noto Sans SC"/>
      <family val="2"/>
      <charset val="134"/>
    </font>
    <font>
      <b val="true"/>
      <sz val="14"/>
      <color rgb="FF1F4E79"/>
      <name val="Cambria"/>
      <family val="0"/>
      <charset val="1"/>
    </font>
    <font>
      <sz val="11"/>
      <color rgb="FF808080"/>
      <name val="Noto Sans SC"/>
      <family val="2"/>
      <charset val="134"/>
    </font>
    <font>
      <sz val="11"/>
      <color rgb="FF808080"/>
      <name val="Cambria"/>
      <family val="0"/>
      <charset val="1"/>
    </font>
    <font>
      <b val="true"/>
      <sz val="11"/>
      <name val="Noto Sans SC"/>
      <family val="2"/>
      <charset val="134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Noto Sans SC"/>
      <family val="2"/>
      <charset val="134"/>
    </font>
    <font>
      <b val="true"/>
      <sz val="11"/>
      <color rgb="FF1F4E79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00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DE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applyNumberFormat="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applyNumberFormat="1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42.14"/>
  </cols>
  <sheetData>
    <row r="1" customFormat="false" ht="19" hidden="false" customHeight="false" outlineLevel="0" collapsed="false">
      <c r="A1" s="1" t="s">
        <v>0</v>
      </c>
    </row>
    <row r="3" customFormat="false" ht="15.5" hidden="false" customHeight="false" outlineLevel="0" collapsed="false">
      <c r="A3" s="2" t="s">
        <v>1</v>
      </c>
    </row>
    <row r="4" customFormat="false" ht="15.5" hidden="false" customHeight="false" outlineLevel="0" collapsed="false">
      <c r="A4" s="2" t="s">
        <v>2</v>
      </c>
    </row>
    <row r="5" customFormat="false" ht="15.5" hidden="false" customHeight="false" outlineLevel="0" collapsed="false">
      <c r="A5" s="3" t="s">
        <v>3</v>
      </c>
      <c r="B5" s="3"/>
      <c r="C5" s="3"/>
      <c r="D5" s="3"/>
    </row>
    <row r="6" customFormat="false" ht="15.5" hidden="false" customHeight="false" outlineLevel="0" collapsed="false">
      <c r="A6" s="3" t="s">
        <v>4</v>
      </c>
      <c r="B6" s="3"/>
      <c r="C6" s="3"/>
    </row>
    <row r="7" customFormat="false" ht="15.5" hidden="false" customHeight="false" outlineLevel="0" collapsed="false">
      <c r="A7" s="3" t="s">
        <v>5</v>
      </c>
      <c r="B7" s="3"/>
      <c r="C7" s="3"/>
      <c r="D7" s="3"/>
      <c r="E7" s="3"/>
      <c r="F7" s="3"/>
    </row>
    <row r="9" customFormat="false" ht="15" hidden="false" customHeight="false" outlineLevel="0" collapsed="false">
      <c r="A9" s="4" t="s">
        <v>6</v>
      </c>
    </row>
    <row r="10" customFormat="false" ht="29" hidden="false" customHeight="false" outlineLevel="0" collapsed="false">
      <c r="A10" s="26" t="s">
        <v>7</v>
      </c>
    </row>
    <row r="11" customFormat="false" ht="29" hidden="false" customHeight="false" outlineLevel="0" collapsed="false">
      <c r="A11" s="26" t="s">
        <v>8</v>
      </c>
    </row>
    <row r="12" customFormat="false" ht="15" hidden="false" customHeight="false" outlineLevel="0" collapsed="false">
      <c r="A12" s="5"/>
    </row>
    <row r="13" customFormat="false" ht="15" hidden="false" customHeight="false" outlineLevel="0" collapsed="false">
      <c r="A13" s="4" t="s">
        <v>9</v>
      </c>
    </row>
    <row r="14" customFormat="false" ht="15" hidden="false" customHeight="1" outlineLevel="0" collapsed="false">
      <c r="A14" s="27" t="s">
        <v>10</v>
      </c>
      <c r="B14" s="6"/>
      <c r="C14" s="6"/>
    </row>
    <row r="15" customFormat="false" ht="42" hidden="false" customHeight="false" outlineLevel="0" collapsed="false">
      <c r="A15" s="26" t="s">
        <v>11</v>
      </c>
    </row>
    <row r="16" customFormat="false" ht="15" hidden="false" customHeight="1" outlineLevel="0" collapsed="false">
      <c r="A16" s="27" t="s">
        <v>12</v>
      </c>
      <c r="B16" s="6"/>
      <c r="C16" s="6"/>
    </row>
    <row r="17" customFormat="false" ht="15" hidden="false" customHeight="false" outlineLevel="0" collapsed="false">
      <c r="A17" s="5"/>
    </row>
    <row r="18" customFormat="false" ht="15" hidden="false" customHeight="false" outlineLevel="0" collapsed="false">
      <c r="A18" s="4" t="s">
        <v>13</v>
      </c>
    </row>
    <row r="19" customFormat="false" ht="29" hidden="false" customHeight="false" outlineLevel="0" collapsed="false">
      <c r="A19" s="26" t="s">
        <v>14</v>
      </c>
    </row>
    <row r="20" customFormat="false" ht="30" hidden="false" customHeight="false" outlineLevel="0" collapsed="false">
      <c r="A20" s="26" t="s">
        <v>15</v>
      </c>
    </row>
    <row r="21" customFormat="false" ht="28" hidden="false" customHeight="false" outlineLevel="0" collapsed="false">
      <c r="A21" s="28" t="s">
        <v>16</v>
      </c>
    </row>
    <row r="22" customFormat="false" ht="30" hidden="false" customHeight="false" outlineLevel="0" collapsed="false">
      <c r="A22" s="26" t="s">
        <v>17</v>
      </c>
    </row>
    <row r="23" customFormat="false" ht="29" hidden="false" customHeight="false" outlineLevel="0" collapsed="false">
      <c r="A23" s="28" t="s">
        <v>18</v>
      </c>
    </row>
    <row r="24" customFormat="false" ht="29" hidden="false" customHeight="false" outlineLevel="0" collapsed="false">
      <c r="A24" s="26" t="s">
        <v>19</v>
      </c>
    </row>
    <row r="25" customFormat="false" ht="30" hidden="false" customHeight="false" outlineLevel="0" collapsed="false">
      <c r="A25" s="28" t="s">
        <v>20</v>
      </c>
    </row>
    <row r="26" customFormat="false" ht="30" hidden="false" customHeight="false" outlineLevel="0" collapsed="false">
      <c r="A26" s="26" t="s">
        <v>21</v>
      </c>
    </row>
    <row r="28" customFormat="false" ht="15" hidden="false" customHeight="false" outlineLevel="0" collapsed="false">
      <c r="A28" s="4" t="s">
        <v>22</v>
      </c>
    </row>
    <row r="29" customFormat="false" ht="15" hidden="false" customHeight="false" outlineLevel="0" collapsed="false">
      <c r="A29" s="7"/>
    </row>
    <row r="30" customFormat="false" ht="15" hidden="false" customHeight="1" outlineLevel="0" collapsed="false">
      <c r="A30" s="29" t="s">
        <v>23</v>
      </c>
      <c r="B30" s="8"/>
      <c r="C30" s="8"/>
    </row>
    <row r="31" customFormat="false" ht="29" hidden="false" customHeight="false" outlineLevel="0" collapsed="false">
      <c r="A31" s="28" t="s">
        <v>24</v>
      </c>
    </row>
    <row r="32" customFormat="false" ht="28" hidden="false" customHeight="false" outlineLevel="0" collapsed="false">
      <c r="A32" s="28" t="s">
        <v>25</v>
      </c>
    </row>
    <row r="33" customFormat="false" ht="29" hidden="false" customHeight="false" outlineLevel="0" collapsed="false">
      <c r="A33" s="28" t="s">
        <v>26</v>
      </c>
    </row>
    <row r="34" customFormat="false" ht="28" hidden="false" customHeight="false" outlineLevel="0" collapsed="false">
      <c r="A34" s="28" t="s">
        <v>27</v>
      </c>
    </row>
    <row r="35" customFormat="false" ht="28" hidden="false" customHeight="false" outlineLevel="0" collapsed="false">
      <c r="A35" s="28" t="s">
        <v>28</v>
      </c>
    </row>
    <row r="36" customFormat="false" ht="15" hidden="false" customHeight="false" outlineLevel="0" collapsed="false">
      <c r="A36" s="7"/>
    </row>
    <row r="37" customFormat="false" ht="16" hidden="false" customHeight="false" outlineLevel="0" collapsed="false">
      <c r="A37" s="7" t="s">
        <v>29</v>
      </c>
    </row>
    <row r="38" customFormat="false" ht="15" hidden="false" customHeight="false" outlineLevel="0" collapsed="false">
      <c r="A38" s="7"/>
    </row>
    <row r="39" customFormat="false" ht="29" hidden="false" customHeight="false" outlineLevel="0" collapsed="false">
      <c r="A39" s="28" t="s">
        <v>30</v>
      </c>
    </row>
    <row r="40" customFormat="false" ht="15" hidden="false" customHeight="false" outlineLevel="0" collapsed="false">
      <c r="A40" s="7" t="s">
        <v>31</v>
      </c>
    </row>
    <row r="41" customFormat="false" ht="15" hidden="false" customHeight="false" outlineLevel="0" collapsed="false">
      <c r="A41" s="7"/>
    </row>
    <row r="42" customFormat="false" ht="16" hidden="false" customHeight="false" outlineLevel="0" collapsed="false">
      <c r="A42" s="7" t="s">
        <v>32</v>
      </c>
    </row>
    <row r="43" customFormat="false" ht="15" hidden="false" customHeight="false" outlineLevel="0" collapsed="false">
      <c r="A43" s="7"/>
    </row>
    <row r="44" customFormat="false" ht="28" hidden="false" customHeight="false" outlineLevel="0" collapsed="false">
      <c r="A44" s="28" t="s">
        <v>33</v>
      </c>
    </row>
    <row r="45" customFormat="false" ht="15" hidden="false" customHeight="1" outlineLevel="0" collapsed="false">
      <c r="A45" s="27" t="s">
        <v>34</v>
      </c>
      <c r="B45" s="6"/>
      <c r="C45" s="6"/>
      <c r="D45" s="6"/>
    </row>
    <row r="46" customFormat="false" ht="15" hidden="false" customHeight="false" outlineLevel="0" collapsed="false">
      <c r="A46" s="7"/>
    </row>
    <row r="47" customFormat="false" ht="16" hidden="false" customHeight="false" outlineLevel="0" collapsed="false">
      <c r="A47" s="7" t="s">
        <v>35</v>
      </c>
    </row>
    <row r="48" customFormat="false" ht="15" hidden="false" customHeight="false" outlineLevel="0" collapsed="false">
      <c r="A48" s="7"/>
    </row>
    <row r="49" customFormat="false" ht="28" hidden="false" customHeight="false" outlineLevel="0" collapsed="false">
      <c r="A49" s="28" t="s">
        <v>36</v>
      </c>
    </row>
    <row r="50" customFormat="false" ht="29" hidden="false" customHeight="false" outlineLevel="0" collapsed="false">
      <c r="A50" s="28" t="s">
        <v>37</v>
      </c>
    </row>
    <row r="51" customFormat="false" ht="15" hidden="false" customHeight="false" outlineLevel="0" collapsed="false">
      <c r="A51" s="7" t="s">
        <v>38</v>
      </c>
    </row>
    <row r="52" customFormat="false" ht="16" hidden="false" customHeight="false" outlineLevel="0" collapsed="false">
      <c r="A52" s="5" t="s">
        <v>39</v>
      </c>
    </row>
    <row r="53" customFormat="false" ht="15" hidden="false" customHeight="false" outlineLevel="0" collapsed="false">
      <c r="A53" s="7" t="s">
        <v>40</v>
      </c>
    </row>
    <row r="54" customFormat="false" ht="15" hidden="false" customHeight="false" outlineLevel="0" collapsed="false">
      <c r="A54" s="7" t="s">
        <v>41</v>
      </c>
    </row>
    <row r="55" customFormat="false" ht="16" hidden="false" customHeight="false" outlineLevel="0" collapsed="false">
      <c r="A55" s="31">
        <v>5</v>
      </c>
    </row>
    <row r="56" customFormat="false" ht="16" hidden="false" customHeight="false" outlineLevel="0" collapsed="false">
      <c r="A56" s="31">
        <v>2</v>
      </c>
    </row>
    <row r="57" customFormat="false" ht="15" hidden="false" customHeight="false" outlineLevel="0" collapsed="false">
      <c r="A57" s="7" t="s">
        <v>44</v>
      </c>
    </row>
    <row r="58" customFormat="false" ht="29" hidden="false" customHeight="false" outlineLevel="0" collapsed="false">
      <c r="A58" s="28" t="s">
        <v>45</v>
      </c>
    </row>
    <row r="59" customFormat="false" ht="15" hidden="false" customHeight="false" outlineLevel="0" collapsed="false">
      <c r="A59" s="7"/>
    </row>
    <row r="60" customFormat="false" ht="15" hidden="false" customHeight="false" outlineLevel="0" collapsed="false">
      <c r="A60" s="7" t="s">
        <v>46</v>
      </c>
    </row>
    <row r="61" customFormat="false" ht="15" hidden="false" customHeight="false" outlineLevel="0" collapsed="false">
      <c r="A61" s="7"/>
    </row>
    <row r="62" customFormat="false" ht="16" hidden="false" customHeight="false" outlineLevel="0" collapsed="false">
      <c r="A62" s="7" t="s">
        <v>47</v>
      </c>
    </row>
    <row r="63" customFormat="false" ht="15" hidden="false" customHeight="false" outlineLevel="0" collapsed="false">
      <c r="A63" s="7"/>
    </row>
    <row r="64" customFormat="false" ht="28" hidden="false" customHeight="false" outlineLevel="0" collapsed="false">
      <c r="A64" s="28" t="s">
        <v>48</v>
      </c>
    </row>
    <row r="65" customFormat="false" ht="30" hidden="false" customHeight="false" outlineLevel="0" collapsed="false">
      <c r="A65" s="28" t="s">
        <v>49</v>
      </c>
    </row>
    <row r="66" customFormat="false" ht="30" hidden="false" customHeight="false" outlineLevel="0" collapsed="false">
      <c r="A66" s="28" t="s">
        <v>50</v>
      </c>
    </row>
    <row r="67" customFormat="false" ht="29" hidden="false" customHeight="false" outlineLevel="0" collapsed="false">
      <c r="A67" s="28" t="s">
        <v>51</v>
      </c>
    </row>
    <row r="68" customFormat="false" ht="15" hidden="false" customHeight="false" outlineLevel="0" collapsed="false">
      <c r="A68" s="7"/>
    </row>
    <row r="69" customFormat="false" ht="16" hidden="false" customHeight="false" outlineLevel="0" collapsed="false">
      <c r="A69" s="7" t="s">
        <v>52</v>
      </c>
    </row>
    <row r="70" customFormat="false" ht="15" hidden="false" customHeight="false" outlineLevel="0" collapsed="false">
      <c r="A70" s="7"/>
    </row>
    <row r="71" customFormat="false" ht="29" hidden="false" customHeight="false" outlineLevel="0" collapsed="false">
      <c r="A71" s="28" t="s">
        <v>53</v>
      </c>
    </row>
    <row r="72" customFormat="false" ht="28" hidden="false" customHeight="false" outlineLevel="0" collapsed="false">
      <c r="A72" s="28" t="s">
        <v>54</v>
      </c>
    </row>
    <row r="73" customFormat="false" ht="15" hidden="false" customHeight="false" outlineLevel="0" collapsed="false">
      <c r="A73" s="7" t="s">
        <v>55</v>
      </c>
    </row>
    <row r="74" customFormat="false" ht="29" hidden="false" customHeight="false" outlineLevel="0" collapsed="false">
      <c r="A74" s="26" t="s">
        <v>56</v>
      </c>
    </row>
    <row r="75" customFormat="false" ht="15" hidden="false" customHeight="false" outlineLevel="0" collapsed="false">
      <c r="A75" s="5" t="s">
        <v>57</v>
      </c>
    </row>
    <row r="76" customFormat="false" ht="15" hidden="false" customHeight="false" outlineLevel="0" collapsed="false">
      <c r="A76" s="5" t="s">
        <v>58</v>
      </c>
    </row>
    <row r="77" customFormat="false" ht="15" hidden="false" customHeight="false" outlineLevel="0" collapsed="false">
      <c r="A77" s="5" t="s">
        <v>59</v>
      </c>
    </row>
    <row r="78" customFormat="false" ht="15" hidden="false" customHeight="false" outlineLevel="0" collapsed="false">
      <c r="A78" s="5" t="s">
        <v>60</v>
      </c>
    </row>
    <row r="79" customFormat="false" ht="15" hidden="false" customHeight="false" outlineLevel="0" collapsed="false">
      <c r="A79" s="26" t="s">
        <v>61</v>
      </c>
    </row>
    <row r="80" customFormat="false" ht="16" hidden="false" customHeight="false" outlineLevel="0" collapsed="false">
      <c r="A80" s="26" t="s">
        <v>62</v>
      </c>
    </row>
    <row r="81" customFormat="false" ht="16" hidden="false" customHeight="false" outlineLevel="0" collapsed="false">
      <c r="A81" s="26" t="s">
        <v>63</v>
      </c>
    </row>
    <row r="82" customFormat="false" ht="16" hidden="false" customHeight="false" outlineLevel="0" collapsed="false">
      <c r="A82" s="26" t="s">
        <v>64</v>
      </c>
    </row>
    <row r="83" customFormat="false" ht="16" hidden="false" customHeight="false" outlineLevel="0" collapsed="false">
      <c r="A83" s="26" t="s">
        <v>65</v>
      </c>
    </row>
    <row r="84" customFormat="false" ht="16" hidden="false" customHeight="false" outlineLevel="0" collapsed="false">
      <c r="A84" s="26" t="s">
        <v>66</v>
      </c>
    </row>
    <row r="85" customFormat="false" ht="36.5" hidden="false" customHeight="false" outlineLevel="0" collapsed="false">
      <c r="A85" s="26" t="s">
        <v>67</v>
      </c>
    </row>
    <row r="86" customFormat="false" ht="29" hidden="false" customHeight="false" outlineLevel="0" collapsed="false">
      <c r="A86" s="26" t="s">
        <v>68</v>
      </c>
    </row>
    <row r="87" customFormat="false" ht="29" hidden="false" customHeight="false" outlineLevel="0" collapsed="false">
      <c r="A87" s="26" t="s">
        <v>69</v>
      </c>
    </row>
    <row r="88" customFormat="false" ht="29" hidden="false" customHeight="false" outlineLevel="0" collapsed="false">
      <c r="A88" s="26" t="s">
        <v>70</v>
      </c>
    </row>
    <row r="89" customFormat="false" ht="29" hidden="false" customHeight="false" outlineLevel="0" collapsed="false">
      <c r="A89" s="26" t="s">
        <v>71</v>
      </c>
    </row>
    <row r="90" customFormat="false" ht="29" hidden="false" customHeight="false" outlineLevel="0" collapsed="false">
      <c r="A90" s="26" t="s">
        <v>72</v>
      </c>
    </row>
    <row r="91" customFormat="false" ht="29" hidden="false" customHeight="false" outlineLevel="0" collapsed="false">
      <c r="A91" s="26" t="s">
        <v>73</v>
      </c>
    </row>
    <row r="92" customFormat="false" ht="29" hidden="false" customHeight="false" outlineLevel="0" collapsed="false">
      <c r="A92" s="26" t="s">
        <v>74</v>
      </c>
    </row>
    <row r="93" customFormat="false" ht="15" hidden="false" customHeight="1" outlineLevel="0" collapsed="false">
      <c r="A93" s="27" t="s">
        <v>75</v>
      </c>
      <c r="B93" s="6"/>
      <c r="C93" s="6"/>
    </row>
    <row r="94" customFormat="false" ht="16" hidden="false" customHeight="false" outlineLevel="0" collapsed="false">
      <c r="A94" s="5" t="s">
        <v>76</v>
      </c>
    </row>
    <row r="95" customFormat="false" ht="16" hidden="false" customHeight="false" outlineLevel="0" collapsed="false">
      <c r="A95" s="5" t="s">
        <v>77</v>
      </c>
    </row>
    <row r="96" customFormat="false" ht="16" hidden="false" customHeight="false" outlineLevel="0" collapsed="false">
      <c r="A96" s="5" t="s">
        <v>78</v>
      </c>
    </row>
    <row r="97" customFormat="false" ht="16" hidden="false" customHeight="false" outlineLevel="0" collapsed="false">
      <c r="A97" s="5" t="s">
        <v>79</v>
      </c>
    </row>
    <row r="98" customFormat="false" ht="16" hidden="false" customHeight="false" outlineLevel="0" collapsed="false">
      <c r="A98" s="5" t="s">
        <v>80</v>
      </c>
    </row>
    <row r="99" customFormat="false" ht="25" hidden="false" customHeight="false" outlineLevel="0" collapsed="false">
      <c r="A99" s="26" t="s">
        <v>81</v>
      </c>
    </row>
    <row r="100" customFormat="false" ht="15" hidden="false" customHeight="false" outlineLevel="0" collapsed="false">
      <c r="A100" s="5" t="s">
        <v>82</v>
      </c>
    </row>
    <row r="101" customFormat="false" ht="15" hidden="false" customHeight="false" outlineLevel="0" collapsed="false">
      <c r="A101" s="5" t="s">
        <v>83</v>
      </c>
    </row>
    <row r="102" customFormat="false" ht="15" hidden="false" customHeight="false" outlineLevel="0" collapsed="false">
      <c r="A102" s="5" t="s">
        <v>84</v>
      </c>
    </row>
    <row r="103" customFormat="false" ht="15" hidden="false" customHeight="false" outlineLevel="0" collapsed="false">
      <c r="A103" s="5" t="s">
        <v>85</v>
      </c>
    </row>
    <row r="104" customFormat="false" ht="15" hidden="false" customHeight="false" outlineLevel="0" collapsed="false">
      <c r="A104" s="5" t="s">
        <v>86</v>
      </c>
    </row>
    <row r="105" customFormat="false" ht="25" hidden="false" customHeight="false" outlineLevel="0" collapsed="false">
      <c r="A105" s="26" t="s">
        <v>87</v>
      </c>
    </row>
    <row r="106" customFormat="false" ht="15" hidden="false" customHeight="false" outlineLevel="0" collapsed="false">
      <c r="A106" s="26" t="s">
        <v>88</v>
      </c>
    </row>
    <row r="107" customFormat="false" ht="15" hidden="false" customHeight="false" outlineLevel="0" collapsed="false">
      <c r="A107" s="5" t="s">
        <v>89</v>
      </c>
    </row>
    <row r="108" customFormat="false" ht="15" hidden="false" customHeight="false" outlineLevel="0" collapsed="false">
      <c r="A108" s="5" t="s">
        <v>90</v>
      </c>
    </row>
    <row r="109" customFormat="false" ht="16" hidden="false" customHeight="false" outlineLevel="0" collapsed="false">
      <c r="A109" s="5" t="s">
        <v>91</v>
      </c>
    </row>
    <row r="110" customFormat="false" ht="15" hidden="false" customHeight="false" outlineLevel="0" collapsed="false">
      <c r="A110" s="5" t="s">
        <v>92</v>
      </c>
    </row>
    <row r="111" customFormat="false" ht="15" hidden="false" customHeight="false" outlineLevel="0" collapsed="false">
      <c r="A111" s="5" t="s">
        <v>93</v>
      </c>
    </row>
    <row r="112" customFormat="false" ht="16" hidden="false" customHeight="false" outlineLevel="0" collapsed="false">
      <c r="A112" s="5" t="s">
        <v>94</v>
      </c>
    </row>
    <row r="113" customFormat="false" ht="15" hidden="false" customHeight="false" outlineLevel="0" collapsed="false">
      <c r="A113" s="5" t="s">
        <v>95</v>
      </c>
    </row>
    <row r="114" customFormat="false" ht="15" hidden="false" customHeight="false" outlineLevel="0" collapsed="false">
      <c r="A114" s="5" t="s">
        <v>96</v>
      </c>
    </row>
    <row r="115" customFormat="false" ht="15" hidden="false" customHeight="false" outlineLevel="0" collapsed="false">
      <c r="A115" s="5" t="s">
        <v>97</v>
      </c>
    </row>
    <row r="116" customFormat="false" ht="15" hidden="false" customHeight="false" outlineLevel="0" collapsed="false">
      <c r="A116" s="5" t="s">
        <v>98</v>
      </c>
    </row>
    <row r="117" customFormat="false" ht="15" hidden="false" customHeight="false" outlineLevel="0" collapsed="false">
      <c r="A117" s="5" t="s">
        <v>99</v>
      </c>
    </row>
    <row r="118" customFormat="false" ht="15" hidden="false" customHeight="false" outlineLevel="0" collapsed="false">
      <c r="A118" s="5" t="s">
        <v>100</v>
      </c>
    </row>
    <row r="119" customFormat="false" ht="15" hidden="false" customHeight="false" outlineLevel="0" collapsed="false">
      <c r="A119" s="5" t="s">
        <v>101</v>
      </c>
    </row>
    <row r="120" customFormat="false" ht="15" hidden="false" customHeight="false" outlineLevel="0" collapsed="false">
      <c r="A120" s="5" t="s">
        <v>102</v>
      </c>
    </row>
    <row r="121" customFormat="false" ht="15" hidden="false" customHeight="false" outlineLevel="0" collapsed="false">
      <c r="A121" s="5" t="s">
        <v>103</v>
      </c>
    </row>
    <row r="122" customFormat="false" ht="15" hidden="false" customHeight="false" outlineLevel="0" collapsed="false">
      <c r="A122" s="5" t="s">
        <v>104</v>
      </c>
    </row>
    <row r="123" customFormat="false" ht="25" hidden="false" customHeight="false" outlineLevel="0" collapsed="false">
      <c r="A123" s="26" t="s">
        <v>105</v>
      </c>
    </row>
    <row r="124" customFormat="false" ht="16" hidden="false" customHeight="false" outlineLevel="0" collapsed="false">
      <c r="A124" s="5" t="s">
        <v>106</v>
      </c>
    </row>
    <row r="125" customFormat="false" ht="15" hidden="false" customHeight="false" outlineLevel="0" collapsed="false">
      <c r="A125" s="5" t="s">
        <v>107</v>
      </c>
    </row>
    <row r="126" customFormat="false" ht="15" hidden="false" customHeight="false" outlineLevel="0" collapsed="false">
      <c r="A126" s="5" t="s">
        <v>108</v>
      </c>
    </row>
    <row r="127" customFormat="false" ht="15" hidden="false" customHeight="false" outlineLevel="0" collapsed="false">
      <c r="A127" s="5" t="s">
        <v>109</v>
      </c>
    </row>
    <row r="128" customFormat="false" ht="15" hidden="false" customHeight="false" outlineLevel="0" collapsed="false">
      <c r="A128" s="5" t="s">
        <v>110</v>
      </c>
    </row>
    <row r="129" customFormat="false" ht="15" hidden="false" customHeight="false" outlineLevel="0" collapsed="false">
      <c r="A129" s="5" t="s">
        <v>111</v>
      </c>
    </row>
    <row r="130" customFormat="false" ht="15" hidden="false" customHeight="false" outlineLevel="0" collapsed="false">
      <c r="A130" s="5" t="s">
        <v>112</v>
      </c>
    </row>
    <row r="131" customFormat="false" ht="15" hidden="false" customHeight="false" outlineLevel="0" collapsed="false">
      <c r="A131" s="26" t="s">
        <v>113</v>
      </c>
    </row>
    <row r="132" customFormat="false" ht="15" hidden="false" customHeight="false" outlineLevel="0" collapsed="false">
      <c r="A132" s="5" t="s">
        <v>114</v>
      </c>
    </row>
    <row r="133" customFormat="false" ht="15" hidden="false" customHeight="false" outlineLevel="0" collapsed="false">
      <c r="A133" s="5" t="s">
        <v>115</v>
      </c>
    </row>
    <row r="134" customFormat="false" ht="15" hidden="false" customHeight="false" outlineLevel="0" collapsed="false">
      <c r="A134" s="5" t="s">
        <v>116</v>
      </c>
    </row>
    <row r="135" customFormat="false" ht="15" hidden="false" customHeight="false" outlineLevel="0" collapsed="false">
      <c r="A135" s="5" t="s">
        <v>117</v>
      </c>
    </row>
    <row r="136" customFormat="false" ht="15" hidden="false" customHeight="false" outlineLevel="0" collapsed="false">
      <c r="A136" s="5" t="s">
        <v>118</v>
      </c>
    </row>
    <row r="137" customFormat="false" ht="15" hidden="false" customHeight="false" outlineLevel="0" collapsed="false">
      <c r="A137" s="5" t="s">
        <v>119</v>
      </c>
    </row>
    <row r="138" customFormat="false" ht="15" hidden="false" customHeight="false" outlineLevel="0" collapsed="false">
      <c r="A138" s="5" t="s">
        <v>120</v>
      </c>
    </row>
    <row r="139" customFormat="false" ht="15" hidden="false" customHeight="false" outlineLevel="0" collapsed="false">
      <c r="A139" s="5" t="s">
        <v>121</v>
      </c>
    </row>
    <row r="140" customFormat="false" ht="15" hidden="false" customHeight="false" outlineLevel="0" collapsed="false">
      <c r="A140" s="5" t="s">
        <v>122</v>
      </c>
    </row>
    <row r="141" customFormat="false" ht="15" hidden="false" customHeight="false" outlineLevel="0" collapsed="false">
      <c r="A141" s="5" t="s">
        <v>123</v>
      </c>
    </row>
    <row r="142" customFormat="false" ht="15" hidden="false" customHeight="false" outlineLevel="0" collapsed="false">
      <c r="A142" s="5" t="s">
        <v>124</v>
      </c>
    </row>
    <row r="143" customFormat="false" ht="15" hidden="false" customHeight="false" outlineLevel="0" collapsed="false">
      <c r="A143" s="5" t="s">
        <v>125</v>
      </c>
    </row>
    <row r="144" customFormat="false" ht="15" hidden="false" customHeight="false" outlineLevel="0" collapsed="false">
      <c r="A144" s="5" t="s">
        <v>126</v>
      </c>
    </row>
    <row r="145" customFormat="false" ht="25" hidden="false" customHeight="false" outlineLevel="0" collapsed="false">
      <c r="A145" s="26" t="s">
        <v>127</v>
      </c>
    </row>
    <row r="146" customFormat="false" ht="15" hidden="false" customHeight="1" outlineLevel="0" collapsed="false">
      <c r="A146" s="27" t="s">
        <v>128</v>
      </c>
      <c r="B146" s="6"/>
      <c r="C146" s="6"/>
      <c r="D146" s="6"/>
    </row>
    <row r="147" customFormat="false" ht="15" hidden="false" customHeight="false" outlineLevel="0" collapsed="false">
      <c r="A147" s="5" t="s">
        <v>129</v>
      </c>
    </row>
    <row r="148" customFormat="false" ht="15" hidden="false" customHeight="false" outlineLevel="0" collapsed="false">
      <c r="A148" s="5" t="s">
        <v>130</v>
      </c>
    </row>
    <row r="149" customFormat="false" ht="25" hidden="false" customHeight="false" outlineLevel="0" collapsed="false">
      <c r="A149" s="26" t="s">
        <v>131</v>
      </c>
    </row>
    <row r="150" customFormat="false" ht="15" hidden="false" customHeight="false" outlineLevel="0" collapsed="false">
      <c r="A150" s="5" t="s">
        <v>116</v>
      </c>
    </row>
    <row r="151" customFormat="false" ht="15" hidden="false" customHeight="false" outlineLevel="0" collapsed="false">
      <c r="A151" s="5" t="s">
        <v>115</v>
      </c>
    </row>
    <row r="152" customFormat="false" ht="15" hidden="false" customHeight="false" outlineLevel="0" collapsed="false">
      <c r="A152" s="5" t="s">
        <v>132</v>
      </c>
    </row>
    <row r="153" customFormat="false" ht="15" hidden="false" customHeight="false" outlineLevel="0" collapsed="false">
      <c r="A153" s="5" t="s">
        <v>133</v>
      </c>
    </row>
    <row r="154" customFormat="false" ht="15" hidden="false" customHeight="false" outlineLevel="0" collapsed="false">
      <c r="A154" s="5" t="s">
        <v>134</v>
      </c>
    </row>
    <row r="155" customFormat="false" ht="15" hidden="false" customHeight="false" outlineLevel="0" collapsed="false">
      <c r="A155" s="5" t="s">
        <v>135</v>
      </c>
    </row>
    <row r="156" customFormat="false" ht="15" hidden="false" customHeight="false" outlineLevel="0" collapsed="false">
      <c r="A156" s="5" t="s">
        <v>136</v>
      </c>
    </row>
    <row r="157" customFormat="false" ht="15" hidden="false" customHeight="false" outlineLevel="0" collapsed="false">
      <c r="A157" s="5" t="s">
        <v>137</v>
      </c>
    </row>
    <row r="158" customFormat="false" ht="15" hidden="false" customHeight="false" outlineLevel="0" collapsed="false">
      <c r="A158" s="5" t="s">
        <v>138</v>
      </c>
    </row>
    <row r="159" customFormat="false" ht="36.5" hidden="false" customHeight="false" outlineLevel="0" collapsed="false">
      <c r="A159" s="26" t="s">
        <v>139</v>
      </c>
    </row>
    <row r="160" customFormat="false" ht="29" hidden="false" customHeight="false" outlineLevel="0" collapsed="false">
      <c r="A160" s="26" t="s">
        <v>140</v>
      </c>
    </row>
    <row r="162" customFormat="false" ht="15.5" hidden="false" customHeight="false" outlineLevel="0" collapsed="false">
      <c r="A162" s="30" t="s">
        <v>141</v>
      </c>
    </row>
    <row r="163" customFormat="false" ht="15.5" hidden="false" customHeight="false" outlineLevel="0" collapsed="false">
      <c r="A163" s="2" t="s">
        <v>142</v>
      </c>
    </row>
    <row r="164" customFormat="false" ht="15.5" hidden="false" customHeight="false" outlineLevel="0" collapsed="false">
      <c r="A164" s="2" t="s">
        <v>143</v>
      </c>
    </row>
    <row r="165" customFormat="false" ht="15.5" hidden="false" customHeight="false" outlineLevel="0" collapsed="false">
      <c r="A165" s="2" t="s">
        <v>144</v>
      </c>
    </row>
    <row r="166" customFormat="false" ht="15.5" hidden="false" customHeight="false" outlineLevel="0" collapsed="false">
      <c r="A166" s="2" t="s">
        <v>145</v>
      </c>
    </row>
    <row r="167" customFormat="false" ht="15.5" hidden="false" customHeight="false" outlineLevel="0" collapsed="false">
      <c r="A167" s="2" t="s">
        <v>146</v>
      </c>
    </row>
    <row r="169" customFormat="false" ht="15" hidden="false" customHeight="false" outlineLevel="0" collapsed="false">
      <c r="A169" s="4" t="s">
        <v>147</v>
      </c>
    </row>
    <row r="170" customFormat="false" ht="30" hidden="false" customHeight="false" outlineLevel="0" collapsed="false">
      <c r="A170" s="28" t="s">
        <v>148</v>
      </c>
    </row>
    <row r="171" customFormat="false" ht="28" hidden="false" customHeight="false" outlineLevel="0" collapsed="false">
      <c r="A171" s="28" t="s">
        <v>149</v>
      </c>
    </row>
    <row r="172" customFormat="false" ht="15" hidden="false" customHeight="false" outlineLevel="0" collapsed="false">
      <c r="A172" s="7"/>
    </row>
    <row r="173" customFormat="false" ht="15" hidden="false" customHeight="false" outlineLevel="0" collapsed="false">
      <c r="A173" s="4" t="s">
        <v>150</v>
      </c>
    </row>
    <row r="174" customFormat="false" ht="28" hidden="false" customHeight="false" outlineLevel="0" collapsed="false">
      <c r="A174" s="28" t="s">
        <v>151</v>
      </c>
    </row>
    <row r="175" customFormat="false" ht="29" hidden="false" customHeight="false" outlineLevel="0" collapsed="false">
      <c r="A175" s="28" t="s">
        <v>152</v>
      </c>
    </row>
    <row r="177" customFormat="false" ht="15.5" hidden="false" customHeight="false" outlineLevel="0" collapsed="false">
      <c r="A177" s="9" t="s">
        <v>153</v>
      </c>
    </row>
  </sheetData>
  <mergeCells count="9">
    <mergeCell ref="A5:L5"/>
    <mergeCell ref="A6:J6"/>
    <mergeCell ref="A7:N7"/>
    <mergeCell ref="A14:I14"/>
    <mergeCell ref="A16:J16"/>
    <mergeCell ref="A30:J30"/>
    <mergeCell ref="A45:L45"/>
    <mergeCell ref="A93:J93"/>
    <mergeCell ref="A146:L1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K197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10" width="27.31"/>
    <col collapsed="false" customWidth="true" hidden="false" outlineLevel="0" max="7" min="2" style="10" width="14.56"/>
    <col collapsed="false" customWidth="true" hidden="false" outlineLevel="0" max="8" min="8" style="10" width="49.13"/>
  </cols>
  <sheetData>
    <row r="1" customFormat="false" ht="19" hidden="false" customHeight="false" outlineLevel="0" collapsed="false">
      <c r="A1" s="11" t="s">
        <v>154</v>
      </c>
      <c r="B1" s="11"/>
      <c r="C1" s="11"/>
      <c r="D1" s="11"/>
    </row>
    <row r="3" customFormat="false" ht="15.5" hidden="false" customHeight="false" outlineLevel="0" collapsed="false">
      <c r="A3" s="12" t="s">
        <v>155</v>
      </c>
      <c r="B3" s="12"/>
      <c r="C3" s="12"/>
      <c r="D3" s="12"/>
      <c r="E3" s="13"/>
      <c r="F3" s="13"/>
      <c r="G3" s="13"/>
      <c r="H3" s="13"/>
    </row>
    <row r="4" customFormat="false" ht="15.5" hidden="false" customHeight="false" outlineLevel="0" collapsed="false">
      <c r="A4" s="14" t="s">
        <v>156</v>
      </c>
      <c r="B4" s="14" t="s">
        <v>157</v>
      </c>
      <c r="C4" s="14" t="s">
        <v>158</v>
      </c>
      <c r="D4" s="15" t="s">
        <v>159</v>
      </c>
      <c r="E4" s="15"/>
      <c r="F4" s="15"/>
    </row>
    <row r="5" customFormat="false" ht="15" hidden="false" customHeight="false" outlineLevel="0" collapsed="false">
      <c r="A5" s="32">
        <v>10</v>
      </c>
      <c r="B5" s="17" t="n">
        <v>1781</v>
      </c>
      <c r="C5" s="33" t="n">
        <f aca="false">B5/10000</f>
        <v>0.1781</v>
      </c>
      <c r="D5" s="16" t="s">
        <v>161</v>
      </c>
    </row>
    <row r="6" customFormat="false" ht="15" hidden="false" customHeight="false" outlineLevel="0" collapsed="false">
      <c r="A6" s="16" t="s">
        <v>162</v>
      </c>
      <c r="B6" s="17" t="n">
        <v>1781</v>
      </c>
      <c r="C6" s="33" t="n">
        <f aca="false">B6/10000</f>
        <v>0.1781</v>
      </c>
      <c r="D6" s="16" t="s">
        <v>161</v>
      </c>
    </row>
    <row r="7" customFormat="false" ht="15" hidden="false" customHeight="false" outlineLevel="0" collapsed="false">
      <c r="A7" s="16" t="s">
        <v>163</v>
      </c>
      <c r="B7" s="17" t="n">
        <v>1781</v>
      </c>
      <c r="C7" s="33" t="n">
        <f aca="false">B7/10000</f>
        <v>0.1781</v>
      </c>
      <c r="D7" s="16" t="s">
        <v>161</v>
      </c>
    </row>
    <row r="8" customFormat="false" ht="15" hidden="false" customHeight="false" outlineLevel="0" collapsed="false">
      <c r="A8" s="16" t="s">
        <v>164</v>
      </c>
      <c r="B8" s="17" t="n">
        <v>1781</v>
      </c>
      <c r="C8" s="33" t="n">
        <f aca="false">B8/10000</f>
        <v>0.1781</v>
      </c>
      <c r="D8" s="16" t="s">
        <v>161</v>
      </c>
    </row>
    <row r="9" customFormat="false" ht="15" hidden="false" customHeight="false" outlineLevel="0" collapsed="false">
      <c r="A9" s="16" t="s">
        <v>165</v>
      </c>
      <c r="B9" s="17" t="n">
        <v>2000</v>
      </c>
      <c r="C9" s="33" t="n">
        <f aca="false">B9/10000</f>
        <v>0.2</v>
      </c>
      <c r="D9" s="16" t="s">
        <v>166</v>
      </c>
    </row>
    <row r="10" customFormat="false" ht="15" hidden="false" customHeight="false" outlineLevel="0" collapsed="false">
      <c r="A10" s="16" t="s">
        <v>167</v>
      </c>
      <c r="B10" s="17" t="n">
        <v>175</v>
      </c>
      <c r="C10" s="33" t="n">
        <f aca="false">B10/10000</f>
        <v>0.0175</v>
      </c>
      <c r="D10" s="19" t="s">
        <v>168</v>
      </c>
      <c r="E10" s="19"/>
    </row>
    <row r="11" customFormat="false" ht="16" hidden="false" customHeight="false" outlineLevel="0" collapsed="false">
      <c r="A11" s="16" t="s">
        <v>169</v>
      </c>
      <c r="B11" s="17" t="n">
        <v>700</v>
      </c>
      <c r="C11" s="33" t="n">
        <f aca="false">B11/10000</f>
        <v>0.07</v>
      </c>
      <c r="D11" s="19" t="s">
        <v>170</v>
      </c>
      <c r="E11" s="19"/>
    </row>
    <row r="12" customFormat="false" ht="16" hidden="false" customHeight="false" outlineLevel="0" collapsed="false">
      <c r="A12" s="20" t="s">
        <v>171</v>
      </c>
      <c r="B12" s="21" t="n">
        <f aca="false">SUM(B5:B11)</f>
        <v>9999</v>
      </c>
      <c r="D12" s="19" t="s">
        <v>172</v>
      </c>
      <c r="E12" s="19"/>
      <c r="F12" s="19"/>
      <c r="G12" s="19"/>
    </row>
    <row r="14" customFormat="false" ht="15.5" hidden="false" customHeight="false" outlineLevel="0" collapsed="false">
      <c r="A14" s="12" t="s">
        <v>173</v>
      </c>
      <c r="B14" s="12"/>
      <c r="C14" s="12"/>
      <c r="D14" s="12"/>
      <c r="E14" s="13"/>
      <c r="F14" s="13"/>
      <c r="G14" s="13"/>
      <c r="H14" s="13"/>
    </row>
    <row r="15" customFormat="false" ht="15" hidden="false" customHeight="false" outlineLevel="0" collapsed="false">
      <c r="A15" s="14" t="s">
        <v>156</v>
      </c>
      <c r="B15" s="14" t="s">
        <v>174</v>
      </c>
      <c r="C15" s="14" t="s">
        <v>175</v>
      </c>
      <c r="D15" s="15" t="s">
        <v>176</v>
      </c>
      <c r="E15" s="15"/>
    </row>
    <row r="16" customFormat="false" ht="15" hidden="false" customHeight="false" outlineLevel="0" collapsed="false">
      <c r="A16" s="32">
        <v>10</v>
      </c>
      <c r="B16" s="17" t="n">
        <v>1781</v>
      </c>
      <c r="C16" s="21" t="n">
        <f aca="false">SUM($B$16:B16)</f>
        <v>1781</v>
      </c>
      <c r="D16" s="19" t="s">
        <v>177</v>
      </c>
      <c r="E16" s="19"/>
      <c r="F16" s="19"/>
    </row>
    <row r="17" customFormat="false" ht="15" hidden="false" customHeight="false" outlineLevel="0" collapsed="false">
      <c r="A17" s="16" t="s">
        <v>162</v>
      </c>
      <c r="B17" s="17" t="n">
        <v>1781</v>
      </c>
      <c r="C17" s="21" t="n">
        <f aca="false">SUM($B$16:B17)</f>
        <v>3562</v>
      </c>
    </row>
    <row r="18" customFormat="false" ht="15" hidden="false" customHeight="false" outlineLevel="0" collapsed="false">
      <c r="A18" s="16" t="s">
        <v>163</v>
      </c>
      <c r="B18" s="17" t="n">
        <v>1781</v>
      </c>
      <c r="C18" s="21" t="n">
        <f aca="false">SUM($B$16:B18)</f>
        <v>5343</v>
      </c>
    </row>
    <row r="19" customFormat="false" ht="15" hidden="false" customHeight="false" outlineLevel="0" collapsed="false">
      <c r="A19" s="16" t="s">
        <v>164</v>
      </c>
      <c r="B19" s="17" t="n">
        <v>1781</v>
      </c>
      <c r="C19" s="21" t="n">
        <f aca="false">SUM($B$16:B19)</f>
        <v>7124</v>
      </c>
    </row>
    <row r="20" customFormat="false" ht="15" hidden="false" customHeight="false" outlineLevel="0" collapsed="false">
      <c r="A20" s="16" t="s">
        <v>165</v>
      </c>
      <c r="B20" s="17" t="n">
        <v>2000</v>
      </c>
      <c r="C20" s="21" t="n">
        <f aca="false">SUM($B$16:B20)</f>
        <v>9124</v>
      </c>
    </row>
    <row r="21" customFormat="false" ht="15" hidden="false" customHeight="false" outlineLevel="0" collapsed="false">
      <c r="A21" s="16" t="s">
        <v>167</v>
      </c>
      <c r="B21" s="17" t="n">
        <v>175</v>
      </c>
      <c r="C21" s="21" t="n">
        <f aca="false">SUM($B$16:B21)</f>
        <v>9299</v>
      </c>
    </row>
    <row r="22" customFormat="false" ht="15" hidden="false" customHeight="false" outlineLevel="0" collapsed="false">
      <c r="A22" s="16" t="s">
        <v>169</v>
      </c>
      <c r="B22" s="17" t="n">
        <v>700</v>
      </c>
      <c r="C22" s="21" t="n">
        <f aca="false">SUM($B$16:B22)</f>
        <v>9999</v>
      </c>
    </row>
    <row r="23" customFormat="false" ht="16" hidden="false" customHeight="false" outlineLevel="0" collapsed="false">
      <c r="A23" s="20" t="s">
        <v>178</v>
      </c>
      <c r="C23" s="21" t="n">
        <f aca="false">C22</f>
        <v>9999</v>
      </c>
      <c r="D23" s="19" t="s">
        <v>179</v>
      </c>
      <c r="E23" s="19"/>
    </row>
    <row r="25" customFormat="false" ht="15.5" hidden="false" customHeight="false" outlineLevel="0" collapsed="false">
      <c r="A25" s="12" t="s">
        <v>180</v>
      </c>
      <c r="B25" s="12"/>
      <c r="C25" s="12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14" t="s">
        <v>181</v>
      </c>
      <c r="B26" s="14" t="s">
        <v>182</v>
      </c>
      <c r="C26" s="14"/>
    </row>
    <row r="27" customFormat="false" ht="16" hidden="false" customHeight="false" outlineLevel="0" collapsed="false">
      <c r="A27" s="10" t="s">
        <v>183</v>
      </c>
      <c r="B27" s="19" t="s">
        <v>184</v>
      </c>
      <c r="C27" s="19"/>
      <c r="D27" s="19"/>
      <c r="E27" s="19"/>
      <c r="F27" s="19"/>
      <c r="G27" s="19"/>
      <c r="H27" s="19"/>
    </row>
    <row r="28" customFormat="false" ht="16" hidden="false" customHeight="false" outlineLevel="0" collapsed="false">
      <c r="A28" s="10" t="s">
        <v>185</v>
      </c>
      <c r="B28" s="19" t="s">
        <v>186</v>
      </c>
      <c r="C28" s="19"/>
      <c r="D28" s="19"/>
      <c r="E28" s="19"/>
      <c r="F28" s="19"/>
      <c r="G28" s="19"/>
    </row>
    <row r="29" customFormat="false" ht="16" hidden="false" customHeight="false" outlineLevel="0" collapsed="false">
      <c r="A29" s="10" t="s">
        <v>187</v>
      </c>
      <c r="B29" s="19" t="s">
        <v>188</v>
      </c>
      <c r="C29" s="19"/>
      <c r="D29" s="19"/>
      <c r="E29" s="19"/>
      <c r="F29" s="19"/>
    </row>
    <row r="30" customFormat="false" ht="16" hidden="false" customHeight="false" outlineLevel="0" collapsed="false">
      <c r="A30" s="10" t="s">
        <v>189</v>
      </c>
      <c r="B30" s="19" t="s">
        <v>190</v>
      </c>
      <c r="C30" s="19"/>
      <c r="D30" s="19"/>
      <c r="E30" s="19"/>
      <c r="F30" s="19"/>
      <c r="G30" s="19"/>
    </row>
    <row r="31" customFormat="false" ht="16" hidden="false" customHeight="false" outlineLevel="0" collapsed="false">
      <c r="A31" s="10" t="s">
        <v>191</v>
      </c>
      <c r="B31" s="19" t="s">
        <v>192</v>
      </c>
      <c r="C31" s="19"/>
      <c r="D31" s="19"/>
      <c r="E31" s="19"/>
    </row>
    <row r="33" customFormat="false" ht="15.5" hidden="false" customHeight="false" outlineLevel="0" collapsed="false">
      <c r="A33" s="12" t="s">
        <v>193</v>
      </c>
      <c r="B33" s="12"/>
      <c r="C33" s="12"/>
      <c r="D33" s="13"/>
      <c r="E33" s="13"/>
      <c r="F33" s="13"/>
      <c r="G33" s="13"/>
      <c r="H33" s="13"/>
    </row>
    <row r="34" customFormat="false" ht="15" hidden="false" customHeight="false" outlineLevel="0" collapsed="false">
      <c r="A34" s="14" t="s">
        <v>194</v>
      </c>
      <c r="B34" s="14" t="s">
        <v>195</v>
      </c>
      <c r="C34" s="14" t="s">
        <v>150</v>
      </c>
      <c r="D34" s="14"/>
      <c r="E34" s="14"/>
      <c r="F34" s="14"/>
      <c r="G34" s="14"/>
      <c r="H34" s="14"/>
    </row>
    <row r="35" customFormat="false" ht="16" hidden="false" customHeight="false" outlineLevel="0" collapsed="false">
      <c r="A35" s="16" t="s">
        <v>196</v>
      </c>
      <c r="B35" s="22" t="n">
        <v>0.5097</v>
      </c>
      <c r="C35" s="10" t="s">
        <v>197</v>
      </c>
    </row>
    <row r="36" customFormat="false" ht="16" hidden="false" customHeight="false" outlineLevel="0" collapsed="false">
      <c r="A36" s="10" t="s">
        <v>198</v>
      </c>
      <c r="B36" s="22" t="n">
        <v>0.511</v>
      </c>
      <c r="C36" s="19" t="s">
        <v>199</v>
      </c>
      <c r="D36" s="19"/>
    </row>
    <row r="37" customFormat="false" ht="15" hidden="false" customHeight="false" outlineLevel="0" collapsed="false">
      <c r="A37" s="20" t="s">
        <v>200</v>
      </c>
      <c r="B37" s="23" t="n">
        <f aca="false">B36-B35</f>
        <v>0.00129999999999997</v>
      </c>
      <c r="C37" s="19" t="s">
        <v>201</v>
      </c>
      <c r="D37" s="19"/>
      <c r="E37" s="19"/>
    </row>
    <row r="38" customFormat="false" ht="15.5" hidden="false" customHeight="true" outlineLevel="0" collapsed="false">
      <c r="A38" s="24" t="s">
        <v>202</v>
      </c>
      <c r="B38" s="24"/>
      <c r="C38" s="24"/>
      <c r="D38" s="24"/>
      <c r="E38" s="24"/>
      <c r="F38" s="24"/>
      <c r="G38" s="24"/>
      <c r="H38" s="24"/>
    </row>
    <row r="40" customFormat="false" ht="15.5" hidden="false" customHeight="false" outlineLevel="0" collapsed="false">
      <c r="A40" s="12" t="s">
        <v>203</v>
      </c>
      <c r="B40" s="12"/>
      <c r="C40" s="12"/>
      <c r="D40" s="13"/>
      <c r="E40" s="13"/>
      <c r="F40" s="13"/>
      <c r="G40" s="13"/>
      <c r="H40" s="13"/>
    </row>
    <row r="41" customFormat="false" ht="15" hidden="false" customHeight="false" outlineLevel="0" collapsed="false">
      <c r="A41" s="14" t="s">
        <v>204</v>
      </c>
      <c r="B41" s="14" t="s">
        <v>205</v>
      </c>
      <c r="C41" s="14" t="s">
        <v>150</v>
      </c>
      <c r="D41" s="14"/>
      <c r="E41" s="14"/>
      <c r="F41" s="14"/>
      <c r="G41" s="14"/>
      <c r="H41" s="14"/>
    </row>
    <row r="42" customFormat="false" ht="16" hidden="false" customHeight="false" outlineLevel="0" collapsed="false">
      <c r="A42" s="10" t="s">
        <v>206</v>
      </c>
      <c r="B42" s="25" t="str">
        <f aca="false">IF(ABS(B12-10000)&lt;=1,"✓","✗")</f>
        <v>✓</v>
      </c>
      <c r="C42" s="19" t="s">
        <v>207</v>
      </c>
      <c r="D42" s="19"/>
    </row>
    <row r="43" customFormat="false" ht="15" hidden="false" customHeight="false" outlineLevel="0" collapsed="false">
      <c r="A43" s="10" t="s">
        <v>208</v>
      </c>
      <c r="B43" s="25" t="str">
        <f aca="false">IF(AND(C16&lt;C17,C17&lt;C18,C18&lt;C19,C19&lt;C20,C20&lt;C21,C21&lt;C22),"✓","✗")</f>
        <v>✓</v>
      </c>
      <c r="C43" s="19" t="s">
        <v>209</v>
      </c>
      <c r="D43" s="19"/>
      <c r="E43" s="19"/>
      <c r="F43" s="19"/>
    </row>
    <row r="44" customFormat="false" ht="16" hidden="false" customHeight="false" outlineLevel="0" collapsed="false">
      <c r="A44" s="16" t="s">
        <v>210</v>
      </c>
      <c r="B44" s="25" t="str">
        <f aca="false">IF(C9&gt;C5,"✓","✗")</f>
        <v>✓</v>
      </c>
      <c r="C44" s="10" t="s">
        <v>211</v>
      </c>
    </row>
    <row r="45" customFormat="false" ht="16" hidden="false" customHeight="false" outlineLevel="0" collapsed="false">
      <c r="A45" s="10" t="s">
        <v>212</v>
      </c>
      <c r="B45" s="25" t="str">
        <f aca="false">IF(ABS(B37)&lt;0.002,"✓","✗")</f>
        <v>✓</v>
      </c>
      <c r="C45" s="19" t="s">
        <v>213</v>
      </c>
      <c r="D45" s="19"/>
      <c r="E45" s="19"/>
      <c r="F45" s="19"/>
      <c r="G45" s="19"/>
      <c r="H45" s="19"/>
    </row>
    <row r="47" customFormat="false" ht="28" hidden="false" customHeight="true" outlineLevel="0" collapsed="false">
      <c r="A47" s="24" t="s">
        <v>214</v>
      </c>
      <c r="B47" s="24"/>
      <c r="C47" s="24"/>
      <c r="D47" s="24"/>
    </row>
  </sheetData>
  <mergeCells count="25">
    <mergeCell ref="A1:D1"/>
    <mergeCell ref="A3:D3"/>
    <mergeCell ref="D4:F4"/>
    <mergeCell ref="D10:E10"/>
    <mergeCell ref="D11:E11"/>
    <mergeCell ref="D12:G12"/>
    <mergeCell ref="A14:D14"/>
    <mergeCell ref="D15:E15"/>
    <mergeCell ref="D16:F16"/>
    <mergeCell ref="D23:E23"/>
    <mergeCell ref="A25:C25"/>
    <mergeCell ref="B27:H27"/>
    <mergeCell ref="B28:G28"/>
    <mergeCell ref="B29:F29"/>
    <mergeCell ref="B30:G30"/>
    <mergeCell ref="B31:E31"/>
    <mergeCell ref="A33:C33"/>
    <mergeCell ref="C36:D36"/>
    <mergeCell ref="C37:E37"/>
    <mergeCell ref="A38:H38"/>
    <mergeCell ref="A40:C40"/>
    <mergeCell ref="C42:D42"/>
    <mergeCell ref="C43:F43"/>
    <mergeCell ref="C45:H45"/>
    <mergeCell ref="A47:D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M67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2026-09-29T15:06:27Z</dcterms:created>
  <dc:creator>openpyxl</dc:creator>
  <dc:description/>
  <dc:language>zh-CN</dc:language>
  <cp:lastModifiedBy/>
  <dcterms:modified xsi:type="dcterms:W3CDTF">2026-09-29T15:06:27Z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