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说明" sheetId="1" state="visible" r:id="rId3"/>
    <sheet name="数据配表的实现" sheetId="2" state="visible" r:id="rId4"/>
  </sheets>
  <calcPr iterateCount="100" refMode="A1" iterate="false" iterateDelta="0.0001"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<sst xmlns="http://schemas.openxmlformats.org/spreadsheetml/2006/main" count="199" uniqueCount="149">
  <si>
    <r>
      <rPr>
        <b val="true"/>
        <sz val="14"/>
        <color rgb="FF1F4E79"/>
        <rFont val="Noto Sans SC"/>
        <family val="2"/>
        <charset val="134"/>
      </rPr>
      <t xml:space="preserve">从零开始学</t>
    </r>
    <r>
      <rPr>
        <b val="true"/>
        <sz val="14"/>
        <color rgb="FF1F4E79"/>
        <rFont val="Cambria"/>
        <family val="0"/>
        <charset val="1"/>
      </rPr>
      <t xml:space="preserve">Slots 38 —— </t>
    </r>
    <r>
      <rPr>
        <b val="true"/>
        <sz val="14"/>
        <color rgb="FF1F4E79"/>
        <rFont val="Noto Sans SC"/>
        <family val="2"/>
        <charset val="134"/>
      </rPr>
      <t xml:space="preserve">数值篇：</t>
    </r>
    <r>
      <rPr>
        <b val="true"/>
        <sz val="14"/>
        <color rgb="FF1F4E79"/>
        <rFont val="Cambria"/>
        <family val="0"/>
        <charset val="1"/>
      </rPr>
      <t xml:space="preserve">Super Stack</t>
    </r>
  </si>
  <si>
    <r>
      <rPr>
        <sz val="11"/>
        <color rgb="FF808080"/>
        <rFont val="Noto Sans SC"/>
        <family val="2"/>
        <charset val="134"/>
      </rPr>
      <t xml:space="preserve">来源：知乎《</t>
    </r>
    <r>
      <rPr>
        <sz val="11"/>
        <color rgb="FF808080"/>
        <rFont val="Cambria"/>
        <family val="0"/>
        <charset val="1"/>
      </rPr>
      <t xml:space="preserve">Slots</t>
    </r>
    <r>
      <rPr>
        <sz val="11"/>
        <color rgb="FF808080"/>
        <rFont val="Noto Sans SC"/>
        <family val="2"/>
        <charset val="134"/>
      </rPr>
      <t xml:space="preserve">数值篇——</t>
    </r>
    <r>
      <rPr>
        <sz val="11"/>
        <color rgb="FF808080"/>
        <rFont val="Cambria"/>
        <family val="0"/>
        <charset val="1"/>
      </rPr>
      <t xml:space="preserve">Super Stack</t>
    </r>
    <r>
      <rPr>
        <sz val="11"/>
        <color rgb="FF808080"/>
        <rFont val="Noto Sans SC"/>
        <family val="2"/>
        <charset val="134"/>
      </rPr>
      <t xml:space="preserve">》 </t>
    </r>
    <r>
      <rPr>
        <sz val="11"/>
        <color rgb="FF808080"/>
        <rFont val="Cambria"/>
        <family val="0"/>
        <charset val="1"/>
      </rPr>
      <t xml:space="preserve">https://zhuanlan.zhihu.com/p/636933475</t>
    </r>
  </si>
  <si>
    <r>
      <rPr>
        <sz val="11"/>
        <color rgb="FF808080"/>
        <rFont val="Noto Sans SC"/>
        <family val="2"/>
        <charset val="134"/>
      </rPr>
      <t xml:space="preserve">专栏：从零开始学</t>
    </r>
    <r>
      <rPr>
        <sz val="11"/>
        <color rgb="FF808080"/>
        <rFont val="Cambria"/>
        <family val="0"/>
        <charset val="1"/>
      </rPr>
      <t xml:space="preserve">Slots https://zhuanlan.zhihu.com/c_1645024821070356480 </t>
    </r>
    <r>
      <rPr>
        <sz val="11"/>
        <color rgb="FF808080"/>
        <rFont val="Noto Sans SC"/>
        <family val="2"/>
        <charset val="134"/>
      </rPr>
      <t xml:space="preserve">｜ 作者：</t>
    </r>
    <r>
      <rPr>
        <sz val="11"/>
        <color rgb="FF808080"/>
        <rFont val="Cambria"/>
        <family val="0"/>
        <charset val="1"/>
      </rPr>
      <t xml:space="preserve">ASlot </t>
    </r>
    <r>
      <rPr>
        <sz val="11"/>
        <color rgb="FF808080"/>
        <rFont val="Noto Sans SC"/>
        <family val="2"/>
        <charset val="134"/>
      </rPr>
      <t xml:space="preserve">｜ 发布 </t>
    </r>
    <r>
      <rPr>
        <sz val="11"/>
        <color rgb="FF808080"/>
        <rFont val="Cambria"/>
        <family val="0"/>
        <charset val="1"/>
      </rPr>
      <t xml:space="preserve">2023-06-27</t>
    </r>
  </si>
  <si>
    <t xml:space="preserve">页签</t>
  </si>
  <si>
    <r>
      <rPr>
        <sz val="11"/>
        <color theme="1"/>
        <rFont val="Calibri"/>
        <family val="2"/>
        <charset val="1"/>
      </rPr>
      <t xml:space="preserve">· </t>
    </r>
    <r>
      <rPr>
        <sz val="11"/>
        <color theme="1"/>
        <rFont val="Noto Sans SC"/>
        <family val="2"/>
        <charset val="134"/>
      </rPr>
      <t xml:space="preserve">数据配表的实现：固定卷轴 → 图标计数 → 按列堆叠变身几率 → 出现事件数 → 不出现事件数 → </t>
    </r>
    <r>
      <rPr>
        <sz val="11"/>
        <color theme="1"/>
        <rFont val="Calibri"/>
        <family val="2"/>
        <charset val="1"/>
      </rPr>
      <t xml:space="preserve">RTP</t>
    </r>
  </si>
  <si>
    <t xml:space="preserve">一、示例设定（原文）</t>
  </si>
  <si>
    <r>
      <rPr>
        <sz val="11"/>
        <color theme="1"/>
        <rFont val="Calibri"/>
        <family val="2"/>
        <charset val="1"/>
      </rPr>
      <t xml:space="preserve">· </t>
    </r>
    <r>
      <rPr>
        <sz val="11"/>
        <color theme="1"/>
        <rFont val="Noto Sans SC"/>
        <family val="2"/>
        <charset val="134"/>
      </rPr>
      <t xml:space="preserve">卷轴尺寸：</t>
    </r>
    <r>
      <rPr>
        <sz val="11"/>
        <color theme="1"/>
        <rFont val="Calibri"/>
        <family val="2"/>
        <charset val="1"/>
      </rPr>
      <t xml:space="preserve">3*5</t>
    </r>
    <r>
      <rPr>
        <sz val="11"/>
        <color theme="1"/>
        <rFont val="Noto Sans SC"/>
        <family val="2"/>
        <charset val="134"/>
      </rPr>
      <t xml:space="preserve">　</t>
    </r>
    <r>
      <rPr>
        <sz val="11"/>
        <color theme="1"/>
        <rFont val="Calibri"/>
        <family val="2"/>
        <charset val="1"/>
      </rPr>
      <t xml:space="preserve">· </t>
    </r>
    <r>
      <rPr>
        <sz val="11"/>
        <color theme="1"/>
        <rFont val="Noto Sans SC"/>
        <family val="2"/>
        <charset val="134"/>
      </rPr>
      <t xml:space="preserve">图标：</t>
    </r>
    <r>
      <rPr>
        <sz val="11"/>
        <color theme="1"/>
        <rFont val="Calibri"/>
        <family val="2"/>
        <charset val="1"/>
      </rPr>
      <t xml:space="preserve">4 </t>
    </r>
    <r>
      <rPr>
        <sz val="11"/>
        <color theme="1"/>
        <rFont val="Noto Sans SC"/>
        <family val="2"/>
        <charset val="134"/>
      </rPr>
      <t xml:space="preserve">个标准图标 </t>
    </r>
    <r>
      <rPr>
        <sz val="11"/>
        <color theme="1"/>
        <rFont val="Calibri"/>
        <family val="2"/>
        <charset val="1"/>
      </rPr>
      <t xml:space="preserve">J</t>
    </r>
    <r>
      <rPr>
        <sz val="11"/>
        <color theme="1"/>
        <rFont val="Noto Sans SC"/>
        <family val="2"/>
        <charset val="134"/>
      </rPr>
      <t xml:space="preserve">、</t>
    </r>
    <r>
      <rPr>
        <sz val="11"/>
        <color theme="1"/>
        <rFont val="Calibri"/>
        <family val="2"/>
        <charset val="1"/>
      </rPr>
      <t xml:space="preserve">Q</t>
    </r>
    <r>
      <rPr>
        <sz val="11"/>
        <color theme="1"/>
        <rFont val="Noto Sans SC"/>
        <family val="2"/>
        <charset val="134"/>
      </rPr>
      <t xml:space="preserve">、</t>
    </r>
    <r>
      <rPr>
        <sz val="11"/>
        <color theme="1"/>
        <rFont val="Calibri"/>
        <family val="2"/>
        <charset val="1"/>
      </rPr>
      <t xml:space="preserve">K</t>
    </r>
    <r>
      <rPr>
        <sz val="11"/>
        <color theme="1"/>
        <rFont val="Noto Sans SC"/>
        <family val="2"/>
        <charset val="134"/>
      </rPr>
      <t xml:space="preserve">、</t>
    </r>
    <r>
      <rPr>
        <sz val="11"/>
        <color theme="1"/>
        <rFont val="Calibri"/>
        <family val="2"/>
        <charset val="1"/>
      </rPr>
      <t xml:space="preserve">A</t>
    </r>
    <r>
      <rPr>
        <sz val="11"/>
        <color theme="1"/>
        <rFont val="Noto Sans SC"/>
        <family val="2"/>
        <charset val="134"/>
      </rPr>
      <t xml:space="preserve">；</t>
    </r>
    <r>
      <rPr>
        <sz val="11"/>
        <color theme="1"/>
        <rFont val="Calibri"/>
        <family val="2"/>
        <charset val="1"/>
      </rPr>
      <t xml:space="preserve">2 </t>
    </r>
    <r>
      <rPr>
        <sz val="11"/>
        <color theme="1"/>
        <rFont val="Noto Sans SC"/>
        <family val="2"/>
        <charset val="134"/>
      </rPr>
      <t xml:space="preserve">个特殊图标 </t>
    </r>
    <r>
      <rPr>
        <sz val="11"/>
        <color theme="1"/>
        <rFont val="Calibri"/>
        <family val="2"/>
        <charset val="1"/>
      </rPr>
      <t xml:space="preserve">Wild</t>
    </r>
    <r>
      <rPr>
        <sz val="11"/>
        <color theme="1"/>
        <rFont val="Noto Sans SC"/>
        <family val="2"/>
        <charset val="134"/>
      </rPr>
      <t xml:space="preserve">（百搭）、</t>
    </r>
    <r>
      <rPr>
        <sz val="11"/>
        <color theme="1"/>
        <rFont val="Calibri"/>
        <family val="2"/>
        <charset val="1"/>
      </rPr>
      <t xml:space="preserve">Super Stack</t>
    </r>
    <r>
      <rPr>
        <sz val="11"/>
        <color theme="1"/>
        <rFont val="Noto Sans SC"/>
        <family val="2"/>
        <charset val="134"/>
      </rPr>
      <t xml:space="preserve">（堆叠）</t>
    </r>
  </si>
  <si>
    <r>
      <rPr>
        <sz val="11"/>
        <color theme="1"/>
        <rFont val="Calibri"/>
        <family val="2"/>
        <charset val="1"/>
      </rPr>
      <t xml:space="preserve">· </t>
    </r>
    <r>
      <rPr>
        <sz val="11"/>
        <color theme="1"/>
        <rFont val="Noto Sans SC"/>
        <family val="2"/>
        <charset val="134"/>
      </rPr>
      <t xml:space="preserve">机制：每局开始时 </t>
    </r>
    <r>
      <rPr>
        <sz val="11"/>
        <color theme="1"/>
        <rFont val="Calibri"/>
        <family val="2"/>
        <charset val="1"/>
      </rPr>
      <t xml:space="preserve">Super Stack </t>
    </r>
    <r>
      <rPr>
        <sz val="11"/>
        <color theme="1"/>
        <rFont val="Noto Sans SC"/>
        <family val="2"/>
        <charset val="134"/>
      </rPr>
      <t xml:space="preserve">图标按配置几率变成指定图标，本局当作该图标使用；</t>
    </r>
  </si>
  <si>
    <t xml:space="preserve">　变化过程不展示，玩家直接看到变成后的状态。</t>
  </si>
  <si>
    <t xml:space="preserve">二、计算思路（原文六步）</t>
  </si>
  <si>
    <t xml:space="preserve">第一步 设置固定卷轴（要设计好连续出现的堆叠图标）；</t>
  </si>
  <si>
    <r>
      <rPr>
        <sz val="11"/>
        <color theme="1"/>
        <rFont val="Noto Sans SC"/>
        <family val="2"/>
        <charset val="134"/>
      </rPr>
      <t xml:space="preserve">第二步 用 </t>
    </r>
    <r>
      <rPr>
        <sz val="11"/>
        <color theme="1"/>
        <rFont val="Calibri"/>
        <family val="2"/>
        <charset val="1"/>
      </rPr>
      <t xml:space="preserve">COUNTIF </t>
    </r>
    <r>
      <rPr>
        <sz val="11"/>
        <color theme="1"/>
        <rFont val="Noto Sans SC"/>
        <family val="2"/>
        <charset val="134"/>
      </rPr>
      <t xml:space="preserve">读取各图标在卷轴上的出现个数；</t>
    </r>
  </si>
  <si>
    <r>
      <rPr>
        <sz val="11"/>
        <color theme="1"/>
        <rFont val="Noto Sans SC"/>
        <family val="2"/>
        <charset val="134"/>
      </rPr>
      <t xml:space="preserve">第三步 按列设置堆叠图标的转变几率（每列的 </t>
    </r>
    <r>
      <rPr>
        <sz val="11"/>
        <color theme="1"/>
        <rFont val="Calibri"/>
        <family val="2"/>
        <charset val="1"/>
      </rPr>
      <t xml:space="preserve">SS </t>
    </r>
    <r>
      <rPr>
        <sz val="11"/>
        <color theme="1"/>
        <rFont val="Noto Sans SC"/>
        <family val="2"/>
        <charset val="134"/>
      </rPr>
      <t xml:space="preserve">在一局中只变成一种图标，所以按列配置即可）；</t>
    </r>
  </si>
  <si>
    <r>
      <rPr>
        <sz val="11"/>
        <color theme="1"/>
        <rFont val="Noto Sans SC"/>
        <family val="2"/>
        <charset val="134"/>
      </rPr>
      <t xml:space="preserve">第四步 计算图标停留事件数：</t>
    </r>
    <r>
      <rPr>
        <sz val="11"/>
        <color theme="1"/>
        <rFont val="Calibri"/>
        <family val="2"/>
        <charset val="1"/>
      </rPr>
      <t xml:space="preserve">Wild </t>
    </r>
    <r>
      <rPr>
        <sz val="11"/>
        <color theme="1"/>
        <rFont val="Noto Sans SC"/>
        <family val="2"/>
        <charset val="134"/>
      </rPr>
      <t xml:space="preserve">直接相加；</t>
    </r>
    <r>
      <rPr>
        <sz val="11"/>
        <color theme="1"/>
        <rFont val="Calibri"/>
        <family val="2"/>
        <charset val="1"/>
      </rPr>
      <t xml:space="preserve">SS </t>
    </r>
    <r>
      <rPr>
        <sz val="11"/>
        <color theme="1"/>
        <rFont val="Noto Sans SC"/>
        <family val="2"/>
        <charset val="134"/>
      </rPr>
      <t xml:space="preserve">则加上「</t>
    </r>
    <r>
      <rPr>
        <sz val="11"/>
        <color theme="1"/>
        <rFont val="Calibri"/>
        <family val="2"/>
        <charset val="1"/>
      </rPr>
      <t xml:space="preserve">SS </t>
    </r>
    <r>
      <rPr>
        <sz val="11"/>
        <color theme="1"/>
        <rFont val="Noto Sans SC"/>
        <family val="2"/>
        <charset val="134"/>
      </rPr>
      <t xml:space="preserve">个数 </t>
    </r>
    <r>
      <rPr>
        <sz val="11"/>
        <color theme="1"/>
        <rFont val="Calibri"/>
        <family val="2"/>
        <charset val="1"/>
      </rPr>
      <t xml:space="preserve">× SS </t>
    </r>
    <r>
      <rPr>
        <sz val="11"/>
        <color theme="1"/>
        <rFont val="Noto Sans SC"/>
        <family val="2"/>
        <charset val="134"/>
      </rPr>
      <t xml:space="preserve">变成该图标的几率」；</t>
    </r>
  </si>
  <si>
    <r>
      <rPr>
        <sz val="11"/>
        <color theme="1"/>
        <rFont val="Noto Sans SC"/>
        <family val="2"/>
        <charset val="134"/>
      </rPr>
      <t xml:space="preserve">第五步 计算不出现事件数（</t>
    </r>
    <r>
      <rPr>
        <sz val="11"/>
        <color theme="1"/>
        <rFont val="Calibri"/>
        <family val="2"/>
        <charset val="1"/>
      </rPr>
      <t xml:space="preserve">Line Slots </t>
    </r>
    <r>
      <rPr>
        <sz val="11"/>
        <color theme="1"/>
        <rFont val="Noto Sans SC"/>
        <family val="2"/>
        <charset val="134"/>
      </rPr>
      <t xml:space="preserve">口径：每列格数 − 出现事件数）；</t>
    </r>
  </si>
  <si>
    <r>
      <rPr>
        <sz val="11"/>
        <color theme="1"/>
        <rFont val="Noto Sans SC"/>
        <family val="2"/>
        <charset val="134"/>
      </rPr>
      <t xml:space="preserve">第六步 计算 </t>
    </r>
    <r>
      <rPr>
        <sz val="11"/>
        <color theme="1"/>
        <rFont val="Calibri"/>
        <family val="2"/>
        <charset val="1"/>
      </rPr>
      <t xml:space="preserve">RTP</t>
    </r>
    <r>
      <rPr>
        <sz val="11"/>
        <color theme="1"/>
        <rFont val="Noto Sans SC"/>
        <family val="2"/>
        <charset val="134"/>
      </rPr>
      <t xml:space="preserve">：把各组合涉及的事件数相乘得组合事件数，除以卷轴图标分布总事件数得中奖率，乘赔付倍数后加总。</t>
    </r>
  </si>
  <si>
    <t xml:space="preserve">三、原文提醒</t>
  </si>
  <si>
    <r>
      <rPr>
        <sz val="11"/>
        <color theme="1"/>
        <rFont val="Calibri"/>
        <family val="2"/>
        <charset val="1"/>
      </rPr>
      <t xml:space="preserve">Super Stack </t>
    </r>
    <r>
      <rPr>
        <sz val="11"/>
        <color theme="1"/>
        <rFont val="Noto Sans SC"/>
        <family val="2"/>
        <charset val="134"/>
      </rPr>
      <t xml:space="preserve">强调图标连续出现，更适合用在固定卷轴产品。</t>
    </r>
  </si>
  <si>
    <r>
      <rPr>
        <sz val="11"/>
        <color theme="1"/>
        <rFont val="Noto Sans SC"/>
        <family val="2"/>
        <charset val="134"/>
      </rPr>
      <t xml:space="preserve">若要在随机卷轴实现堆叠效果，建议两条路：</t>
    </r>
    <r>
      <rPr>
        <sz val="11"/>
        <color theme="1"/>
        <rFont val="Calibri"/>
        <family val="2"/>
        <charset val="1"/>
      </rPr>
      <t xml:space="preserve">36 </t>
    </r>
    <r>
      <rPr>
        <sz val="11"/>
        <color theme="1"/>
        <rFont val="Noto Sans SC"/>
        <family val="2"/>
        <charset val="134"/>
      </rPr>
      <t xml:space="preserve">用 </t>
    </r>
    <r>
      <rPr>
        <sz val="11"/>
        <color theme="1"/>
        <rFont val="Calibri"/>
        <family val="2"/>
        <charset val="1"/>
      </rPr>
      <t xml:space="preserve">Ways </t>
    </r>
    <r>
      <rPr>
        <sz val="11"/>
        <color theme="1"/>
        <rFont val="Noto Sans SC"/>
        <family val="2"/>
        <charset val="134"/>
      </rPr>
      <t xml:space="preserve">类型（单列位置不影响结算，再用前端放大堆叠观感）；</t>
    </r>
    <r>
      <rPr>
        <sz val="11"/>
        <color theme="1"/>
        <rFont val="Calibri"/>
        <family val="2"/>
        <charset val="1"/>
      </rPr>
      <t xml:space="preserve">37 </t>
    </r>
    <r>
      <rPr>
        <sz val="11"/>
        <color theme="1"/>
        <rFont val="Noto Sans SC"/>
        <family val="2"/>
        <charset val="134"/>
      </rPr>
      <t xml:space="preserve">直接用神秘图标。</t>
    </r>
  </si>
  <si>
    <r>
      <rPr>
        <b val="true"/>
        <sz val="11"/>
        <rFont val="Noto Sans SC"/>
        <family val="2"/>
        <charset val="134"/>
      </rPr>
      <t xml:space="preserve">四、数据来源（</t>
    </r>
    <r>
      <rPr>
        <b val="true"/>
        <sz val="11"/>
        <rFont val="Cambria"/>
        <family val="0"/>
        <charset val="1"/>
      </rPr>
      <t xml:space="preserve">2026-09-29 </t>
    </r>
    <r>
      <rPr>
        <b val="true"/>
        <sz val="11"/>
        <rFont val="Noto Sans SC"/>
        <family val="2"/>
        <charset val="134"/>
      </rPr>
      <t xml:space="preserve">校正）</t>
    </r>
  </si>
  <si>
    <r>
      <rPr>
        <sz val="11"/>
        <color theme="1"/>
        <rFont val="Noto Sans SC"/>
        <family val="2"/>
        <charset val="134"/>
      </rPr>
      <t xml:space="preserve">配表中的「每列图标个数分布」（</t>
    </r>
    <r>
      <rPr>
        <sz val="11"/>
        <color theme="1"/>
        <rFont val="Calibri"/>
        <family val="2"/>
        <charset val="1"/>
      </rPr>
      <t xml:space="preserve">J/Q/K </t>
    </r>
    <r>
      <rPr>
        <sz val="11"/>
        <color theme="1"/>
        <rFont val="Noto Sans SC"/>
        <family val="2"/>
        <charset val="134"/>
      </rPr>
      <t xml:space="preserve">各 </t>
    </r>
    <r>
      <rPr>
        <sz val="11"/>
        <color theme="1"/>
        <rFont val="Calibri"/>
        <family val="2"/>
        <charset val="1"/>
      </rPr>
      <t xml:space="preserve">20</t>
    </r>
    <r>
      <rPr>
        <sz val="11"/>
        <color theme="1"/>
        <rFont val="Noto Sans SC"/>
        <family val="2"/>
        <charset val="134"/>
      </rPr>
      <t xml:space="preserve">、</t>
    </r>
    <r>
      <rPr>
        <sz val="11"/>
        <color theme="1"/>
        <rFont val="Calibri"/>
        <family val="2"/>
        <charset val="1"/>
      </rPr>
      <t xml:space="preserve">A 10</t>
    </r>
    <r>
      <rPr>
        <sz val="11"/>
        <color theme="1"/>
        <rFont val="Noto Sans SC"/>
        <family val="2"/>
        <charset val="134"/>
      </rPr>
      <t xml:space="preserve">、</t>
    </r>
    <r>
      <rPr>
        <sz val="11"/>
        <color theme="1"/>
        <rFont val="Calibri"/>
        <family val="2"/>
        <charset val="1"/>
      </rPr>
      <t xml:space="preserve">Wild 5</t>
    </r>
    <r>
      <rPr>
        <sz val="11"/>
        <color theme="1"/>
        <rFont val="Noto Sans SC"/>
        <family val="2"/>
        <charset val="134"/>
      </rPr>
      <t xml:space="preserve">、</t>
    </r>
    <r>
      <rPr>
        <sz val="11"/>
        <color theme="1"/>
        <rFont val="Calibri"/>
        <family val="2"/>
        <charset val="1"/>
      </rPr>
      <t xml:space="preserve">Super Stack 25</t>
    </r>
    <r>
      <rPr>
        <sz val="11"/>
        <color theme="1"/>
        <rFont val="Noto Sans SC"/>
        <family val="2"/>
        <charset val="134"/>
      </rPr>
      <t xml:space="preserve">，每列 </t>
    </r>
    <r>
      <rPr>
        <sz val="11"/>
        <color theme="1"/>
        <rFont val="Calibri"/>
        <family val="2"/>
        <charset val="1"/>
      </rPr>
      <t xml:space="preserve">100 </t>
    </r>
    <r>
      <rPr>
        <sz val="11"/>
        <color theme="1"/>
        <rFont val="Noto Sans SC"/>
        <family val="2"/>
        <charset val="134"/>
      </rPr>
      <t xml:space="preserve">停）与</t>
    </r>
  </si>
  <si>
    <r>
      <rPr>
        <sz val="11"/>
        <color theme="1"/>
        <rFont val="Noto Sans SC"/>
        <family val="2"/>
        <charset val="134"/>
      </rPr>
      <t xml:space="preserve">「不出现事件数」（</t>
    </r>
    <r>
      <rPr>
        <sz val="11"/>
        <color theme="1"/>
        <rFont val="Calibri"/>
        <family val="2"/>
        <charset val="1"/>
      </rPr>
      <t xml:space="preserve">J/Q/K </t>
    </r>
    <r>
      <rPr>
        <sz val="11"/>
        <color theme="1"/>
        <rFont val="Noto Sans SC"/>
        <family val="2"/>
        <charset val="134"/>
      </rPr>
      <t xml:space="preserve">＝ </t>
    </r>
    <r>
      <rPr>
        <sz val="11"/>
        <color theme="1"/>
        <rFont val="Calibri"/>
        <family val="2"/>
        <charset val="1"/>
      </rPr>
      <t xml:space="preserve">68.75</t>
    </r>
    <r>
      <rPr>
        <sz val="11"/>
        <color theme="1"/>
        <rFont val="Noto Sans SC"/>
        <family val="2"/>
        <charset val="134"/>
      </rPr>
      <t xml:space="preserve">、</t>
    </r>
    <r>
      <rPr>
        <sz val="11"/>
        <color theme="1"/>
        <rFont val="Calibri"/>
        <family val="2"/>
        <charset val="1"/>
      </rPr>
      <t xml:space="preserve">A </t>
    </r>
    <r>
      <rPr>
        <sz val="11"/>
        <color theme="1"/>
        <rFont val="Noto Sans SC"/>
        <family val="2"/>
        <charset val="134"/>
      </rPr>
      <t xml:space="preserve">＝ </t>
    </r>
    <r>
      <rPr>
        <sz val="11"/>
        <color theme="1"/>
        <rFont val="Calibri"/>
        <family val="2"/>
        <charset val="1"/>
      </rPr>
      <t xml:space="preserve">78.75</t>
    </r>
    <r>
      <rPr>
        <sz val="11"/>
        <color theme="1"/>
        <rFont val="Noto Sans SC"/>
        <family val="2"/>
        <charset val="134"/>
      </rPr>
      <t xml:space="preserve">）均按原文配图逐格转录，并由公式复算一致：</t>
    </r>
  </si>
  <si>
    <r>
      <rPr>
        <sz val="11"/>
        <color theme="1"/>
        <rFont val="Noto Sans SC"/>
        <family val="2"/>
        <charset val="134"/>
      </rPr>
      <t xml:space="preserve">出现事件数 ＝ 该图标数 ＋ </t>
    </r>
    <r>
      <rPr>
        <sz val="11"/>
        <color theme="1"/>
        <rFont val="Calibri"/>
        <family val="2"/>
        <charset val="1"/>
      </rPr>
      <t xml:space="preserve">Wild </t>
    </r>
    <r>
      <rPr>
        <sz val="11"/>
        <color theme="1"/>
        <rFont val="Noto Sans SC"/>
        <family val="2"/>
        <charset val="134"/>
      </rPr>
      <t xml:space="preserve">数 ＋ </t>
    </r>
    <r>
      <rPr>
        <sz val="11"/>
        <color theme="1"/>
        <rFont val="Calibri"/>
        <family val="2"/>
        <charset val="1"/>
      </rPr>
      <t xml:space="preserve">Super Stack </t>
    </r>
    <r>
      <rPr>
        <sz val="11"/>
        <color theme="1"/>
        <rFont val="Noto Sans SC"/>
        <family val="2"/>
        <charset val="134"/>
      </rPr>
      <t xml:space="preserve">数 </t>
    </r>
    <r>
      <rPr>
        <sz val="11"/>
        <color theme="1"/>
        <rFont val="Calibri"/>
        <family val="2"/>
        <charset val="1"/>
      </rPr>
      <t xml:space="preserve">× P(SS→</t>
    </r>
    <r>
      <rPr>
        <sz val="11"/>
        <color theme="1"/>
        <rFont val="Noto Sans SC"/>
        <family val="2"/>
        <charset val="134"/>
      </rPr>
      <t xml:space="preserve">该图标</t>
    </r>
    <r>
      <rPr>
        <sz val="11"/>
        <color theme="1"/>
        <rFont val="Calibri"/>
        <family val="2"/>
        <charset val="1"/>
      </rPr>
      <t xml:space="preserve">)</t>
    </r>
    <r>
      <rPr>
        <sz val="11"/>
        <color theme="1"/>
        <rFont val="Noto Sans SC"/>
        <family val="2"/>
        <charset val="134"/>
      </rPr>
      <t xml:space="preserve">；</t>
    </r>
  </si>
  <si>
    <r>
      <rPr>
        <sz val="11"/>
        <color theme="1"/>
        <rFont val="Noto Sans SC"/>
        <family val="2"/>
        <charset val="134"/>
      </rPr>
      <t xml:space="preserve">代入原文口径（</t>
    </r>
    <r>
      <rPr>
        <sz val="11"/>
        <color theme="1"/>
        <rFont val="Calibri"/>
        <family val="2"/>
        <charset val="1"/>
      </rPr>
      <t xml:space="preserve">SS </t>
    </r>
    <r>
      <rPr>
        <sz val="11"/>
        <color theme="1"/>
        <rFont val="Noto Sans SC"/>
        <family val="2"/>
        <charset val="134"/>
      </rPr>
      <t xml:space="preserve">转变几率各列各 </t>
    </r>
    <r>
      <rPr>
        <sz val="11"/>
        <color theme="1"/>
        <rFont val="Calibri"/>
        <family val="2"/>
        <charset val="1"/>
      </rPr>
      <t xml:space="preserve">25% </t>
    </r>
    <r>
      <rPr>
        <sz val="11"/>
        <color theme="1"/>
        <rFont val="Noto Sans SC"/>
        <family val="2"/>
        <charset val="134"/>
      </rPr>
      <t xml:space="preserve">＝ </t>
    </r>
    <r>
      <rPr>
        <sz val="11"/>
        <color theme="1"/>
        <rFont val="Calibri"/>
        <family val="2"/>
        <charset val="1"/>
      </rPr>
      <t xml:space="preserve">25 </t>
    </r>
    <r>
      <rPr>
        <sz val="11"/>
        <color theme="1"/>
        <rFont val="Noto Sans SC"/>
        <family val="2"/>
        <charset val="134"/>
      </rPr>
      <t xml:space="preserve">停 </t>
    </r>
    <r>
      <rPr>
        <sz val="11"/>
        <color theme="1"/>
        <rFont val="Calibri"/>
        <family val="2"/>
        <charset val="1"/>
      </rPr>
      <t xml:space="preserve">÷ 4 </t>
    </r>
    <r>
      <rPr>
        <sz val="11"/>
        <color theme="1"/>
        <rFont val="Noto Sans SC"/>
        <family val="2"/>
        <charset val="134"/>
      </rPr>
      <t xml:space="preserve">个标准图标）后：</t>
    </r>
    <r>
      <rPr>
        <sz val="11"/>
        <color theme="1"/>
        <rFont val="Calibri"/>
        <family val="2"/>
        <charset val="1"/>
      </rPr>
      <t xml:space="preserve">20</t>
    </r>
    <r>
      <rPr>
        <sz val="11"/>
        <color theme="1"/>
        <rFont val="Noto Sans SC"/>
        <family val="2"/>
        <charset val="134"/>
      </rPr>
      <t xml:space="preserve">＋</t>
    </r>
    <r>
      <rPr>
        <sz val="11"/>
        <color theme="1"/>
        <rFont val="Calibri"/>
        <family val="2"/>
        <charset val="1"/>
      </rPr>
      <t xml:space="preserve">5</t>
    </r>
    <r>
      <rPr>
        <sz val="11"/>
        <color theme="1"/>
        <rFont val="Noto Sans SC"/>
        <family val="2"/>
        <charset val="134"/>
      </rPr>
      <t xml:space="preserve">＋</t>
    </r>
    <r>
      <rPr>
        <sz val="11"/>
        <color theme="1"/>
        <rFont val="Calibri"/>
        <family val="2"/>
        <charset val="1"/>
      </rPr>
      <t xml:space="preserve">25×0.25 </t>
    </r>
    <r>
      <rPr>
        <sz val="11"/>
        <color theme="1"/>
        <rFont val="Noto Sans SC"/>
        <family val="2"/>
        <charset val="134"/>
      </rPr>
      <t xml:space="preserve">＝ </t>
    </r>
    <r>
      <rPr>
        <sz val="11"/>
        <color theme="1"/>
        <rFont val="Calibri"/>
        <family val="2"/>
        <charset val="1"/>
      </rPr>
      <t xml:space="preserve">31.25 → </t>
    </r>
    <r>
      <rPr>
        <sz val="11"/>
        <color theme="1"/>
        <rFont val="Noto Sans SC"/>
        <family val="2"/>
        <charset val="134"/>
      </rPr>
      <t xml:space="preserve">不出现 </t>
    </r>
    <r>
      <rPr>
        <sz val="11"/>
        <color theme="1"/>
        <rFont val="Calibri"/>
        <family val="2"/>
        <charset val="1"/>
      </rPr>
      <t xml:space="preserve">68.75</t>
    </r>
    <r>
      <rPr>
        <sz val="11"/>
        <color theme="1"/>
        <rFont val="Noto Sans SC"/>
        <family val="2"/>
        <charset val="134"/>
      </rPr>
      <t xml:space="preserve">；</t>
    </r>
  </si>
  <si>
    <r>
      <rPr>
        <sz val="11"/>
        <color theme="1"/>
        <rFont val="Calibri"/>
        <family val="2"/>
        <charset val="1"/>
      </rPr>
      <t xml:space="preserve">A</t>
    </r>
    <r>
      <rPr>
        <sz val="11"/>
        <color theme="1"/>
        <rFont val="Noto Sans SC"/>
        <family val="2"/>
        <charset val="134"/>
      </rPr>
      <t xml:space="preserve">：</t>
    </r>
    <r>
      <rPr>
        <sz val="11"/>
        <color theme="1"/>
        <rFont val="Calibri"/>
        <family val="2"/>
        <charset val="1"/>
      </rPr>
      <t xml:space="preserve">10</t>
    </r>
    <r>
      <rPr>
        <sz val="11"/>
        <color theme="1"/>
        <rFont val="Noto Sans SC"/>
        <family val="2"/>
        <charset val="134"/>
      </rPr>
      <t xml:space="preserve">＋</t>
    </r>
    <r>
      <rPr>
        <sz val="11"/>
        <color theme="1"/>
        <rFont val="Calibri"/>
        <family val="2"/>
        <charset val="1"/>
      </rPr>
      <t xml:space="preserve">5</t>
    </r>
    <r>
      <rPr>
        <sz val="11"/>
        <color theme="1"/>
        <rFont val="Noto Sans SC"/>
        <family val="2"/>
        <charset val="134"/>
      </rPr>
      <t xml:space="preserve">＋</t>
    </r>
    <r>
      <rPr>
        <sz val="11"/>
        <color theme="1"/>
        <rFont val="Calibri"/>
        <family val="2"/>
        <charset val="1"/>
      </rPr>
      <t xml:space="preserve">6.25 </t>
    </r>
    <r>
      <rPr>
        <sz val="11"/>
        <color theme="1"/>
        <rFont val="Noto Sans SC"/>
        <family val="2"/>
        <charset val="134"/>
      </rPr>
      <t xml:space="preserve">＝ </t>
    </r>
    <r>
      <rPr>
        <sz val="11"/>
        <color theme="1"/>
        <rFont val="Calibri"/>
        <family val="2"/>
        <charset val="1"/>
      </rPr>
      <t xml:space="preserve">21.25 → </t>
    </r>
    <r>
      <rPr>
        <sz val="11"/>
        <color theme="1"/>
        <rFont val="Noto Sans SC"/>
        <family val="2"/>
        <charset val="134"/>
      </rPr>
      <t xml:space="preserve">不出现 </t>
    </r>
    <r>
      <rPr>
        <sz val="11"/>
        <color theme="1"/>
        <rFont val="Calibri"/>
        <family val="2"/>
        <charset val="1"/>
      </rPr>
      <t xml:space="preserve">78.75</t>
    </r>
    <r>
      <rPr>
        <sz val="11"/>
        <color theme="1"/>
        <rFont val="Noto Sans SC"/>
        <family val="2"/>
        <charset val="134"/>
      </rPr>
      <t xml:space="preserve">，与原文完全吻合。</t>
    </r>
  </si>
  <si>
    <t xml:space="preserve">赔付倍数表原文在配图中未逐格读取，作为可改示例（蓝字）；替换为项目实际配表后公式自动联动。</t>
  </si>
  <si>
    <t xml:space="preserve">原文整理（全文，按原文小标题分段）</t>
  </si>
  <si>
    <t xml:space="preserve">上篇介绍了堆叠图标和神秘图标的基础机制，两者比较相似的点在于都是通过提升连续出现图标的几率，来增加游戏体验中获得大奖的心理预期</t>
  </si>
  <si>
    <r>
      <rPr>
        <sz val="11"/>
        <color theme="1"/>
        <rFont val="Noto Sans SC"/>
        <family val="2"/>
        <charset val="134"/>
      </rPr>
      <t xml:space="preserve">本篇讲以</t>
    </r>
    <r>
      <rPr>
        <sz val="11"/>
        <color theme="1"/>
        <rFont val="Calibri"/>
        <family val="2"/>
        <charset val="1"/>
      </rPr>
      <t xml:space="preserve">Line Slost</t>
    </r>
    <r>
      <rPr>
        <sz val="11"/>
        <color theme="1"/>
        <rFont val="Noto Sans SC"/>
        <family val="2"/>
        <charset val="134"/>
      </rPr>
      <t xml:space="preserve">为例，介绍这</t>
    </r>
    <r>
      <rPr>
        <sz val="11"/>
        <color theme="1"/>
        <rFont val="Calibri"/>
        <family val="2"/>
        <charset val="1"/>
      </rPr>
      <t xml:space="preserve">Super Stack</t>
    </r>
    <r>
      <rPr>
        <sz val="11"/>
        <color theme="1"/>
        <rFont val="Noto Sans SC"/>
        <family val="2"/>
        <charset val="134"/>
      </rPr>
      <t xml:space="preserve">的</t>
    </r>
    <r>
      <rPr>
        <sz val="11"/>
        <color theme="1"/>
        <rFont val="Calibri"/>
        <family val="2"/>
        <charset val="1"/>
      </rPr>
      <t xml:space="preserve">RTP</t>
    </r>
    <r>
      <rPr>
        <sz val="11"/>
        <color theme="1"/>
        <rFont val="Noto Sans SC"/>
        <family val="2"/>
        <charset val="134"/>
      </rPr>
      <t xml:space="preserve">计算方法</t>
    </r>
  </si>
  <si>
    <r>
      <rPr>
        <sz val="11"/>
        <color theme="1"/>
        <rFont val="Noto Sans SC"/>
        <family val="2"/>
        <charset val="134"/>
      </rPr>
      <t xml:space="preserve">［配图 </t>
    </r>
    <r>
      <rPr>
        <sz val="11"/>
        <color theme="1"/>
        <rFont val="Calibri"/>
        <family val="2"/>
        <charset val="1"/>
      </rPr>
      <t xml:space="preserve">01</t>
    </r>
    <r>
      <rPr>
        <sz val="11"/>
        <color theme="1"/>
        <rFont val="Noto Sans SC"/>
        <family val="2"/>
        <charset val="134"/>
      </rPr>
      <t xml:space="preserve">］</t>
    </r>
    <r>
      <rPr>
        <sz val="11"/>
        <color theme="1"/>
        <rFont val="Calibri"/>
        <family val="2"/>
        <charset val="1"/>
      </rPr>
      <t xml:space="preserve">636933475-01.jpg</t>
    </r>
  </si>
  <si>
    <r>
      <rPr>
        <sz val="11"/>
        <color theme="1"/>
        <rFont val="Noto Sans SC"/>
        <family val="2"/>
        <charset val="134"/>
      </rPr>
      <t xml:space="preserve">对</t>
    </r>
    <r>
      <rPr>
        <sz val="11"/>
        <color theme="1"/>
        <rFont val="Calibri"/>
        <family val="2"/>
        <charset val="1"/>
      </rPr>
      <t xml:space="preserve">Super Stack </t>
    </r>
    <r>
      <rPr>
        <sz val="11"/>
        <color theme="1"/>
        <rFont val="Noto Sans SC"/>
        <family val="2"/>
        <charset val="134"/>
      </rPr>
      <t xml:space="preserve">和</t>
    </r>
    <r>
      <rPr>
        <sz val="11"/>
        <color theme="1"/>
        <rFont val="Calibri"/>
        <family val="2"/>
        <charset val="1"/>
      </rPr>
      <t xml:space="preserve">Mystery Symbols</t>
    </r>
    <r>
      <rPr>
        <sz val="11"/>
        <color theme="1"/>
        <rFont val="Noto Sans SC"/>
        <family val="2"/>
        <charset val="134"/>
      </rPr>
      <t xml:space="preserve">的基础机制还不是很了解的话，可以点击下方的链接查看基础机制介绍</t>
    </r>
  </si>
  <si>
    <t xml:space="preserve">示例简介</t>
  </si>
  <si>
    <t xml:space="preserve">本篇使用的示例基础信息如下：</t>
  </si>
  <si>
    <r>
      <rPr>
        <sz val="11"/>
        <color theme="1"/>
        <rFont val="Noto Sans SC"/>
        <family val="2"/>
        <charset val="134"/>
      </rPr>
      <t xml:space="preserve">卷轴尺寸：</t>
    </r>
    <r>
      <rPr>
        <sz val="11"/>
        <color theme="1"/>
        <rFont val="Calibri"/>
        <family val="2"/>
        <charset val="1"/>
      </rPr>
      <t xml:space="preserve">3*5</t>
    </r>
  </si>
  <si>
    <t xml:space="preserve">图标类型：</t>
  </si>
  <si>
    <r>
      <rPr>
        <sz val="11"/>
        <color theme="1"/>
        <rFont val="Calibri"/>
        <family val="2"/>
        <charset val="1"/>
      </rPr>
      <t xml:space="preserve">4</t>
    </r>
    <r>
      <rPr>
        <sz val="11"/>
        <color theme="1"/>
        <rFont val="Noto Sans SC"/>
        <family val="2"/>
        <charset val="134"/>
      </rPr>
      <t xml:space="preserve">个标准图标：</t>
    </r>
    <r>
      <rPr>
        <sz val="11"/>
        <color theme="1"/>
        <rFont val="Calibri"/>
        <family val="2"/>
        <charset val="1"/>
      </rPr>
      <t xml:space="preserve">J</t>
    </r>
    <r>
      <rPr>
        <sz val="11"/>
        <color theme="1"/>
        <rFont val="Noto Sans SC"/>
        <family val="2"/>
        <charset val="134"/>
      </rPr>
      <t xml:space="preserve">、</t>
    </r>
    <r>
      <rPr>
        <sz val="11"/>
        <color theme="1"/>
        <rFont val="Calibri"/>
        <family val="2"/>
        <charset val="1"/>
      </rPr>
      <t xml:space="preserve">Q</t>
    </r>
    <r>
      <rPr>
        <sz val="11"/>
        <color theme="1"/>
        <rFont val="Noto Sans SC"/>
        <family val="2"/>
        <charset val="134"/>
      </rPr>
      <t xml:space="preserve">、</t>
    </r>
    <r>
      <rPr>
        <sz val="11"/>
        <color theme="1"/>
        <rFont val="Calibri"/>
        <family val="2"/>
        <charset val="1"/>
      </rPr>
      <t xml:space="preserve">K</t>
    </r>
    <r>
      <rPr>
        <sz val="11"/>
        <color theme="1"/>
        <rFont val="Noto Sans SC"/>
        <family val="2"/>
        <charset val="134"/>
      </rPr>
      <t xml:space="preserve">、</t>
    </r>
    <r>
      <rPr>
        <sz val="11"/>
        <color theme="1"/>
        <rFont val="Calibri"/>
        <family val="2"/>
        <charset val="1"/>
      </rPr>
      <t xml:space="preserve">A</t>
    </r>
  </si>
  <si>
    <r>
      <rPr>
        <sz val="11"/>
        <color theme="1"/>
        <rFont val="Calibri"/>
        <family val="2"/>
        <charset val="1"/>
      </rPr>
      <t xml:space="preserve">2</t>
    </r>
    <r>
      <rPr>
        <sz val="11"/>
        <color theme="1"/>
        <rFont val="Noto Sans SC"/>
        <family val="2"/>
        <charset val="134"/>
      </rPr>
      <t xml:space="preserve">个特殊图标：</t>
    </r>
    <r>
      <rPr>
        <sz val="11"/>
        <color theme="1"/>
        <rFont val="Calibri"/>
        <family val="2"/>
        <charset val="1"/>
      </rPr>
      <t xml:space="preserve">Wild</t>
    </r>
    <r>
      <rPr>
        <sz val="11"/>
        <color theme="1"/>
        <rFont val="Noto Sans SC"/>
        <family val="2"/>
        <charset val="134"/>
      </rPr>
      <t xml:space="preserve">百搭图标、</t>
    </r>
    <r>
      <rPr>
        <sz val="11"/>
        <color theme="1"/>
        <rFont val="Calibri"/>
        <family val="2"/>
        <charset val="1"/>
      </rPr>
      <t xml:space="preserve">Super Stack</t>
    </r>
    <r>
      <rPr>
        <sz val="11"/>
        <color theme="1"/>
        <rFont val="Noto Sans SC"/>
        <family val="2"/>
        <charset val="134"/>
      </rPr>
      <t xml:space="preserve">堆叠图标</t>
    </r>
  </si>
  <si>
    <r>
      <rPr>
        <sz val="11"/>
        <color theme="1"/>
        <rFont val="Noto Sans SC"/>
        <family val="2"/>
        <charset val="134"/>
      </rPr>
      <t xml:space="preserve">特殊机制：</t>
    </r>
    <r>
      <rPr>
        <sz val="11"/>
        <color theme="1"/>
        <rFont val="Calibri"/>
        <family val="2"/>
        <charset val="1"/>
      </rPr>
      <t xml:space="preserve">Super Stack</t>
    </r>
  </si>
  <si>
    <r>
      <rPr>
        <sz val="11"/>
        <color theme="1"/>
        <rFont val="Noto Sans SC"/>
        <family val="2"/>
        <charset val="134"/>
      </rPr>
      <t xml:space="preserve">每局游戏开始时，</t>
    </r>
    <r>
      <rPr>
        <sz val="11"/>
        <color theme="1"/>
        <rFont val="Calibri"/>
        <family val="2"/>
        <charset val="1"/>
      </rPr>
      <t xml:space="preserve">Super Stack</t>
    </r>
    <r>
      <rPr>
        <sz val="11"/>
        <color theme="1"/>
        <rFont val="Noto Sans SC"/>
        <family val="2"/>
        <charset val="134"/>
      </rPr>
      <t xml:space="preserve">图标会依据配置的几率变成指定图标，在本次摇奖过程中当做该图标使用</t>
    </r>
  </si>
  <si>
    <r>
      <rPr>
        <sz val="11"/>
        <color theme="1"/>
        <rFont val="Calibri"/>
        <family val="2"/>
        <charset val="1"/>
      </rPr>
      <t xml:space="preserve">Super Stack</t>
    </r>
    <r>
      <rPr>
        <sz val="11"/>
        <color theme="1"/>
        <rFont val="Noto Sans SC"/>
        <family val="2"/>
        <charset val="134"/>
      </rPr>
      <t xml:space="preserve">图标的变化过程并不会展示再卷轴上玩家看到的是变化堆叠后的状态</t>
    </r>
  </si>
  <si>
    <t xml:space="preserve">计算流程</t>
  </si>
  <si>
    <r>
      <rPr>
        <sz val="11"/>
        <color theme="1"/>
        <rFont val="Calibri"/>
        <family val="2"/>
        <charset val="1"/>
      </rPr>
      <t xml:space="preserve">Super Stack</t>
    </r>
    <r>
      <rPr>
        <sz val="11"/>
        <color theme="1"/>
        <rFont val="Noto Sans SC"/>
        <family val="2"/>
        <charset val="134"/>
      </rPr>
      <t xml:space="preserve">图标会在每局变成其他图标，也可以将其理解为这些可以由</t>
    </r>
    <r>
      <rPr>
        <sz val="11"/>
        <color theme="1"/>
        <rFont val="Calibri"/>
        <family val="2"/>
        <charset val="1"/>
      </rPr>
      <t xml:space="preserve">Super Stack</t>
    </r>
    <r>
      <rPr>
        <sz val="11"/>
        <color theme="1"/>
        <rFont val="Noto Sans SC"/>
        <family val="2"/>
        <charset val="134"/>
      </rPr>
      <t xml:space="preserve">图标变成的图标在每次摇奖时都有更高的出现几率</t>
    </r>
  </si>
  <si>
    <r>
      <rPr>
        <sz val="11"/>
        <color theme="1"/>
        <rFont val="Calibri"/>
        <family val="2"/>
        <charset val="1"/>
      </rPr>
      <t xml:space="preserve">Super Stack</t>
    </r>
    <r>
      <rPr>
        <sz val="11"/>
        <color theme="1"/>
        <rFont val="Noto Sans SC"/>
        <family val="2"/>
        <charset val="134"/>
      </rPr>
      <t xml:space="preserve">的数值搭建流程的重点就是将本身没有赔付作用的</t>
    </r>
    <r>
      <rPr>
        <sz val="11"/>
        <color theme="1"/>
        <rFont val="Calibri"/>
        <family val="2"/>
        <charset val="1"/>
      </rPr>
      <t xml:space="preserve">Super Stack</t>
    </r>
    <r>
      <rPr>
        <sz val="11"/>
        <color theme="1"/>
        <rFont val="Noto Sans SC"/>
        <family val="2"/>
        <charset val="134"/>
      </rPr>
      <t xml:space="preserve">图标的出现期望分配到其他图标中</t>
    </r>
  </si>
  <si>
    <t xml:space="preserve">第一步：设置固定卷轴</t>
  </si>
  <si>
    <r>
      <rPr>
        <sz val="11"/>
        <color theme="1"/>
        <rFont val="Calibri"/>
        <family val="2"/>
        <charset val="1"/>
      </rPr>
      <t xml:space="preserve">Super Stack</t>
    </r>
    <r>
      <rPr>
        <sz val="11"/>
        <color theme="1"/>
        <rFont val="Noto Sans SC"/>
        <family val="2"/>
        <charset val="134"/>
      </rPr>
      <t xml:space="preserve">作为</t>
    </r>
    <r>
      <rPr>
        <sz val="11"/>
        <color theme="1"/>
        <rFont val="Calibri"/>
        <family val="2"/>
        <charset val="1"/>
      </rPr>
      <t xml:space="preserve">Feature</t>
    </r>
    <r>
      <rPr>
        <sz val="11"/>
        <color theme="1"/>
        <rFont val="Noto Sans SC"/>
        <family val="2"/>
        <charset val="134"/>
      </rPr>
      <t xml:space="preserve">，其特点就是堆叠</t>
    </r>
  </si>
  <si>
    <t xml:space="preserve">因此在设计卷轴的时候就需要设计好连续出现的堆叠图标</t>
  </si>
  <si>
    <r>
      <rPr>
        <sz val="11"/>
        <color theme="1"/>
        <rFont val="Noto Sans SC"/>
        <family val="2"/>
        <charset val="134"/>
      </rPr>
      <t xml:space="preserve">［配图 </t>
    </r>
    <r>
      <rPr>
        <sz val="11"/>
        <color theme="1"/>
        <rFont val="Calibri"/>
        <family val="2"/>
        <charset val="1"/>
      </rPr>
      <t xml:space="preserve">02</t>
    </r>
    <r>
      <rPr>
        <sz val="11"/>
        <color theme="1"/>
        <rFont val="Noto Sans SC"/>
        <family val="2"/>
        <charset val="134"/>
      </rPr>
      <t xml:space="preserve">］</t>
    </r>
    <r>
      <rPr>
        <sz val="11"/>
        <color theme="1"/>
        <rFont val="Calibri"/>
        <family val="2"/>
        <charset val="1"/>
      </rPr>
      <t xml:space="preserve">636933475-02.jpg</t>
    </r>
  </si>
  <si>
    <t xml:space="preserve">第二步：读取卷轴上的图标出现个数</t>
  </si>
  <si>
    <r>
      <rPr>
        <sz val="11"/>
        <color theme="1"/>
        <rFont val="Noto Sans SC"/>
        <family val="2"/>
        <charset val="134"/>
      </rPr>
      <t xml:space="preserve">使用</t>
    </r>
    <r>
      <rPr>
        <sz val="11"/>
        <color theme="1"/>
        <rFont val="Calibri"/>
        <family val="2"/>
        <charset val="1"/>
      </rPr>
      <t xml:space="preserve">COUNTIF</t>
    </r>
    <r>
      <rPr>
        <sz val="11"/>
        <color theme="1"/>
        <rFont val="Noto Sans SC"/>
        <family val="2"/>
        <charset val="134"/>
      </rPr>
      <t xml:space="preserve">函数读取各图标在卷轴上的出现个数</t>
    </r>
  </si>
  <si>
    <r>
      <rPr>
        <sz val="11"/>
        <color theme="1"/>
        <rFont val="Noto Sans SC"/>
        <family val="2"/>
        <charset val="134"/>
      </rPr>
      <t xml:space="preserve">［配图 </t>
    </r>
    <r>
      <rPr>
        <sz val="11"/>
        <color theme="1"/>
        <rFont val="Calibri"/>
        <family val="2"/>
        <charset val="1"/>
      </rPr>
      <t xml:space="preserve">03</t>
    </r>
    <r>
      <rPr>
        <sz val="11"/>
        <color theme="1"/>
        <rFont val="Noto Sans SC"/>
        <family val="2"/>
        <charset val="134"/>
      </rPr>
      <t xml:space="preserve">］</t>
    </r>
    <r>
      <rPr>
        <sz val="11"/>
        <color theme="1"/>
        <rFont val="Calibri"/>
        <family val="2"/>
        <charset val="1"/>
      </rPr>
      <t xml:space="preserve">636933475-03.jpg</t>
    </r>
  </si>
  <si>
    <t xml:space="preserve">第三步：设置堆叠图标的转变几率</t>
  </si>
  <si>
    <t xml:space="preserve">堆叠图标并不会以堆叠图标的形态出现在卷轴上，而是会变成随机图标</t>
  </si>
  <si>
    <t xml:space="preserve">每列的堆叠图标在每次摇奖时只会变成一种堆叠图标，因此按列区分图标的转变几率即可</t>
  </si>
  <si>
    <r>
      <rPr>
        <sz val="11"/>
        <color theme="1"/>
        <rFont val="Noto Sans SC"/>
        <family val="2"/>
        <charset val="134"/>
      </rPr>
      <t xml:space="preserve">［配图 </t>
    </r>
    <r>
      <rPr>
        <sz val="11"/>
        <color theme="1"/>
        <rFont val="Calibri"/>
        <family val="2"/>
        <charset val="1"/>
      </rPr>
      <t xml:space="preserve">04</t>
    </r>
    <r>
      <rPr>
        <sz val="11"/>
        <color theme="1"/>
        <rFont val="Noto Sans SC"/>
        <family val="2"/>
        <charset val="134"/>
      </rPr>
      <t xml:space="preserve">］</t>
    </r>
    <r>
      <rPr>
        <sz val="11"/>
        <color theme="1"/>
        <rFont val="Calibri"/>
        <family val="2"/>
        <charset val="1"/>
      </rPr>
      <t xml:space="preserve">636933475-04.jpg</t>
    </r>
  </si>
  <si>
    <t xml:space="preserve">第四步：计算图标停留事件数</t>
  </si>
  <si>
    <r>
      <rPr>
        <sz val="11"/>
        <color theme="1"/>
        <rFont val="Calibri"/>
        <family val="2"/>
        <charset val="1"/>
      </rPr>
      <t xml:space="preserve">Line Slots</t>
    </r>
    <r>
      <rPr>
        <sz val="11"/>
        <color theme="1"/>
        <rFont val="Noto Sans SC"/>
        <family val="2"/>
        <charset val="134"/>
      </rPr>
      <t xml:space="preserve">的计算逻辑是聚焦在一条中奖线上</t>
    </r>
  </si>
  <si>
    <r>
      <rPr>
        <sz val="11"/>
        <color theme="1"/>
        <rFont val="Noto Sans SC"/>
        <family val="2"/>
        <charset val="134"/>
      </rPr>
      <t xml:space="preserve">该示例中存在百搭图标和堆叠图标两种</t>
    </r>
    <r>
      <rPr>
        <sz val="11"/>
        <color theme="1"/>
        <rFont val="Calibri"/>
        <family val="2"/>
        <charset val="1"/>
      </rPr>
      <t xml:space="preserve">Feature</t>
    </r>
    <r>
      <rPr>
        <sz val="11"/>
        <color theme="1"/>
        <rFont val="Noto Sans SC"/>
        <family val="2"/>
        <charset val="134"/>
      </rPr>
      <t xml:space="preserve">的影响，因此在计算图标的出现几率前需要将这两种</t>
    </r>
    <r>
      <rPr>
        <sz val="11"/>
        <color theme="1"/>
        <rFont val="Calibri"/>
        <family val="2"/>
        <charset val="1"/>
      </rPr>
      <t xml:space="preserve">Feature</t>
    </r>
    <r>
      <rPr>
        <sz val="11"/>
        <color theme="1"/>
        <rFont val="Noto Sans SC"/>
        <family val="2"/>
        <charset val="134"/>
      </rPr>
      <t xml:space="preserve">对图标的出现几率增加效果考虑进去</t>
    </r>
  </si>
  <si>
    <t xml:space="preserve">百搭图标的影响比较直接，直接使用图标加上白搭图标的事件数就好</t>
  </si>
  <si>
    <t xml:space="preserve">堆叠图标则在加上堆叠图标数量的同时，需要乘上堆叠图标变成该图标的几率</t>
  </si>
  <si>
    <t xml:space="preserve">最终得到各标准图标出现在卷轴上的个数期望为：</t>
  </si>
  <si>
    <r>
      <rPr>
        <sz val="11"/>
        <color theme="1"/>
        <rFont val="Noto Sans SC"/>
        <family val="2"/>
        <charset val="134"/>
      </rPr>
      <t xml:space="preserve">［配图 </t>
    </r>
    <r>
      <rPr>
        <sz val="11"/>
        <color theme="1"/>
        <rFont val="Calibri"/>
        <family val="2"/>
        <charset val="1"/>
      </rPr>
      <t xml:space="preserve">05</t>
    </r>
    <r>
      <rPr>
        <sz val="11"/>
        <color theme="1"/>
        <rFont val="Noto Sans SC"/>
        <family val="2"/>
        <charset val="134"/>
      </rPr>
      <t xml:space="preserve">］</t>
    </r>
    <r>
      <rPr>
        <sz val="11"/>
        <color theme="1"/>
        <rFont val="Calibri"/>
        <family val="2"/>
        <charset val="1"/>
      </rPr>
      <t xml:space="preserve">636933475-05.jpg</t>
    </r>
  </si>
  <si>
    <t xml:space="preserve">第五步：计算图标不出现的事件数</t>
  </si>
  <si>
    <r>
      <rPr>
        <sz val="11"/>
        <color theme="1"/>
        <rFont val="Noto Sans SC"/>
        <family val="2"/>
        <charset val="134"/>
      </rPr>
      <t xml:space="preserve">［配图 </t>
    </r>
    <r>
      <rPr>
        <sz val="11"/>
        <color theme="1"/>
        <rFont val="Calibri"/>
        <family val="2"/>
        <charset val="1"/>
      </rPr>
      <t xml:space="preserve">06</t>
    </r>
    <r>
      <rPr>
        <sz val="11"/>
        <color theme="1"/>
        <rFont val="Noto Sans SC"/>
        <family val="2"/>
        <charset val="134"/>
      </rPr>
      <t xml:space="preserve">］</t>
    </r>
    <r>
      <rPr>
        <sz val="11"/>
        <color theme="1"/>
        <rFont val="Calibri"/>
        <family val="2"/>
        <charset val="1"/>
      </rPr>
      <t xml:space="preserve">636933475-06.jpg</t>
    </r>
  </si>
  <si>
    <r>
      <rPr>
        <sz val="11"/>
        <color theme="1"/>
        <rFont val="Noto Sans SC"/>
        <family val="2"/>
        <charset val="134"/>
      </rPr>
      <t xml:space="preserve">第六步：计算</t>
    </r>
    <r>
      <rPr>
        <sz val="11"/>
        <color theme="1"/>
        <rFont val="Calibri"/>
        <family val="2"/>
        <charset val="1"/>
      </rPr>
      <t xml:space="preserve">RTP</t>
    </r>
  </si>
  <si>
    <t xml:space="preserve">将之前计算得到的事件数相乘，即可得到满足各中奖组合的总事件数，再使用该数值除以卷轴图标分布的总事件数，即可得到该中奖组合的中奖率</t>
  </si>
  <si>
    <r>
      <rPr>
        <sz val="11"/>
        <color theme="1"/>
        <rFont val="Noto Sans SC"/>
        <family val="2"/>
        <charset val="134"/>
      </rPr>
      <t xml:space="preserve">乘上中奖组合对应的赔付倍数并加总之后，就可以得到当前</t>
    </r>
    <r>
      <rPr>
        <sz val="11"/>
        <color theme="1"/>
        <rFont val="Calibri"/>
        <family val="2"/>
        <charset val="1"/>
      </rPr>
      <t xml:space="preserve">Slots</t>
    </r>
    <r>
      <rPr>
        <sz val="11"/>
        <color theme="1"/>
        <rFont val="Noto Sans SC"/>
        <family val="2"/>
        <charset val="134"/>
      </rPr>
      <t xml:space="preserve">的</t>
    </r>
    <r>
      <rPr>
        <sz val="11"/>
        <color theme="1"/>
        <rFont val="Calibri"/>
        <family val="2"/>
        <charset val="1"/>
      </rPr>
      <t xml:space="preserve">RTP</t>
    </r>
  </si>
  <si>
    <r>
      <rPr>
        <sz val="11"/>
        <color theme="1"/>
        <rFont val="Calibri"/>
        <family val="2"/>
        <charset val="1"/>
      </rPr>
      <t xml:space="preserve"> Super Stack</t>
    </r>
    <r>
      <rPr>
        <sz val="11"/>
        <color theme="1"/>
        <rFont val="Noto Sans SC"/>
        <family val="2"/>
        <charset val="134"/>
      </rPr>
      <t xml:space="preserve">因为强调图标的连续出现，其本身更适合运用在固定卷轴的产品中</t>
    </r>
  </si>
  <si>
    <r>
      <rPr>
        <sz val="11"/>
        <color theme="1"/>
        <rFont val="Noto Sans SC"/>
        <family val="2"/>
        <charset val="134"/>
      </rPr>
      <t xml:space="preserve">在随机卷轴中想要实现必定大量连续出现的效果，相对就要复杂一些，经常需要使用到类似对堆叠图标在卷轴上的分布进行分类计算</t>
    </r>
    <r>
      <rPr>
        <sz val="11"/>
        <color theme="1"/>
        <rFont val="Calibri"/>
        <family val="2"/>
        <charset val="1"/>
      </rPr>
      <t xml:space="preserve">RTP</t>
    </r>
    <r>
      <rPr>
        <sz val="11"/>
        <color theme="1"/>
        <rFont val="Noto Sans SC"/>
        <family val="2"/>
        <charset val="134"/>
      </rPr>
      <t xml:space="preserve">的方式，感兴趣的可以试试看</t>
    </r>
  </si>
  <si>
    <r>
      <rPr>
        <sz val="11"/>
        <color theme="1"/>
        <rFont val="Noto Sans SC"/>
        <family val="2"/>
        <charset val="134"/>
      </rPr>
      <t xml:space="preserve">［配图 </t>
    </r>
    <r>
      <rPr>
        <sz val="11"/>
        <color theme="1"/>
        <rFont val="Calibri"/>
        <family val="2"/>
        <charset val="1"/>
      </rPr>
      <t xml:space="preserve">07</t>
    </r>
    <r>
      <rPr>
        <sz val="11"/>
        <color theme="1"/>
        <rFont val="Noto Sans SC"/>
        <family val="2"/>
        <charset val="134"/>
      </rPr>
      <t xml:space="preserve">］</t>
    </r>
    <r>
      <rPr>
        <sz val="11"/>
        <color theme="1"/>
        <rFont val="Calibri"/>
        <family val="2"/>
        <charset val="1"/>
      </rPr>
      <t xml:space="preserve">636933475-07.jpg</t>
    </r>
  </si>
  <si>
    <t xml:space="preserve">但是一般建议如果需要在随机卷轴上实现堆叠的效果，主要会用到两个方法：</t>
  </si>
  <si>
    <r>
      <rPr>
        <sz val="11"/>
        <color theme="1"/>
        <rFont val="Calibri"/>
        <family val="2"/>
        <charset val="1"/>
      </rPr>
      <t xml:space="preserve">1. </t>
    </r>
    <r>
      <rPr>
        <sz val="11"/>
        <color theme="1"/>
        <rFont val="Noto Sans SC"/>
        <family val="2"/>
        <charset val="134"/>
      </rPr>
      <t xml:space="preserve">使用</t>
    </r>
    <r>
      <rPr>
        <sz val="11"/>
        <color theme="1"/>
        <rFont val="Calibri"/>
        <family val="2"/>
        <charset val="1"/>
      </rPr>
      <t xml:space="preserve">Ways</t>
    </r>
    <r>
      <rPr>
        <sz val="11"/>
        <color theme="1"/>
        <rFont val="Noto Sans SC"/>
        <family val="2"/>
        <charset val="134"/>
      </rPr>
      <t xml:space="preserve">类型的</t>
    </r>
    <r>
      <rPr>
        <sz val="11"/>
        <color theme="1"/>
        <rFont val="Calibri"/>
        <family val="2"/>
        <charset val="1"/>
      </rPr>
      <t xml:space="preserve">Slots</t>
    </r>
    <r>
      <rPr>
        <sz val="11"/>
        <color theme="1"/>
        <rFont val="Noto Sans SC"/>
        <family val="2"/>
        <charset val="134"/>
      </rPr>
      <t xml:space="preserve">，使图标在单列上的位置不影响结算结果，再利用前端展示放大堆叠的效果</t>
    </r>
  </si>
  <si>
    <r>
      <rPr>
        <sz val="11"/>
        <color theme="1"/>
        <rFont val="Calibri"/>
        <family val="2"/>
        <charset val="1"/>
      </rPr>
      <t xml:space="preserve">2. </t>
    </r>
    <r>
      <rPr>
        <sz val="11"/>
        <color theme="1"/>
        <rFont val="Noto Sans SC"/>
        <family val="2"/>
        <charset val="134"/>
      </rPr>
      <t xml:space="preserve">直接使用神秘图标作为</t>
    </r>
    <r>
      <rPr>
        <sz val="11"/>
        <color theme="1"/>
        <rFont val="Calibri"/>
        <family val="2"/>
        <charset val="1"/>
      </rPr>
      <t xml:space="preserve">Feature</t>
    </r>
  </si>
  <si>
    <r>
      <rPr>
        <sz val="11"/>
        <color theme="1"/>
        <rFont val="Noto Sans SC"/>
        <family val="2"/>
        <charset val="134"/>
      </rPr>
      <t xml:space="preserve">［配图 </t>
    </r>
    <r>
      <rPr>
        <sz val="11"/>
        <color theme="1"/>
        <rFont val="Calibri"/>
        <family val="2"/>
        <charset val="1"/>
      </rPr>
      <t xml:space="preserve">08</t>
    </r>
    <r>
      <rPr>
        <sz val="11"/>
        <color theme="1"/>
        <rFont val="Noto Sans SC"/>
        <family val="2"/>
        <charset val="134"/>
      </rPr>
      <t xml:space="preserve">］</t>
    </r>
    <r>
      <rPr>
        <sz val="11"/>
        <color theme="1"/>
        <rFont val="Calibri"/>
        <family val="2"/>
        <charset val="1"/>
      </rPr>
      <t xml:space="preserve">636933475-08.jpg</t>
    </r>
  </si>
  <si>
    <r>
      <rPr>
        <b val="true"/>
        <sz val="11"/>
        <color rgb="FF1F4E79"/>
        <rFont val="Noto Sans SC"/>
        <family val="2"/>
        <charset val="134"/>
      </rPr>
      <t xml:space="preserve">原文配图清单（共 </t>
    </r>
    <r>
      <rPr>
        <b val="true"/>
        <sz val="11"/>
        <color rgb="FF1F4E79"/>
        <rFont val="Cambria"/>
        <family val="0"/>
        <charset val="1"/>
      </rPr>
      <t xml:space="preserve">8 </t>
    </r>
    <r>
      <rPr>
        <b val="true"/>
        <sz val="11"/>
        <color rgb="FF1F4E79"/>
        <rFont val="Noto Sans SC"/>
        <family val="2"/>
        <charset val="134"/>
      </rPr>
      <t xml:space="preserve">张，已保存到 </t>
    </r>
    <r>
      <rPr>
        <b val="true"/>
        <sz val="11"/>
        <color rgb="FF1F4E79"/>
        <rFont val="Cambria"/>
        <family val="0"/>
        <charset val="1"/>
      </rPr>
      <t xml:space="preserve">images/slots/</t>
    </r>
    <r>
      <rPr>
        <b val="true"/>
        <sz val="11"/>
        <color rgb="FF1F4E79"/>
        <rFont val="Noto Sans SC"/>
        <family val="2"/>
        <charset val="134"/>
      </rPr>
      <t xml:space="preserve">）</t>
    </r>
  </si>
  <si>
    <r>
      <rPr>
        <b val="true"/>
        <sz val="11"/>
        <color rgb="FF1F4E79"/>
        <rFont val="Noto Sans SC"/>
        <family val="2"/>
        <charset val="134"/>
      </rPr>
      <t xml:space="preserve">修订说明（</t>
    </r>
    <r>
      <rPr>
        <b val="true"/>
        <sz val="11"/>
        <color rgb="FF1F4E79"/>
        <rFont val="Cambria"/>
        <family val="0"/>
        <charset val="1"/>
      </rPr>
      <t xml:space="preserve">2026-09-29</t>
    </r>
    <r>
      <rPr>
        <b val="true"/>
        <sz val="11"/>
        <color rgb="FF1F4E79"/>
        <rFont val="Noto Sans SC"/>
        <family val="2"/>
        <charset val="134"/>
      </rPr>
      <t xml:space="preserve">）</t>
    </r>
  </si>
  <si>
    <r>
      <rPr>
        <sz val="11"/>
        <color theme="1"/>
        <rFont val="Calibri"/>
        <family val="2"/>
        <charset val="1"/>
      </rPr>
      <t xml:space="preserve">· </t>
    </r>
    <r>
      <rPr>
        <sz val="11"/>
        <color theme="1"/>
        <rFont val="Noto Sans SC"/>
        <family val="2"/>
        <charset val="134"/>
      </rPr>
      <t xml:space="preserve">原文网页原件（浏览器「另存为 → 网页，全部」）已取得，故补入全文与配图清单；</t>
    </r>
  </si>
  <si>
    <r>
      <rPr>
        <sz val="11"/>
        <color theme="1"/>
        <rFont val="Calibri"/>
        <family val="2"/>
        <charset val="1"/>
      </rPr>
      <t xml:space="preserve">· </t>
    </r>
    <r>
      <rPr>
        <sz val="11"/>
        <color theme="1"/>
        <rFont val="Noto Sans SC"/>
        <family val="2"/>
        <charset val="134"/>
      </rPr>
      <t xml:space="preserve">本簿页签 </t>
    </r>
    <r>
      <rPr>
        <sz val="11"/>
        <color theme="1"/>
        <rFont val="Calibri"/>
        <family val="2"/>
        <charset val="1"/>
      </rPr>
      <t xml:space="preserve">2 </t>
    </r>
    <r>
      <rPr>
        <sz val="11"/>
        <color theme="1"/>
        <rFont val="Noto Sans SC"/>
        <family val="2"/>
        <charset val="134"/>
      </rPr>
      <t xml:space="preserve">的配表为依据原文方法</t>
    </r>
    <r>
      <rPr>
        <sz val="11"/>
        <color theme="1"/>
        <rFont val="Calibri"/>
        <family val="2"/>
        <charset val="1"/>
      </rPr>
      <t xml:space="preserve">/</t>
    </r>
    <r>
      <rPr>
        <sz val="11"/>
        <color theme="1"/>
        <rFont val="Noto Sans SC"/>
        <family val="2"/>
        <charset val="134"/>
      </rPr>
      <t xml:space="preserve">示例搭成的可改参数表（原文给出数值的部分见配表自检区）。</t>
    </r>
  </si>
  <si>
    <r>
      <rPr>
        <b val="true"/>
        <sz val="14"/>
        <color rgb="FF1F4E79"/>
        <rFont val="Noto Sans SC"/>
        <family val="2"/>
        <charset val="134"/>
      </rPr>
      <t xml:space="preserve">数值篇 </t>
    </r>
    <r>
      <rPr>
        <b val="true"/>
        <sz val="14"/>
        <color rgb="FF1F4E79"/>
        <rFont val="Cambria"/>
        <family val="0"/>
        <charset val="1"/>
      </rPr>
      <t xml:space="preserve">· Super Stack </t>
    </r>
    <r>
      <rPr>
        <b val="true"/>
        <sz val="14"/>
        <color rgb="FF1F4E79"/>
        <rFont val="Noto Sans SC"/>
        <family val="2"/>
        <charset val="134"/>
      </rPr>
      <t xml:space="preserve">的配表与 </t>
    </r>
    <r>
      <rPr>
        <b val="true"/>
        <sz val="14"/>
        <color rgb="FF1F4E79"/>
        <rFont val="Cambria"/>
        <family val="0"/>
        <charset val="1"/>
      </rPr>
      <t xml:space="preserve">RTP </t>
    </r>
    <r>
      <rPr>
        <b val="true"/>
        <sz val="14"/>
        <color rgb="FF1F4E79"/>
        <rFont val="Noto Sans SC"/>
        <family val="2"/>
        <charset val="134"/>
      </rPr>
      <t xml:space="preserve">计算（蓝字＝可改配表 </t>
    </r>
    <r>
      <rPr>
        <b val="true"/>
        <sz val="14"/>
        <color rgb="FF1F4E79"/>
        <rFont val="Cambria"/>
        <family val="0"/>
        <charset val="1"/>
      </rPr>
      <t xml:space="preserve">/ </t>
    </r>
    <r>
      <rPr>
        <b val="true"/>
        <sz val="14"/>
        <color rgb="FF1F4E79"/>
        <rFont val="Noto Sans SC"/>
        <family val="2"/>
        <charset val="134"/>
      </rPr>
      <t xml:space="preserve">黑字＝公式 </t>
    </r>
    <r>
      <rPr>
        <b val="true"/>
        <sz val="14"/>
        <color rgb="FF1F4E79"/>
        <rFont val="Cambria"/>
        <family val="0"/>
        <charset val="1"/>
      </rPr>
      <t xml:space="preserve">/ </t>
    </r>
    <r>
      <rPr>
        <b val="true"/>
        <sz val="14"/>
        <color rgb="FF1F4E79"/>
        <rFont val="Noto Sans SC"/>
        <family val="2"/>
        <charset val="134"/>
      </rPr>
      <t xml:space="preserve">黄底＝结果）</t>
    </r>
  </si>
  <si>
    <r>
      <rPr>
        <b val="true"/>
        <sz val="11"/>
        <color rgb="FF1F4E79"/>
        <rFont val="Noto Sans SC"/>
        <family val="2"/>
        <charset val="134"/>
      </rPr>
      <t xml:space="preserve">【</t>
    </r>
    <r>
      <rPr>
        <b val="true"/>
        <sz val="11"/>
        <color rgb="FF1F4E79"/>
        <rFont val="Cambria"/>
        <family val="0"/>
        <charset val="1"/>
      </rPr>
      <t xml:space="preserve">1</t>
    </r>
    <r>
      <rPr>
        <b val="true"/>
        <sz val="11"/>
        <color rgb="FF1F4E79"/>
        <rFont val="Noto Sans SC"/>
        <family val="2"/>
        <charset val="134"/>
      </rPr>
      <t xml:space="preserve">】符号表与赔率表</t>
    </r>
  </si>
  <si>
    <t xml:space="preserve">符号</t>
  </si>
  <si>
    <t xml:space="preserve">类型</t>
  </si>
  <si>
    <r>
      <rPr>
        <b val="true"/>
        <sz val="11"/>
        <color rgb="FF1F4E79"/>
        <rFont val="Cambria"/>
        <family val="0"/>
        <charset val="1"/>
      </rPr>
      <t xml:space="preserve">3 </t>
    </r>
    <r>
      <rPr>
        <b val="true"/>
        <sz val="11"/>
        <color rgb="FF1F4E79"/>
        <rFont val="Noto Sans SC"/>
        <family val="2"/>
        <charset val="134"/>
      </rPr>
      <t xml:space="preserve">连</t>
    </r>
  </si>
  <si>
    <r>
      <rPr>
        <b val="true"/>
        <sz val="11"/>
        <color rgb="FF1F4E79"/>
        <rFont val="Cambria"/>
        <family val="0"/>
        <charset val="1"/>
      </rPr>
      <t xml:space="preserve">4 </t>
    </r>
    <r>
      <rPr>
        <b val="true"/>
        <sz val="11"/>
        <color rgb="FF1F4E79"/>
        <rFont val="Noto Sans SC"/>
        <family val="2"/>
        <charset val="134"/>
      </rPr>
      <t xml:space="preserve">连</t>
    </r>
  </si>
  <si>
    <r>
      <rPr>
        <b val="true"/>
        <sz val="11"/>
        <color rgb="FF1F4E79"/>
        <rFont val="Cambria"/>
        <family val="0"/>
        <charset val="1"/>
      </rPr>
      <t xml:space="preserve">5 </t>
    </r>
    <r>
      <rPr>
        <b val="true"/>
        <sz val="11"/>
        <color rgb="FF1F4E79"/>
        <rFont val="Noto Sans SC"/>
        <family val="2"/>
        <charset val="134"/>
      </rPr>
      <t xml:space="preserve">连</t>
    </r>
  </si>
  <si>
    <t xml:space="preserve">说明</t>
  </si>
  <si>
    <t xml:space="preserve">A</t>
  </si>
  <si>
    <t xml:space="preserve">标准</t>
  </si>
  <si>
    <t xml:space="preserve">K</t>
  </si>
  <si>
    <t xml:space="preserve">Q</t>
  </si>
  <si>
    <t xml:space="preserve">J</t>
  </si>
  <si>
    <t xml:space="preserve">W</t>
  </si>
  <si>
    <t xml:space="preserve">Wild</t>
  </si>
  <si>
    <t xml:space="preserve">—</t>
  </si>
  <si>
    <t xml:space="preserve">替代任意标准图标</t>
  </si>
  <si>
    <t xml:space="preserve">S</t>
  </si>
  <si>
    <r>
      <rPr>
        <sz val="11"/>
        <color rgb="FF0000FF"/>
        <rFont val="Cambria"/>
        <family val="0"/>
        <charset val="1"/>
      </rPr>
      <t xml:space="preserve">Super Stack</t>
    </r>
    <r>
      <rPr>
        <sz val="11"/>
        <color rgb="FF0000FF"/>
        <rFont val="Noto Sans SC"/>
        <family val="2"/>
        <charset val="134"/>
      </rPr>
      <t xml:space="preserve">（</t>
    </r>
    <r>
      <rPr>
        <sz val="11"/>
        <color rgb="FF0000FF"/>
        <rFont val="Cambria"/>
        <family val="0"/>
        <charset val="1"/>
      </rPr>
      <t xml:space="preserve">SS</t>
    </r>
    <r>
      <rPr>
        <sz val="11"/>
        <color rgb="FF0000FF"/>
        <rFont val="Noto Sans SC"/>
        <family val="2"/>
        <charset val="134"/>
      </rPr>
      <t xml:space="preserve">）</t>
    </r>
  </si>
  <si>
    <r>
      <rPr>
        <sz val="11"/>
        <color rgb="FF000000"/>
        <rFont val="Noto Sans SC"/>
        <family val="2"/>
        <charset val="134"/>
      </rPr>
      <t xml:space="preserve">卷轴标记 </t>
    </r>
    <r>
      <rPr>
        <sz val="11"/>
        <color rgb="FF000000"/>
        <rFont val="Cambria"/>
        <family val="0"/>
        <charset val="1"/>
      </rPr>
      <t xml:space="preserve">S</t>
    </r>
    <r>
      <rPr>
        <sz val="11"/>
        <color rgb="FF000000"/>
        <rFont val="Noto Sans SC"/>
        <family val="2"/>
        <charset val="134"/>
      </rPr>
      <t xml:space="preserve">，每局按列几率变成 </t>
    </r>
    <r>
      <rPr>
        <sz val="11"/>
        <color rgb="FF000000"/>
        <rFont val="Cambria"/>
        <family val="0"/>
        <charset val="1"/>
      </rPr>
      <t xml:space="preserve">J/Q/K/A</t>
    </r>
  </si>
  <si>
    <r>
      <rPr>
        <b val="true"/>
        <sz val="11"/>
        <color rgb="FF1F4E79"/>
        <rFont val="Noto Sans SC"/>
        <family val="2"/>
        <charset val="134"/>
      </rPr>
      <t xml:space="preserve">【</t>
    </r>
    <r>
      <rPr>
        <b val="true"/>
        <sz val="11"/>
        <color rgb="FF1F4E79"/>
        <rFont val="Cambria"/>
        <family val="0"/>
        <charset val="1"/>
      </rPr>
      <t xml:space="preserve">2</t>
    </r>
    <r>
      <rPr>
        <b val="true"/>
        <sz val="11"/>
        <color rgb="FF1F4E79"/>
        <rFont val="Noto Sans SC"/>
        <family val="2"/>
        <charset val="134"/>
      </rPr>
      <t xml:space="preserve">】每列图标个数分布（原文配图</t>
    </r>
    <r>
      <rPr>
        <b val="true"/>
        <sz val="11"/>
        <color rgb="FF1F4E79"/>
        <rFont val="Cambria"/>
        <family val="0"/>
        <charset val="1"/>
      </rPr>
      <t xml:space="preserve">37</t>
    </r>
    <r>
      <rPr>
        <b val="true"/>
        <sz val="11"/>
        <color rgb="FF1F4E79"/>
        <rFont val="Noto Sans SC"/>
        <family val="2"/>
        <charset val="134"/>
      </rPr>
      <t xml:space="preserve">：每列 </t>
    </r>
    <r>
      <rPr>
        <b val="true"/>
        <sz val="11"/>
        <color rgb="FF1F4E79"/>
        <rFont val="Cambria"/>
        <family val="0"/>
        <charset val="1"/>
      </rPr>
      <t xml:space="preserve">100 </t>
    </r>
    <r>
      <rPr>
        <b val="true"/>
        <sz val="11"/>
        <color rgb="FF1F4E79"/>
        <rFont val="Noto Sans SC"/>
        <family val="2"/>
        <charset val="134"/>
      </rPr>
      <t xml:space="preserve">停；蓝字可改）</t>
    </r>
  </si>
  <si>
    <t xml:space="preserve">图标</t>
  </si>
  <si>
    <r>
      <rPr>
        <b val="true"/>
        <sz val="11"/>
        <color rgb="FF1F4E79"/>
        <rFont val="Noto Sans SC"/>
        <family val="2"/>
        <charset val="134"/>
      </rPr>
      <t xml:space="preserve">第</t>
    </r>
    <r>
      <rPr>
        <b val="true"/>
        <sz val="11"/>
        <color rgb="FF1F4E79"/>
        <rFont val="Cambria"/>
        <family val="0"/>
        <charset val="1"/>
      </rPr>
      <t xml:space="preserve">1</t>
    </r>
    <r>
      <rPr>
        <b val="true"/>
        <sz val="11"/>
        <color rgb="FF1F4E79"/>
        <rFont val="Noto Sans SC"/>
        <family val="2"/>
        <charset val="134"/>
      </rPr>
      <t xml:space="preserve">列</t>
    </r>
  </si>
  <si>
    <r>
      <rPr>
        <b val="true"/>
        <sz val="11"/>
        <color rgb="FF1F4E79"/>
        <rFont val="Noto Sans SC"/>
        <family val="2"/>
        <charset val="134"/>
      </rPr>
      <t xml:space="preserve">第</t>
    </r>
    <r>
      <rPr>
        <b val="true"/>
        <sz val="11"/>
        <color rgb="FF1F4E79"/>
        <rFont val="Cambria"/>
        <family val="0"/>
        <charset val="1"/>
      </rPr>
      <t xml:space="preserve">2</t>
    </r>
    <r>
      <rPr>
        <b val="true"/>
        <sz val="11"/>
        <color rgb="FF1F4E79"/>
        <rFont val="Noto Sans SC"/>
        <family val="2"/>
        <charset val="134"/>
      </rPr>
      <t xml:space="preserve">列</t>
    </r>
  </si>
  <si>
    <r>
      <rPr>
        <b val="true"/>
        <sz val="11"/>
        <color rgb="FF1F4E79"/>
        <rFont val="Noto Sans SC"/>
        <family val="2"/>
        <charset val="134"/>
      </rPr>
      <t xml:space="preserve">第</t>
    </r>
    <r>
      <rPr>
        <b val="true"/>
        <sz val="11"/>
        <color rgb="FF1F4E79"/>
        <rFont val="Cambria"/>
        <family val="0"/>
        <charset val="1"/>
      </rPr>
      <t xml:space="preserve">3</t>
    </r>
    <r>
      <rPr>
        <b val="true"/>
        <sz val="11"/>
        <color rgb="FF1F4E79"/>
        <rFont val="Noto Sans SC"/>
        <family val="2"/>
        <charset val="134"/>
      </rPr>
      <t xml:space="preserve">列</t>
    </r>
  </si>
  <si>
    <r>
      <rPr>
        <b val="true"/>
        <sz val="11"/>
        <color rgb="FF1F4E79"/>
        <rFont val="Noto Sans SC"/>
        <family val="2"/>
        <charset val="134"/>
      </rPr>
      <t xml:space="preserve">第</t>
    </r>
    <r>
      <rPr>
        <b val="true"/>
        <sz val="11"/>
        <color rgb="FF1F4E79"/>
        <rFont val="Cambria"/>
        <family val="0"/>
        <charset val="1"/>
      </rPr>
      <t xml:space="preserve">4</t>
    </r>
    <r>
      <rPr>
        <b val="true"/>
        <sz val="11"/>
        <color rgb="FF1F4E79"/>
        <rFont val="Noto Sans SC"/>
        <family val="2"/>
        <charset val="134"/>
      </rPr>
      <t xml:space="preserve">列</t>
    </r>
  </si>
  <si>
    <r>
      <rPr>
        <b val="true"/>
        <sz val="11"/>
        <color rgb="FF1F4E79"/>
        <rFont val="Noto Sans SC"/>
        <family val="2"/>
        <charset val="134"/>
      </rPr>
      <t xml:space="preserve">第</t>
    </r>
    <r>
      <rPr>
        <b val="true"/>
        <sz val="11"/>
        <color rgb="FF1F4E79"/>
        <rFont val="Cambria"/>
        <family val="0"/>
        <charset val="1"/>
      </rPr>
      <t xml:space="preserve">5</t>
    </r>
    <r>
      <rPr>
        <b val="true"/>
        <sz val="11"/>
        <color rgb="FF1F4E79"/>
        <rFont val="Noto Sans SC"/>
        <family val="2"/>
        <charset val="134"/>
      </rPr>
      <t xml:space="preserve">列</t>
    </r>
  </si>
  <si>
    <r>
      <rPr>
        <sz val="11"/>
        <color rgb="FF000000"/>
        <rFont val="Noto Sans SC"/>
        <family val="2"/>
        <charset val="134"/>
      </rPr>
      <t xml:space="preserve">原文：</t>
    </r>
    <r>
      <rPr>
        <sz val="11"/>
        <color rgb="FF000000"/>
        <rFont val="Cambria"/>
        <family val="0"/>
        <charset val="1"/>
      </rPr>
      <t xml:space="preserve">J/Q/K </t>
    </r>
    <r>
      <rPr>
        <sz val="11"/>
        <color rgb="FF000000"/>
        <rFont val="Noto Sans SC"/>
        <family val="2"/>
        <charset val="134"/>
      </rPr>
      <t xml:space="preserve">各 </t>
    </r>
    <r>
      <rPr>
        <sz val="11"/>
        <color rgb="FF000000"/>
        <rFont val="Cambria"/>
        <family val="0"/>
        <charset val="1"/>
      </rPr>
      <t xml:space="preserve">20</t>
    </r>
    <r>
      <rPr>
        <sz val="11"/>
        <color rgb="FF000000"/>
        <rFont val="Noto Sans SC"/>
        <family val="2"/>
        <charset val="134"/>
      </rPr>
      <t xml:space="preserve">、</t>
    </r>
    <r>
      <rPr>
        <sz val="11"/>
        <color rgb="FF000000"/>
        <rFont val="Cambria"/>
        <family val="0"/>
        <charset val="1"/>
      </rPr>
      <t xml:space="preserve">A 10</t>
    </r>
    <r>
      <rPr>
        <sz val="11"/>
        <color rgb="FF000000"/>
        <rFont val="Noto Sans SC"/>
        <family val="2"/>
        <charset val="134"/>
      </rPr>
      <t xml:space="preserve">、</t>
    </r>
    <r>
      <rPr>
        <sz val="11"/>
        <color rgb="FF000000"/>
        <rFont val="Cambria"/>
        <family val="0"/>
        <charset val="1"/>
      </rPr>
      <t xml:space="preserve">Wild 5</t>
    </r>
    <r>
      <rPr>
        <sz val="11"/>
        <color rgb="FF000000"/>
        <rFont val="Noto Sans SC"/>
        <family val="2"/>
        <charset val="134"/>
      </rPr>
      <t xml:space="preserve">、</t>
    </r>
    <r>
      <rPr>
        <sz val="11"/>
        <color rgb="FF000000"/>
        <rFont val="Cambria"/>
        <family val="0"/>
        <charset val="1"/>
      </rPr>
      <t xml:space="preserve">Super Stack 25</t>
    </r>
  </si>
  <si>
    <t xml:space="preserve">合计</t>
  </si>
  <si>
    <r>
      <rPr>
        <sz val="11"/>
        <color rgb="FF000000"/>
        <rFont val="Noto Sans SC"/>
        <family val="2"/>
        <charset val="134"/>
      </rPr>
      <t xml:space="preserve">每列应 ＝ </t>
    </r>
    <r>
      <rPr>
        <sz val="11"/>
        <color rgb="FF000000"/>
        <rFont val="Cambria"/>
        <family val="0"/>
        <charset val="1"/>
      </rPr>
      <t xml:space="preserve">100</t>
    </r>
  </si>
  <si>
    <r>
      <rPr>
        <b val="true"/>
        <sz val="11"/>
        <color rgb="FF1F4E79"/>
        <rFont val="Noto Sans SC"/>
        <family val="2"/>
        <charset val="134"/>
      </rPr>
      <t xml:space="preserve">【</t>
    </r>
    <r>
      <rPr>
        <b val="true"/>
        <sz val="11"/>
        <color rgb="FF1F4E79"/>
        <rFont val="Cambria"/>
        <family val="0"/>
        <charset val="1"/>
      </rPr>
      <t xml:space="preserve">3</t>
    </r>
    <r>
      <rPr>
        <b val="true"/>
        <sz val="11"/>
        <color rgb="FF1F4E79"/>
        <rFont val="Noto Sans SC"/>
        <family val="2"/>
        <charset val="134"/>
      </rPr>
      <t xml:space="preserve">】每列格数与总事件数</t>
    </r>
  </si>
  <si>
    <t xml:space="preserve">项目</t>
  </si>
  <si>
    <t xml:space="preserve">每列格数</t>
  </si>
  <si>
    <t xml:space="preserve">＝ 该列各图标个数之和</t>
  </si>
  <si>
    <t xml:space="preserve">总事件数</t>
  </si>
  <si>
    <r>
      <rPr>
        <sz val="11"/>
        <color rgb="FF000000"/>
        <rFont val="Noto Sans SC"/>
        <family val="2"/>
        <charset val="134"/>
      </rPr>
      <t xml:space="preserve">＝（每列格数）</t>
    </r>
    <r>
      <rPr>
        <sz val="11"/>
        <color rgb="FF000000"/>
        <rFont val="Cambria"/>
        <family val="0"/>
        <charset val="1"/>
      </rPr>
      <t xml:space="preserve">^5 </t>
    </r>
    <r>
      <rPr>
        <sz val="11"/>
        <color rgb="FF000000"/>
        <rFont val="Noto Sans SC"/>
        <family val="2"/>
        <charset val="134"/>
      </rPr>
      <t xml:space="preserve">＝ </t>
    </r>
    <r>
      <rPr>
        <sz val="11"/>
        <color rgb="FF000000"/>
        <rFont val="Cambria"/>
        <family val="0"/>
        <charset val="1"/>
      </rPr>
      <t xml:space="preserve">100^5</t>
    </r>
  </si>
  <si>
    <r>
      <rPr>
        <b val="true"/>
        <sz val="11"/>
        <color rgb="FF1F4E79"/>
        <rFont val="Noto Sans SC"/>
        <family val="2"/>
        <charset val="134"/>
      </rPr>
      <t xml:space="preserve">【</t>
    </r>
    <r>
      <rPr>
        <b val="true"/>
        <sz val="11"/>
        <color rgb="FF1F4E79"/>
        <rFont val="Cambria"/>
        <family val="0"/>
        <charset val="1"/>
      </rPr>
      <t xml:space="preserve">4</t>
    </r>
    <r>
      <rPr>
        <b val="true"/>
        <sz val="11"/>
        <color rgb="FF1F4E79"/>
        <rFont val="Noto Sans SC"/>
        <family val="2"/>
        <charset val="134"/>
      </rPr>
      <t xml:space="preserve">】堆叠图标转变几率表（按列，各列合计应为 </t>
    </r>
    <r>
      <rPr>
        <b val="true"/>
        <sz val="11"/>
        <color rgb="FF1F4E79"/>
        <rFont val="Cambria"/>
        <family val="0"/>
        <charset val="1"/>
      </rPr>
      <t xml:space="preserve">100%</t>
    </r>
    <r>
      <rPr>
        <b val="true"/>
        <sz val="11"/>
        <color rgb="FF1F4E79"/>
        <rFont val="Noto Sans SC"/>
        <family val="2"/>
        <charset val="134"/>
      </rPr>
      <t xml:space="preserve">）</t>
    </r>
  </si>
  <si>
    <t xml:space="preserve">列</t>
  </si>
  <si>
    <t xml:space="preserve">SS → J</t>
  </si>
  <si>
    <t xml:space="preserve">SS → Q</t>
  </si>
  <si>
    <t xml:space="preserve">SS → K</t>
  </si>
  <si>
    <t xml:space="preserve">SS → A</t>
  </si>
  <si>
    <r>
      <rPr>
        <sz val="11"/>
        <color rgb="FF000000"/>
        <rFont val="Noto Sans SC"/>
        <family val="2"/>
        <charset val="134"/>
      </rPr>
      <t xml:space="preserve">第</t>
    </r>
    <r>
      <rPr>
        <sz val="11"/>
        <color rgb="FF000000"/>
        <rFont val="Cambria"/>
        <family val="0"/>
        <charset val="1"/>
      </rPr>
      <t xml:space="preserve">1</t>
    </r>
    <r>
      <rPr>
        <sz val="11"/>
        <color rgb="FF000000"/>
        <rFont val="Noto Sans SC"/>
        <family val="2"/>
        <charset val="134"/>
      </rPr>
      <t xml:space="preserve">列</t>
    </r>
  </si>
  <si>
    <r>
      <rPr>
        <sz val="11"/>
        <color rgb="FF000000"/>
        <rFont val="Noto Sans SC"/>
        <family val="2"/>
        <charset val="134"/>
      </rPr>
      <t xml:space="preserve">第</t>
    </r>
    <r>
      <rPr>
        <sz val="11"/>
        <color rgb="FF000000"/>
        <rFont val="Cambria"/>
        <family val="0"/>
        <charset val="1"/>
      </rPr>
      <t xml:space="preserve">2</t>
    </r>
    <r>
      <rPr>
        <sz val="11"/>
        <color rgb="FF000000"/>
        <rFont val="Noto Sans SC"/>
        <family val="2"/>
        <charset val="134"/>
      </rPr>
      <t xml:space="preserve">列</t>
    </r>
  </si>
  <si>
    <r>
      <rPr>
        <sz val="11"/>
        <color rgb="FF000000"/>
        <rFont val="Noto Sans SC"/>
        <family val="2"/>
        <charset val="134"/>
      </rPr>
      <t xml:space="preserve">第</t>
    </r>
    <r>
      <rPr>
        <sz val="11"/>
        <color rgb="FF000000"/>
        <rFont val="Cambria"/>
        <family val="0"/>
        <charset val="1"/>
      </rPr>
      <t xml:space="preserve">3</t>
    </r>
    <r>
      <rPr>
        <sz val="11"/>
        <color rgb="FF000000"/>
        <rFont val="Noto Sans SC"/>
        <family val="2"/>
        <charset val="134"/>
      </rPr>
      <t xml:space="preserve">列</t>
    </r>
  </si>
  <si>
    <r>
      <rPr>
        <sz val="11"/>
        <color rgb="FF000000"/>
        <rFont val="Noto Sans SC"/>
        <family val="2"/>
        <charset val="134"/>
      </rPr>
      <t xml:space="preserve">第</t>
    </r>
    <r>
      <rPr>
        <sz val="11"/>
        <color rgb="FF000000"/>
        <rFont val="Cambria"/>
        <family val="0"/>
        <charset val="1"/>
      </rPr>
      <t xml:space="preserve">4</t>
    </r>
    <r>
      <rPr>
        <sz val="11"/>
        <color rgb="FF000000"/>
        <rFont val="Noto Sans SC"/>
        <family val="2"/>
        <charset val="134"/>
      </rPr>
      <t xml:space="preserve">列</t>
    </r>
  </si>
  <si>
    <r>
      <rPr>
        <sz val="11"/>
        <color rgb="FF000000"/>
        <rFont val="Noto Sans SC"/>
        <family val="2"/>
        <charset val="134"/>
      </rPr>
      <t xml:space="preserve">第</t>
    </r>
    <r>
      <rPr>
        <sz val="11"/>
        <color rgb="FF000000"/>
        <rFont val="Cambria"/>
        <family val="0"/>
        <charset val="1"/>
      </rPr>
      <t xml:space="preserve">5</t>
    </r>
    <r>
      <rPr>
        <sz val="11"/>
        <color rgb="FF000000"/>
        <rFont val="Noto Sans SC"/>
        <family val="2"/>
        <charset val="134"/>
      </rPr>
      <t xml:space="preserve">列</t>
    </r>
  </si>
  <si>
    <r>
      <rPr>
        <b val="true"/>
        <sz val="11"/>
        <color rgb="FF1F4E79"/>
        <rFont val="Noto Sans SC"/>
        <family val="2"/>
        <charset val="134"/>
      </rPr>
      <t xml:space="preserve">【</t>
    </r>
    <r>
      <rPr>
        <b val="true"/>
        <sz val="11"/>
        <color rgb="FF1F4E79"/>
        <rFont val="Cambria"/>
        <family val="0"/>
        <charset val="1"/>
      </rPr>
      <t xml:space="preserve">5</t>
    </r>
    <r>
      <rPr>
        <b val="true"/>
        <sz val="11"/>
        <color rgb="FF1F4E79"/>
        <rFont val="Noto Sans SC"/>
        <family val="2"/>
        <charset val="134"/>
      </rPr>
      <t xml:space="preserve">】出现事件数表　出现 ＝ 该图标数 ＋ </t>
    </r>
    <r>
      <rPr>
        <b val="true"/>
        <sz val="11"/>
        <color rgb="FF1F4E79"/>
        <rFont val="Cambria"/>
        <family val="0"/>
        <charset val="1"/>
      </rPr>
      <t xml:space="preserve">Wild </t>
    </r>
    <r>
      <rPr>
        <b val="true"/>
        <sz val="11"/>
        <color rgb="FF1F4E79"/>
        <rFont val="Noto Sans SC"/>
        <family val="2"/>
        <charset val="134"/>
      </rPr>
      <t xml:space="preserve">数 ＋ </t>
    </r>
    <r>
      <rPr>
        <b val="true"/>
        <sz val="11"/>
        <color rgb="FF1F4E79"/>
        <rFont val="Cambria"/>
        <family val="0"/>
        <charset val="1"/>
      </rPr>
      <t xml:space="preserve">SS </t>
    </r>
    <r>
      <rPr>
        <b val="true"/>
        <sz val="11"/>
        <color rgb="FF1F4E79"/>
        <rFont val="Noto Sans SC"/>
        <family val="2"/>
        <charset val="134"/>
      </rPr>
      <t xml:space="preserve">数 </t>
    </r>
    <r>
      <rPr>
        <b val="true"/>
        <sz val="11"/>
        <color rgb="FF1F4E79"/>
        <rFont val="Cambria"/>
        <family val="0"/>
        <charset val="1"/>
      </rPr>
      <t xml:space="preserve">× P(SS→</t>
    </r>
    <r>
      <rPr>
        <b val="true"/>
        <sz val="11"/>
        <color rgb="FF1F4E79"/>
        <rFont val="Noto Sans SC"/>
        <family val="2"/>
        <charset val="134"/>
      </rPr>
      <t xml:space="preserve">该图标</t>
    </r>
    <r>
      <rPr>
        <b val="true"/>
        <sz val="11"/>
        <color rgb="FF1F4E79"/>
        <rFont val="Cambria"/>
        <family val="0"/>
        <charset val="1"/>
      </rPr>
      <t xml:space="preserve">)</t>
    </r>
  </si>
  <si>
    <r>
      <rPr>
        <b val="true"/>
        <sz val="11"/>
        <color rgb="FF1F4E79"/>
        <rFont val="Noto Sans SC"/>
        <family val="2"/>
        <charset val="134"/>
      </rPr>
      <t xml:space="preserve">【</t>
    </r>
    <r>
      <rPr>
        <b val="true"/>
        <sz val="11"/>
        <color rgb="FF1F4E79"/>
        <rFont val="Cambria"/>
        <family val="0"/>
        <charset val="1"/>
      </rPr>
      <t xml:space="preserve">6</t>
    </r>
    <r>
      <rPr>
        <b val="true"/>
        <sz val="11"/>
        <color rgb="FF1F4E79"/>
        <rFont val="Noto Sans SC"/>
        <family val="2"/>
        <charset val="134"/>
      </rPr>
      <t xml:space="preserve">】不出现事件数表　不出现 ＝ 每列格数 − 出现事件数</t>
    </r>
  </si>
  <si>
    <r>
      <rPr>
        <b val="true"/>
        <sz val="11"/>
        <color rgb="FF1F4E79"/>
        <rFont val="Noto Sans SC"/>
        <family val="2"/>
        <charset val="134"/>
      </rPr>
      <t xml:space="preserve">【</t>
    </r>
    <r>
      <rPr>
        <b val="true"/>
        <sz val="11"/>
        <color rgb="FF1F4E79"/>
        <rFont val="Cambria"/>
        <family val="0"/>
        <charset val="1"/>
      </rPr>
      <t xml:space="preserve">7</t>
    </r>
    <r>
      <rPr>
        <b val="true"/>
        <sz val="11"/>
        <color rgb="FF1F4E79"/>
        <rFont val="Noto Sans SC"/>
        <family val="2"/>
        <charset val="134"/>
      </rPr>
      <t xml:space="preserve">】</t>
    </r>
    <r>
      <rPr>
        <b val="true"/>
        <sz val="11"/>
        <color rgb="FF1F4E79"/>
        <rFont val="Cambria"/>
        <family val="0"/>
        <charset val="1"/>
      </rPr>
      <t xml:space="preserve">RTP </t>
    </r>
    <r>
      <rPr>
        <b val="true"/>
        <sz val="11"/>
        <color rgb="FF1F4E79"/>
        <rFont val="Noto Sans SC"/>
        <family val="2"/>
        <charset val="134"/>
      </rPr>
      <t xml:space="preserve">计算表　</t>
    </r>
    <r>
      <rPr>
        <b val="true"/>
        <sz val="11"/>
        <color rgb="FF1F4E79"/>
        <rFont val="Cambria"/>
        <family val="0"/>
        <charset val="1"/>
      </rPr>
      <t xml:space="preserve">5 </t>
    </r>
    <r>
      <rPr>
        <b val="true"/>
        <sz val="11"/>
        <color rgb="FF1F4E79"/>
        <rFont val="Noto Sans SC"/>
        <family val="2"/>
        <charset val="134"/>
      </rPr>
      <t xml:space="preserve">连 ＝ ∏出现</t>
    </r>
    <r>
      <rPr>
        <b val="true"/>
        <sz val="11"/>
        <color rgb="FF1F4E79"/>
        <rFont val="Cambria"/>
        <family val="0"/>
        <charset val="1"/>
      </rPr>
      <t xml:space="preserve">(1~5)</t>
    </r>
    <r>
      <rPr>
        <b val="true"/>
        <sz val="11"/>
        <color rgb="FF1F4E79"/>
        <rFont val="Noto Sans SC"/>
        <family val="2"/>
        <charset val="134"/>
      </rPr>
      <t xml:space="preserve">；</t>
    </r>
    <r>
      <rPr>
        <b val="true"/>
        <sz val="11"/>
        <color rgb="FF1F4E79"/>
        <rFont val="Cambria"/>
        <family val="0"/>
        <charset val="1"/>
      </rPr>
      <t xml:space="preserve">4 </t>
    </r>
    <r>
      <rPr>
        <b val="true"/>
        <sz val="11"/>
        <color rgb="FF1F4E79"/>
        <rFont val="Noto Sans SC"/>
        <family val="2"/>
        <charset val="134"/>
      </rPr>
      <t xml:space="preserve">连 ＝ ∏出现</t>
    </r>
    <r>
      <rPr>
        <b val="true"/>
        <sz val="11"/>
        <color rgb="FF1F4E79"/>
        <rFont val="Cambria"/>
        <family val="0"/>
        <charset val="1"/>
      </rPr>
      <t xml:space="preserve">(1~4) × </t>
    </r>
    <r>
      <rPr>
        <b val="true"/>
        <sz val="11"/>
        <color rgb="FF1F4E79"/>
        <rFont val="Noto Sans SC"/>
        <family val="2"/>
        <charset val="134"/>
      </rPr>
      <t xml:space="preserve">不出现</t>
    </r>
    <r>
      <rPr>
        <b val="true"/>
        <sz val="11"/>
        <color rgb="FF1F4E79"/>
        <rFont val="Cambria"/>
        <family val="0"/>
        <charset val="1"/>
      </rPr>
      <t xml:space="preserve">(5)</t>
    </r>
    <r>
      <rPr>
        <b val="true"/>
        <sz val="11"/>
        <color rgb="FF1F4E79"/>
        <rFont val="Noto Sans SC"/>
        <family val="2"/>
        <charset val="134"/>
      </rPr>
      <t xml:space="preserve">；</t>
    </r>
    <r>
      <rPr>
        <b val="true"/>
        <sz val="11"/>
        <color rgb="FF1F4E79"/>
        <rFont val="Cambria"/>
        <family val="0"/>
        <charset val="1"/>
      </rPr>
      <t xml:space="preserve">3 </t>
    </r>
    <r>
      <rPr>
        <b val="true"/>
        <sz val="11"/>
        <color rgb="FF1F4E79"/>
        <rFont val="Noto Sans SC"/>
        <family val="2"/>
        <charset val="134"/>
      </rPr>
      <t xml:space="preserve">连 ＝ ∏出现</t>
    </r>
    <r>
      <rPr>
        <b val="true"/>
        <sz val="11"/>
        <color rgb="FF1F4E79"/>
        <rFont val="Cambria"/>
        <family val="0"/>
        <charset val="1"/>
      </rPr>
      <t xml:space="preserve">(1~3) × </t>
    </r>
    <r>
      <rPr>
        <b val="true"/>
        <sz val="11"/>
        <color rgb="FF1F4E79"/>
        <rFont val="Noto Sans SC"/>
        <family val="2"/>
        <charset val="134"/>
      </rPr>
      <t xml:space="preserve">不出现</t>
    </r>
    <r>
      <rPr>
        <b val="true"/>
        <sz val="11"/>
        <color rgb="FF1F4E79"/>
        <rFont val="Cambria"/>
        <family val="0"/>
        <charset val="1"/>
      </rPr>
      <t xml:space="preserve">(4) × </t>
    </r>
    <r>
      <rPr>
        <b val="true"/>
        <sz val="11"/>
        <color rgb="FF1F4E79"/>
        <rFont val="Noto Sans SC"/>
        <family val="2"/>
        <charset val="134"/>
      </rPr>
      <t xml:space="preserve">每列格数</t>
    </r>
  </si>
  <si>
    <r>
      <rPr>
        <b val="true"/>
        <sz val="11"/>
        <color rgb="FF1F4E79"/>
        <rFont val="Cambria"/>
        <family val="0"/>
        <charset val="1"/>
      </rPr>
      <t xml:space="preserve">5 </t>
    </r>
    <r>
      <rPr>
        <b val="true"/>
        <sz val="11"/>
        <color rgb="FF1F4E79"/>
        <rFont val="Noto Sans SC"/>
        <family val="2"/>
        <charset val="134"/>
      </rPr>
      <t xml:space="preserve">连事件数</t>
    </r>
  </si>
  <si>
    <r>
      <rPr>
        <b val="true"/>
        <sz val="11"/>
        <color rgb="FF1F4E79"/>
        <rFont val="Cambria"/>
        <family val="0"/>
        <charset val="1"/>
      </rPr>
      <t xml:space="preserve">4 </t>
    </r>
    <r>
      <rPr>
        <b val="true"/>
        <sz val="11"/>
        <color rgb="FF1F4E79"/>
        <rFont val="Noto Sans SC"/>
        <family val="2"/>
        <charset val="134"/>
      </rPr>
      <t xml:space="preserve">连事件数</t>
    </r>
  </si>
  <si>
    <r>
      <rPr>
        <b val="true"/>
        <sz val="11"/>
        <color rgb="FF1F4E79"/>
        <rFont val="Cambria"/>
        <family val="0"/>
        <charset val="1"/>
      </rPr>
      <t xml:space="preserve">3 </t>
    </r>
    <r>
      <rPr>
        <b val="true"/>
        <sz val="11"/>
        <color rgb="FF1F4E79"/>
        <rFont val="Noto Sans SC"/>
        <family val="2"/>
        <charset val="134"/>
      </rPr>
      <t xml:space="preserve">连事件数</t>
    </r>
  </si>
  <si>
    <r>
      <rPr>
        <b val="true"/>
        <sz val="11"/>
        <color rgb="FF1F4E79"/>
        <rFont val="Noto Sans SC"/>
        <family val="2"/>
        <charset val="134"/>
      </rPr>
      <t xml:space="preserve">中奖率</t>
    </r>
    <r>
      <rPr>
        <b val="true"/>
        <sz val="11"/>
        <color rgb="FF1F4E79"/>
        <rFont val="Cambria"/>
        <family val="0"/>
        <charset val="1"/>
      </rPr>
      <t xml:space="preserve">(3+4+5)</t>
    </r>
  </si>
  <si>
    <r>
      <rPr>
        <b val="true"/>
        <sz val="11"/>
        <color rgb="FF1F4E79"/>
        <rFont val="Cambria"/>
        <family val="0"/>
        <charset val="1"/>
      </rPr>
      <t xml:space="preserve">RTP </t>
    </r>
    <r>
      <rPr>
        <b val="true"/>
        <sz val="11"/>
        <color rgb="FF1F4E79"/>
        <rFont val="Noto Sans SC"/>
        <family val="2"/>
        <charset val="134"/>
      </rPr>
      <t xml:space="preserve">贡献</t>
    </r>
  </si>
  <si>
    <r>
      <rPr>
        <sz val="11"/>
        <color rgb="FF000000"/>
        <rFont val="Noto Sans SC"/>
        <family val="2"/>
        <charset val="134"/>
      </rPr>
      <t xml:space="preserve">合计 </t>
    </r>
    <r>
      <rPr>
        <sz val="11"/>
        <color rgb="FF000000"/>
        <rFont val="Cambria"/>
        <family val="0"/>
        <charset val="1"/>
      </rPr>
      <t xml:space="preserve">RTP</t>
    </r>
  </si>
  <si>
    <r>
      <rPr>
        <sz val="11"/>
        <color rgb="FF808080"/>
        <rFont val="Noto Sans SC"/>
        <family val="2"/>
        <charset val="134"/>
      </rPr>
      <t xml:space="preserve">口径：出现事件数把 </t>
    </r>
    <r>
      <rPr>
        <sz val="11"/>
        <color rgb="FF808080"/>
        <rFont val="Cambria"/>
        <family val="0"/>
        <charset val="1"/>
      </rPr>
      <t xml:space="preserve">Wild </t>
    </r>
    <r>
      <rPr>
        <sz val="11"/>
        <color rgb="FF808080"/>
        <rFont val="Noto Sans SC"/>
        <family val="2"/>
        <charset val="134"/>
      </rPr>
      <t xml:space="preserve">与「</t>
    </r>
    <r>
      <rPr>
        <sz val="11"/>
        <color rgb="FF808080"/>
        <rFont val="Cambria"/>
        <family val="0"/>
        <charset val="1"/>
      </rPr>
      <t xml:space="preserve">SS </t>
    </r>
    <r>
      <rPr>
        <sz val="11"/>
        <color rgb="FF808080"/>
        <rFont val="Noto Sans SC"/>
        <family val="2"/>
        <charset val="134"/>
      </rPr>
      <t xml:space="preserve">数 </t>
    </r>
    <r>
      <rPr>
        <sz val="11"/>
        <color rgb="FF808080"/>
        <rFont val="Cambria"/>
        <family val="0"/>
        <charset val="1"/>
      </rPr>
      <t xml:space="preserve">× </t>
    </r>
    <r>
      <rPr>
        <sz val="11"/>
        <color rgb="FF808080"/>
        <rFont val="Noto Sans SC"/>
        <family val="2"/>
        <charset val="134"/>
      </rPr>
      <t xml:space="preserve">变身几率」一并计入；不出现事件数用每列格数相减；总事件数 ＝ </t>
    </r>
    <r>
      <rPr>
        <sz val="11"/>
        <color rgb="FF808080"/>
        <rFont val="Cambria"/>
        <family val="0"/>
        <charset val="1"/>
      </rPr>
      <t xml:space="preserve">(</t>
    </r>
    <r>
      <rPr>
        <sz val="11"/>
        <color rgb="FF808080"/>
        <rFont val="Noto Sans SC"/>
        <family val="2"/>
        <charset val="134"/>
      </rPr>
      <t xml:space="preserve">每列格数</t>
    </r>
    <r>
      <rPr>
        <sz val="11"/>
        <color rgb="FF808080"/>
        <rFont val="Cambria"/>
        <family val="0"/>
        <charset val="1"/>
      </rPr>
      <t xml:space="preserve">)^5</t>
    </r>
    <r>
      <rPr>
        <sz val="11"/>
        <color rgb="FF808080"/>
        <rFont val="Noto Sans SC"/>
        <family val="2"/>
        <charset val="134"/>
      </rPr>
      <t xml:space="preserve">。</t>
    </r>
  </si>
  <si>
    <r>
      <rPr>
        <sz val="11"/>
        <color rgb="FF808080"/>
        <rFont val="Noto Sans SC"/>
        <family val="2"/>
        <charset val="134"/>
      </rPr>
      <t xml:space="preserve">改蓝色配表（图标个数分布 </t>
    </r>
    <r>
      <rPr>
        <sz val="11"/>
        <color rgb="FF808080"/>
        <rFont val="Cambria"/>
        <family val="0"/>
        <charset val="1"/>
      </rPr>
      <t xml:space="preserve">/ </t>
    </r>
    <r>
      <rPr>
        <sz val="11"/>
        <color rgb="FF808080"/>
        <rFont val="Noto Sans SC"/>
        <family val="2"/>
        <charset val="134"/>
      </rPr>
      <t xml:space="preserve">赔率 </t>
    </r>
    <r>
      <rPr>
        <sz val="11"/>
        <color rgb="FF808080"/>
        <rFont val="Cambria"/>
        <family val="0"/>
        <charset val="1"/>
      </rPr>
      <t xml:space="preserve">/ </t>
    </r>
    <r>
      <rPr>
        <sz val="11"/>
        <color rgb="FF808080"/>
        <rFont val="Noto Sans SC"/>
        <family val="2"/>
        <charset val="134"/>
      </rPr>
      <t xml:space="preserve">变身几率）后，</t>
    </r>
    <r>
      <rPr>
        <sz val="11"/>
        <color rgb="FF808080"/>
        <rFont val="Cambria"/>
        <family val="0"/>
        <charset val="1"/>
      </rPr>
      <t xml:space="preserve">RTP </t>
    </r>
    <r>
      <rPr>
        <sz val="11"/>
        <color rgb="FF808080"/>
        <rFont val="Noto Sans SC"/>
        <family val="2"/>
        <charset val="134"/>
      </rPr>
      <t xml:space="preserve">会自动刷新。</t>
    </r>
  </si>
  <si>
    <r>
      <rPr>
        <b val="true"/>
        <sz val="11"/>
        <color rgb="FF1F4E79"/>
        <rFont val="Noto Sans SC"/>
        <family val="2"/>
        <charset val="134"/>
      </rPr>
      <t xml:space="preserve">【</t>
    </r>
    <r>
      <rPr>
        <b val="true"/>
        <sz val="11"/>
        <color rgb="FF1F4E79"/>
        <rFont val="Cambria"/>
        <family val="0"/>
        <charset val="1"/>
      </rPr>
      <t xml:space="preserve">8</t>
    </r>
    <r>
      <rPr>
        <b val="true"/>
        <sz val="11"/>
        <color rgb="FF1F4E79"/>
        <rFont val="Noto Sans SC"/>
        <family val="2"/>
        <charset val="134"/>
      </rPr>
      <t xml:space="preserve">】配表自检（与原文配图逐项对照）</t>
    </r>
  </si>
  <si>
    <t xml:space="preserve">检查项</t>
  </si>
  <si>
    <t xml:space="preserve">结果</t>
  </si>
  <si>
    <r>
      <rPr>
        <sz val="11"/>
        <color rgb="FF000000"/>
        <rFont val="Noto Sans SC"/>
        <family val="2"/>
        <charset val="134"/>
      </rPr>
      <t xml:space="preserve">每列图标个数合计 ＝ </t>
    </r>
    <r>
      <rPr>
        <sz val="11"/>
        <color rgb="FF000000"/>
        <rFont val="Cambria"/>
        <family val="0"/>
        <charset val="1"/>
      </rPr>
      <t xml:space="preserve">100</t>
    </r>
  </si>
  <si>
    <r>
      <rPr>
        <sz val="11"/>
        <color rgb="FF000000"/>
        <rFont val="Noto Sans SC"/>
        <family val="2"/>
        <charset val="134"/>
      </rPr>
      <t xml:space="preserve">原文</t>
    </r>
    <r>
      <rPr>
        <sz val="11"/>
        <color rgb="FF000000"/>
        <rFont val="Cambria"/>
        <family val="0"/>
        <charset val="1"/>
      </rPr>
      <t xml:space="preserve">37 </t>
    </r>
    <r>
      <rPr>
        <sz val="11"/>
        <color rgb="FF000000"/>
        <rFont val="Noto Sans SC"/>
        <family val="2"/>
        <charset val="134"/>
      </rPr>
      <t xml:space="preserve">每列 </t>
    </r>
    <r>
      <rPr>
        <sz val="11"/>
        <color rgb="FF000000"/>
        <rFont val="Cambria"/>
        <family val="0"/>
        <charset val="1"/>
      </rPr>
      <t xml:space="preserve">100 </t>
    </r>
    <r>
      <rPr>
        <sz val="11"/>
        <color rgb="FF000000"/>
        <rFont val="Noto Sans SC"/>
        <family val="2"/>
        <charset val="134"/>
      </rPr>
      <t xml:space="preserve">停</t>
    </r>
  </si>
  <si>
    <r>
      <rPr>
        <sz val="11"/>
        <color rgb="FF000000"/>
        <rFont val="Noto Sans SC"/>
        <family val="2"/>
        <charset val="134"/>
      </rPr>
      <t xml:space="preserve">出现事件数（</t>
    </r>
    <r>
      <rPr>
        <sz val="11"/>
        <color rgb="FF000000"/>
        <rFont val="Cambria"/>
        <family val="0"/>
        <charset val="1"/>
      </rPr>
      <t xml:space="preserve">J </t>
    </r>
    <r>
      <rPr>
        <sz val="11"/>
        <color rgb="FF000000"/>
        <rFont val="Noto Sans SC"/>
        <family val="2"/>
        <charset val="134"/>
      </rPr>
      <t xml:space="preserve">第</t>
    </r>
    <r>
      <rPr>
        <sz val="11"/>
        <color rgb="FF000000"/>
        <rFont val="Cambria"/>
        <family val="0"/>
        <charset val="1"/>
      </rPr>
      <t xml:space="preserve">1</t>
    </r>
    <r>
      <rPr>
        <sz val="11"/>
        <color rgb="FF000000"/>
        <rFont val="Noto Sans SC"/>
        <family val="2"/>
        <charset val="134"/>
      </rPr>
      <t xml:space="preserve">列）＝ </t>
    </r>
    <r>
      <rPr>
        <sz val="11"/>
        <color rgb="FF000000"/>
        <rFont val="Cambria"/>
        <family val="0"/>
        <charset val="1"/>
      </rPr>
      <t xml:space="preserve">31.25</t>
    </r>
  </si>
  <si>
    <r>
      <rPr>
        <sz val="11"/>
        <color rgb="FF000000"/>
        <rFont val="Noto Sans SC"/>
        <family val="2"/>
        <charset val="134"/>
      </rPr>
      <t xml:space="preserve">＝ </t>
    </r>
    <r>
      <rPr>
        <sz val="11"/>
        <color rgb="FF000000"/>
        <rFont val="Cambria"/>
        <family val="0"/>
        <charset val="1"/>
      </rPr>
      <t xml:space="preserve">20 </t>
    </r>
    <r>
      <rPr>
        <sz val="11"/>
        <color rgb="FF000000"/>
        <rFont val="Noto Sans SC"/>
        <family val="2"/>
        <charset val="134"/>
      </rPr>
      <t xml:space="preserve">＋ </t>
    </r>
    <r>
      <rPr>
        <sz val="11"/>
        <color rgb="FF000000"/>
        <rFont val="Cambria"/>
        <family val="0"/>
        <charset val="1"/>
      </rPr>
      <t xml:space="preserve">5 </t>
    </r>
    <r>
      <rPr>
        <sz val="11"/>
        <color rgb="FF000000"/>
        <rFont val="Noto Sans SC"/>
        <family val="2"/>
        <charset val="134"/>
      </rPr>
      <t xml:space="preserve">＋ </t>
    </r>
    <r>
      <rPr>
        <sz val="11"/>
        <color rgb="FF000000"/>
        <rFont val="Cambria"/>
        <family val="0"/>
        <charset val="1"/>
      </rPr>
      <t xml:space="preserve">25×25%</t>
    </r>
  </si>
  <si>
    <r>
      <rPr>
        <sz val="11"/>
        <color rgb="FF000000"/>
        <rFont val="Noto Sans SC"/>
        <family val="2"/>
        <charset val="134"/>
      </rPr>
      <t xml:space="preserve">出现事件数（</t>
    </r>
    <r>
      <rPr>
        <sz val="11"/>
        <color rgb="FF000000"/>
        <rFont val="Cambria"/>
        <family val="0"/>
        <charset val="1"/>
      </rPr>
      <t xml:space="preserve">A </t>
    </r>
    <r>
      <rPr>
        <sz val="11"/>
        <color rgb="FF000000"/>
        <rFont val="Noto Sans SC"/>
        <family val="2"/>
        <charset val="134"/>
      </rPr>
      <t xml:space="preserve">第</t>
    </r>
    <r>
      <rPr>
        <sz val="11"/>
        <color rgb="FF000000"/>
        <rFont val="Cambria"/>
        <family val="0"/>
        <charset val="1"/>
      </rPr>
      <t xml:space="preserve">1</t>
    </r>
    <r>
      <rPr>
        <sz val="11"/>
        <color rgb="FF000000"/>
        <rFont val="Noto Sans SC"/>
        <family val="2"/>
        <charset val="134"/>
      </rPr>
      <t xml:space="preserve">列）＝ </t>
    </r>
    <r>
      <rPr>
        <sz val="11"/>
        <color rgb="FF000000"/>
        <rFont val="Cambria"/>
        <family val="0"/>
        <charset val="1"/>
      </rPr>
      <t xml:space="preserve">21.25</t>
    </r>
  </si>
  <si>
    <r>
      <rPr>
        <sz val="11"/>
        <color rgb="FF000000"/>
        <rFont val="Noto Sans SC"/>
        <family val="2"/>
        <charset val="134"/>
      </rPr>
      <t xml:space="preserve">＝ </t>
    </r>
    <r>
      <rPr>
        <sz val="11"/>
        <color rgb="FF000000"/>
        <rFont val="Cambria"/>
        <family val="0"/>
        <charset val="1"/>
      </rPr>
      <t xml:space="preserve">10 </t>
    </r>
    <r>
      <rPr>
        <sz val="11"/>
        <color rgb="FF000000"/>
        <rFont val="Noto Sans SC"/>
        <family val="2"/>
        <charset val="134"/>
      </rPr>
      <t xml:space="preserve">＋ </t>
    </r>
    <r>
      <rPr>
        <sz val="11"/>
        <color rgb="FF000000"/>
        <rFont val="Cambria"/>
        <family val="0"/>
        <charset val="1"/>
      </rPr>
      <t xml:space="preserve">5 </t>
    </r>
    <r>
      <rPr>
        <sz val="11"/>
        <color rgb="FF000000"/>
        <rFont val="Noto Sans SC"/>
        <family val="2"/>
        <charset val="134"/>
      </rPr>
      <t xml:space="preserve">＋ </t>
    </r>
    <r>
      <rPr>
        <sz val="11"/>
        <color rgb="FF000000"/>
        <rFont val="Cambria"/>
        <family val="0"/>
        <charset val="1"/>
      </rPr>
      <t xml:space="preserve">6.25</t>
    </r>
  </si>
  <si>
    <r>
      <rPr>
        <sz val="11"/>
        <color rgb="FF000000"/>
        <rFont val="Noto Sans SC"/>
        <family val="2"/>
        <charset val="134"/>
      </rPr>
      <t xml:space="preserve">不出现事件数（</t>
    </r>
    <r>
      <rPr>
        <sz val="11"/>
        <color rgb="FF000000"/>
        <rFont val="Cambria"/>
        <family val="0"/>
        <charset val="1"/>
      </rPr>
      <t xml:space="preserve">J </t>
    </r>
    <r>
      <rPr>
        <sz val="11"/>
        <color rgb="FF000000"/>
        <rFont val="Noto Sans SC"/>
        <family val="2"/>
        <charset val="134"/>
      </rPr>
      <t xml:space="preserve">第</t>
    </r>
    <r>
      <rPr>
        <sz val="11"/>
        <color rgb="FF000000"/>
        <rFont val="Cambria"/>
        <family val="0"/>
        <charset val="1"/>
      </rPr>
      <t xml:space="preserve">1</t>
    </r>
    <r>
      <rPr>
        <sz val="11"/>
        <color rgb="FF000000"/>
        <rFont val="Noto Sans SC"/>
        <family val="2"/>
        <charset val="134"/>
      </rPr>
      <t xml:space="preserve">列）＝ </t>
    </r>
    <r>
      <rPr>
        <sz val="11"/>
        <color rgb="FF000000"/>
        <rFont val="Cambria"/>
        <family val="0"/>
        <charset val="1"/>
      </rPr>
      <t xml:space="preserve">68.75</t>
    </r>
  </si>
  <si>
    <r>
      <rPr>
        <sz val="11"/>
        <color rgb="FF000000"/>
        <rFont val="Noto Sans SC"/>
        <family val="2"/>
        <charset val="134"/>
      </rPr>
      <t xml:space="preserve">原文</t>
    </r>
    <r>
      <rPr>
        <sz val="11"/>
        <color rgb="FF000000"/>
        <rFont val="Cambria"/>
        <family val="0"/>
        <charset val="1"/>
      </rPr>
      <t xml:space="preserve">40 </t>
    </r>
    <r>
      <rPr>
        <sz val="11"/>
        <color rgb="FF000000"/>
        <rFont val="Noto Sans SC"/>
        <family val="2"/>
        <charset val="134"/>
      </rPr>
      <t xml:space="preserve">对照</t>
    </r>
  </si>
  <si>
    <r>
      <rPr>
        <sz val="11"/>
        <color rgb="FF000000"/>
        <rFont val="Noto Sans SC"/>
        <family val="2"/>
        <charset val="134"/>
      </rPr>
      <t xml:space="preserve">不出现事件数（</t>
    </r>
    <r>
      <rPr>
        <sz val="11"/>
        <color rgb="FF000000"/>
        <rFont val="Cambria"/>
        <family val="0"/>
        <charset val="1"/>
      </rPr>
      <t xml:space="preserve">A </t>
    </r>
    <r>
      <rPr>
        <sz val="11"/>
        <color rgb="FF000000"/>
        <rFont val="Noto Sans SC"/>
        <family val="2"/>
        <charset val="134"/>
      </rPr>
      <t xml:space="preserve">第</t>
    </r>
    <r>
      <rPr>
        <sz val="11"/>
        <color rgb="FF000000"/>
        <rFont val="Cambria"/>
        <family val="0"/>
        <charset val="1"/>
      </rPr>
      <t xml:space="preserve">1</t>
    </r>
    <r>
      <rPr>
        <sz val="11"/>
        <color rgb="FF000000"/>
        <rFont val="Noto Sans SC"/>
        <family val="2"/>
        <charset val="134"/>
      </rPr>
      <t xml:space="preserve">列）＝ </t>
    </r>
    <r>
      <rPr>
        <sz val="11"/>
        <color rgb="FF000000"/>
        <rFont val="Cambria"/>
        <family val="0"/>
        <charset val="1"/>
      </rPr>
      <t xml:space="preserve">78.75</t>
    </r>
  </si>
  <si>
    <r>
      <rPr>
        <sz val="11"/>
        <color rgb="FF000000"/>
        <rFont val="Noto Sans SC"/>
        <family val="2"/>
        <charset val="134"/>
      </rPr>
      <t xml:space="preserve">每列格数 ＝ </t>
    </r>
    <r>
      <rPr>
        <sz val="11"/>
        <color rgb="FF000000"/>
        <rFont val="Cambria"/>
        <family val="0"/>
        <charset val="1"/>
      </rPr>
      <t xml:space="preserve">100</t>
    </r>
  </si>
  <si>
    <r>
      <rPr>
        <sz val="11"/>
        <color rgb="FF000000"/>
        <rFont val="Noto Sans SC"/>
        <family val="2"/>
        <charset val="134"/>
      </rPr>
      <t xml:space="preserve">总事件数 ＝ </t>
    </r>
    <r>
      <rPr>
        <sz val="11"/>
        <color rgb="FF000000"/>
        <rFont val="Cambria"/>
        <family val="0"/>
        <charset val="1"/>
      </rPr>
      <t xml:space="preserve">100^5</t>
    </r>
  </si>
</sst>
</file>

<file path=xl/styles.xml><?xml version="1.0" encoding="utf-8"?>
<styleSheet xmlns="http://schemas.openxmlformats.org/spreadsheetml/2006/main">
  <numFmts count="8">
    <numFmt numFmtId="164" formatCode="General"/>
    <numFmt numFmtId="165" formatCode="#,##0"/>
    <numFmt numFmtId="166" formatCode="0.00E+00"/>
    <numFmt numFmtId="167" formatCode="0.00%"/>
    <numFmt numFmtId="168" formatCode="0.0000"/>
    <numFmt numFmtId="169" formatCode="0.000000%"/>
    <numFmt numFmtId="170" formatCode="0.0000%"/>
    <numFmt numFmtId="171" formatCode="0.0000000000%"/>
  </numFmts>
  <fonts count="17">
    <font>
      <sz val="11"/>
      <color theme="1"/>
      <name val="Noto Sans SC"/>
      <family val="2"/>
      <charset val="134"/>
    </font>
    <font>
      <sz val="10"/>
      <name val="Arial"/>
      <family val="0"/>
      <charset val="134"/>
    </font>
    <font>
      <sz val="10"/>
      <name val="Arial"/>
      <family val="0"/>
      <charset val="134"/>
    </font>
    <font>
      <sz val="10"/>
      <name val="Arial"/>
      <family val="0"/>
      <charset val="134"/>
    </font>
    <font>
      <b val="true"/>
      <sz val="14"/>
      <color rgb="FF1F4E79"/>
      <name val="Noto Sans SC"/>
      <family val="2"/>
      <charset val="134"/>
    </font>
    <font>
      <b val="true"/>
      <sz val="14"/>
      <color rgb="FF1F4E79"/>
      <name val="Cambria"/>
      <family val="0"/>
      <charset val="1"/>
    </font>
    <font>
      <sz val="11"/>
      <color rgb="FF808080"/>
      <name val="Noto Sans SC"/>
      <family val="2"/>
      <charset val="134"/>
    </font>
    <font>
      <sz val="11"/>
      <color rgb="FF808080"/>
      <name val="Cambria"/>
      <family val="0"/>
      <charset val="1"/>
    </font>
    <font>
      <b val="true"/>
      <sz val="11"/>
      <name val="Noto Sans SC"/>
      <family val="2"/>
      <charset val="134"/>
    </font>
    <font>
      <sz val="11"/>
      <color theme="1"/>
      <name val="Calibri"/>
      <family val="2"/>
      <charset val="1"/>
    </font>
    <font>
      <b val="true"/>
      <sz val="11"/>
      <name val="Cambria"/>
      <family val="0"/>
      <charset val="1"/>
    </font>
    <font>
      <b val="true"/>
      <sz val="11"/>
      <color rgb="FF1F4E79"/>
      <name val="Noto Sans SC"/>
      <family val="2"/>
      <charset val="134"/>
    </font>
    <font>
      <b val="true"/>
      <sz val="11"/>
      <color rgb="FF1F4E79"/>
      <name val="Cambria"/>
      <family val="0"/>
      <charset val="1"/>
    </font>
    <font>
      <sz val="11"/>
      <color rgb="FF0000FF"/>
      <name val="Cambria"/>
      <family val="0"/>
      <charset val="1"/>
    </font>
    <font>
      <sz val="11"/>
      <color rgb="FF0000FF"/>
      <name val="Noto Sans SC"/>
      <family val="2"/>
      <charset val="134"/>
    </font>
    <font>
      <sz val="11"/>
      <color rgb="FF000000"/>
      <name val="Noto Sans SC"/>
      <family val="2"/>
      <charset val="134"/>
    </font>
    <font>
      <sz val="11"/>
      <color rgb="FF000000"/>
      <name val="Cambria"/>
      <family val="0"/>
      <charset val="1"/>
    </font>
  </fonts>
  <fills count="5">
    <fill>
      <patternFill patternType="none"/>
    </fill>
    <fill>
      <patternFill patternType="gray125"/>
    </fill>
    <fill>
      <patternFill patternType="solid">
        <fgColor rgb="FFB4C7E7"/>
        <bgColor rgb="FFCCCCFF"/>
      </patternFill>
    </fill>
    <fill>
      <patternFill patternType="solid">
        <fgColor rgb="FFDEEBF7"/>
        <bgColor rgb="FFCCFFFF"/>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11"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tru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11" fillId="2" borderId="0" xfId="0" applyFont="true" applyBorder="tru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11" fillId="3" borderId="0" xfId="0" applyFont="true" applyBorder="false" applyAlignment="true" applyProtection="true">
      <alignment horizontal="center" vertical="center" textRotation="0" wrapText="false" indent="0" shrinkToFit="false"/>
      <protection locked="true" hidden="false"/>
    </xf>
    <xf numFmtId="164" fontId="12" fillId="3" borderId="0" xfId="0" applyFont="true" applyBorder="false" applyAlignment="true" applyProtection="true">
      <alignment horizontal="center" vertical="center"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true" applyAlignment="true" applyProtection="true">
      <alignment horizontal="general" vertical="bottom" textRotation="0" wrapText="false" indent="0" shrinkToFit="false"/>
      <protection locked="true" hidden="false"/>
    </xf>
    <xf numFmtId="165" fontId="13" fillId="0" borderId="0" xfId="0" applyFont="true" applyBorder="false" applyAlignment="true" applyProtection="true">
      <alignment horizontal="general" vertical="bottom" textRotation="0" wrapText="false" indent="0" shrinkToFit="false"/>
      <protection locked="true" hidden="false"/>
    </xf>
    <xf numFmtId="165" fontId="16" fillId="0" borderId="0" xfId="0" applyFont="true" applyBorder="false" applyAlignment="true" applyProtection="true">
      <alignment horizontal="general" vertical="bottom" textRotation="0" wrapText="false" indent="0" shrinkToFit="false"/>
      <protection locked="true" hidden="false"/>
    </xf>
    <xf numFmtId="166" fontId="16" fillId="0" borderId="0" xfId="0" applyFont="true" applyBorder="false" applyAlignment="true" applyProtection="true">
      <alignment horizontal="general" vertical="bottom" textRotation="0" wrapText="false" indent="0" shrinkToFit="false"/>
      <protection locked="true" hidden="false"/>
    </xf>
    <xf numFmtId="167" fontId="13" fillId="0" borderId="0" xfId="0" applyFont="true" applyBorder="false" applyAlignment="true" applyProtection="true">
      <alignment horizontal="general" vertical="bottom" textRotation="0" wrapText="false" indent="0" shrinkToFit="false"/>
      <protection locked="true" hidden="false"/>
    </xf>
    <xf numFmtId="167" fontId="16"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8" fontId="16" fillId="0" borderId="0" xfId="0" applyFont="true" applyBorder="false" applyAlignment="true" applyProtection="true">
      <alignment horizontal="general" vertical="bottom" textRotation="0" wrapText="false" indent="0" shrinkToFit="false"/>
      <protection locked="true" hidden="false"/>
    </xf>
    <xf numFmtId="169" fontId="16" fillId="0" borderId="0" xfId="0" applyFont="true" applyBorder="false" applyAlignment="true" applyProtection="true">
      <alignment horizontal="general" vertical="bottom" textRotation="0" wrapText="false" indent="0" shrinkToFit="false"/>
      <protection locked="true" hidden="false"/>
    </xf>
    <xf numFmtId="170" fontId="16" fillId="0" borderId="0" xfId="0" applyFont="true" applyBorder="false" applyAlignment="true" applyProtection="true">
      <alignment horizontal="general" vertical="bottom" textRotation="0" wrapText="false" indent="0" shrinkToFit="false"/>
      <protection locked="true" hidden="false"/>
    </xf>
    <xf numFmtId="170" fontId="10" fillId="4"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indent="0" shrinkToFit="false"/>
      <protection locked="true" hidden="false"/>
    </xf>
    <xf numFmtId="164" fontId="0" fillId="0" borderId="0" xfId="0" applyFont="true" applyBorder="false" applyAlignment="true" applyProtection="true">
      <alignment horizontal="general" vertical="top" textRotation="0" indent="0" shrinkToFit="false"/>
      <protection locked="true" hidden="false"/>
    </xf>
    <xf numFmtId="164" fontId="0" fillId="0" borderId="0" xfId="0" applyFont="true" applyBorder="true" applyAlignment="true" applyProtection="true">
      <alignment horizontal="general" vertical="top" textRotation="0" indent="0" shrinkToFit="false"/>
      <protection locked="true" hidden="false"/>
    </xf>
    <xf numFmtId="164" fontId="9" fillId="0" borderId="0" xfId="0" applyFont="true" applyBorder="true" applyAlignment="true" applyProtection="true">
      <alignment horizontal="general" vertical="top" textRotation="0" indent="0" shrinkToFit="false"/>
      <protection locked="true" hidden="false"/>
    </xf>
    <xf numFmtId="164" fontId="11" fillId="0" borderId="0" xfId="0" applyFont="true" applyBorder="false" applyAlignment="true" applyProtection="true">
      <alignment horizontal="general" vertical="top" textRotation="0" indent="0" shrinkToFit="false"/>
      <protection locked="true" hidden="false"/>
    </xf>
    <xf numFmtId="0" fontId="9" fillId="0" borderId="0" xfId="0" applyFont="true" applyBorder="false" applyAlignment="true" applyProtection="true">
      <alignment horizontal="general" vertical="top" textRotation="0" wrapText="true" indent="0" shrinkToFit="false"/>
      <protection locked="true" hidden="false"/>
    </xf>
    <xf numFmtId="0" fontId="9" fillId="0" borderId="0" xfId="0" applyFont="true" applyBorder="false" applyAlignment="true" applyProtection="true">
      <alignment horizontal="general" vertical="top" textRotation="0" indent="0" shrinkToFit="false"/>
      <protection locked="true" hidden="false"/>
    </xf>
    <xf numFmtId="0" fontId="12" fillId="3" borderId="0" xfId="0" applyFont="true" applyBorder="false" applyAlignment="true" applyProtection="true">
      <alignment horizontal="center" vertical="center" textRotation="0" wrapText="false" indent="0" shrinkToFit="false"/>
      <protection locked="true" hidden="false"/>
    </xf>
    <xf numFmtId="171" applyNumberFormat="1" fontId="13" fillId="0" borderId="0" xfId="0" applyFont="true" applyBorder="false" applyAlignment="true" applyProtection="true">
      <alignment horizontal="general" vertical="bottom" textRotation="0" wrapText="false" indent="0" shrinkToFit="false"/>
      <protection locked="true" hidden="false"/>
    </xf>
    <xf numFmtId="171" applyNumberFormat="1" fontId="16" fillId="0" borderId="0" xfId="0" applyFont="true" applyBorder="false" applyAlignment="true" applyProtection="true">
      <alignment horizontal="general" vertical="bottom" textRotation="0" wrapText="false" indent="0" shrinkToFit="false"/>
      <protection locked="true" hidden="false"/>
    </xf>
    <xf numFmtId="171" applyNumberFormat="1" fontId="16" fillId="0" borderId="0" xfId="0" applyFont="true" applyBorder="false" applyAlignment="true" applyProtection="true">
      <alignment horizontal="general" vertical="bottom" textRotation="0" wrapText="false" indent="0" shrinkToFit="false"/>
      <protection locked="true" hidden="false"/>
    </xf>
    <xf numFmtId="171" applyNumberFormat="1" fontId="16" fillId="0" borderId="0" xfId="0" applyFont="true" applyBorder="false" applyAlignment="true" applyProtection="true">
      <alignment horizontal="general" vertical="bottom" textRotation="0" wrapText="false" indent="0" shrinkToFit="false"/>
      <protection locked="true" hidden="false"/>
    </xf>
    <xf numFmtId="171" applyNumberFormat="1" fontId="10" fillId="4"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0" width="42.14"/>
  </cols>
  <sheetData>
    <row r="1" customFormat="false" ht="19" hidden="false" customHeight="false" outlineLevel="0" collapsed="false">
      <c r="A1" s="1" t="s">
        <v>0</v>
      </c>
    </row>
    <row r="3" customFormat="false" ht="15.5" hidden="false" customHeight="false" outlineLevel="0" collapsed="false">
      <c r="A3" s="2" t="s">
        <v>1</v>
      </c>
    </row>
    <row r="4" customFormat="false" ht="15.5" hidden="false" customHeight="false" outlineLevel="0" collapsed="false">
      <c r="A4" s="2" t="s">
        <v>2</v>
      </c>
    </row>
    <row r="6" customFormat="false" ht="15" hidden="false" customHeight="false" outlineLevel="0" collapsed="false">
      <c r="A6" s="3" t="s">
        <v>3</v>
      </c>
    </row>
    <row r="7" customFormat="false" ht="30" hidden="false" customHeight="false" outlineLevel="0" collapsed="false">
      <c r="A7" s="30" t="s">
        <v>4</v>
      </c>
    </row>
    <row r="9" customFormat="false" ht="15" hidden="false" customHeight="false" outlineLevel="0" collapsed="false">
      <c r="A9" s="3" t="s">
        <v>5</v>
      </c>
    </row>
    <row r="10" customFormat="false" ht="43" hidden="false" customHeight="false" outlineLevel="0" collapsed="false">
      <c r="A10" s="30" t="s">
        <v>6</v>
      </c>
    </row>
    <row r="11" customFormat="false" ht="29" hidden="false" customHeight="false" outlineLevel="0" collapsed="false">
      <c r="A11" s="30" t="s">
        <v>7</v>
      </c>
    </row>
    <row r="12" customFormat="false" ht="15" hidden="false" customHeight="false" outlineLevel="0" collapsed="false">
      <c r="A12" s="31" t="s">
        <v>8</v>
      </c>
    </row>
    <row r="14" customFormat="false" ht="15" hidden="false" customHeight="false" outlineLevel="0" collapsed="false">
      <c r="A14" s="3" t="s">
        <v>9</v>
      </c>
    </row>
    <row r="15" customFormat="false" ht="28" hidden="false" customHeight="false" outlineLevel="0" collapsed="false">
      <c r="A15" s="31" t="s">
        <v>10</v>
      </c>
    </row>
    <row r="16" customFormat="false" ht="29" hidden="false" customHeight="false" outlineLevel="0" collapsed="false">
      <c r="A16" s="31" t="s">
        <v>11</v>
      </c>
    </row>
    <row r="17" customFormat="false" ht="29" hidden="false" customHeight="false" outlineLevel="0" collapsed="false">
      <c r="A17" s="31" t="s">
        <v>12</v>
      </c>
    </row>
    <row r="18" customFormat="false" ht="30" hidden="false" customHeight="false" outlineLevel="0" collapsed="false">
      <c r="A18" s="31" t="s">
        <v>13</v>
      </c>
    </row>
    <row r="19" customFormat="false" ht="29" hidden="false" customHeight="false" outlineLevel="0" collapsed="false">
      <c r="A19" s="31" t="s">
        <v>14</v>
      </c>
    </row>
    <row r="20" customFormat="false" ht="42" hidden="false" customHeight="false" outlineLevel="0" collapsed="false">
      <c r="A20" s="31" t="s">
        <v>15</v>
      </c>
    </row>
    <row r="22" customFormat="false" ht="15" hidden="false" customHeight="false" outlineLevel="0" collapsed="false">
      <c r="A22" s="3" t="s">
        <v>16</v>
      </c>
    </row>
    <row r="23" customFormat="false" ht="29" hidden="false" customHeight="false" outlineLevel="0" collapsed="false">
      <c r="A23" s="30" t="s">
        <v>17</v>
      </c>
    </row>
    <row r="24" customFormat="false" ht="15" hidden="false" customHeight="1" outlineLevel="0" collapsed="false">
      <c r="A24" s="32" t="s">
        <v>18</v>
      </c>
      <c r="B24" s="6"/>
      <c r="C24" s="6"/>
    </row>
    <row r="26" customFormat="false" ht="15.5" hidden="false" customHeight="false" outlineLevel="0" collapsed="false">
      <c r="A26" s="3" t="s">
        <v>19</v>
      </c>
    </row>
    <row r="27" customFormat="false" ht="30" hidden="false" customHeight="false" outlineLevel="0" collapsed="false">
      <c r="A27" s="31" t="s">
        <v>20</v>
      </c>
    </row>
    <row r="28" customFormat="false" ht="29" hidden="false" customHeight="false" outlineLevel="0" collapsed="false">
      <c r="A28" s="31" t="s">
        <v>21</v>
      </c>
    </row>
    <row r="29" customFormat="false" ht="30" hidden="false" customHeight="false" outlineLevel="0" collapsed="false">
      <c r="A29" s="31" t="s">
        <v>22</v>
      </c>
    </row>
    <row r="30" customFormat="false" ht="44" hidden="false" customHeight="false" outlineLevel="0" collapsed="false">
      <c r="A30" s="31" t="s">
        <v>23</v>
      </c>
    </row>
    <row r="31" customFormat="false" ht="29" hidden="false" customHeight="false" outlineLevel="0" collapsed="false">
      <c r="A31" s="30" t="s">
        <v>24</v>
      </c>
    </row>
    <row r="32" customFormat="false" ht="41" hidden="false" customHeight="false" outlineLevel="0" collapsed="false">
      <c r="A32" s="31" t="s">
        <v>25</v>
      </c>
    </row>
    <row r="35" customFormat="false" ht="15" hidden="false" customHeight="false" outlineLevel="0" collapsed="false">
      <c r="A35" s="7" t="s">
        <v>26</v>
      </c>
    </row>
    <row r="36" customFormat="false" ht="15" hidden="false" customHeight="false" outlineLevel="0" collapsed="false">
      <c r="A36" s="5"/>
    </row>
    <row r="37" customFormat="false" ht="15" hidden="false" customHeight="1" outlineLevel="0" collapsed="false">
      <c r="A37" s="32" t="s">
        <v>27</v>
      </c>
      <c r="B37" s="6"/>
      <c r="C37" s="6"/>
      <c r="D37" s="6"/>
    </row>
    <row r="38" customFormat="false" ht="29" hidden="false" customHeight="false" outlineLevel="0" collapsed="false">
      <c r="A38" s="31" t="s">
        <v>28</v>
      </c>
    </row>
    <row r="39" customFormat="false" ht="15" hidden="false" customHeight="false" outlineLevel="0" collapsed="false">
      <c r="A39" s="5"/>
    </row>
    <row r="40" customFormat="false" ht="16" hidden="false" customHeight="false" outlineLevel="0" collapsed="false">
      <c r="A40" s="5" t="s">
        <v>29</v>
      </c>
    </row>
    <row r="41" customFormat="false" ht="15" hidden="false" customHeight="false" outlineLevel="0" collapsed="false">
      <c r="A41" s="5"/>
    </row>
    <row r="42" customFormat="false" ht="29" hidden="false" customHeight="false" outlineLevel="0" collapsed="false">
      <c r="A42" s="31" t="s">
        <v>30</v>
      </c>
    </row>
    <row r="43" customFormat="false" ht="15" hidden="false" customHeight="false" outlineLevel="0" collapsed="false">
      <c r="A43" s="5"/>
    </row>
    <row r="44" customFormat="false" ht="15" hidden="false" customHeight="false" outlineLevel="0" collapsed="false">
      <c r="A44" s="5" t="s">
        <v>31</v>
      </c>
    </row>
    <row r="45" customFormat="false" ht="15" hidden="false" customHeight="false" outlineLevel="0" collapsed="false">
      <c r="A45" s="5" t="s">
        <v>32</v>
      </c>
    </row>
    <row r="46" customFormat="false" ht="16" hidden="false" customHeight="false" outlineLevel="0" collapsed="false">
      <c r="A46" s="5" t="s">
        <v>33</v>
      </c>
    </row>
    <row r="47" customFormat="false" ht="15" hidden="false" customHeight="false" outlineLevel="0" collapsed="false">
      <c r="A47" s="5" t="s">
        <v>34</v>
      </c>
    </row>
    <row r="48" customFormat="false" ht="16" hidden="false" customHeight="false" outlineLevel="0" collapsed="false">
      <c r="A48" s="35">
        <v>4</v>
      </c>
    </row>
    <row r="49" customFormat="false" ht="16" hidden="false" customHeight="false" outlineLevel="0" collapsed="false">
      <c r="A49" s="36">
        <v>2</v>
      </c>
    </row>
    <row r="50" customFormat="false" ht="16" hidden="false" customHeight="false" outlineLevel="0" collapsed="false">
      <c r="A50" s="5" t="s">
        <v>37</v>
      </c>
    </row>
    <row r="51" customFormat="false" ht="29" hidden="false" customHeight="false" outlineLevel="0" collapsed="false">
      <c r="A51" s="31" t="s">
        <v>38</v>
      </c>
    </row>
    <row r="52" customFormat="false" ht="29" hidden="false" customHeight="false" outlineLevel="0" collapsed="false">
      <c r="A52" s="30" t="s">
        <v>39</v>
      </c>
    </row>
    <row r="53" customFormat="false" ht="15" hidden="false" customHeight="false" outlineLevel="0" collapsed="false">
      <c r="A53" s="5" t="s">
        <v>40</v>
      </c>
    </row>
    <row r="54" customFormat="false" ht="15" hidden="false" customHeight="1" outlineLevel="0" collapsed="false">
      <c r="A54" s="33" t="s">
        <v>41</v>
      </c>
      <c r="B54" s="8"/>
      <c r="C54" s="8"/>
    </row>
    <row r="55" customFormat="false" ht="43" hidden="false" customHeight="false" outlineLevel="0" collapsed="false">
      <c r="A55" s="30" t="s">
        <v>42</v>
      </c>
    </row>
    <row r="56" customFormat="false" ht="15" hidden="false" customHeight="false" outlineLevel="0" collapsed="false">
      <c r="A56" s="5" t="s">
        <v>43</v>
      </c>
    </row>
    <row r="57" customFormat="false" ht="16" hidden="false" customHeight="false" outlineLevel="0" collapsed="false">
      <c r="A57" s="4" t="s">
        <v>44</v>
      </c>
    </row>
    <row r="58" customFormat="false" ht="28" hidden="false" customHeight="false" outlineLevel="0" collapsed="false">
      <c r="A58" s="31" t="s">
        <v>45</v>
      </c>
    </row>
    <row r="59" customFormat="false" ht="15" hidden="false" customHeight="false" outlineLevel="0" collapsed="false">
      <c r="A59" s="5"/>
    </row>
    <row r="60" customFormat="false" ht="16" hidden="false" customHeight="false" outlineLevel="0" collapsed="false">
      <c r="A60" s="5" t="s">
        <v>46</v>
      </c>
    </row>
    <row r="61" customFormat="false" ht="15" hidden="false" customHeight="false" outlineLevel="0" collapsed="false">
      <c r="A61" s="5"/>
    </row>
    <row r="62" customFormat="false" ht="15" hidden="false" customHeight="false" outlineLevel="0" collapsed="false">
      <c r="A62" s="5" t="s">
        <v>47</v>
      </c>
    </row>
    <row r="63" customFormat="false" ht="16" hidden="false" customHeight="false" outlineLevel="0" collapsed="false">
      <c r="A63" s="31" t="s">
        <v>48</v>
      </c>
    </row>
    <row r="64" customFormat="false" ht="15" hidden="false" customHeight="false" outlineLevel="0" collapsed="false">
      <c r="A64" s="5"/>
    </row>
    <row r="65" customFormat="false" ht="16" hidden="false" customHeight="false" outlineLevel="0" collapsed="false">
      <c r="A65" s="5" t="s">
        <v>49</v>
      </c>
    </row>
    <row r="66" customFormat="false" ht="15" hidden="false" customHeight="false" outlineLevel="0" collapsed="false">
      <c r="A66" s="5"/>
    </row>
    <row r="67" customFormat="false" ht="15" hidden="false" customHeight="false" outlineLevel="0" collapsed="false">
      <c r="A67" s="5" t="s">
        <v>50</v>
      </c>
    </row>
    <row r="68" customFormat="false" ht="28" hidden="false" customHeight="false" outlineLevel="0" collapsed="false">
      <c r="A68" s="31" t="s">
        <v>51</v>
      </c>
    </row>
    <row r="69" customFormat="false" ht="28" hidden="false" customHeight="false" outlineLevel="0" collapsed="false">
      <c r="A69" s="31" t="s">
        <v>52</v>
      </c>
    </row>
    <row r="70" customFormat="false" ht="15" hidden="false" customHeight="false" outlineLevel="0" collapsed="false">
      <c r="A70" s="5"/>
    </row>
    <row r="71" customFormat="false" ht="16" hidden="false" customHeight="false" outlineLevel="0" collapsed="false">
      <c r="A71" s="5" t="s">
        <v>53</v>
      </c>
    </row>
    <row r="72" customFormat="false" ht="15" hidden="false" customHeight="false" outlineLevel="0" collapsed="false">
      <c r="A72" s="5"/>
    </row>
    <row r="73" customFormat="false" ht="15" hidden="false" customHeight="false" outlineLevel="0" collapsed="false">
      <c r="A73" s="5" t="s">
        <v>54</v>
      </c>
    </row>
    <row r="74" customFormat="false" ht="16" hidden="false" customHeight="false" outlineLevel="0" collapsed="false">
      <c r="A74" s="4" t="s">
        <v>55</v>
      </c>
    </row>
    <row r="75" customFormat="false" ht="15" hidden="false" customHeight="1" outlineLevel="0" collapsed="false">
      <c r="A75" s="32" t="s">
        <v>56</v>
      </c>
      <c r="B75" s="6"/>
      <c r="C75" s="6"/>
      <c r="D75" s="6"/>
    </row>
    <row r="76" customFormat="false" ht="28" hidden="false" customHeight="false" outlineLevel="0" collapsed="false">
      <c r="A76" s="31" t="s">
        <v>57</v>
      </c>
    </row>
    <row r="77" customFormat="false" ht="28" hidden="false" customHeight="false" outlineLevel="0" collapsed="false">
      <c r="A77" s="31" t="s">
        <v>58</v>
      </c>
    </row>
    <row r="78" customFormat="false" ht="15" hidden="false" customHeight="false" outlineLevel="0" collapsed="false">
      <c r="A78" s="31" t="s">
        <v>59</v>
      </c>
    </row>
    <row r="79" customFormat="false" ht="15" hidden="false" customHeight="false" outlineLevel="0" collapsed="false">
      <c r="A79" s="5"/>
    </row>
    <row r="80" customFormat="false" ht="16" hidden="false" customHeight="false" outlineLevel="0" collapsed="false">
      <c r="A80" s="5" t="s">
        <v>60</v>
      </c>
    </row>
    <row r="81" customFormat="false" ht="15" hidden="false" customHeight="false" outlineLevel="0" collapsed="false">
      <c r="A81" s="5"/>
    </row>
    <row r="82" customFormat="false" ht="15" hidden="false" customHeight="false" outlineLevel="0" collapsed="false">
      <c r="A82" s="5" t="s">
        <v>61</v>
      </c>
    </row>
    <row r="83" customFormat="false" ht="15" hidden="false" customHeight="false" outlineLevel="0" collapsed="false">
      <c r="A83" s="5"/>
    </row>
    <row r="84" customFormat="false" ht="16" hidden="false" customHeight="false" outlineLevel="0" collapsed="false">
      <c r="A84" s="5" t="s">
        <v>62</v>
      </c>
    </row>
    <row r="85" customFormat="false" ht="15" hidden="false" customHeight="false" outlineLevel="0" collapsed="false">
      <c r="A85" s="5"/>
    </row>
    <row r="86" customFormat="false" ht="16" hidden="false" customHeight="false" outlineLevel="0" collapsed="false">
      <c r="A86" s="5" t="s">
        <v>63</v>
      </c>
    </row>
    <row r="87" customFormat="false" ht="15" hidden="false" customHeight="1" outlineLevel="0" collapsed="false">
      <c r="A87" s="32" t="s">
        <v>64</v>
      </c>
      <c r="B87" s="6"/>
      <c r="C87" s="6"/>
      <c r="D87" s="6"/>
    </row>
    <row r="88" customFormat="false" ht="29" hidden="false" customHeight="false" outlineLevel="0" collapsed="false">
      <c r="A88" s="31" t="s">
        <v>65</v>
      </c>
    </row>
    <row r="89" customFormat="false" ht="29" hidden="false" customHeight="false" outlineLevel="0" collapsed="false">
      <c r="A89" s="30" t="s">
        <v>66</v>
      </c>
    </row>
    <row r="90" customFormat="false" ht="15" hidden="false" customHeight="1" outlineLevel="0" collapsed="false">
      <c r="A90" s="32" t="s">
        <v>67</v>
      </c>
      <c r="B90" s="6"/>
      <c r="C90" s="6"/>
      <c r="D90" s="6"/>
      <c r="E90" s="6"/>
    </row>
    <row r="91" customFormat="false" ht="15" hidden="false" customHeight="false" outlineLevel="0" collapsed="false">
      <c r="A91" s="5"/>
    </row>
    <row r="92" customFormat="false" ht="16" hidden="false" customHeight="false" outlineLevel="0" collapsed="false">
      <c r="A92" s="5" t="s">
        <v>68</v>
      </c>
    </row>
    <row r="93" customFormat="false" ht="15" hidden="false" customHeight="false" outlineLevel="0" collapsed="false">
      <c r="A93" s="5"/>
    </row>
    <row r="94" customFormat="false" ht="28" hidden="false" customHeight="false" outlineLevel="0" collapsed="false">
      <c r="A94" s="31" t="s">
        <v>69</v>
      </c>
    </row>
    <row r="95" customFormat="false" ht="29" hidden="false" customHeight="false" outlineLevel="0" collapsed="false">
      <c r="A95" s="30" t="s">
        <v>70</v>
      </c>
    </row>
    <row r="96" customFormat="false" ht="16" hidden="false" customHeight="false" outlineLevel="0" collapsed="false">
      <c r="A96" s="4" t="s">
        <v>71</v>
      </c>
    </row>
    <row r="97" customFormat="false" ht="15" hidden="false" customHeight="false" outlineLevel="0" collapsed="false">
      <c r="A97" s="5"/>
    </row>
    <row r="98" customFormat="false" ht="16" hidden="false" customHeight="false" outlineLevel="0" collapsed="false">
      <c r="A98" s="5" t="s">
        <v>72</v>
      </c>
    </row>
    <row r="99" customFormat="false" ht="15" hidden="false" customHeight="false" outlineLevel="0" collapsed="false">
      <c r="A99" s="5"/>
    </row>
    <row r="100" customFormat="false" ht="15.5" hidden="false" customHeight="false" outlineLevel="0" collapsed="false">
      <c r="A100" s="34" t="s">
        <v>73</v>
      </c>
    </row>
    <row r="101" customFormat="false" ht="16" hidden="false" customHeight="false" outlineLevel="0" collapsed="false">
      <c r="A101" s="5" t="s">
        <v>29</v>
      </c>
    </row>
    <row r="102" customFormat="false" ht="16" hidden="false" customHeight="false" outlineLevel="0" collapsed="false">
      <c r="A102" s="5" t="s">
        <v>46</v>
      </c>
    </row>
    <row r="103" customFormat="false" ht="16" hidden="false" customHeight="false" outlineLevel="0" collapsed="false">
      <c r="A103" s="5" t="s">
        <v>49</v>
      </c>
    </row>
    <row r="104" customFormat="false" ht="16" hidden="false" customHeight="false" outlineLevel="0" collapsed="false">
      <c r="A104" s="5" t="s">
        <v>53</v>
      </c>
    </row>
    <row r="105" customFormat="false" ht="16" hidden="false" customHeight="false" outlineLevel="0" collapsed="false">
      <c r="A105" s="5" t="s">
        <v>60</v>
      </c>
    </row>
    <row r="106" customFormat="false" ht="16" hidden="false" customHeight="false" outlineLevel="0" collapsed="false">
      <c r="A106" s="5" t="s">
        <v>62</v>
      </c>
    </row>
    <row r="107" customFormat="false" ht="16" hidden="false" customHeight="false" outlineLevel="0" collapsed="false">
      <c r="A107" s="5" t="s">
        <v>68</v>
      </c>
    </row>
    <row r="108" customFormat="false" ht="16" hidden="false" customHeight="false" outlineLevel="0" collapsed="false">
      <c r="A108" s="5" t="s">
        <v>72</v>
      </c>
    </row>
    <row r="109" customFormat="false" ht="15" hidden="false" customHeight="false" outlineLevel="0" collapsed="false">
      <c r="A109" s="5"/>
    </row>
    <row r="110" customFormat="false" ht="15.5" hidden="false" customHeight="false" outlineLevel="0" collapsed="false">
      <c r="A110" s="7" t="s">
        <v>74</v>
      </c>
    </row>
    <row r="111" customFormat="false" ht="29" hidden="false" customHeight="false" outlineLevel="0" collapsed="false">
      <c r="A111" s="30" t="s">
        <v>75</v>
      </c>
    </row>
    <row r="112" customFormat="false" ht="29" hidden="false" customHeight="false" outlineLevel="0" collapsed="false">
      <c r="A112" s="30" t="s">
        <v>76</v>
      </c>
    </row>
  </sheetData>
  <mergeCells count="6">
    <mergeCell ref="A24:K24"/>
    <mergeCell ref="A37:K37"/>
    <mergeCell ref="A54:J54"/>
    <mergeCell ref="A75:K75"/>
    <mergeCell ref="A87:L87"/>
    <mergeCell ref="A90:N9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J132" evalError="1" twoDigitTextYear="1" numberStoredAsText="1" formula="1" formulaRange="1" unlockedFormula="1" emptyCellReference="1" listDataValidation="1" calculatedColum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9" width="27.31"/>
    <col collapsed="false" customWidth="true" hidden="false" outlineLevel="0" max="7" min="2" style="9" width="14.56"/>
    <col collapsed="false" customWidth="true" hidden="false" outlineLevel="0" max="8" min="8" style="9" width="49.13"/>
  </cols>
  <sheetData>
    <row r="1" customFormat="false" ht="19" hidden="false" customHeight="false" outlineLevel="0" collapsed="false">
      <c r="A1" s="10" t="s">
        <v>77</v>
      </c>
      <c r="B1" s="10"/>
      <c r="C1" s="10"/>
      <c r="D1" s="10"/>
      <c r="E1" s="10"/>
      <c r="F1" s="10"/>
      <c r="G1" s="10"/>
    </row>
    <row r="3" customFormat="false" ht="15.5" hidden="false" customHeight="false" outlineLevel="0" collapsed="false">
      <c r="A3" s="11" t="s">
        <v>78</v>
      </c>
      <c r="B3" s="11"/>
      <c r="C3" s="11"/>
      <c r="D3" s="11"/>
      <c r="E3" s="11"/>
      <c r="F3" s="11"/>
      <c r="G3" s="12"/>
      <c r="H3" s="12"/>
    </row>
    <row r="4" customFormat="false" ht="15.5" hidden="false" customHeight="false" outlineLevel="0" collapsed="false">
      <c r="A4" s="13" t="s">
        <v>79</v>
      </c>
      <c r="B4" s="13" t="s">
        <v>80</v>
      </c>
      <c r="C4" s="37">
        <v>3</v>
      </c>
      <c r="D4" s="37">
        <v>4</v>
      </c>
      <c r="E4" s="37">
        <v>5</v>
      </c>
      <c r="F4" s="13" t="s">
        <v>84</v>
      </c>
    </row>
    <row r="5" customFormat="false" ht="15" hidden="false" customHeight="false" outlineLevel="0" collapsed="false">
      <c r="A5" s="15" t="s">
        <v>85</v>
      </c>
      <c r="B5" s="16" t="s">
        <v>86</v>
      </c>
      <c r="C5" s="15" t="n">
        <v>5</v>
      </c>
      <c r="D5" s="15" t="n">
        <v>25</v>
      </c>
      <c r="E5" s="15" t="n">
        <v>100</v>
      </c>
      <c r="F5" s="17"/>
    </row>
    <row r="6" customFormat="false" ht="15" hidden="false" customHeight="false" outlineLevel="0" collapsed="false">
      <c r="A6" s="15" t="s">
        <v>87</v>
      </c>
      <c r="B6" s="16" t="s">
        <v>86</v>
      </c>
      <c r="C6" s="15" t="n">
        <v>3</v>
      </c>
      <c r="D6" s="15" t="n">
        <v>13</v>
      </c>
      <c r="E6" s="15" t="n">
        <v>50</v>
      </c>
      <c r="F6" s="17"/>
    </row>
    <row r="7" customFormat="false" ht="15" hidden="false" customHeight="false" outlineLevel="0" collapsed="false">
      <c r="A7" s="15" t="s">
        <v>88</v>
      </c>
      <c r="B7" s="16" t="s">
        <v>86</v>
      </c>
      <c r="C7" s="15" t="n">
        <v>3</v>
      </c>
      <c r="D7" s="15" t="n">
        <v>10</v>
      </c>
      <c r="E7" s="15" t="n">
        <v>38</v>
      </c>
      <c r="F7" s="17"/>
    </row>
    <row r="8" customFormat="false" ht="15" hidden="false" customHeight="false" outlineLevel="0" collapsed="false">
      <c r="A8" s="15" t="s">
        <v>89</v>
      </c>
      <c r="B8" s="16" t="s">
        <v>86</v>
      </c>
      <c r="C8" s="15" t="n">
        <v>3</v>
      </c>
      <c r="D8" s="15" t="n">
        <v>8</v>
      </c>
      <c r="E8" s="15" t="n">
        <v>25</v>
      </c>
      <c r="F8" s="17"/>
    </row>
    <row r="9" customFormat="false" ht="15" hidden="false" customHeight="false" outlineLevel="0" collapsed="false">
      <c r="A9" s="15" t="s">
        <v>90</v>
      </c>
      <c r="B9" s="15" t="s">
        <v>91</v>
      </c>
      <c r="C9" s="17" t="s">
        <v>92</v>
      </c>
      <c r="D9" s="17" t="s">
        <v>92</v>
      </c>
      <c r="E9" s="17" t="s">
        <v>92</v>
      </c>
      <c r="F9" s="18" t="s">
        <v>93</v>
      </c>
      <c r="G9" s="18"/>
    </row>
    <row r="10" customFormat="false" ht="15.5" hidden="false" customHeight="false" outlineLevel="0" collapsed="false">
      <c r="A10" s="15" t="s">
        <v>94</v>
      </c>
      <c r="B10" s="15" t="s">
        <v>95</v>
      </c>
      <c r="C10" s="17" t="s">
        <v>92</v>
      </c>
      <c r="D10" s="17" t="s">
        <v>92</v>
      </c>
      <c r="E10" s="17" t="s">
        <v>92</v>
      </c>
      <c r="F10" s="18" t="s">
        <v>96</v>
      </c>
      <c r="G10" s="18"/>
      <c r="H10" s="18"/>
    </row>
    <row r="12" customFormat="false" ht="15.5" hidden="false" customHeight="false" outlineLevel="0" collapsed="false">
      <c r="A12" s="11" t="s">
        <v>97</v>
      </c>
      <c r="B12" s="11"/>
      <c r="C12" s="11"/>
      <c r="D12" s="11"/>
      <c r="E12" s="11"/>
      <c r="F12" s="11"/>
      <c r="G12" s="12"/>
      <c r="H12" s="12"/>
    </row>
    <row r="13" customFormat="false" ht="15.5" hidden="false" customHeight="false" outlineLevel="0" collapsed="false">
      <c r="A13" s="13" t="s">
        <v>98</v>
      </c>
      <c r="B13" s="13" t="s">
        <v>99</v>
      </c>
      <c r="C13" s="13" t="s">
        <v>100</v>
      </c>
      <c r="D13" s="13" t="s">
        <v>101</v>
      </c>
      <c r="E13" s="13" t="s">
        <v>102</v>
      </c>
      <c r="F13" s="13" t="s">
        <v>103</v>
      </c>
      <c r="G13" s="13" t="s">
        <v>84</v>
      </c>
    </row>
    <row r="14" customFormat="false" ht="15" hidden="false" customHeight="false" outlineLevel="0" collapsed="false">
      <c r="A14" s="15" t="s">
        <v>85</v>
      </c>
      <c r="B14" s="19" t="n">
        <v>10</v>
      </c>
      <c r="C14" s="19" t="n">
        <v>10</v>
      </c>
      <c r="D14" s="19" t="n">
        <v>10</v>
      </c>
      <c r="E14" s="19" t="n">
        <v>10</v>
      </c>
      <c r="F14" s="19" t="n">
        <v>10</v>
      </c>
      <c r="G14" s="17"/>
    </row>
    <row r="15" customFormat="false" ht="15" hidden="false" customHeight="false" outlineLevel="0" collapsed="false">
      <c r="A15" s="15" t="s">
        <v>87</v>
      </c>
      <c r="B15" s="19" t="n">
        <v>20</v>
      </c>
      <c r="C15" s="19" t="n">
        <v>20</v>
      </c>
      <c r="D15" s="19" t="n">
        <v>20</v>
      </c>
      <c r="E15" s="19" t="n">
        <v>20</v>
      </c>
      <c r="F15" s="19" t="n">
        <v>20</v>
      </c>
      <c r="G15" s="17"/>
    </row>
    <row r="16" customFormat="false" ht="15" hidden="false" customHeight="false" outlineLevel="0" collapsed="false">
      <c r="A16" s="15" t="s">
        <v>88</v>
      </c>
      <c r="B16" s="19" t="n">
        <v>20</v>
      </c>
      <c r="C16" s="19" t="n">
        <v>20</v>
      </c>
      <c r="D16" s="19" t="n">
        <v>20</v>
      </c>
      <c r="E16" s="19" t="n">
        <v>20</v>
      </c>
      <c r="F16" s="19" t="n">
        <v>20</v>
      </c>
      <c r="G16" s="17"/>
    </row>
    <row r="17" customFormat="false" ht="15" hidden="false" customHeight="false" outlineLevel="0" collapsed="false">
      <c r="A17" s="15" t="s">
        <v>89</v>
      </c>
      <c r="B17" s="19" t="n">
        <v>20</v>
      </c>
      <c r="C17" s="19" t="n">
        <v>20</v>
      </c>
      <c r="D17" s="19" t="n">
        <v>20</v>
      </c>
      <c r="E17" s="19" t="n">
        <v>20</v>
      </c>
      <c r="F17" s="19" t="n">
        <v>20</v>
      </c>
      <c r="G17" s="17"/>
    </row>
    <row r="18" customFormat="false" ht="15" hidden="false" customHeight="false" outlineLevel="0" collapsed="false">
      <c r="A18" s="15" t="s">
        <v>90</v>
      </c>
      <c r="B18" s="19" t="n">
        <v>5</v>
      </c>
      <c r="C18" s="19" t="n">
        <v>5</v>
      </c>
      <c r="D18" s="19" t="n">
        <v>5</v>
      </c>
      <c r="E18" s="19" t="n">
        <v>5</v>
      </c>
      <c r="F18" s="19" t="n">
        <v>5</v>
      </c>
      <c r="G18" s="17"/>
    </row>
    <row r="19" customFormat="false" ht="15.5" hidden="false" customHeight="false" outlineLevel="0" collapsed="false">
      <c r="A19" s="15" t="s">
        <v>94</v>
      </c>
      <c r="B19" s="19" t="n">
        <v>25</v>
      </c>
      <c r="C19" s="19" t="n">
        <v>25</v>
      </c>
      <c r="D19" s="19" t="n">
        <v>25</v>
      </c>
      <c r="E19" s="19" t="n">
        <v>25</v>
      </c>
      <c r="F19" s="19" t="n">
        <v>25</v>
      </c>
      <c r="G19" s="18" t="s">
        <v>104</v>
      </c>
      <c r="H19" s="18"/>
    </row>
    <row r="20" customFormat="false" ht="15.5" hidden="false" customHeight="false" outlineLevel="0" collapsed="false">
      <c r="A20" s="17" t="s">
        <v>105</v>
      </c>
      <c r="B20" s="20" t="n">
        <f aca="false">SUM(B14:B19)</f>
        <v>100</v>
      </c>
      <c r="C20" s="20" t="n">
        <f aca="false">SUM(C14:C19)</f>
        <v>100</v>
      </c>
      <c r="D20" s="20" t="n">
        <f aca="false">SUM(D14:D19)</f>
        <v>100</v>
      </c>
      <c r="E20" s="20" t="n">
        <f aca="false">SUM(E14:E19)</f>
        <v>100</v>
      </c>
      <c r="F20" s="20" t="n">
        <f aca="false">SUM(F14:F19)</f>
        <v>100</v>
      </c>
      <c r="G20" s="17" t="s">
        <v>106</v>
      </c>
    </row>
    <row r="22" customFormat="false" ht="15.5" hidden="false" customHeight="false" outlineLevel="0" collapsed="false">
      <c r="A22" s="11" t="s">
        <v>107</v>
      </c>
      <c r="B22" s="11"/>
      <c r="C22" s="11"/>
      <c r="D22" s="11"/>
      <c r="E22" s="11"/>
      <c r="F22" s="11"/>
      <c r="G22" s="12"/>
      <c r="H22" s="12"/>
    </row>
    <row r="23" customFormat="false" ht="15.5" hidden="false" customHeight="false" outlineLevel="0" collapsed="false">
      <c r="A23" s="13" t="s">
        <v>108</v>
      </c>
      <c r="B23" s="13" t="s">
        <v>99</v>
      </c>
      <c r="C23" s="13" t="s">
        <v>100</v>
      </c>
      <c r="D23" s="13" t="s">
        <v>101</v>
      </c>
      <c r="E23" s="13" t="s">
        <v>102</v>
      </c>
      <c r="F23" s="13" t="s">
        <v>103</v>
      </c>
      <c r="G23" s="13" t="s">
        <v>84</v>
      </c>
    </row>
    <row r="24" customFormat="false" ht="15" hidden="false" customHeight="false" outlineLevel="0" collapsed="false">
      <c r="A24" s="17" t="s">
        <v>109</v>
      </c>
      <c r="B24" s="20" t="n">
        <f aca="false">B20</f>
        <v>100</v>
      </c>
      <c r="C24" s="20" t="n">
        <f aca="false">C20</f>
        <v>100</v>
      </c>
      <c r="D24" s="20" t="n">
        <f aca="false">D20</f>
        <v>100</v>
      </c>
      <c r="E24" s="20" t="n">
        <f aca="false">E20</f>
        <v>100</v>
      </c>
      <c r="F24" s="20" t="n">
        <f aca="false">F20</f>
        <v>100</v>
      </c>
      <c r="G24" s="18" t="s">
        <v>110</v>
      </c>
      <c r="H24" s="18"/>
    </row>
    <row r="25" customFormat="false" ht="15.5" hidden="false" customHeight="false" outlineLevel="0" collapsed="false">
      <c r="A25" s="17" t="s">
        <v>111</v>
      </c>
      <c r="B25" s="21" t="n">
        <f aca="false">B24^5</f>
        <v>10000000000</v>
      </c>
      <c r="C25" s="21" t="n">
        <f aca="false">C24^5</f>
        <v>10000000000</v>
      </c>
      <c r="D25" s="21" t="n">
        <f aca="false">D24^5</f>
        <v>10000000000</v>
      </c>
      <c r="E25" s="21" t="n">
        <f aca="false">E24^5</f>
        <v>10000000000</v>
      </c>
      <c r="F25" s="21" t="n">
        <f aca="false">F24^5</f>
        <v>10000000000</v>
      </c>
      <c r="G25" s="18" t="s">
        <v>112</v>
      </c>
      <c r="H25" s="18"/>
    </row>
    <row r="27" customFormat="false" ht="15.5" hidden="false" customHeight="false" outlineLevel="0" collapsed="false">
      <c r="A27" s="11" t="s">
        <v>113</v>
      </c>
      <c r="B27" s="11"/>
      <c r="C27" s="11"/>
      <c r="D27" s="11"/>
      <c r="E27" s="11"/>
      <c r="F27" s="11"/>
      <c r="G27" s="12"/>
      <c r="H27" s="12"/>
    </row>
    <row r="28" customFormat="false" ht="15" hidden="false" customHeight="false" outlineLevel="0" collapsed="false">
      <c r="A28" s="13" t="s">
        <v>114</v>
      </c>
      <c r="B28" s="14" t="s">
        <v>115</v>
      </c>
      <c r="C28" s="14" t="s">
        <v>116</v>
      </c>
      <c r="D28" s="14" t="s">
        <v>117</v>
      </c>
      <c r="E28" s="14" t="s">
        <v>118</v>
      </c>
      <c r="F28" s="13" t="s">
        <v>105</v>
      </c>
      <c r="G28" s="13"/>
    </row>
    <row r="29" customFormat="false" ht="15.5" hidden="false" customHeight="false" outlineLevel="0" collapsed="false">
      <c r="A29" s="17" t="s">
        <v>119</v>
      </c>
      <c r="B29" s="22" t="n">
        <v>0.25</v>
      </c>
      <c r="C29" s="22" t="n">
        <v>0.25</v>
      </c>
      <c r="D29" s="22" t="n">
        <v>0.25</v>
      </c>
      <c r="E29" s="22" t="n">
        <v>0.25</v>
      </c>
      <c r="F29" s="39" t="n">
        <f aca="false">SUM(B29:E29)</f>
        <v>1</v>
      </c>
      <c r="G29" s="17"/>
    </row>
    <row r="30" customFormat="false" ht="15.5" hidden="false" customHeight="false" outlineLevel="0" collapsed="false">
      <c r="A30" s="17" t="s">
        <v>120</v>
      </c>
      <c r="B30" s="22" t="n">
        <v>0.25</v>
      </c>
      <c r="C30" s="22" t="n">
        <v>0.25</v>
      </c>
      <c r="D30" s="22" t="n">
        <v>0.25</v>
      </c>
      <c r="E30" s="22" t="n">
        <v>0.25</v>
      </c>
      <c r="F30" s="39" t="n">
        <f aca="false">SUM(B30:E30)</f>
        <v>1</v>
      </c>
      <c r="G30" s="17"/>
    </row>
    <row r="31" customFormat="false" ht="15.5" hidden="false" customHeight="false" outlineLevel="0" collapsed="false">
      <c r="A31" s="17" t="s">
        <v>121</v>
      </c>
      <c r="B31" s="22" t="n">
        <v>0.25</v>
      </c>
      <c r="C31" s="22" t="n">
        <v>0.25</v>
      </c>
      <c r="D31" s="22" t="n">
        <v>0.25</v>
      </c>
      <c r="E31" s="22" t="n">
        <v>0.25</v>
      </c>
      <c r="F31" s="39" t="n">
        <f aca="false">SUM(B31:E31)</f>
        <v>1</v>
      </c>
      <c r="G31" s="17"/>
    </row>
    <row r="32" customFormat="false" ht="15.5" hidden="false" customHeight="false" outlineLevel="0" collapsed="false">
      <c r="A32" s="17" t="s">
        <v>122</v>
      </c>
      <c r="B32" s="22" t="n">
        <v>0.25</v>
      </c>
      <c r="C32" s="22" t="n">
        <v>0.25</v>
      </c>
      <c r="D32" s="22" t="n">
        <v>0.25</v>
      </c>
      <c r="E32" s="22" t="n">
        <v>0.25</v>
      </c>
      <c r="F32" s="39" t="n">
        <f aca="false">SUM(B32:E32)</f>
        <v>1</v>
      </c>
      <c r="G32" s="17"/>
    </row>
    <row r="33" customFormat="false" ht="15.5" hidden="false" customHeight="false" outlineLevel="0" collapsed="false">
      <c r="A33" s="17" t="s">
        <v>123</v>
      </c>
      <c r="B33" s="22" t="n">
        <v>0.25</v>
      </c>
      <c r="C33" s="22" t="n">
        <v>0.25</v>
      </c>
      <c r="D33" s="22" t="n">
        <v>0.25</v>
      </c>
      <c r="E33" s="22" t="n">
        <v>0.25</v>
      </c>
      <c r="F33" s="39" t="n">
        <f aca="false">SUM(B33:E33)</f>
        <v>1</v>
      </c>
      <c r="G33" s="17"/>
    </row>
    <row r="35" customFormat="false" ht="15.5" hidden="false" customHeight="false" outlineLevel="0" collapsed="false">
      <c r="A35" s="11" t="s">
        <v>124</v>
      </c>
      <c r="B35" s="11"/>
      <c r="C35" s="11"/>
      <c r="D35" s="11"/>
      <c r="E35" s="11"/>
      <c r="F35" s="11"/>
      <c r="G35" s="12"/>
      <c r="H35" s="12"/>
    </row>
    <row r="36" customFormat="false" ht="15.5" hidden="false" customHeight="false" outlineLevel="0" collapsed="false">
      <c r="A36" s="13" t="s">
        <v>79</v>
      </c>
      <c r="B36" s="13" t="s">
        <v>99</v>
      </c>
      <c r="C36" s="13" t="s">
        <v>100</v>
      </c>
      <c r="D36" s="13" t="s">
        <v>101</v>
      </c>
      <c r="E36" s="13" t="s">
        <v>102</v>
      </c>
      <c r="F36" s="13" t="s">
        <v>103</v>
      </c>
      <c r="G36" s="13"/>
    </row>
    <row r="37" customFormat="false" ht="15" hidden="false" customHeight="false" outlineLevel="0" collapsed="false">
      <c r="A37" s="24" t="s">
        <v>85</v>
      </c>
      <c r="B37" s="25" t="n">
        <f aca="false">B14+B18+B19*$E$29</f>
        <v>21.25</v>
      </c>
      <c r="C37" s="25" t="n">
        <f aca="false">C14+C18+C19*$E$30</f>
        <v>21.25</v>
      </c>
      <c r="D37" s="25" t="n">
        <f aca="false">D14+D18+D19*$E$31</f>
        <v>21.25</v>
      </c>
      <c r="E37" s="25" t="n">
        <f aca="false">E14+E18+E19*$E$32</f>
        <v>21.25</v>
      </c>
      <c r="F37" s="25" t="n">
        <f aca="false">F14+F18+F19*$E$33</f>
        <v>21.25</v>
      </c>
      <c r="G37" s="17"/>
    </row>
    <row r="38" customFormat="false" ht="15" hidden="false" customHeight="false" outlineLevel="0" collapsed="false">
      <c r="A38" s="24" t="s">
        <v>87</v>
      </c>
      <c r="B38" s="25" t="n">
        <f aca="false">B15+B18+B19*$D$29</f>
        <v>31.25</v>
      </c>
      <c r="C38" s="25" t="n">
        <f aca="false">C15+C18+C19*$D$30</f>
        <v>31.25</v>
      </c>
      <c r="D38" s="25" t="n">
        <f aca="false">D15+D18+D19*$D$31</f>
        <v>31.25</v>
      </c>
      <c r="E38" s="25" t="n">
        <f aca="false">E15+E18+E19*$D$32</f>
        <v>31.25</v>
      </c>
      <c r="F38" s="25" t="n">
        <f aca="false">F15+F18+F19*$D$33</f>
        <v>31.25</v>
      </c>
      <c r="G38" s="17"/>
    </row>
    <row r="39" customFormat="false" ht="15" hidden="false" customHeight="false" outlineLevel="0" collapsed="false">
      <c r="A39" s="24" t="s">
        <v>88</v>
      </c>
      <c r="B39" s="25" t="n">
        <f aca="false">B16+B18+B19*$C$29</f>
        <v>31.25</v>
      </c>
      <c r="C39" s="25" t="n">
        <f aca="false">C16+C18+C19*$C$30</f>
        <v>31.25</v>
      </c>
      <c r="D39" s="25" t="n">
        <f aca="false">D16+D18+D19*$C$31</f>
        <v>31.25</v>
      </c>
      <c r="E39" s="25" t="n">
        <f aca="false">E16+E18+E19*$C$32</f>
        <v>31.25</v>
      </c>
      <c r="F39" s="25" t="n">
        <f aca="false">F16+F18+F19*$C$33</f>
        <v>31.25</v>
      </c>
      <c r="G39" s="17"/>
    </row>
    <row r="40" customFormat="false" ht="15" hidden="false" customHeight="false" outlineLevel="0" collapsed="false">
      <c r="A40" s="24" t="s">
        <v>89</v>
      </c>
      <c r="B40" s="25" t="n">
        <f aca="false">B17+B18+B19*$B$29</f>
        <v>31.25</v>
      </c>
      <c r="C40" s="25" t="n">
        <f aca="false">C17+C18+C19*$B$30</f>
        <v>31.25</v>
      </c>
      <c r="D40" s="25" t="n">
        <f aca="false">D17+D18+D19*$B$31</f>
        <v>31.25</v>
      </c>
      <c r="E40" s="25" t="n">
        <f aca="false">E17+E18+E19*$B$32</f>
        <v>31.25</v>
      </c>
      <c r="F40" s="25" t="n">
        <f aca="false">F17+F18+F19*$B$33</f>
        <v>31.25</v>
      </c>
      <c r="G40" s="17"/>
    </row>
    <row r="42" customFormat="false" ht="15.5" hidden="false" customHeight="false" outlineLevel="0" collapsed="false">
      <c r="A42" s="11" t="s">
        <v>125</v>
      </c>
      <c r="B42" s="11"/>
      <c r="C42" s="11"/>
      <c r="D42" s="11"/>
      <c r="E42" s="11"/>
      <c r="F42" s="11"/>
      <c r="G42" s="12"/>
      <c r="H42" s="12"/>
    </row>
    <row r="43" customFormat="false" ht="15.5" hidden="false" customHeight="false" outlineLevel="0" collapsed="false">
      <c r="A43" s="13" t="s">
        <v>79</v>
      </c>
      <c r="B43" s="13" t="s">
        <v>99</v>
      </c>
      <c r="C43" s="13" t="s">
        <v>100</v>
      </c>
      <c r="D43" s="13" t="s">
        <v>101</v>
      </c>
      <c r="E43" s="13" t="s">
        <v>102</v>
      </c>
      <c r="F43" s="13" t="s">
        <v>103</v>
      </c>
      <c r="G43" s="13"/>
    </row>
    <row r="44" customFormat="false" ht="15" hidden="false" customHeight="false" outlineLevel="0" collapsed="false">
      <c r="A44" s="24" t="s">
        <v>85</v>
      </c>
      <c r="B44" s="25" t="n">
        <f aca="false">B24-B37</f>
        <v>78.75</v>
      </c>
      <c r="C44" s="25" t="n">
        <f aca="false">C24-C37</f>
        <v>78.75</v>
      </c>
      <c r="D44" s="25" t="n">
        <f aca="false">D24-D37</f>
        <v>78.75</v>
      </c>
      <c r="E44" s="25" t="n">
        <f aca="false">E24-E37</f>
        <v>78.75</v>
      </c>
      <c r="F44" s="25" t="n">
        <f aca="false">F24-F37</f>
        <v>78.75</v>
      </c>
      <c r="G44" s="17"/>
    </row>
    <row r="45" customFormat="false" ht="15" hidden="false" customHeight="false" outlineLevel="0" collapsed="false">
      <c r="A45" s="24" t="s">
        <v>87</v>
      </c>
      <c r="B45" s="25" t="n">
        <f aca="false">B24-B38</f>
        <v>68.75</v>
      </c>
      <c r="C45" s="25" t="n">
        <f aca="false">C24-C38</f>
        <v>68.75</v>
      </c>
      <c r="D45" s="25" t="n">
        <f aca="false">D24-D38</f>
        <v>68.75</v>
      </c>
      <c r="E45" s="25" t="n">
        <f aca="false">E24-E38</f>
        <v>68.75</v>
      </c>
      <c r="F45" s="25" t="n">
        <f aca="false">F24-F38</f>
        <v>68.75</v>
      </c>
      <c r="G45" s="17"/>
    </row>
    <row r="46" customFormat="false" ht="15" hidden="false" customHeight="false" outlineLevel="0" collapsed="false">
      <c r="A46" s="24" t="s">
        <v>88</v>
      </c>
      <c r="B46" s="25" t="n">
        <f aca="false">B24-B39</f>
        <v>68.75</v>
      </c>
      <c r="C46" s="25" t="n">
        <f aca="false">C24-C39</f>
        <v>68.75</v>
      </c>
      <c r="D46" s="25" t="n">
        <f aca="false">D24-D39</f>
        <v>68.75</v>
      </c>
      <c r="E46" s="25" t="n">
        <f aca="false">E24-E39</f>
        <v>68.75</v>
      </c>
      <c r="F46" s="25" t="n">
        <f aca="false">F24-F39</f>
        <v>68.75</v>
      </c>
      <c r="G46" s="17"/>
    </row>
    <row r="47" customFormat="false" ht="15" hidden="false" customHeight="false" outlineLevel="0" collapsed="false">
      <c r="A47" s="24" t="s">
        <v>89</v>
      </c>
      <c r="B47" s="25" t="n">
        <f aca="false">B24-B40</f>
        <v>68.75</v>
      </c>
      <c r="C47" s="25" t="n">
        <f aca="false">C24-C40</f>
        <v>68.75</v>
      </c>
      <c r="D47" s="25" t="n">
        <f aca="false">D24-D40</f>
        <v>68.75</v>
      </c>
      <c r="E47" s="25" t="n">
        <f aca="false">E24-E40</f>
        <v>68.75</v>
      </c>
      <c r="F47" s="25" t="n">
        <f aca="false">F24-F40</f>
        <v>68.75</v>
      </c>
      <c r="G47" s="17"/>
    </row>
    <row r="49" customFormat="false" ht="15.5" hidden="false" customHeight="false" outlineLevel="0" collapsed="false">
      <c r="A49" s="11" t="s">
        <v>126</v>
      </c>
      <c r="B49" s="11"/>
      <c r="C49" s="11"/>
      <c r="D49" s="11"/>
      <c r="E49" s="11"/>
      <c r="F49" s="11"/>
      <c r="G49" s="12"/>
      <c r="H49" s="12"/>
    </row>
    <row r="50" customFormat="false" ht="15.5" hidden="false" customHeight="false" outlineLevel="0" collapsed="false">
      <c r="A50" s="13" t="s">
        <v>79</v>
      </c>
      <c r="B50" s="37">
        <v>5</v>
      </c>
      <c r="C50" s="37">
        <v>4</v>
      </c>
      <c r="D50" s="37">
        <v>3</v>
      </c>
      <c r="E50" s="13" t="s">
        <v>111</v>
      </c>
      <c r="F50" s="13" t="s">
        <v>130</v>
      </c>
      <c r="G50" s="14" t="s">
        <v>131</v>
      </c>
    </row>
    <row r="51" customFormat="false" ht="15" hidden="false" customHeight="false" outlineLevel="0" collapsed="false">
      <c r="A51" s="24" t="s">
        <v>85</v>
      </c>
      <c r="B51" s="20" t="n">
        <f aca="false">B37*C37*D37*E37*F37</f>
        <v>4333059.69238281</v>
      </c>
      <c r="C51" s="20" t="n">
        <f aca="false">B37*C37*D37*E37*F44</f>
        <v>16057809.4482422</v>
      </c>
      <c r="D51" s="20" t="n">
        <f aca="false">B37*C37*D37*E44*$B$24</f>
        <v>75566162.109375</v>
      </c>
      <c r="E51" s="21" t="n">
        <f aca="false">$B$24^5</f>
        <v>10000000000</v>
      </c>
      <c r="F51" s="40" t="n">
        <f aca="false">IF($B$24^5&lt;=0,0,(B51+C51+D51)/$B$24^5)</f>
        <v>0.009595703125</v>
      </c>
      <c r="G51" s="41" t="n">
        <f aca="false">(B51/$B$24^5)*100+(C51/$B$24^5)*25+(D51/$B$24^5)*5</f>
        <v>0.121258201599121</v>
      </c>
    </row>
    <row r="52" customFormat="false" ht="15" hidden="false" customHeight="false" outlineLevel="0" collapsed="false">
      <c r="A52" s="24" t="s">
        <v>87</v>
      </c>
      <c r="B52" s="20" t="n">
        <f aca="false">B38*C38*D38*E38*F38</f>
        <v>29802322.3876953</v>
      </c>
      <c r="C52" s="20" t="n">
        <f aca="false">B38*C38*D38*E38*F45</f>
        <v>65565109.2529297</v>
      </c>
      <c r="D52" s="20" t="n">
        <f aca="false">B38*C38*D38*E45*$B$24</f>
        <v>209808349.609375</v>
      </c>
      <c r="E52" s="21" t="n">
        <f aca="false">$B$24^5</f>
        <v>10000000000</v>
      </c>
      <c r="F52" s="40" t="n">
        <f aca="false">IF($B$24^5&lt;=0,0,(B52+C52+D52)/$B$24^5)</f>
        <v>0.030517578125</v>
      </c>
      <c r="G52" s="41" t="n">
        <f aca="false">(B52/$B$24^5)*50+(C52/$B$24^5)*13+(D52/$B$24^5)*3</f>
        <v>0.297188758850098</v>
      </c>
    </row>
    <row r="53" customFormat="false" ht="15" hidden="false" customHeight="false" outlineLevel="0" collapsed="false">
      <c r="A53" s="24" t="s">
        <v>88</v>
      </c>
      <c r="B53" s="20" t="n">
        <f aca="false">B39*C39*D39*E39*F39</f>
        <v>29802322.3876953</v>
      </c>
      <c r="C53" s="20" t="n">
        <f aca="false">B39*C39*D39*E39*F46</f>
        <v>65565109.2529297</v>
      </c>
      <c r="D53" s="20" t="n">
        <f aca="false">B39*C39*D39*E46*$B$24</f>
        <v>209808349.609375</v>
      </c>
      <c r="E53" s="21" t="n">
        <f aca="false">$B$24^5</f>
        <v>10000000000</v>
      </c>
      <c r="F53" s="40" t="n">
        <f aca="false">IF($B$24^5&lt;=0,0,(B53+C53+D53)/$B$24^5)</f>
        <v>0.030517578125</v>
      </c>
      <c r="G53" s="41" t="n">
        <f aca="false">(B53/$B$24^5)*38+(C53/$B$24^5)*10+(D53/$B$24^5)*3</f>
        <v>0.241756439208984</v>
      </c>
    </row>
    <row r="54" customFormat="false" ht="15" hidden="false" customHeight="false" outlineLevel="0" collapsed="false">
      <c r="A54" s="24" t="s">
        <v>89</v>
      </c>
      <c r="B54" s="20" t="n">
        <f aca="false">B40*C40*D40*E40*F40</f>
        <v>29802322.3876953</v>
      </c>
      <c r="C54" s="20" t="n">
        <f aca="false">B40*C40*D40*E40*F47</f>
        <v>65565109.2529297</v>
      </c>
      <c r="D54" s="20" t="n">
        <f aca="false">B40*C40*D40*E47*$B$24</f>
        <v>209808349.609375</v>
      </c>
      <c r="E54" s="21" t="n">
        <f aca="false">$B$24^5</f>
        <v>10000000000</v>
      </c>
      <c r="F54" s="40" t="n">
        <f aca="false">IF($B$24^5&lt;=0,0,(B54+C54+D54)/$B$24^5)</f>
        <v>0.030517578125</v>
      </c>
      <c r="G54" s="41" t="n">
        <f aca="false">(B54/$B$24^5)*25+(C54/$B$24^5)*8+(D54/$B$24^5)*3</f>
        <v>0.189900398254395</v>
      </c>
    </row>
    <row r="55" customFormat="false" ht="15.5" hidden="false" customHeight="false" outlineLevel="0" collapsed="false">
      <c r="A55" s="17" t="s">
        <v>132</v>
      </c>
      <c r="B55" s="17"/>
      <c r="C55" s="17"/>
      <c r="D55" s="17"/>
      <c r="E55" s="17"/>
      <c r="F55" s="40" t="n">
        <f aca="false">IF($B$24^5&lt;=0,0,SUM(F51:F54))</f>
        <v>0.1011484375</v>
      </c>
      <c r="G55" s="42" t="n">
        <f aca="false">SUM(G51:G54)</f>
        <v>0.850103797912598</v>
      </c>
    </row>
    <row r="56" customFormat="false" ht="15.5" hidden="false" customHeight="true" outlineLevel="0" collapsed="false">
      <c r="A56" s="29" t="s">
        <v>133</v>
      </c>
      <c r="B56" s="29"/>
      <c r="C56" s="29"/>
      <c r="D56" s="29"/>
      <c r="E56" s="29"/>
      <c r="F56" s="29"/>
      <c r="G56" s="29"/>
      <c r="H56" s="29"/>
    </row>
    <row r="57" customFormat="false" ht="15.5" hidden="false" customHeight="true" outlineLevel="0" collapsed="false">
      <c r="A57" s="29" t="s">
        <v>134</v>
      </c>
      <c r="B57" s="29"/>
      <c r="C57" s="29"/>
      <c r="D57" s="29"/>
      <c r="E57" s="29"/>
    </row>
    <row r="59" customFormat="false" ht="15.5" hidden="false" customHeight="false" outlineLevel="0" collapsed="false">
      <c r="A59" s="11" t="s">
        <v>135</v>
      </c>
      <c r="B59" s="11"/>
      <c r="C59" s="11"/>
      <c r="D59" s="12"/>
      <c r="E59" s="12"/>
      <c r="F59" s="12"/>
      <c r="G59" s="12"/>
      <c r="H59" s="12"/>
    </row>
    <row r="60" customFormat="false" ht="15" hidden="false" customHeight="false" outlineLevel="0" collapsed="false">
      <c r="A60" s="13" t="s">
        <v>136</v>
      </c>
      <c r="B60" s="13" t="s">
        <v>137</v>
      </c>
      <c r="C60" s="13" t="s">
        <v>84</v>
      </c>
      <c r="D60" s="13"/>
      <c r="E60" s="13"/>
      <c r="F60" s="13"/>
      <c r="G60" s="13"/>
    </row>
    <row r="61" customFormat="false" ht="15.5" hidden="false" customHeight="false" outlineLevel="0" collapsed="false">
      <c r="A61" s="17" t="s">
        <v>138</v>
      </c>
      <c r="B61" s="17" t="str">
        <f aca="false">IF(AND(B20=100,C20=100,D20=100,E20=100,F20=100),"✓","✗")</f>
        <v>✓</v>
      </c>
      <c r="C61" s="18" t="s">
        <v>139</v>
      </c>
      <c r="D61" s="18"/>
      <c r="E61" s="17"/>
      <c r="F61" s="17"/>
      <c r="G61" s="17"/>
    </row>
    <row r="62" customFormat="false" ht="15.5" hidden="false" customHeight="false" outlineLevel="0" collapsed="false">
      <c r="A62" s="17" t="s">
        <v>140</v>
      </c>
      <c r="B62" s="17" t="str">
        <f aca="false">IF(ABS(B40-31.25)&lt;0.0001,"✓","✗")</f>
        <v>✓</v>
      </c>
      <c r="C62" s="18" t="s">
        <v>141</v>
      </c>
      <c r="D62" s="18"/>
      <c r="E62" s="17"/>
      <c r="F62" s="17"/>
      <c r="G62" s="17"/>
    </row>
    <row r="63" customFormat="false" ht="15.5" hidden="false" customHeight="false" outlineLevel="0" collapsed="false">
      <c r="A63" s="17" t="s">
        <v>142</v>
      </c>
      <c r="B63" s="17" t="str">
        <f aca="false">IF(ABS(B37-21.25)&lt;0.0001,"✓","✗")</f>
        <v>✓</v>
      </c>
      <c r="C63" s="18" t="s">
        <v>143</v>
      </c>
      <c r="D63" s="18"/>
      <c r="E63" s="17"/>
      <c r="F63" s="17"/>
      <c r="G63" s="17"/>
    </row>
    <row r="64" customFormat="false" ht="15.5" hidden="false" customHeight="false" outlineLevel="0" collapsed="false">
      <c r="A64" s="17" t="s">
        <v>144</v>
      </c>
      <c r="B64" s="17" t="str">
        <f aca="false">IF(ABS(B47-68.75)&lt;0.0001,"✓","✗")</f>
        <v>✓</v>
      </c>
      <c r="C64" s="17" t="s">
        <v>145</v>
      </c>
      <c r="D64" s="17"/>
      <c r="E64" s="17"/>
      <c r="F64" s="17"/>
      <c r="G64" s="17"/>
    </row>
    <row r="65" customFormat="false" ht="15.5" hidden="false" customHeight="false" outlineLevel="0" collapsed="false">
      <c r="A65" s="17" t="s">
        <v>146</v>
      </c>
      <c r="B65" s="17" t="str">
        <f aca="false">IF(ABS(B44-78.75)&lt;0.0001,"✓","✗")</f>
        <v>✓</v>
      </c>
      <c r="C65" s="17" t="s">
        <v>145</v>
      </c>
      <c r="D65" s="17"/>
      <c r="E65" s="17"/>
      <c r="F65" s="17"/>
      <c r="G65" s="17"/>
    </row>
    <row r="66" customFormat="false" ht="15.5" hidden="false" customHeight="false" outlineLevel="0" collapsed="false">
      <c r="A66" s="17" t="s">
        <v>147</v>
      </c>
      <c r="B66" s="17" t="str">
        <f aca="false">IF(B24=100,"✓","✗")</f>
        <v>✓</v>
      </c>
      <c r="C66" s="18" t="s">
        <v>148</v>
      </c>
      <c r="D66" s="18"/>
      <c r="E66" s="17"/>
      <c r="F66" s="17"/>
      <c r="G66" s="17"/>
    </row>
  </sheetData>
  <mergeCells count="20">
    <mergeCell ref="A1:G1"/>
    <mergeCell ref="A3:F3"/>
    <mergeCell ref="F9:G9"/>
    <mergeCell ref="F10:H10"/>
    <mergeCell ref="A12:F12"/>
    <mergeCell ref="G19:H19"/>
    <mergeCell ref="A22:F22"/>
    <mergeCell ref="G24:H24"/>
    <mergeCell ref="G25:H25"/>
    <mergeCell ref="A27:F27"/>
    <mergeCell ref="A35:F35"/>
    <mergeCell ref="A42:F42"/>
    <mergeCell ref="A49:F49"/>
    <mergeCell ref="A56:H56"/>
    <mergeCell ref="A57:E57"/>
    <mergeCell ref="A59:C59"/>
    <mergeCell ref="C61:D61"/>
    <mergeCell ref="C62:D62"/>
    <mergeCell ref="C63:D63"/>
    <mergeCell ref="C66:D6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M86" evalError="1" twoDigitTextYear="1" numberStoredAsText="1" formula="1" formulaRange="1" unlockedFormula="1" emptyCellReference="1" listDataValidation="1" calculatedColumn="1"/>
  </ignoredErrors>
</worksheet>
</file>

<file path=docProps/app.xml><?xml version="1.0" encoding="utf-8"?>
<Properties xmlns="http://schemas.openxmlformats.org/officeDocument/2006/extended-properties" xmlns:vt="http://schemas.openxmlformats.org/officeDocument/2006/docPropsVTypes">
  <Template/>
  <TotalTime>0</TotalTime>
  <Application>LibreOffice/26.2.2.2$Windows_X86_64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2026-09-29T15:06:23Z</dcterms:created>
  <dc:creator>openpyxl</dc:creator>
  <dc:description/>
  <dc:language>zh-CN</dc:language>
  <cp:lastModifiedBy/>
  <dcterms:modified xsi:type="dcterms:W3CDTF">2026-09-29T15:06:29Z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