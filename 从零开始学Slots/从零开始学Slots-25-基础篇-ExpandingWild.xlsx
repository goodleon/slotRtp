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<sst xmlns="http://schemas.openxmlformats.org/spreadsheetml/2006/main" count="181" uniqueCount="179">
  <si>
    <r>
      <rPr>
        <b val="true"/>
        <sz val="14"/>
        <color rgb="FF1F4E79"/>
        <rFont val="Noto Sans SC"/>
        <family val="2"/>
        <charset val="134"/>
      </rPr>
      <t xml:space="preserve">从零开始学</t>
    </r>
    <r>
      <rPr>
        <b val="true"/>
        <sz val="14"/>
        <color rgb="FF1F4E79"/>
        <rFont val="Cambria"/>
        <family val="0"/>
        <charset val="1"/>
      </rPr>
      <t xml:space="preserve">Slots 25 —— </t>
    </r>
    <r>
      <rPr>
        <b val="true"/>
        <sz val="14"/>
        <color rgb="FF1F4E79"/>
        <rFont val="Noto Sans SC"/>
        <family val="2"/>
        <charset val="134"/>
      </rPr>
      <t xml:space="preserve">基础篇：</t>
    </r>
    <r>
      <rPr>
        <b val="true"/>
        <sz val="14"/>
        <color rgb="FF1F4E79"/>
        <rFont val="Cambria"/>
        <family val="0"/>
        <charset val="1"/>
      </rPr>
      <t xml:space="preserve">Expanding Wild</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</si>
  <si>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Expanding Wild</t>
    </r>
    <r>
      <rPr>
        <sz val="11"/>
        <color rgb="FF808080"/>
        <rFont val="Noto Sans SC"/>
        <family val="2"/>
        <charset val="134"/>
      </rPr>
      <t xml:space="preserve">》  </t>
    </r>
    <r>
      <rPr>
        <sz val="11"/>
        <color rgb="FF808080"/>
        <rFont val="Cambria"/>
        <family val="0"/>
        <charset val="1"/>
      </rPr>
      <t xml:space="preserve">https://zhuanlan.zhihu.com/p/629840640</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</si>
  <si>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</si>
  <si>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</si>
  <si>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</si>
  <si>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配表说明：本篇为机制篇，原文未给出具体配置数值；【</t>
    </r>
    <r>
      <rPr>
        <sz val="11"/>
        <color rgb="FF808080"/>
        <rFont val="Cambria"/>
        <family val="0"/>
        <charset val="1"/>
      </rPr>
      <t xml:space="preserve">3</t>
    </r>
    <r>
      <rPr>
        <sz val="11"/>
        <color rgb="FF808080"/>
        <rFont val="Noto Sans SC"/>
        <family val="2"/>
        <charset val="134"/>
      </rPr>
      <t xml:space="preserve">】用 </t>
    </r>
    <r>
      <rPr>
        <sz val="11"/>
        <color rgb="FF808080"/>
        <rFont val="Cambria"/>
        <family val="0"/>
        <charset val="1"/>
      </rPr>
      <t xml:space="preserve">3*3 </t>
    </r>
    <r>
      <rPr>
        <sz val="11"/>
        <color rgb="FF808080"/>
        <rFont val="Noto Sans SC"/>
        <family val="2"/>
        <charset val="134"/>
      </rPr>
      <t xml:space="preserve">的示意数值（蓝字可改）展示「拓展 </t>
    </r>
    <r>
      <rPr>
        <sz val="11"/>
        <color rgb="FF808080"/>
        <rFont val="Cambria"/>
        <family val="0"/>
        <charset val="1"/>
      </rPr>
      <t xml:space="preserve">= </t>
    </r>
    <r>
      <rPr>
        <sz val="11"/>
        <color rgb="FF808080"/>
        <rFont val="Noto Sans SC"/>
        <family val="2"/>
        <charset val="134"/>
      </rPr>
      <t xml:space="preserve">该列中奖率视为 </t>
    </r>
    <r>
      <rPr>
        <sz val="11"/>
        <color rgb="FF808080"/>
        <rFont val="Cambria"/>
        <family val="0"/>
        <charset val="1"/>
      </rPr>
      <t xml:space="preserve">100%</t>
    </r>
    <r>
      <rPr>
        <sz val="11"/>
        <color rgb="FF808080"/>
        <rFont val="Noto Sans SC"/>
        <family val="2"/>
        <charset val="134"/>
      </rPr>
      <t xml:space="preserve">」对中奖率的放大效果，用于建立直觉；含拓展百搭的实际数值模型（分拓展前</t>
    </r>
    <r>
      <rPr>
        <sz val="11"/>
        <color rgb="FF808080"/>
        <rFont val="Cambria"/>
        <family val="0"/>
        <charset val="1"/>
      </rPr>
      <t xml:space="preserve">/</t>
    </r>
    <r>
      <rPr>
        <sz val="11"/>
        <color rgb="FF808080"/>
        <rFont val="Noto Sans SC"/>
        <family val="2"/>
        <charset val="134"/>
      </rPr>
      <t xml:space="preserve">拓展后两套卷轴加权）见 </t>
    </r>
    <r>
      <rPr>
        <sz val="11"/>
        <color rgb="FF808080"/>
        <rFont val="Cambria"/>
        <family val="0"/>
        <charset val="1"/>
      </rPr>
      <t xml:space="preserve">34</t>
    </r>
    <r>
      <rPr>
        <sz val="11"/>
        <color rgb="FF808080"/>
        <rFont val="Noto Sans SC"/>
        <family val="2"/>
        <charset val="134"/>
      </rPr>
      <t xml:space="preserve">、</t>
    </r>
    <r>
      <rPr>
        <sz val="11"/>
        <color rgb="FF808080"/>
        <rFont val="Cambria"/>
        <family val="0"/>
        <charset val="1"/>
      </rPr>
      <t xml:space="preserve">35 </t>
    </r>
    <r>
      <rPr>
        <sz val="11"/>
        <color rgb="FF808080"/>
        <rFont val="Noto Sans SC"/>
        <family val="2"/>
        <charset val="134"/>
      </rPr>
      <t xml:space="preserve">两篇。</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</si>
  <si>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</si>
  <si>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</si>
  <si>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</si>
  <si>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</si>
  <si>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images/slots/629840640-NN.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</si>
  <si>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</si>
  <si>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</si>
  <si>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</si>
  <si>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百搭图标（</t>
    </r>
    <r>
      <rPr>
        <sz val="11"/>
        <color theme="1"/>
        <rFont val="Calibri"/>
        <family val="2"/>
        <charset val="1"/>
      </rPr>
      <t xml:space="preserve">Wild</t>
    </r>
    <r>
      <rPr>
        <sz val="11"/>
        <color theme="1"/>
        <rFont val="Noto Sans SC"/>
        <family val="2"/>
        <charset val="134"/>
      </rPr>
      <t xml:space="preserve">）在 </t>
    </r>
    <r>
      <rPr>
        <sz val="11"/>
        <color theme="1"/>
        <rFont val="Calibri"/>
        <family val="2"/>
        <charset val="1"/>
      </rPr>
      <t xml:space="preserve">Slots </t>
    </r>
    <r>
      <rPr>
        <sz val="11"/>
        <color theme="1"/>
        <rFont val="Noto Sans SC"/>
        <family val="2"/>
        <charset val="134"/>
      </rPr>
      <t xml:space="preserve">里相当于扑克中的 </t>
    </r>
    <r>
      <rPr>
        <sz val="11"/>
        <color theme="1"/>
        <rFont val="Calibri"/>
        <family val="2"/>
        <charset val="1"/>
      </rPr>
      <t xml:space="preserve">Joker</t>
    </r>
    <r>
      <rPr>
        <sz val="11"/>
        <color theme="1"/>
        <rFont val="Noto Sans SC"/>
        <family val="2"/>
        <charset val="134"/>
      </rPr>
      <t xml:space="preserve">：让原本不成型的牌型重整；</t>
    </r>
  </si>
  <si>
    <r>
      <rPr>
        <sz val="11"/>
        <color theme="1"/>
        <rFont val="Noto Sans SC"/>
        <family val="2"/>
        <charset val="134"/>
      </rPr>
      <t xml:space="preserve">  在 </t>
    </r>
    <r>
      <rPr>
        <sz val="11"/>
        <color theme="1"/>
        <rFont val="Calibri"/>
        <family val="2"/>
        <charset val="1"/>
      </rPr>
      <t xml:space="preserve">Slots </t>
    </r>
    <r>
      <rPr>
        <sz val="11"/>
        <color theme="1"/>
        <rFont val="Noto Sans SC"/>
        <family val="2"/>
        <charset val="134"/>
      </rPr>
      <t xml:space="preserve">中没有玩家对局，</t>
    </r>
    <r>
      <rPr>
        <sz val="11"/>
        <color theme="1"/>
        <rFont val="Calibri"/>
        <family val="2"/>
        <charset val="1"/>
      </rPr>
      <t xml:space="preserve">Wild </t>
    </r>
    <r>
      <rPr>
        <sz val="11"/>
        <color theme="1"/>
        <rFont val="Noto Sans SC"/>
        <family val="2"/>
        <charset val="134"/>
      </rPr>
      <t xml:space="preserve">的作用是提高中奖率、提升赔付额。</t>
    </r>
  </si>
  <si>
    <r>
      <rPr>
        <sz val="11"/>
        <color theme="1"/>
        <rFont val="Calibri"/>
        <family val="2"/>
        <charset val="1"/>
      </rPr>
      <t xml:space="preserve">· </t>
    </r>
    <r>
      <rPr>
        <sz val="11"/>
        <color theme="1"/>
        <rFont val="Noto Sans SC"/>
        <family val="2"/>
        <charset val="134"/>
      </rPr>
      <t xml:space="preserve">拓展百搭（</t>
    </r>
    <r>
      <rPr>
        <sz val="11"/>
        <color theme="1"/>
        <rFont val="Calibri"/>
        <family val="2"/>
        <charset val="1"/>
      </rPr>
      <t xml:space="preserve">Expanding Wild</t>
    </r>
    <r>
      <rPr>
        <sz val="11"/>
        <color theme="1"/>
        <rFont val="Noto Sans SC"/>
        <family val="2"/>
        <charset val="134"/>
      </rPr>
      <t xml:space="preserve">）：当带拓展属性的 </t>
    </r>
    <r>
      <rPr>
        <sz val="11"/>
        <color theme="1"/>
        <rFont val="Calibri"/>
        <family val="2"/>
        <charset val="1"/>
      </rPr>
      <t xml:space="preserve">Wild </t>
    </r>
    <r>
      <rPr>
        <sz val="11"/>
        <color theme="1"/>
        <rFont val="Noto Sans SC"/>
        <family val="2"/>
        <charset val="134"/>
      </rPr>
      <t xml:space="preserve">出现在卷轴上时，向上下两个方向发展，</t>
    </r>
  </si>
  <si>
    <r>
      <rPr>
        <sz val="11"/>
        <color theme="1"/>
        <rFont val="Noto Sans SC"/>
        <family val="2"/>
        <charset val="134"/>
      </rPr>
      <t xml:space="preserve">  直到整列都变成 </t>
    </r>
    <r>
      <rPr>
        <sz val="11"/>
        <color theme="1"/>
        <rFont val="Calibri"/>
        <family val="2"/>
        <charset val="1"/>
      </rPr>
      <t xml:space="preserve">Wild</t>
    </r>
    <r>
      <rPr>
        <sz val="11"/>
        <color theme="1"/>
        <rFont val="Noto Sans SC"/>
        <family val="2"/>
        <charset val="134"/>
      </rPr>
      <t xml:space="preserve">；这些拓展出来的 </t>
    </r>
    <r>
      <rPr>
        <sz val="11"/>
        <color theme="1"/>
        <rFont val="Calibri"/>
        <family val="2"/>
        <charset val="1"/>
      </rPr>
      <t xml:space="preserve">Wild </t>
    </r>
    <r>
      <rPr>
        <sz val="11"/>
        <color theme="1"/>
        <rFont val="Noto Sans SC"/>
        <family val="2"/>
        <charset val="134"/>
      </rPr>
      <t xml:space="preserve">与常规 </t>
    </r>
    <r>
      <rPr>
        <sz val="11"/>
        <color theme="1"/>
        <rFont val="Calibri"/>
        <family val="2"/>
        <charset val="1"/>
      </rPr>
      <t xml:space="preserve">Wild </t>
    </r>
    <r>
      <rPr>
        <sz val="11"/>
        <color theme="1"/>
        <rFont val="Noto Sans SC"/>
        <family val="2"/>
        <charset val="134"/>
      </rPr>
      <t xml:space="preserve">无差别，结算时可视为任意标准图标。</t>
    </r>
  </si>
  <si>
    <r>
      <rPr>
        <sz val="11"/>
        <color theme="1"/>
        <rFont val="Calibri"/>
        <family val="2"/>
        <charset val="1"/>
      </rPr>
      <t xml:space="preserve">· </t>
    </r>
    <r>
      <rPr>
        <sz val="11"/>
        <color theme="1"/>
        <rFont val="Noto Sans SC"/>
        <family val="2"/>
        <charset val="134"/>
      </rPr>
      <t xml:space="preserve">注意覆盖规则：被拓展覆盖的图标只当作百搭处理，原本抽到的图标作废、不参与本局结算——</t>
    </r>
  </si>
  <si>
    <t xml:space="preserve">  开发和数值搭建都不能忽略这一步。</t>
  </si>
  <si>
    <r>
      <rPr>
        <sz val="11"/>
        <color theme="1"/>
        <rFont val="Calibri"/>
        <family val="2"/>
        <charset val="1"/>
      </rPr>
      <t xml:space="preserve">· </t>
    </r>
    <r>
      <rPr>
        <sz val="11"/>
        <color theme="1"/>
        <rFont val="Noto Sans SC"/>
        <family val="2"/>
        <charset val="134"/>
      </rPr>
      <t xml:space="preserve">拓展的直接影响是提高图标中奖几率；当多条 </t>
    </r>
    <r>
      <rPr>
        <sz val="11"/>
        <color theme="1"/>
        <rFont val="Calibri"/>
        <family val="2"/>
        <charset val="1"/>
      </rPr>
      <t xml:space="preserve">Pay Line </t>
    </r>
    <r>
      <rPr>
        <sz val="11"/>
        <color theme="1"/>
        <rFont val="Noto Sans SC"/>
        <family val="2"/>
        <charset val="134"/>
      </rPr>
      <t xml:space="preserve">因此同时满足中奖条件时，</t>
    </r>
  </si>
  <si>
    <t xml:space="preserve">  玩家拿到的赔付会显著高于常规。</t>
  </si>
  <si>
    <r>
      <rPr>
        <sz val="11"/>
        <color theme="1"/>
        <rFont val="Calibri"/>
        <family val="2"/>
        <charset val="1"/>
      </rPr>
      <t xml:space="preserve">· </t>
    </r>
    <r>
      <rPr>
        <sz val="11"/>
        <color theme="1"/>
        <rFont val="Noto Sans SC"/>
        <family val="2"/>
        <charset val="134"/>
      </rPr>
      <t xml:space="preserve">四种延展设计：① 多倍拓展百搭（拓展 ＋ 随机倍数）② 固定拓展百搭（只在特定列才拓展，</t>
    </r>
  </si>
  <si>
    <r>
      <rPr>
        <sz val="11"/>
        <color theme="1"/>
        <rFont val="Noto Sans SC"/>
        <family val="2"/>
        <charset val="134"/>
      </rPr>
      <t xml:space="preserve">  如 </t>
    </r>
    <r>
      <rPr>
        <sz val="11"/>
        <color theme="1"/>
        <rFont val="Calibri"/>
        <family val="2"/>
        <charset val="1"/>
      </rPr>
      <t xml:space="preserve">Hall of Gods </t>
    </r>
    <r>
      <rPr>
        <sz val="11"/>
        <color theme="1"/>
        <rFont val="Noto Sans SC"/>
        <family val="2"/>
        <charset val="134"/>
      </rPr>
      <t xml:space="preserve">普通摇只允许第三列的 </t>
    </r>
    <r>
      <rPr>
        <sz val="11"/>
        <color theme="1"/>
        <rFont val="Calibri"/>
        <family val="2"/>
        <charset val="1"/>
      </rPr>
      <t xml:space="preserve">Wild </t>
    </r>
    <r>
      <rPr>
        <sz val="11"/>
        <color theme="1"/>
        <rFont val="Noto Sans SC"/>
        <family val="2"/>
        <charset val="134"/>
      </rPr>
      <t xml:space="preserve">拓展）③ 粘性拓展（拓展出的 </t>
    </r>
    <r>
      <rPr>
        <sz val="11"/>
        <color theme="1"/>
        <rFont val="Calibri"/>
        <family val="2"/>
        <charset val="1"/>
      </rPr>
      <t xml:space="preserve">Wild </t>
    </r>
    <r>
      <rPr>
        <sz val="11"/>
        <color theme="1"/>
        <rFont val="Noto Sans SC"/>
        <family val="2"/>
        <charset val="134"/>
      </rPr>
      <t xml:space="preserve">中奖后消失，</t>
    </r>
  </si>
  <si>
    <t xml:space="preserve">  未中奖的留在原位直到中奖）④ 迷你拓展（只拓展相邻位置，而非整列）。</t>
  </si>
  <si>
    <r>
      <rPr>
        <sz val="11"/>
        <color theme="1"/>
        <rFont val="Calibri"/>
        <family val="2"/>
        <charset val="1"/>
      </rPr>
      <t xml:space="preserve">· </t>
    </r>
    <r>
      <rPr>
        <sz val="11"/>
        <color theme="1"/>
        <rFont val="Noto Sans SC"/>
        <family val="2"/>
        <charset val="134"/>
      </rPr>
      <t xml:space="preserve">本篇是机制篇；下一批数值篇（</t>
    </r>
    <r>
      <rPr>
        <sz val="11"/>
        <color theme="1"/>
        <rFont val="Calibri"/>
        <family val="2"/>
        <charset val="1"/>
      </rPr>
      <t xml:space="preserve">34/35</t>
    </r>
    <r>
      <rPr>
        <sz val="11"/>
        <color theme="1"/>
        <rFont val="Noto Sans SC"/>
        <family val="2"/>
        <charset val="134"/>
      </rPr>
      <t xml:space="preserve">）介绍含拓展百搭的 </t>
    </r>
    <r>
      <rPr>
        <sz val="11"/>
        <color theme="1"/>
        <rFont val="Calibri"/>
        <family val="2"/>
        <charset val="1"/>
      </rPr>
      <t xml:space="preserve">Slots </t>
    </r>
    <r>
      <rPr>
        <sz val="11"/>
        <color theme="1"/>
        <rFont val="Noto Sans SC"/>
        <family val="2"/>
        <charset val="134"/>
      </rPr>
      <t xml:space="preserve">数值模型。</t>
    </r>
  </si>
  <si>
    <t xml:space="preserve">原文整理（全文，按原文小标题分段）</t>
  </si>
  <si>
    <r>
      <rPr>
        <sz val="11"/>
        <color theme="1"/>
        <rFont val="Noto Sans SC"/>
        <family val="2"/>
        <charset val="134"/>
      </rPr>
      <t xml:space="preserve">百搭图标的出现可以追溯到</t>
    </r>
    <r>
      <rPr>
        <sz val="11"/>
        <color theme="1"/>
        <rFont val="Calibri"/>
        <family val="2"/>
        <charset val="1"/>
      </rPr>
      <t xml:space="preserve">3*3 Line Slots</t>
    </r>
    <r>
      <rPr>
        <sz val="11"/>
        <color theme="1"/>
        <rFont val="Noto Sans SC"/>
        <family val="2"/>
        <charset val="134"/>
      </rPr>
      <t xml:space="preserve">的诞生</t>
    </r>
  </si>
  <si>
    <r>
      <rPr>
        <sz val="11"/>
        <color theme="1"/>
        <rFont val="Noto Sans SC"/>
        <family val="2"/>
        <charset val="134"/>
      </rPr>
      <t xml:space="preserve">其被引入</t>
    </r>
    <r>
      <rPr>
        <sz val="11"/>
        <color theme="1"/>
        <rFont val="Calibri"/>
        <family val="2"/>
        <charset val="1"/>
      </rPr>
      <t xml:space="preserve">Slots</t>
    </r>
    <r>
      <rPr>
        <sz val="11"/>
        <color theme="1"/>
        <rFont val="Noto Sans SC"/>
        <family val="2"/>
        <charset val="134"/>
      </rPr>
      <t xml:space="preserve">玩法后，大大延展了</t>
    </r>
    <r>
      <rPr>
        <sz val="11"/>
        <color theme="1"/>
        <rFont val="Calibri"/>
        <family val="2"/>
        <charset val="1"/>
      </rPr>
      <t xml:space="preserve">Slots</t>
    </r>
    <r>
      <rPr>
        <sz val="11"/>
        <color theme="1"/>
        <rFont val="Noto Sans SC"/>
        <family val="2"/>
        <charset val="134"/>
      </rPr>
      <t xml:space="preserve">玩法的发展空间</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</si>
  <si>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629840640-01.jpg</t>
    </r>
  </si>
  <si>
    <r>
      <rPr>
        <sz val="11"/>
        <color theme="1"/>
        <rFont val="Noto Sans SC"/>
        <family val="2"/>
        <charset val="134"/>
      </rPr>
      <t xml:space="preserve">百搭图标本质上和扑克中的</t>
    </r>
    <r>
      <rPr>
        <sz val="11"/>
        <color theme="1"/>
        <rFont val="Calibri"/>
        <family val="2"/>
        <charset val="1"/>
      </rPr>
      <t xml:space="preserve">Joker</t>
    </r>
    <r>
      <rPr>
        <sz val="11"/>
        <color theme="1"/>
        <rFont val="Noto Sans SC"/>
        <family val="2"/>
        <charset val="134"/>
      </rPr>
      <t xml:space="preserve">比较类似</t>
    </r>
  </si>
  <si>
    <t xml:space="preserve">其能够在一些玩法中替代其他任意卡牌</t>
  </si>
  <si>
    <t xml:space="preserve">让原本无法获胜的牌型重整，在对局中起到至关重要的作用</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</si>
  <si>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629840640-02.jpg</t>
    </r>
  </si>
  <si>
    <r>
      <rPr>
        <sz val="11"/>
        <color theme="1"/>
        <rFont val="Noto Sans SC"/>
        <family val="2"/>
        <charset val="134"/>
      </rPr>
      <t xml:space="preserve">在</t>
    </r>
    <r>
      <rPr>
        <sz val="11"/>
        <color theme="1"/>
        <rFont val="Calibri"/>
        <family val="2"/>
        <charset val="1"/>
      </rPr>
      <t xml:space="preserve">Slots</t>
    </r>
    <r>
      <rPr>
        <sz val="11"/>
        <color theme="1"/>
        <rFont val="Noto Sans SC"/>
        <family val="2"/>
        <charset val="134"/>
      </rPr>
      <t xml:space="preserve">玩法中，一般并没有玩家之间的对局</t>
    </r>
  </si>
  <si>
    <t xml:space="preserve">百搭图标起到的作用更多是增加玩家的中奖率和提升玩家的赔付额</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</si>
  <si>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629840640-03.jpg</t>
    </r>
  </si>
  <si>
    <r>
      <rPr>
        <sz val="11"/>
        <color theme="1"/>
        <rFont val="Noto Sans SC"/>
        <family val="2"/>
        <charset val="134"/>
      </rPr>
      <t xml:space="preserve">经过多年的发展，百搭图标在</t>
    </r>
    <r>
      <rPr>
        <sz val="11"/>
        <color theme="1"/>
        <rFont val="Calibri"/>
        <family val="2"/>
        <charset val="1"/>
      </rPr>
      <t xml:space="preserve">Slots</t>
    </r>
    <r>
      <rPr>
        <sz val="11"/>
        <color theme="1"/>
        <rFont val="Noto Sans SC"/>
        <family val="2"/>
        <charset val="134"/>
      </rPr>
      <t xml:space="preserve">卷轴上的作用已经不限于替代其他的图标</t>
    </r>
  </si>
  <si>
    <r>
      <rPr>
        <sz val="11"/>
        <color theme="1"/>
        <rFont val="Noto Sans SC"/>
        <family val="2"/>
        <charset val="134"/>
      </rPr>
      <t xml:space="preserve">粘性百搭、拓展百搭、多倍百搭等多种多样的百搭图标被运用在各类</t>
    </r>
    <r>
      <rPr>
        <sz val="11"/>
        <color theme="1"/>
        <rFont val="Calibri"/>
        <family val="2"/>
        <charset val="1"/>
      </rPr>
      <t xml:space="preserve">Slots</t>
    </r>
    <r>
      <rPr>
        <sz val="11"/>
        <color theme="1"/>
        <rFont val="Noto Sans SC"/>
        <family val="2"/>
        <charset val="134"/>
      </rPr>
      <t xml:space="preserve">游戏中</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</si>
  <si>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629840640-04.jpg</t>
    </r>
  </si>
  <si>
    <t xml:space="preserve">其中一类百搭，当其出现在卷轴上时，能够将该列的其他图标也变成百搭图标</t>
  </si>
  <si>
    <r>
      <rPr>
        <sz val="11"/>
        <color theme="1"/>
        <rFont val="Noto Sans SC"/>
        <family val="2"/>
        <charset val="134"/>
      </rPr>
      <t xml:space="preserve">这类图标我们管他叫拓展百搭——</t>
    </r>
    <r>
      <rPr>
        <sz val="11"/>
        <color theme="1"/>
        <rFont val="Calibri"/>
        <family val="2"/>
        <charset val="1"/>
      </rPr>
      <t xml:space="preserve">Expanding Wild</t>
    </r>
    <r>
      <rPr>
        <sz val="11"/>
        <color theme="1"/>
        <rFont val="Noto Sans SC"/>
        <family val="2"/>
        <charset val="134"/>
      </rPr>
      <t xml:space="preserve">，也是本篇的主角</t>
    </r>
  </si>
  <si>
    <t xml:space="preserve">机制简介</t>
  </si>
  <si>
    <t xml:space="preserve">拓展百搭的机制和其名称一样</t>
  </si>
  <si>
    <t xml:space="preserve">当带有拓展属性的百搭图标出现在卷轴上时，其能够向上下两个放下拓展</t>
  </si>
  <si>
    <t xml:space="preserve">直到该列所有的图标都变成百搭图标</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</si>
  <si>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629840640-05.jpg</t>
    </r>
  </si>
  <si>
    <t xml:space="preserve">这些百搭图标拓展出来的百搭图标和常规的百搭图标并没有差别</t>
  </si>
  <si>
    <t xml:space="preserve">都可以在结算中被视为任意标准图标</t>
  </si>
  <si>
    <r>
      <rPr>
        <sz val="11"/>
        <color theme="1"/>
        <rFont val="Noto Sans SC"/>
        <family val="2"/>
        <charset val="134"/>
      </rPr>
      <t xml:space="preserve">（不清楚标准图标和百搭图标区别的可以查看之前的图标类型介绍文章：</t>
    </r>
    <r>
      <rPr>
        <sz val="11"/>
        <color theme="1"/>
        <rFont val="Calibri"/>
        <family val="2"/>
        <charset val="1"/>
      </rPr>
      <t xml:space="preserve">https://zhuanlan.zhihu.com/p/624248081 </t>
    </r>
    <r>
      <rPr>
        <sz val="11"/>
        <color theme="1"/>
        <rFont val="Noto Sans SC"/>
        <family val="2"/>
        <charset val="134"/>
      </rPr>
      <t xml:space="preserve">）</t>
    </r>
  </si>
  <si>
    <t xml:space="preserve">拓展百搭带来的直接作用就是增加了图标的中奖几率</t>
  </si>
  <si>
    <r>
      <rPr>
        <sz val="11"/>
        <color theme="1"/>
        <rFont val="Noto Sans SC"/>
        <family val="2"/>
        <charset val="134"/>
      </rPr>
      <t xml:space="preserve">当因为拓展图标导致多条</t>
    </r>
    <r>
      <rPr>
        <sz val="11"/>
        <color theme="1"/>
        <rFont val="Calibri"/>
        <family val="2"/>
        <charset val="1"/>
      </rPr>
      <t xml:space="preserve">Pay Line</t>
    </r>
    <r>
      <rPr>
        <sz val="11"/>
        <color theme="1"/>
        <rFont val="Noto Sans SC"/>
        <family val="2"/>
        <charset val="134"/>
      </rPr>
      <t xml:space="preserve">都满足中奖要求时</t>
    </r>
  </si>
  <si>
    <t xml:space="preserve">玩家能够获得超出常规中奖数倍的赔付金额</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</si>
  <si>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629840640-06.jpg</t>
    </r>
  </si>
  <si>
    <t xml:space="preserve">需要注意的是，拓展百搭拓展之后</t>
  </si>
  <si>
    <t xml:space="preserve">被其覆盖的图标只当做百搭图标处理</t>
  </si>
  <si>
    <t xml:space="preserve">原本抽取到的图标作废，不会在参与本局的结算</t>
  </si>
  <si>
    <r>
      <rPr>
        <sz val="11"/>
        <color theme="1"/>
        <rFont val="Noto Sans SC"/>
        <family val="2"/>
        <charset val="134"/>
      </rPr>
      <t xml:space="preserve">无论是在</t>
    </r>
    <r>
      <rPr>
        <sz val="11"/>
        <color theme="1"/>
        <rFont val="Calibri"/>
        <family val="2"/>
        <charset val="1"/>
      </rPr>
      <t xml:space="preserve">Slots</t>
    </r>
    <r>
      <rPr>
        <sz val="11"/>
        <color theme="1"/>
        <rFont val="Noto Sans SC"/>
        <family val="2"/>
        <charset val="134"/>
      </rPr>
      <t xml:space="preserve">的开发过程中还是</t>
    </r>
    <r>
      <rPr>
        <sz val="11"/>
        <color theme="1"/>
        <rFont val="Calibri"/>
        <family val="2"/>
        <charset val="1"/>
      </rPr>
      <t xml:space="preserve">Slots</t>
    </r>
    <r>
      <rPr>
        <sz val="11"/>
        <color theme="1"/>
        <rFont val="Noto Sans SC"/>
        <family val="2"/>
        <charset val="134"/>
      </rPr>
      <t xml:space="preserve">数值体系搭建过程中都不能忽视掉该覆盖过程</t>
    </r>
  </si>
  <si>
    <t xml:space="preserve">功能延展</t>
  </si>
  <si>
    <t xml:space="preserve">在基础百搭图标上设计出拓展百搭之后</t>
  </si>
  <si>
    <r>
      <rPr>
        <sz val="11"/>
        <color theme="1"/>
        <rFont val="Calibri"/>
        <family val="2"/>
        <charset val="1"/>
      </rPr>
      <t xml:space="preserve">Slots</t>
    </r>
    <r>
      <rPr>
        <sz val="11"/>
        <color theme="1"/>
        <rFont val="Noto Sans SC"/>
        <family val="2"/>
        <charset val="134"/>
      </rPr>
      <t xml:space="preserve">设计师并没有停下来创新的脚步</t>
    </r>
  </si>
  <si>
    <t xml:space="preserve">在拓展百搭的基础上进行了进一步的设计</t>
  </si>
  <si>
    <t xml:space="preserve">多倍拓展百搭</t>
  </si>
  <si>
    <t xml:space="preserve">其中比较常见和基础的就是多倍拓展百搭</t>
  </si>
  <si>
    <t xml:space="preserve">这类百搭可以视为多倍图标和百搭图标的融合</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</si>
  <si>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629840640-07.jpg</t>
    </r>
  </si>
  <si>
    <t xml:space="preserve">当多倍百搭出现在卷轴上时</t>
  </si>
  <si>
    <t xml:space="preserve">其不仅会向上下拓展，让该列的图标都变成百搭图标</t>
  </si>
  <si>
    <t xml:space="preserve">而且还会获得随机倍数（也有固定倍数的，但是不多）</t>
  </si>
  <si>
    <t xml:space="preserve">如果本局该拓展百搭满足中奖条件</t>
  </si>
  <si>
    <r>
      <rPr>
        <sz val="11"/>
        <color theme="1"/>
        <rFont val="Noto Sans SC"/>
        <family val="2"/>
        <charset val="134"/>
      </rPr>
      <t xml:space="preserve">则其所在的</t>
    </r>
    <r>
      <rPr>
        <sz val="11"/>
        <color theme="1"/>
        <rFont val="Calibri"/>
        <family val="2"/>
        <charset val="1"/>
      </rPr>
      <t xml:space="preserve">Pay Line</t>
    </r>
    <r>
      <rPr>
        <sz val="11"/>
        <color theme="1"/>
        <rFont val="Noto Sans SC"/>
        <family val="2"/>
        <charset val="134"/>
      </rPr>
      <t xml:space="preserve">本局获得的奖金能够提升随机倍数相同倍数</t>
    </r>
  </si>
  <si>
    <t xml:space="preserve">固定拓展百搭</t>
  </si>
  <si>
    <t xml:space="preserve">这里的固定拓展百搭指的是百搭图标具有拓展机制，但并不是其出现在所有位置都有拓展机制</t>
  </si>
  <si>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629840640-08.jpg</t>
    </r>
  </si>
  <si>
    <r>
      <rPr>
        <sz val="11"/>
        <color theme="1"/>
        <rFont val="Noto Sans SC"/>
        <family val="2"/>
        <charset val="134"/>
      </rPr>
      <t xml:space="preserve">例如在</t>
    </r>
    <r>
      <rPr>
        <sz val="11"/>
        <color theme="1"/>
        <rFont val="Calibri"/>
        <family val="2"/>
        <charset val="1"/>
      </rPr>
      <t xml:space="preserve">Hall of Gods Slot</t>
    </r>
    <r>
      <rPr>
        <sz val="11"/>
        <color theme="1"/>
        <rFont val="Noto Sans SC"/>
        <family val="2"/>
        <charset val="134"/>
      </rPr>
      <t xml:space="preserve">的普通摇中，百搭图标出现在第三列以外的位置时并不会拓展</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</si>
  <si>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629840640-09.jpg</t>
    </r>
  </si>
  <si>
    <t xml:space="preserve">但是当百搭图标出现在第三列时，百搭图标就可以获得拓展属性</t>
  </si>
  <si>
    <t xml:space="preserve">这样的处理在一定程度上简化了数值模型的搭建，但是从玩家体验上来说带来的影响不明显</t>
  </si>
  <si>
    <t xml:space="preserve">粘性拓展</t>
  </si>
  <si>
    <t xml:space="preserve">粘性拓展顾名思义是同时具有粘性百搭和拓展百搭的特性</t>
  </si>
  <si>
    <t xml:space="preserve">其实现机制为当出现百搭图标时，百搭图标能够拓展覆盖该列其他图标</t>
  </si>
  <si>
    <t xml:space="preserve">拓展出来的百搭图标在中奖后消失，而没有中奖的图标则会附着在该位置，直到其中奖</t>
  </si>
  <si>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629840640-10.jpg</t>
    </r>
  </si>
  <si>
    <r>
      <rPr>
        <sz val="11"/>
        <color theme="1"/>
        <rFont val="Noto Sans SC"/>
        <family val="2"/>
        <charset val="134"/>
      </rPr>
      <t xml:space="preserve">这样的设计无疑是最大程度地利用了拓展得到的更多</t>
    </r>
    <r>
      <rPr>
        <sz val="11"/>
        <color theme="1"/>
        <rFont val="Calibri"/>
        <family val="2"/>
        <charset val="1"/>
      </rPr>
      <t xml:space="preserve">Wild</t>
    </r>
    <r>
      <rPr>
        <sz val="11"/>
        <color theme="1"/>
        <rFont val="Noto Sans SC"/>
        <family val="2"/>
        <charset val="134"/>
      </rPr>
      <t xml:space="preserve">图标</t>
    </r>
  </si>
  <si>
    <r>
      <rPr>
        <sz val="11"/>
        <color theme="1"/>
        <rFont val="Noto Sans SC"/>
        <family val="2"/>
        <charset val="134"/>
      </rPr>
      <t xml:space="preserve">但是从之前的参考图中不难发现，大部分拓展</t>
    </r>
    <r>
      <rPr>
        <sz val="11"/>
        <color theme="1"/>
        <rFont val="Calibri"/>
        <family val="2"/>
        <charset val="1"/>
      </rPr>
      <t xml:space="preserve">Wild</t>
    </r>
    <r>
      <rPr>
        <sz val="11"/>
        <color theme="1"/>
        <rFont val="Noto Sans SC"/>
        <family val="2"/>
        <charset val="134"/>
      </rPr>
      <t xml:space="preserve">在拓展之后该列会变成一整张图片</t>
    </r>
  </si>
  <si>
    <t xml:space="preserve">需要分开处理的话在画面表现上就限定了该图标必须为单格单个的图标</t>
  </si>
  <si>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629840640-11.jpg</t>
    </r>
  </si>
  <si>
    <t xml:space="preserve">迷你拓展</t>
  </si>
  <si>
    <t xml:space="preserve">拓展百搭的常规定义就是同时会向上并向下拓展</t>
  </si>
  <si>
    <t xml:space="preserve">产生更多的百搭图标，直到该列图标都变成百搭</t>
  </si>
  <si>
    <t xml:space="preserve">但是有一部分玩法却对这一定义进行了调整</t>
  </si>
  <si>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629840640-12.jpg</t>
    </r>
  </si>
  <si>
    <t xml:space="preserve">在这些玩法中，拓展百搭并不再拓展一整列，而是只拓展和自身相邻的位置</t>
  </si>
  <si>
    <t xml:space="preserve">导致在一个三行的卷轴中，图标只有出现在中间行，得到的结果才和常规拓展百搭一致</t>
  </si>
  <si>
    <t xml:space="preserve">出现在第一行或者第三行都只能拓展一个位置</t>
  </si>
  <si>
    <r>
      <rPr>
        <sz val="11"/>
        <color theme="1"/>
        <rFont val="Noto Sans SC"/>
        <family val="2"/>
        <charset val="134"/>
      </rPr>
      <t xml:space="preserve">这样子的拓展方式不知道为什么不直接做成三列连在一起的</t>
    </r>
    <r>
      <rPr>
        <sz val="11"/>
        <color theme="1"/>
        <rFont val="Calibri"/>
        <family val="2"/>
        <charset val="1"/>
      </rPr>
      <t xml:space="preserve">Mega Wild</t>
    </r>
    <r>
      <rPr>
        <sz val="11"/>
        <color theme="1"/>
        <rFont val="Noto Sans SC"/>
        <family val="2"/>
        <charset val="134"/>
      </rPr>
      <t xml:space="preserve">图标</t>
    </r>
  </si>
  <si>
    <r>
      <rPr>
        <sz val="11"/>
        <color theme="1"/>
        <rFont val="Noto Sans SC"/>
        <family val="2"/>
        <charset val="134"/>
      </rPr>
      <t xml:space="preserve">毕竟占三行位置的大型</t>
    </r>
    <r>
      <rPr>
        <sz val="11"/>
        <color theme="1"/>
        <rFont val="Calibri"/>
        <family val="2"/>
        <charset val="1"/>
      </rPr>
      <t xml:space="preserve">Mega Wild</t>
    </r>
    <r>
      <rPr>
        <sz val="11"/>
        <color theme="1"/>
        <rFont val="Noto Sans SC"/>
        <family val="2"/>
        <charset val="134"/>
      </rPr>
      <t xml:space="preserve">至少比较好理解</t>
    </r>
  </si>
  <si>
    <t xml:space="preserve">只拓展一个位置对玩家带来的兴奋程度肯定是低于拓展一整列的</t>
  </si>
  <si>
    <t xml:space="preserve">不知道是不是设计师不会计算拓展百搭的数值模型</t>
  </si>
  <si>
    <r>
      <rPr>
        <sz val="11"/>
        <color theme="1"/>
        <rFont val="Noto Sans SC"/>
        <family val="2"/>
        <charset val="134"/>
      </rPr>
      <t xml:space="preserve">所以使用</t>
    </r>
    <r>
      <rPr>
        <sz val="11"/>
        <color theme="1"/>
        <rFont val="Calibri"/>
        <family val="2"/>
        <charset val="1"/>
      </rPr>
      <t xml:space="preserve">Mega Wild</t>
    </r>
    <r>
      <rPr>
        <sz val="11"/>
        <color theme="1"/>
        <rFont val="Noto Sans SC"/>
        <family val="2"/>
        <charset val="134"/>
      </rPr>
      <t xml:space="preserve">的数值做了一个只存在前端的拓展百搭</t>
    </r>
  </si>
  <si>
    <r>
      <rPr>
        <sz val="11"/>
        <color theme="1"/>
        <rFont val="Noto Sans SC"/>
        <family val="2"/>
        <charset val="134"/>
      </rPr>
      <t xml:space="preserve">［配图 </t>
    </r>
    <r>
      <rPr>
        <sz val="11"/>
        <color theme="1"/>
        <rFont val="Calibri"/>
        <family val="2"/>
        <charset val="1"/>
      </rPr>
      <t xml:space="preserve">13</t>
    </r>
    <r>
      <rPr>
        <sz val="11"/>
        <color theme="1"/>
        <rFont val="Noto Sans SC"/>
        <family val="2"/>
        <charset val="134"/>
      </rPr>
      <t xml:space="preserve">］</t>
    </r>
    <r>
      <rPr>
        <sz val="11"/>
        <color theme="1"/>
        <rFont val="Calibri"/>
        <family val="2"/>
        <charset val="1"/>
      </rPr>
      <t xml:space="preserve">629840640-13.jpg</t>
    </r>
  </si>
  <si>
    <t xml:space="preserve">经过本篇的介绍之后，相信大家都对拓展百搭的定义有了一定的理解</t>
  </si>
  <si>
    <r>
      <rPr>
        <sz val="11"/>
        <color theme="1"/>
        <rFont val="Noto Sans SC"/>
        <family val="2"/>
        <charset val="134"/>
      </rPr>
      <t xml:space="preserve">在之后的文章中，将从数值模型的角度和大家介绍，如果制作包含拓展百搭属性的</t>
    </r>
    <r>
      <rPr>
        <sz val="11"/>
        <color theme="1"/>
        <rFont val="Calibri"/>
        <family val="2"/>
        <charset val="1"/>
      </rPr>
      <t xml:space="preserve">Slots</t>
    </r>
  </si>
  <si>
    <r>
      <rPr>
        <b val="true"/>
        <sz val="11"/>
        <rFont val="Noto Sans SC"/>
        <family val="2"/>
        <charset val="134"/>
      </rPr>
      <t xml:space="preserve">原文配图清单（共 </t>
    </r>
    <r>
      <rPr>
        <b val="true"/>
        <sz val="11"/>
        <rFont val="Cambria"/>
        <family val="0"/>
        <charset val="1"/>
      </rPr>
      <t xml:space="preserve">13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</si>
  <si>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629840640-01.jpg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</si>
  <si>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629840640-02.jpg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</si>
  <si>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629840640-03.jpg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</si>
  <si>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629840640-04.jpg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</si>
  <si>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629840640-05.jpg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</si>
  <si>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629840640-06.jpg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</si>
  <si>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629840640-07.jpg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</si>
  <si>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629840640-08.jpg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</si>
  <si>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629840640-09.jpg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</si>
  <si>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629840640-10.jpg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</si>
  <si>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629840640-11.jpg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</si>
  <si>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629840640-12.jpg</t>
    </r>
  </si>
  <si>
    <r>
      <rPr>
        <sz val="11"/>
        <color rgb="FF808080"/>
        <rFont val="Noto Sans SC"/>
        <family val="2"/>
        <charset val="134"/>
      </rPr>
      <t xml:space="preserve">［配图 </t>
    </r>
    <r>
      <rPr>
        <sz val="11"/>
        <color rgb="FF808080"/>
        <rFont val="Cambria"/>
        <family val="0"/>
        <charset val="1"/>
      </rPr>
      <t xml:space="preserve">13</t>
    </r>
    <r>
      <rPr>
        <sz val="11"/>
        <color rgb="FF808080"/>
        <rFont val="Noto Sans SC"/>
        <family val="2"/>
        <charset val="134"/>
      </rPr>
      <t xml:space="preserve">］</t>
    </r>
    <r>
      <rPr>
        <sz val="11"/>
        <color rgb="FF808080"/>
        <rFont val="Cambria"/>
        <family val="0"/>
        <charset val="1"/>
      </rPr>
      <t xml:space="preserve">629840640-13.jpg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</si>
  <si>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</si>
  <si>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</si>
  <si>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</si>
  <si>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</si>
  <si>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</si>
  <si>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</si>
  <si>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Expanding Wild</t>
    </r>
    <r>
      <rPr>
        <sz val="11"/>
        <color rgb="FF808080"/>
        <rFont val="Noto Sans SC"/>
        <family val="2"/>
        <charset val="134"/>
      </rPr>
      <t xml:space="preserve">》</t>
    </r>
    <r>
      <rPr>
        <sz val="11"/>
        <color rgb="FF808080"/>
        <rFont val="Cambria"/>
        <family val="0"/>
        <charset val="1"/>
      </rPr>
      <t xml:space="preserve">, https://zhuanlan.zhihu.com/p/629840640</t>
    </r>
  </si>
  <si>
    <r>
      <rPr>
        <b val="true"/>
        <sz val="14"/>
        <color rgb="FF1F4E79"/>
        <rFont val="Noto Sans SC"/>
        <family val="2"/>
        <charset val="134"/>
      </rPr>
      <t xml:space="preserve">基础篇 </t>
    </r>
    <r>
      <rPr>
        <b val="true"/>
        <sz val="14"/>
        <color rgb="FF1F4E79"/>
        <rFont val="Cambria"/>
        <family val="0"/>
        <charset val="1"/>
      </rPr>
      <t xml:space="preserve">· Expanding Wild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</si>
  <si>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】机制流程</t>
    </r>
  </si>
  <si>
    <t xml:space="preserve">步骤</t>
  </si>
  <si>
    <t xml:space="preserve">动作</t>
  </si>
  <si>
    <t xml:space="preserve">1</t>
  </si>
  <si>
    <r>
      <rPr>
        <sz val="11"/>
        <color theme="1"/>
        <rFont val="Calibri"/>
        <family val="2"/>
        <charset val="1"/>
      </rPr>
      <t xml:space="preserve">Wild </t>
    </r>
    <r>
      <rPr>
        <sz val="11"/>
        <color theme="1"/>
        <rFont val="Noto Sans SC"/>
        <family val="2"/>
        <charset val="134"/>
      </rPr>
      <t xml:space="preserve">出现在卷轴上</t>
    </r>
  </si>
  <si>
    <r>
      <rPr>
        <sz val="11"/>
        <color theme="1"/>
        <rFont val="Noto Sans SC"/>
        <family val="2"/>
        <charset val="134"/>
      </rPr>
      <t xml:space="preserve">只有带拓展属性的 </t>
    </r>
    <r>
      <rPr>
        <sz val="11"/>
        <color theme="1"/>
        <rFont val="Calibri"/>
        <family val="2"/>
        <charset val="1"/>
      </rPr>
      <t xml:space="preserve">Wild </t>
    </r>
    <r>
      <rPr>
        <sz val="11"/>
        <color theme="1"/>
        <rFont val="Noto Sans SC"/>
        <family val="2"/>
        <charset val="134"/>
      </rPr>
      <t xml:space="preserve">才触发拓展</t>
    </r>
  </si>
  <si>
    <t xml:space="preserve">2</t>
  </si>
  <si>
    <t xml:space="preserve">向上下拓展</t>
  </si>
  <si>
    <r>
      <rPr>
        <sz val="11"/>
        <color theme="1"/>
        <rFont val="Noto Sans SC"/>
        <family val="2"/>
        <charset val="134"/>
      </rPr>
      <t xml:space="preserve">一直拓展到该列所有图标都变成 </t>
    </r>
    <r>
      <rPr>
        <sz val="11"/>
        <color theme="1"/>
        <rFont val="Calibri"/>
        <family val="2"/>
        <charset val="1"/>
      </rPr>
      <t xml:space="preserve">Wild</t>
    </r>
  </si>
  <si>
    <t xml:space="preserve">3</t>
  </si>
  <si>
    <t xml:space="preserve">覆盖原图标</t>
  </si>
  <si>
    <t xml:space="preserve">被覆盖的图标作废，本局只当作百搭处理</t>
  </si>
  <si>
    <t xml:space="preserve">4</t>
  </si>
  <si>
    <t xml:space="preserve">参与结算</t>
  </si>
  <si>
    <r>
      <rPr>
        <sz val="11"/>
        <color theme="1"/>
        <rFont val="Noto Sans SC"/>
        <family val="2"/>
        <charset val="134"/>
      </rPr>
      <t xml:space="preserve">拓展出的 </t>
    </r>
    <r>
      <rPr>
        <sz val="11"/>
        <color theme="1"/>
        <rFont val="Calibri"/>
        <family val="2"/>
        <charset val="1"/>
      </rPr>
      <t xml:space="preserve">Wild </t>
    </r>
    <r>
      <rPr>
        <sz val="11"/>
        <color theme="1"/>
        <rFont val="Noto Sans SC"/>
        <family val="2"/>
        <charset val="134"/>
      </rPr>
      <t xml:space="preserve">与常规 </t>
    </r>
    <r>
      <rPr>
        <sz val="11"/>
        <color theme="1"/>
        <rFont val="Calibri"/>
        <family val="2"/>
        <charset val="1"/>
      </rPr>
      <t xml:space="preserve">Wild </t>
    </r>
    <r>
      <rPr>
        <sz val="11"/>
        <color theme="1"/>
        <rFont val="Noto Sans SC"/>
        <family val="2"/>
        <charset val="134"/>
      </rPr>
      <t xml:space="preserve">完全等价，可替代任意标准图标</t>
    </r>
  </si>
  <si>
    <t xml:space="preserve">5</t>
  </si>
  <si>
    <t xml:space="preserve">多条线同时成立</t>
  </si>
  <si>
    <t xml:space="preserve">可显著提高本局赔付额（超出常规中奖数倍）</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</si>
  <si>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】四种延展设计对照（原文）</t>
    </r>
  </si>
  <si>
    <t xml:space="preserve">设计</t>
  </si>
  <si>
    <t xml:space="preserve">做法</t>
  </si>
  <si>
    <t xml:space="preserve">对数值的影响</t>
  </si>
  <si>
    <r>
      <rPr>
        <sz val="11"/>
        <color theme="1"/>
        <rFont val="Noto Sans SC"/>
        <family val="2"/>
        <charset val="134"/>
      </rPr>
      <t xml:space="preserve">既向上下拓展，又带随机（或固定）倍数；该 </t>
    </r>
    <r>
      <rPr>
        <sz val="11"/>
        <color theme="1"/>
        <rFont val="Calibri"/>
        <family val="2"/>
        <charset val="1"/>
      </rPr>
      <t xml:space="preserve">Pay Line </t>
    </r>
    <r>
      <rPr>
        <sz val="11"/>
        <color theme="1"/>
        <rFont val="Noto Sans SC"/>
        <family val="2"/>
        <charset val="134"/>
      </rPr>
      <t xml:space="preserve">本局奖金乘上该倍数</t>
    </r>
  </si>
  <si>
    <r>
      <rPr>
        <sz val="11"/>
        <color theme="1"/>
        <rFont val="Noto Sans SC"/>
        <family val="2"/>
        <charset val="134"/>
      </rPr>
      <t xml:space="preserve">期望 ＝ 拓展后的基础期望 </t>
    </r>
    <r>
      <rPr>
        <sz val="11"/>
        <color theme="1"/>
        <rFont val="Calibri"/>
        <family val="2"/>
        <charset val="1"/>
      </rPr>
      <t xml:space="preserve">× E(</t>
    </r>
    <r>
      <rPr>
        <sz val="11"/>
        <color theme="1"/>
        <rFont val="Noto Sans SC"/>
        <family val="2"/>
        <charset val="134"/>
      </rPr>
      <t xml:space="preserve">倍数</t>
    </r>
    <r>
      <rPr>
        <sz val="11"/>
        <color theme="1"/>
        <rFont val="Calibri"/>
        <family val="2"/>
        <charset val="1"/>
      </rPr>
      <t xml:space="preserve">)</t>
    </r>
  </si>
  <si>
    <r>
      <rPr>
        <sz val="11"/>
        <color theme="1"/>
        <rFont val="Calibri"/>
        <family val="2"/>
        <charset val="1"/>
      </rPr>
      <t xml:space="preserve">Wild </t>
    </r>
    <r>
      <rPr>
        <sz val="11"/>
        <color theme="1"/>
        <rFont val="Noto Sans SC"/>
        <family val="2"/>
        <charset val="134"/>
      </rPr>
      <t xml:space="preserve">具有拓展机制，但只在特定列才拓展（如 </t>
    </r>
    <r>
      <rPr>
        <sz val="11"/>
        <color theme="1"/>
        <rFont val="Calibri"/>
        <family val="2"/>
        <charset val="1"/>
      </rPr>
      <t xml:space="preserve">Hall of Gods </t>
    </r>
    <r>
      <rPr>
        <sz val="11"/>
        <color theme="1"/>
        <rFont val="Noto Sans SC"/>
        <family val="2"/>
        <charset val="134"/>
      </rPr>
      <t xml:space="preserve">普通摇只允许第三列 </t>
    </r>
    <r>
      <rPr>
        <sz val="11"/>
        <color theme="1"/>
        <rFont val="Calibri"/>
        <family val="2"/>
        <charset val="1"/>
      </rPr>
      <t xml:space="preserve">Wild </t>
    </r>
    <r>
      <rPr>
        <sz val="11"/>
        <color theme="1"/>
        <rFont val="Noto Sans SC"/>
        <family val="2"/>
        <charset val="134"/>
      </rPr>
      <t xml:space="preserve">拓展）</t>
    </r>
  </si>
  <si>
    <t xml:space="preserve">限定拓展发生的位置 → 事件数只在这几列被放大，便于数值收敛</t>
  </si>
  <si>
    <r>
      <rPr>
        <sz val="11"/>
        <color theme="1"/>
        <rFont val="Noto Sans SC"/>
        <family val="2"/>
        <charset val="134"/>
      </rPr>
      <t xml:space="preserve">拓展覆盖该列其他图标；拓展出的 </t>
    </r>
    <r>
      <rPr>
        <sz val="11"/>
        <color theme="1"/>
        <rFont val="Calibri"/>
        <family val="2"/>
        <charset val="1"/>
      </rPr>
      <t xml:space="preserve">Wild </t>
    </r>
    <r>
      <rPr>
        <sz val="11"/>
        <color theme="1"/>
        <rFont val="Noto Sans SC"/>
        <family val="2"/>
        <charset val="134"/>
      </rPr>
      <t xml:space="preserve">中奖后消失，未中奖的留在原位直到中奖</t>
    </r>
  </si>
  <si>
    <r>
      <rPr>
        <sz val="11"/>
        <color theme="1"/>
        <rFont val="Noto Sans SC"/>
        <family val="2"/>
        <charset val="134"/>
      </rPr>
      <t xml:space="preserve">兼具拓展与粘性 → 需逐局递推（同 </t>
    </r>
    <r>
      <rPr>
        <sz val="11"/>
        <color theme="1"/>
        <rFont val="Calibri"/>
        <family val="2"/>
        <charset val="1"/>
      </rPr>
      <t xml:space="preserve">Sticky Wild</t>
    </r>
    <r>
      <rPr>
        <sz val="11"/>
        <color theme="1"/>
        <rFont val="Noto Sans SC"/>
        <family val="2"/>
        <charset val="134"/>
      </rPr>
      <t xml:space="preserve">）</t>
    </r>
  </si>
  <si>
    <r>
      <rPr>
        <sz val="11"/>
        <color theme="1"/>
        <rFont val="Noto Sans SC"/>
        <family val="2"/>
        <charset val="134"/>
      </rPr>
      <t xml:space="preserve">只拓展与自身相邻的位置（而非整列）：</t>
    </r>
    <r>
      <rPr>
        <sz val="11"/>
        <color theme="1"/>
        <rFont val="Calibri"/>
        <family val="2"/>
        <charset val="1"/>
      </rPr>
      <t xml:space="preserve">3 </t>
    </r>
    <r>
      <rPr>
        <sz val="11"/>
        <color theme="1"/>
        <rFont val="Noto Sans SC"/>
        <family val="2"/>
        <charset val="134"/>
      </rPr>
      <t xml:space="preserve">行卷轴中只有出现在中间行才等于整列拓展</t>
    </r>
  </si>
  <si>
    <r>
      <rPr>
        <sz val="11"/>
        <color theme="1"/>
        <rFont val="Noto Sans SC"/>
        <family val="2"/>
        <charset val="134"/>
      </rPr>
      <t xml:space="preserve">拓展格数从「整列」变为 </t>
    </r>
    <r>
      <rPr>
        <sz val="11"/>
        <color theme="1"/>
        <rFont val="Calibri"/>
        <family val="2"/>
        <charset val="1"/>
      </rPr>
      <t xml:space="preserve">1~2 </t>
    </r>
    <r>
      <rPr>
        <sz val="11"/>
        <color theme="1"/>
        <rFont val="Noto Sans SC"/>
        <family val="2"/>
        <charset val="134"/>
      </rPr>
      <t xml:space="preserve">格，提升幅度显著变小</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</si>
  <si>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】拓展对中奖率的提升（</t>
    </r>
    <r>
      <rPr>
        <b val="true"/>
        <sz val="11"/>
        <color rgb="FF1F4E79"/>
        <rFont val="Cambria"/>
        <family val="0"/>
        <charset val="1"/>
      </rPr>
      <t xml:space="preserve">3*3 Line Slots </t>
    </r>
    <r>
      <rPr>
        <b val="true"/>
        <sz val="11"/>
        <color rgb="FF1F4E79"/>
        <rFont val="Noto Sans SC"/>
        <family val="2"/>
        <charset val="134"/>
      </rPr>
      <t xml:space="preserve">示意，数值可改）</t>
    </r>
  </si>
  <si>
    <t xml:space="preserve">场景</t>
  </si>
  <si>
    <r>
      <rPr>
        <b val="true"/>
        <sz val="11"/>
        <color rgb="FF1F4E79"/>
        <rFont val="Noto Sans SC"/>
        <family val="2"/>
        <charset val="134"/>
      </rPr>
      <t xml:space="preserve">列</t>
    </r>
    <r>
      <rPr>
        <b val="true"/>
        <sz val="11"/>
        <color rgb="FF1F4E79"/>
        <rFont val="Cambria"/>
        <family val="0"/>
        <charset val="1"/>
      </rPr>
      <t xml:space="preserve">1 </t>
    </r>
    <r>
      <rPr>
        <b val="true"/>
        <sz val="11"/>
        <color rgb="FF1F4E79"/>
        <rFont val="Noto Sans SC"/>
        <family val="2"/>
        <charset val="134"/>
      </rPr>
      <t xml:space="preserve">中奖几率</t>
    </r>
  </si>
  <si>
    <r>
      <rPr>
        <b val="true"/>
        <sz val="11"/>
        <color rgb="FF1F4E79"/>
        <rFont val="Noto Sans SC"/>
        <family val="2"/>
        <charset val="134"/>
      </rPr>
      <t xml:space="preserve">列</t>
    </r>
    <r>
      <rPr>
        <b val="true"/>
        <sz val="11"/>
        <color rgb="FF1F4E79"/>
        <rFont val="Cambria"/>
        <family val="0"/>
        <charset val="1"/>
      </rPr>
      <t xml:space="preserve">2 </t>
    </r>
    <r>
      <rPr>
        <b val="true"/>
        <sz val="11"/>
        <color rgb="FF1F4E79"/>
        <rFont val="Noto Sans SC"/>
        <family val="2"/>
        <charset val="134"/>
      </rPr>
      <t xml:space="preserve">中奖几率</t>
    </r>
  </si>
  <si>
    <r>
      <rPr>
        <b val="true"/>
        <sz val="11"/>
        <color rgb="FF1F4E79"/>
        <rFont val="Noto Sans SC"/>
        <family val="2"/>
        <charset val="134"/>
      </rPr>
      <t xml:space="preserve">列</t>
    </r>
    <r>
      <rPr>
        <b val="true"/>
        <sz val="11"/>
        <color rgb="FF1F4E79"/>
        <rFont val="Cambria"/>
        <family val="0"/>
        <charset val="1"/>
      </rPr>
      <t xml:space="preserve">3 </t>
    </r>
    <r>
      <rPr>
        <b val="true"/>
        <sz val="11"/>
        <color rgb="FF1F4E79"/>
        <rFont val="Noto Sans SC"/>
        <family val="2"/>
        <charset val="134"/>
      </rPr>
      <t xml:space="preserve">中奖几率</t>
    </r>
  </si>
  <si>
    <t xml:space="preserve">该线中奖率</t>
  </si>
  <si>
    <t xml:space="preserve">相对无拓展</t>
  </si>
  <si>
    <t xml:space="preserve">无拓展（基准）</t>
  </si>
  <si>
    <r>
      <rPr>
        <sz val="11"/>
        <color theme="1"/>
        <rFont val="Noto Sans SC"/>
        <family val="2"/>
        <charset val="134"/>
      </rPr>
      <t xml:space="preserve">三个图标各自 </t>
    </r>
    <r>
      <rPr>
        <sz val="11"/>
        <color theme="1"/>
        <rFont val="Calibri"/>
        <family val="2"/>
        <charset val="1"/>
      </rPr>
      <t xml:space="preserve">20% </t>
    </r>
    <r>
      <rPr>
        <sz val="11"/>
        <color theme="1"/>
        <rFont val="Noto Sans SC"/>
        <family val="2"/>
        <charset val="134"/>
      </rPr>
      <t xml:space="preserve">的出现率</t>
    </r>
  </si>
  <si>
    <r>
      <rPr>
        <sz val="11"/>
        <color theme="1"/>
        <rFont val="Noto Sans SC"/>
        <family val="2"/>
        <charset val="134"/>
      </rPr>
      <t xml:space="preserve">仅列</t>
    </r>
    <r>
      <rPr>
        <sz val="11"/>
        <color theme="1"/>
        <rFont val="Calibri"/>
        <family val="2"/>
        <charset val="1"/>
      </rPr>
      <t xml:space="preserve">1 </t>
    </r>
    <r>
      <rPr>
        <sz val="11"/>
        <color theme="1"/>
        <rFont val="Noto Sans SC"/>
        <family val="2"/>
        <charset val="134"/>
      </rPr>
      <t xml:space="preserve">拓展</t>
    </r>
  </si>
  <si>
    <r>
      <rPr>
        <sz val="11"/>
        <color theme="1"/>
        <rFont val="Noto Sans SC"/>
        <family val="2"/>
        <charset val="134"/>
      </rPr>
      <t xml:space="preserve">整列变 </t>
    </r>
    <r>
      <rPr>
        <sz val="11"/>
        <color theme="1"/>
        <rFont val="Calibri"/>
        <family val="2"/>
        <charset val="1"/>
      </rPr>
      <t xml:space="preserve">Wild → </t>
    </r>
    <r>
      <rPr>
        <sz val="11"/>
        <color theme="1"/>
        <rFont val="Noto Sans SC"/>
        <family val="2"/>
        <charset val="134"/>
      </rPr>
      <t xml:space="preserve">该列视为 </t>
    </r>
    <r>
      <rPr>
        <sz val="11"/>
        <color theme="1"/>
        <rFont val="Calibri"/>
        <family val="2"/>
        <charset val="1"/>
      </rPr>
      <t xml:space="preserve">100%</t>
    </r>
  </si>
  <si>
    <r>
      <rPr>
        <sz val="11"/>
        <color theme="1"/>
        <rFont val="Noto Sans SC"/>
        <family val="2"/>
        <charset val="134"/>
      </rPr>
      <t xml:space="preserve">列</t>
    </r>
    <r>
      <rPr>
        <sz val="11"/>
        <color theme="1"/>
        <rFont val="Calibri"/>
        <family val="2"/>
        <charset val="1"/>
      </rPr>
      <t xml:space="preserve">1+</t>
    </r>
    <r>
      <rPr>
        <sz val="11"/>
        <color theme="1"/>
        <rFont val="Noto Sans SC"/>
        <family val="2"/>
        <charset val="134"/>
      </rPr>
      <t xml:space="preserve">列</t>
    </r>
    <r>
      <rPr>
        <sz val="11"/>
        <color theme="1"/>
        <rFont val="Calibri"/>
        <family val="2"/>
        <charset val="1"/>
      </rPr>
      <t xml:space="preserve">2 </t>
    </r>
    <r>
      <rPr>
        <sz val="11"/>
        <color theme="1"/>
        <rFont val="Noto Sans SC"/>
        <family val="2"/>
        <charset val="134"/>
      </rPr>
      <t xml:space="preserve">拓展</t>
    </r>
  </si>
  <si>
    <t xml:space="preserve">两列拓展 → 只剩第三列需要抽中</t>
  </si>
  <si>
    <t xml:space="preserve">整屏三列都拓展</t>
  </si>
  <si>
    <r>
      <rPr>
        <sz val="11"/>
        <color theme="1"/>
        <rFont val="Noto Sans SC"/>
        <family val="2"/>
        <charset val="134"/>
      </rPr>
      <t xml:space="preserve">中奖率 </t>
    </r>
    <r>
      <rPr>
        <sz val="11"/>
        <color theme="1"/>
        <rFont val="Calibri"/>
        <family val="2"/>
        <charset val="1"/>
      </rPr>
      <t xml:space="preserve">100%</t>
    </r>
    <r>
      <rPr>
        <sz val="11"/>
        <color theme="1"/>
        <rFont val="Noto Sans SC"/>
        <family val="2"/>
        <charset val="134"/>
      </rPr>
      <t xml:space="preserve">，是按正数倍放大的极端情况</t>
    </r>
  </si>
  <si>
    <r>
      <rPr>
        <sz val="11"/>
        <color rgb="FF808080"/>
        <rFont val="Noto Sans SC"/>
        <family val="2"/>
        <charset val="134"/>
      </rPr>
      <t xml:space="preserve">读法：拓展百搭把「该列是否抽中目标图标」这件事从概率问题变成了确定事件（＝</t>
    </r>
    <r>
      <rPr>
        <sz val="11"/>
        <color rgb="FF808080"/>
        <rFont val="Cambria"/>
        <family val="0"/>
        <charset val="1"/>
      </rPr>
      <t xml:space="preserve">1</t>
    </r>
    <r>
      <rPr>
        <sz val="11"/>
        <color rgb="FF808080"/>
        <rFont val="Noto Sans SC"/>
        <family val="2"/>
        <charset val="134"/>
      </rPr>
      <t xml:space="preserve">），所以中奖率被按列放大 </t>
    </r>
    <r>
      <rPr>
        <sz val="11"/>
        <color rgb="FF808080"/>
        <rFont val="Cambria"/>
        <family val="0"/>
        <charset val="1"/>
      </rPr>
      <t xml:space="preserve">1/</t>
    </r>
    <r>
      <rPr>
        <sz val="11"/>
        <color rgb="FF808080"/>
        <rFont val="Noto Sans SC"/>
        <family val="2"/>
        <charset val="134"/>
      </rPr>
      <t xml:space="preserve">该列概率 倍；实际收益还要再乘上「发生拓展」的概率与赔付倍数，因此数值篇（</t>
    </r>
    <r>
      <rPr>
        <sz val="11"/>
        <color rgb="FF808080"/>
        <rFont val="Cambria"/>
        <family val="0"/>
        <charset val="1"/>
      </rPr>
      <t xml:space="preserve">34/35</t>
    </r>
    <r>
      <rPr>
        <sz val="11"/>
        <color rgb="FF808080"/>
        <rFont val="Noto Sans SC"/>
        <family val="2"/>
        <charset val="134"/>
      </rPr>
      <t xml:space="preserve">）会用「拓展前 </t>
    </r>
    <r>
      <rPr>
        <sz val="11"/>
        <color rgb="FF808080"/>
        <rFont val="Cambria"/>
        <family val="0"/>
        <charset val="1"/>
      </rPr>
      <t xml:space="preserve">/ </t>
    </r>
    <r>
      <rPr>
        <sz val="11"/>
        <color rgb="FF808080"/>
        <rFont val="Noto Sans SC"/>
        <family val="2"/>
        <charset val="134"/>
      </rPr>
      <t xml:space="preserve">拓展后」两套卷轴分别计算再加权。</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</si>
  <si>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</si>
  <si>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</si>
  <si>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</si>
  <si>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拓展后中奖率 </t>
    </r>
    <r>
      <rPr>
        <sz val="11"/>
        <color theme="1"/>
        <rFont val="Calibri"/>
        <family val="2"/>
        <charset val="1"/>
      </rPr>
      <t xml:space="preserve">= </t>
    </r>
    <r>
      <rPr>
        <sz val="11"/>
        <color theme="1"/>
        <rFont val="Noto Sans SC"/>
        <family val="2"/>
        <charset val="134"/>
      </rPr>
      <t xml:space="preserve">未拓展列概率之积</t>
    </r>
  </si>
  <si>
    <t xml:space="preserve">整屏拓展行</t>
  </si>
  <si>
    <t xml:space="preserve">相对倍数随拓展列数单调上升</t>
  </si>
  <si>
    <r>
      <rPr>
        <sz val="11"/>
        <color theme="1"/>
        <rFont val="Calibri"/>
        <family val="2"/>
        <charset val="1"/>
      </rPr>
      <t xml:space="preserve">1 → … → 25 </t>
    </r>
    <r>
      <rPr>
        <sz val="11"/>
        <color theme="1"/>
        <rFont val="Noto Sans SC"/>
        <family val="2"/>
        <charset val="134"/>
      </rPr>
      <t xml:space="preserve">倍（本例）</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</si>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</sst>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5">
    <numFmt numFmtId="164" formatCode="General"/>
    <numFmt numFmtId="165" formatCode="0.00%"/>
    <numFmt numFmtId="166" formatCode="0.0000%"/>
    <numFmt numFmtId="167" formatCode="0.0000"/>
    <numFmt numFmtId="168" formatCode="0.0000000000%"/>
  </numFmts>
  <fonts count="15">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8" applyNumberFormat="1" fontId="13" fillId="0" borderId="0" xfId="0" applyFont="true" applyBorder="false" applyAlignment="true" applyProtection="true">
      <alignment horizontal="general" vertical="bottom" textRotation="0" wrapText="false" indent="0" shrinkToFit="false"/>
      <protection locked="true" hidden="false"/>
    </xf>
    <xf numFmtId="168" applyNumberFormat="1" fontId="1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2" t="s">
        <v>7</v>
      </c>
    </row>
    <row r="11" customFormat="false" ht="29" hidden="false" customHeight="false" outlineLevel="0" collapsed="false">
      <c r="A11" s="22"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3" t="s">
        <v>10</v>
      </c>
      <c r="B14" s="6"/>
      <c r="C14" s="6"/>
    </row>
    <row r="15" customFormat="false" ht="42" hidden="false" customHeight="false" outlineLevel="0" collapsed="false">
      <c r="A15" s="22" t="s">
        <v>11</v>
      </c>
    </row>
    <row r="16" customFormat="false" ht="15" hidden="false" customHeight="1" outlineLevel="0" collapsed="false">
      <c r="A16" s="23"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30" hidden="false" customHeight="false" outlineLevel="0" collapsed="false">
      <c r="A19" s="22" t="s">
        <v>14</v>
      </c>
    </row>
    <row r="20" customFormat="false" ht="29" hidden="false" customHeight="false" outlineLevel="0" collapsed="false">
      <c r="A20" s="24" t="s">
        <v>15</v>
      </c>
    </row>
    <row r="21" customFormat="false" ht="29" hidden="false" customHeight="false" outlineLevel="0" collapsed="false">
      <c r="A21" s="22" t="s">
        <v>16</v>
      </c>
    </row>
    <row r="22" customFormat="false" ht="30" hidden="false" customHeight="false" outlineLevel="0" collapsed="false">
      <c r="A22" s="24" t="s">
        <v>17</v>
      </c>
    </row>
    <row r="23" customFormat="false" ht="29" hidden="false" customHeight="false" outlineLevel="0" collapsed="false">
      <c r="A23" s="22" t="s">
        <v>18</v>
      </c>
    </row>
    <row r="24" customFormat="false" ht="15" hidden="false" customHeight="false" outlineLevel="0" collapsed="false">
      <c r="A24" s="7" t="s">
        <v>19</v>
      </c>
    </row>
    <row r="25" customFormat="false" ht="30" hidden="false" customHeight="false" outlineLevel="0" collapsed="false">
      <c r="A25" s="22" t="s">
        <v>20</v>
      </c>
    </row>
    <row r="26" customFormat="false" ht="15" hidden="false" customHeight="false" outlineLevel="0" collapsed="false">
      <c r="A26" s="7" t="s">
        <v>21</v>
      </c>
    </row>
    <row r="27" customFormat="false" ht="29" hidden="false" customHeight="false" outlineLevel="0" collapsed="false">
      <c r="A27" s="22" t="s">
        <v>22</v>
      </c>
    </row>
    <row r="28" customFormat="false" ht="30" hidden="false" customHeight="false" outlineLevel="0" collapsed="false">
      <c r="A28" s="24" t="s">
        <v>23</v>
      </c>
    </row>
    <row r="29" customFormat="false" ht="28" hidden="false" customHeight="false" outlineLevel="0" collapsed="false">
      <c r="A29" s="24" t="s">
        <v>24</v>
      </c>
    </row>
    <row r="30" customFormat="false" ht="30" hidden="false" customHeight="false" outlineLevel="0" collapsed="false">
      <c r="A30" s="22" t="s">
        <v>25</v>
      </c>
    </row>
    <row r="32" customFormat="false" ht="15" hidden="false" customHeight="false" outlineLevel="0" collapsed="false">
      <c r="A32" s="4" t="s">
        <v>26</v>
      </c>
    </row>
    <row r="33" customFormat="false" ht="15" hidden="false" customHeight="false" outlineLevel="0" collapsed="false">
      <c r="A33" s="7"/>
    </row>
    <row r="34" customFormat="false" ht="16" hidden="false" customHeight="false" outlineLevel="0" collapsed="false">
      <c r="A34" s="24" t="s">
        <v>27</v>
      </c>
    </row>
    <row r="35" customFormat="false" ht="29" hidden="false" customHeight="false" outlineLevel="0" collapsed="false">
      <c r="A35" s="24" t="s">
        <v>28</v>
      </c>
    </row>
    <row r="36" customFormat="false" ht="15" hidden="false" customHeight="false" outlineLevel="0" collapsed="false">
      <c r="A36" s="7"/>
    </row>
    <row r="37" customFormat="false" ht="16" hidden="false" customHeight="false" outlineLevel="0" collapsed="false">
      <c r="A37" s="7" t="s">
        <v>29</v>
      </c>
    </row>
    <row r="38" customFormat="false" ht="15" hidden="false" customHeight="false" outlineLevel="0" collapsed="false">
      <c r="A38" s="7"/>
    </row>
    <row r="39" customFormat="false" ht="16" hidden="false" customHeight="false" outlineLevel="0" collapsed="false">
      <c r="A39" s="7" t="s">
        <v>30</v>
      </c>
    </row>
    <row r="40" customFormat="false" ht="15" hidden="false" customHeight="false" outlineLevel="0" collapsed="false">
      <c r="A40" s="7" t="s">
        <v>31</v>
      </c>
    </row>
    <row r="41" customFormat="false" ht="28" hidden="false" customHeight="false" outlineLevel="0" collapsed="false">
      <c r="A41" s="24" t="s">
        <v>32</v>
      </c>
    </row>
    <row r="42" customFormat="false" ht="15" hidden="false" customHeight="false" outlineLevel="0" collapsed="false">
      <c r="A42" s="7"/>
    </row>
    <row r="43" customFormat="false" ht="16" hidden="false" customHeight="false" outlineLevel="0" collapsed="false">
      <c r="A43" s="7" t="s">
        <v>33</v>
      </c>
    </row>
    <row r="44" customFormat="false" ht="15" hidden="false" customHeight="false" outlineLevel="0" collapsed="false">
      <c r="A44" s="7"/>
    </row>
    <row r="45" customFormat="false" ht="16" hidden="false" customHeight="false" outlineLevel="0" collapsed="false">
      <c r="A45" s="7" t="s">
        <v>34</v>
      </c>
    </row>
    <row r="46" customFormat="false" ht="28" hidden="false" customHeight="false" outlineLevel="0" collapsed="false">
      <c r="A46" s="24" t="s">
        <v>35</v>
      </c>
    </row>
    <row r="47" customFormat="false" ht="15" hidden="false" customHeight="false" outlineLevel="0" collapsed="false">
      <c r="A47" s="7"/>
    </row>
    <row r="48" customFormat="false" ht="16" hidden="false" customHeight="false" outlineLevel="0" collapsed="false">
      <c r="A48" s="7" t="s">
        <v>36</v>
      </c>
    </row>
    <row r="49" customFormat="false" ht="15" hidden="false" customHeight="false" outlineLevel="0" collapsed="false">
      <c r="A49" s="7"/>
    </row>
    <row r="50" customFormat="false" ht="29" hidden="false" customHeight="false" outlineLevel="0" collapsed="false">
      <c r="A50" s="24" t="s">
        <v>37</v>
      </c>
    </row>
    <row r="51" customFormat="false" ht="29" hidden="false" customHeight="false" outlineLevel="0" collapsed="false">
      <c r="A51" s="24" t="s">
        <v>38</v>
      </c>
    </row>
    <row r="52" customFormat="false" ht="15" hidden="false" customHeight="false" outlineLevel="0" collapsed="false">
      <c r="A52" s="7"/>
    </row>
    <row r="53" customFormat="false" ht="16" hidden="false" customHeight="false" outlineLevel="0" collapsed="false">
      <c r="A53" s="7" t="s">
        <v>39</v>
      </c>
    </row>
    <row r="54" customFormat="false" ht="15" hidden="false" customHeight="false" outlineLevel="0" collapsed="false">
      <c r="A54" s="7"/>
    </row>
    <row r="55" customFormat="false" ht="28" hidden="false" customHeight="false" outlineLevel="0" collapsed="false">
      <c r="A55" s="24" t="s">
        <v>40</v>
      </c>
    </row>
    <row r="56" customFormat="false" ht="29" hidden="false" customHeight="false" outlineLevel="0" collapsed="false">
      <c r="A56" s="24" t="s">
        <v>41</v>
      </c>
    </row>
    <row r="57" customFormat="false" ht="15" hidden="false" customHeight="false" outlineLevel="0" collapsed="false">
      <c r="A57" s="7" t="s">
        <v>42</v>
      </c>
    </row>
    <row r="58" customFormat="false" ht="15" hidden="false" customHeight="false" outlineLevel="0" collapsed="false">
      <c r="A58" s="7" t="s">
        <v>43</v>
      </c>
    </row>
    <row r="59" customFormat="false" ht="28" hidden="false" customHeight="false" outlineLevel="0" collapsed="false">
      <c r="A59" s="24" t="s">
        <v>44</v>
      </c>
    </row>
    <row r="60" customFormat="false" ht="15" hidden="false" customHeight="false" outlineLevel="0" collapsed="false">
      <c r="A60" s="7" t="s">
        <v>45</v>
      </c>
    </row>
    <row r="61" customFormat="false" ht="15" hidden="false" customHeight="false" outlineLevel="0" collapsed="false">
      <c r="A61" s="7"/>
    </row>
    <row r="62" customFormat="false" ht="16" hidden="false" customHeight="false" outlineLevel="0" collapsed="false">
      <c r="A62" s="7" t="s">
        <v>46</v>
      </c>
    </row>
    <row r="63" customFormat="false" ht="15" hidden="false" customHeight="false" outlineLevel="0" collapsed="false">
      <c r="A63" s="7"/>
    </row>
    <row r="64" customFormat="false" ht="28" hidden="false" customHeight="false" outlineLevel="0" collapsed="false">
      <c r="A64" s="24" t="s">
        <v>47</v>
      </c>
    </row>
    <row r="65" customFormat="false" ht="15" hidden="false" customHeight="false" outlineLevel="0" collapsed="false">
      <c r="A65" s="7" t="s">
        <v>48</v>
      </c>
    </row>
    <row r="66" customFormat="false" ht="43" hidden="false" customHeight="false" outlineLevel="0" collapsed="false">
      <c r="A66" s="24" t="s">
        <v>49</v>
      </c>
    </row>
    <row r="67" customFormat="false" ht="28" hidden="false" customHeight="false" outlineLevel="0" collapsed="false">
      <c r="A67" s="24" t="s">
        <v>50</v>
      </c>
    </row>
    <row r="68" customFormat="false" ht="16" hidden="false" customHeight="false" outlineLevel="0" collapsed="false">
      <c r="A68" s="24" t="s">
        <v>51</v>
      </c>
    </row>
    <row r="69" customFormat="false" ht="15" hidden="false" customHeight="false" outlineLevel="0" collapsed="false">
      <c r="A69" s="7" t="s">
        <v>52</v>
      </c>
    </row>
    <row r="70" customFormat="false" ht="15" hidden="false" customHeight="false" outlineLevel="0" collapsed="false">
      <c r="A70" s="7"/>
    </row>
    <row r="71" customFormat="false" ht="16" hidden="false" customHeight="false" outlineLevel="0" collapsed="false">
      <c r="A71" s="7" t="s">
        <v>53</v>
      </c>
    </row>
    <row r="72" customFormat="false" ht="15" hidden="false" customHeight="false" outlineLevel="0" collapsed="false">
      <c r="A72" s="7"/>
    </row>
    <row r="73" customFormat="false" ht="15" hidden="false" customHeight="false" outlineLevel="0" collapsed="false">
      <c r="A73" s="7" t="s">
        <v>54</v>
      </c>
    </row>
    <row r="74" customFormat="false" ht="15" hidden="false" customHeight="false" outlineLevel="0" collapsed="false">
      <c r="A74" s="7" t="s">
        <v>55</v>
      </c>
    </row>
    <row r="75" customFormat="false" ht="15" hidden="false" customHeight="false" outlineLevel="0" collapsed="false">
      <c r="A75" s="24" t="s">
        <v>56</v>
      </c>
    </row>
    <row r="76" customFormat="false" ht="29" hidden="false" customHeight="false" outlineLevel="0" collapsed="false">
      <c r="A76" s="24" t="s">
        <v>57</v>
      </c>
    </row>
    <row r="77" customFormat="false" ht="15" hidden="false" customHeight="false" outlineLevel="0" collapsed="false">
      <c r="A77" s="7" t="s">
        <v>58</v>
      </c>
    </row>
    <row r="78" customFormat="false" ht="15" hidden="false" customHeight="false" outlineLevel="0" collapsed="false">
      <c r="A78" s="7" t="s">
        <v>59</v>
      </c>
    </row>
    <row r="79" customFormat="false" ht="16" hidden="false" customHeight="false" outlineLevel="0" collapsed="false">
      <c r="A79" s="5" t="s">
        <v>60</v>
      </c>
    </row>
    <row r="80" customFormat="false" ht="15" hidden="false" customHeight="false" outlineLevel="0" collapsed="false">
      <c r="A80" s="7" t="s">
        <v>61</v>
      </c>
    </row>
    <row r="81" customFormat="false" ht="15" hidden="false" customHeight="false" outlineLevel="0" collapsed="false">
      <c r="A81" s="7" t="s">
        <v>62</v>
      </c>
    </row>
    <row r="82" customFormat="false" ht="15" hidden="false" customHeight="false" outlineLevel="0" collapsed="false">
      <c r="A82" s="7" t="s">
        <v>63</v>
      </c>
    </row>
    <row r="83" customFormat="false" ht="15" hidden="false" customHeight="false" outlineLevel="0" collapsed="false">
      <c r="A83" s="7" t="s">
        <v>64</v>
      </c>
    </row>
    <row r="84" customFormat="false" ht="15" hidden="false" customHeight="false" outlineLevel="0" collapsed="false">
      <c r="A84" s="7"/>
    </row>
    <row r="85" customFormat="false" ht="16" hidden="false" customHeight="false" outlineLevel="0" collapsed="false">
      <c r="A85" s="7" t="s">
        <v>65</v>
      </c>
    </row>
    <row r="86" customFormat="false" ht="15" hidden="false" customHeight="false" outlineLevel="0" collapsed="false">
      <c r="A86" s="7"/>
    </row>
    <row r="87" customFormat="false" ht="15" hidden="false" customHeight="false" outlineLevel="0" collapsed="false">
      <c r="A87" s="7" t="s">
        <v>66</v>
      </c>
    </row>
    <row r="88" customFormat="false" ht="28" hidden="false" customHeight="false" outlineLevel="0" collapsed="false">
      <c r="A88" s="24" t="s">
        <v>67</v>
      </c>
    </row>
    <row r="89" customFormat="false" ht="28" hidden="false" customHeight="false" outlineLevel="0" collapsed="false">
      <c r="A89" s="24" t="s">
        <v>68</v>
      </c>
    </row>
    <row r="90" customFormat="false" ht="15" hidden="false" customHeight="false" outlineLevel="0" collapsed="false">
      <c r="A90" s="7" t="s">
        <v>69</v>
      </c>
    </row>
    <row r="91" customFormat="false" ht="29" hidden="false" customHeight="false" outlineLevel="0" collapsed="false">
      <c r="A91" s="24" t="s">
        <v>70</v>
      </c>
    </row>
    <row r="92" customFormat="false" ht="15" hidden="false" customHeight="false" outlineLevel="0" collapsed="false">
      <c r="A92" s="7" t="s">
        <v>71</v>
      </c>
    </row>
    <row r="93" customFormat="false" ht="28" hidden="false" customHeight="false" outlineLevel="0" collapsed="false">
      <c r="A93" s="24" t="s">
        <v>72</v>
      </c>
    </row>
    <row r="94" customFormat="false" ht="15" hidden="false" customHeight="false" outlineLevel="0" collapsed="false">
      <c r="A94" s="7"/>
    </row>
    <row r="95" customFormat="false" ht="16" hidden="false" customHeight="false" outlineLevel="0" collapsed="false">
      <c r="A95" s="7" t="s">
        <v>73</v>
      </c>
    </row>
    <row r="96" customFormat="false" ht="15" hidden="false" customHeight="false" outlineLevel="0" collapsed="false">
      <c r="A96" s="7"/>
    </row>
    <row r="97" customFormat="false" ht="29" hidden="false" customHeight="false" outlineLevel="0" collapsed="false">
      <c r="A97" s="24" t="s">
        <v>74</v>
      </c>
    </row>
    <row r="98" customFormat="false" ht="15" hidden="false" customHeight="false" outlineLevel="0" collapsed="false">
      <c r="A98" s="7"/>
    </row>
    <row r="99" customFormat="false" ht="16" hidden="false" customHeight="false" outlineLevel="0" collapsed="false">
      <c r="A99" s="7" t="s">
        <v>75</v>
      </c>
    </row>
    <row r="100" customFormat="false" ht="15" hidden="false" customHeight="false" outlineLevel="0" collapsed="false">
      <c r="A100" s="7"/>
    </row>
    <row r="101" customFormat="false" ht="28" hidden="false" customHeight="false" outlineLevel="0" collapsed="false">
      <c r="A101" s="24" t="s">
        <v>76</v>
      </c>
    </row>
    <row r="102" customFormat="false" ht="28" hidden="false" customHeight="false" outlineLevel="0" collapsed="false">
      <c r="A102" s="24" t="s">
        <v>77</v>
      </c>
    </row>
    <row r="103" customFormat="false" ht="15" hidden="false" customHeight="false" outlineLevel="0" collapsed="false">
      <c r="A103" s="7" t="s">
        <v>78</v>
      </c>
    </row>
    <row r="104" customFormat="false" ht="28" hidden="false" customHeight="false" outlineLevel="0" collapsed="false">
      <c r="A104" s="24" t="s">
        <v>79</v>
      </c>
    </row>
    <row r="105" customFormat="false" ht="28" hidden="false" customHeight="false" outlineLevel="0" collapsed="false">
      <c r="A105" s="24" t="s">
        <v>80</v>
      </c>
    </row>
    <row r="106" customFormat="false" ht="28" hidden="false" customHeight="false" outlineLevel="0" collapsed="false">
      <c r="A106" s="24" t="s">
        <v>81</v>
      </c>
    </row>
    <row r="107" customFormat="false" ht="15" hidden="false" customHeight="false" outlineLevel="0" collapsed="false">
      <c r="A107" s="7"/>
    </row>
    <row r="108" customFormat="false" ht="16" hidden="false" customHeight="false" outlineLevel="0" collapsed="false">
      <c r="A108" s="7" t="s">
        <v>82</v>
      </c>
    </row>
    <row r="109" customFormat="false" ht="15" hidden="false" customHeight="false" outlineLevel="0" collapsed="false">
      <c r="A109" s="7"/>
    </row>
    <row r="110" customFormat="false" ht="29" hidden="false" customHeight="false" outlineLevel="0" collapsed="false">
      <c r="A110" s="24" t="s">
        <v>83</v>
      </c>
    </row>
    <row r="111" customFormat="false" ht="29" hidden="false" customHeight="false" outlineLevel="0" collapsed="false">
      <c r="A111" s="24" t="s">
        <v>84</v>
      </c>
    </row>
    <row r="112" customFormat="false" ht="28" hidden="false" customHeight="false" outlineLevel="0" collapsed="false">
      <c r="A112" s="24" t="s">
        <v>85</v>
      </c>
    </row>
    <row r="113" customFormat="false" ht="15" hidden="false" customHeight="false" outlineLevel="0" collapsed="false">
      <c r="A113" s="7"/>
    </row>
    <row r="114" customFormat="false" ht="16" hidden="false" customHeight="false" outlineLevel="0" collapsed="false">
      <c r="A114" s="7" t="s">
        <v>86</v>
      </c>
    </row>
    <row r="115" customFormat="false" ht="15" hidden="false" customHeight="false" outlineLevel="0" collapsed="false">
      <c r="A115" s="7"/>
    </row>
    <row r="116" customFormat="false" ht="15" hidden="false" customHeight="false" outlineLevel="0" collapsed="false">
      <c r="A116" s="7" t="s">
        <v>87</v>
      </c>
    </row>
    <row r="117" customFormat="false" ht="15" hidden="false" customHeight="false" outlineLevel="0" collapsed="false">
      <c r="A117" s="24" t="s">
        <v>88</v>
      </c>
    </row>
    <row r="118" customFormat="false" ht="15" hidden="false" customHeight="false" outlineLevel="0" collapsed="false">
      <c r="A118" s="24" t="s">
        <v>89</v>
      </c>
    </row>
    <row r="119" customFormat="false" ht="15" hidden="false" customHeight="false" outlineLevel="0" collapsed="false">
      <c r="A119" s="7" t="s">
        <v>90</v>
      </c>
    </row>
    <row r="120" customFormat="false" ht="15" hidden="false" customHeight="false" outlineLevel="0" collapsed="false">
      <c r="A120" s="7"/>
    </row>
    <row r="121" customFormat="false" ht="16" hidden="false" customHeight="false" outlineLevel="0" collapsed="false">
      <c r="A121" s="7" t="s">
        <v>91</v>
      </c>
    </row>
    <row r="122" customFormat="false" ht="15" hidden="false" customHeight="false" outlineLevel="0" collapsed="false">
      <c r="A122" s="7"/>
    </row>
    <row r="123" customFormat="false" ht="28" hidden="false" customHeight="false" outlineLevel="0" collapsed="false">
      <c r="A123" s="24" t="s">
        <v>92</v>
      </c>
    </row>
    <row r="124" customFormat="false" ht="28" hidden="false" customHeight="false" outlineLevel="0" collapsed="false">
      <c r="A124" s="24" t="s">
        <v>93</v>
      </c>
    </row>
    <row r="125" customFormat="false" ht="15" hidden="false" customHeight="false" outlineLevel="0" collapsed="false">
      <c r="A125" s="7" t="s">
        <v>94</v>
      </c>
    </row>
    <row r="126" customFormat="false" ht="29" hidden="false" customHeight="false" outlineLevel="0" collapsed="false">
      <c r="A126" s="24" t="s">
        <v>95</v>
      </c>
    </row>
    <row r="127" customFormat="false" ht="16" hidden="false" customHeight="false" outlineLevel="0" collapsed="false">
      <c r="A127" s="24" t="s">
        <v>96</v>
      </c>
    </row>
    <row r="128" customFormat="false" ht="28" hidden="false" customHeight="false" outlineLevel="0" collapsed="false">
      <c r="A128" s="24" t="s">
        <v>97</v>
      </c>
    </row>
    <row r="129" customFormat="false" ht="15" hidden="false" customHeight="false" outlineLevel="0" collapsed="false">
      <c r="A129" s="24" t="s">
        <v>98</v>
      </c>
    </row>
    <row r="130" customFormat="false" ht="29" hidden="false" customHeight="false" outlineLevel="0" collapsed="false">
      <c r="A130" s="24" t="s">
        <v>99</v>
      </c>
    </row>
    <row r="131" customFormat="false" ht="15" hidden="false" customHeight="false" outlineLevel="0" collapsed="false">
      <c r="A131" s="7"/>
    </row>
    <row r="132" customFormat="false" ht="16" hidden="false" customHeight="false" outlineLevel="0" collapsed="false">
      <c r="A132" s="7" t="s">
        <v>100</v>
      </c>
    </row>
    <row r="133" customFormat="false" ht="15" hidden="false" customHeight="false" outlineLevel="0" collapsed="false">
      <c r="A133" s="7"/>
    </row>
    <row r="134" customFormat="false" ht="28" hidden="false" customHeight="false" outlineLevel="0" collapsed="false">
      <c r="A134" s="24" t="s">
        <v>101</v>
      </c>
    </row>
    <row r="135" customFormat="false" ht="29" hidden="false" customHeight="false" outlineLevel="0" collapsed="false">
      <c r="A135" s="24" t="s">
        <v>102</v>
      </c>
    </row>
    <row r="137" customFormat="false" ht="29" hidden="false" customHeight="false" outlineLevel="0" collapsed="false">
      <c r="A137" s="25" t="s">
        <v>103</v>
      </c>
    </row>
    <row r="138" customFormat="false" ht="15.5" hidden="false" customHeight="false" outlineLevel="0" collapsed="false">
      <c r="A138" s="2" t="s">
        <v>104</v>
      </c>
    </row>
    <row r="139" customFormat="false" ht="15.5" hidden="false" customHeight="false" outlineLevel="0" collapsed="false">
      <c r="A139" s="2" t="s">
        <v>105</v>
      </c>
    </row>
    <row r="140" customFormat="false" ht="15.5" hidden="false" customHeight="false" outlineLevel="0" collapsed="false">
      <c r="A140" s="2" t="s">
        <v>106</v>
      </c>
    </row>
    <row r="141" customFormat="false" ht="15.5" hidden="false" customHeight="false" outlineLevel="0" collapsed="false">
      <c r="A141" s="2" t="s">
        <v>107</v>
      </c>
    </row>
    <row r="142" customFormat="false" ht="15.5" hidden="false" customHeight="false" outlineLevel="0" collapsed="false">
      <c r="A142" s="2" t="s">
        <v>108</v>
      </c>
    </row>
    <row r="143" customFormat="false" ht="15.5" hidden="false" customHeight="false" outlineLevel="0" collapsed="false">
      <c r="A143" s="2" t="s">
        <v>109</v>
      </c>
    </row>
    <row r="144" customFormat="false" ht="15.5" hidden="false" customHeight="false" outlineLevel="0" collapsed="false">
      <c r="A144" s="2" t="s">
        <v>110</v>
      </c>
    </row>
    <row r="145" customFormat="false" ht="15.5" hidden="false" customHeight="false" outlineLevel="0" collapsed="false">
      <c r="A145" s="2" t="s">
        <v>111</v>
      </c>
    </row>
    <row r="146" customFormat="false" ht="15.5" hidden="false" customHeight="false" outlineLevel="0" collapsed="false">
      <c r="A146" s="2" t="s">
        <v>112</v>
      </c>
    </row>
    <row r="147" customFormat="false" ht="15.5" hidden="false" customHeight="false" outlineLevel="0" collapsed="false">
      <c r="A147" s="2" t="s">
        <v>113</v>
      </c>
    </row>
    <row r="148" customFormat="false" ht="15.5" hidden="false" customHeight="false" outlineLevel="0" collapsed="false">
      <c r="A148" s="2" t="s">
        <v>114</v>
      </c>
    </row>
    <row r="149" customFormat="false" ht="15.5" hidden="false" customHeight="false" outlineLevel="0" collapsed="false">
      <c r="A149" s="2" t="s">
        <v>115</v>
      </c>
    </row>
    <row r="150" customFormat="false" ht="15.5" hidden="false" customHeight="false" outlineLevel="0" collapsed="false">
      <c r="A150" s="2" t="s">
        <v>116</v>
      </c>
    </row>
    <row r="152" customFormat="false" ht="15" hidden="false" customHeight="false" outlineLevel="0" collapsed="false">
      <c r="A152" s="4" t="s">
        <v>117</v>
      </c>
    </row>
    <row r="153" customFormat="false" ht="30" hidden="false" customHeight="false" outlineLevel="0" collapsed="false">
      <c r="A153" s="24" t="s">
        <v>118</v>
      </c>
    </row>
    <row r="154" customFormat="false" ht="28" hidden="false" customHeight="false" outlineLevel="0" collapsed="false">
      <c r="A154" s="24" t="s">
        <v>119</v>
      </c>
    </row>
    <row r="155" customFormat="false" ht="15" hidden="false" customHeight="false" outlineLevel="0" collapsed="false">
      <c r="A155" s="7"/>
    </row>
    <row r="156" customFormat="false" ht="15" hidden="false" customHeight="false" outlineLevel="0" collapsed="false">
      <c r="A156" s="4" t="s">
        <v>120</v>
      </c>
    </row>
    <row r="157" customFormat="false" ht="28" hidden="false" customHeight="false" outlineLevel="0" collapsed="false">
      <c r="A157" s="24" t="s">
        <v>121</v>
      </c>
    </row>
    <row r="158" customFormat="false" ht="29" hidden="false" customHeight="false" outlineLevel="0" collapsed="false">
      <c r="A158" s="24" t="s">
        <v>122</v>
      </c>
    </row>
    <row r="160" customFormat="false" ht="15.5" hidden="false" customHeight="false" outlineLevel="0" collapsed="false">
      <c r="A160" s="8" t="s">
        <v>123</v>
      </c>
    </row>
  </sheetData>
  <mergeCells count="5">
    <mergeCell ref="A5:L5"/>
    <mergeCell ref="A6:J6"/>
    <mergeCell ref="A7:W7"/>
    <mergeCell ref="A14:I14"/>
    <mergeCell ref="A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80"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124</v>
      </c>
      <c r="B1" s="10"/>
      <c r="C1" s="10"/>
      <c r="D1" s="10"/>
      <c r="E1" s="10"/>
      <c r="F1" s="10"/>
      <c r="G1" s="10"/>
    </row>
    <row r="3" customFormat="false" ht="15.5" hidden="false" customHeight="false" outlineLevel="0" collapsed="false">
      <c r="A3" s="11" t="s">
        <v>125</v>
      </c>
      <c r="B3" s="11"/>
      <c r="C3" s="11"/>
      <c r="D3" s="12"/>
      <c r="E3" s="12"/>
      <c r="F3" s="12"/>
      <c r="G3" s="12"/>
      <c r="H3" s="12"/>
    </row>
    <row r="4" customFormat="false" ht="15" hidden="false" customHeight="false" outlineLevel="0" collapsed="false">
      <c r="A4" s="13" t="s">
        <v>126</v>
      </c>
      <c r="B4" s="13" t="s">
        <v>127</v>
      </c>
      <c r="C4" s="13" t="s">
        <v>120</v>
      </c>
      <c r="D4" s="13"/>
    </row>
    <row r="5" customFormat="false" ht="16" hidden="false" customHeight="false" outlineLevel="0" collapsed="false">
      <c r="A5" s="26">
        <v>1</v>
      </c>
      <c r="B5" s="14" t="s">
        <v>129</v>
      </c>
      <c r="C5" s="15" t="s">
        <v>130</v>
      </c>
      <c r="D5" s="15"/>
      <c r="E5" s="15"/>
    </row>
    <row r="6" customFormat="false" ht="16" hidden="false" customHeight="false" outlineLevel="0" collapsed="false">
      <c r="A6" s="26">
        <v>2</v>
      </c>
      <c r="B6" s="9" t="s">
        <v>132</v>
      </c>
      <c r="C6" s="15" t="s">
        <v>133</v>
      </c>
      <c r="D6" s="15"/>
      <c r="E6" s="15"/>
    </row>
    <row r="7" customFormat="false" ht="15" hidden="false" customHeight="false" outlineLevel="0" collapsed="false">
      <c r="A7" s="26">
        <v>3</v>
      </c>
      <c r="B7" s="9" t="s">
        <v>135</v>
      </c>
      <c r="C7" s="15" t="s">
        <v>136</v>
      </c>
      <c r="D7" s="15"/>
      <c r="E7" s="15"/>
      <c r="F7" s="15"/>
    </row>
    <row r="8" customFormat="false" ht="16" hidden="false" customHeight="false" outlineLevel="0" collapsed="false">
      <c r="A8" s="26">
        <v>4</v>
      </c>
      <c r="B8" s="9" t="s">
        <v>138</v>
      </c>
      <c r="C8" s="15" t="s">
        <v>139</v>
      </c>
      <c r="D8" s="15"/>
      <c r="E8" s="15"/>
      <c r="F8" s="15"/>
      <c r="G8" s="15"/>
    </row>
    <row r="9" customFormat="false" ht="15" hidden="false" customHeight="false" outlineLevel="0" collapsed="false">
      <c r="A9" s="26">
        <v>5</v>
      </c>
      <c r="B9" s="9" t="s">
        <v>141</v>
      </c>
      <c r="C9" s="15" t="s">
        <v>142</v>
      </c>
      <c r="D9" s="15"/>
      <c r="E9" s="15"/>
      <c r="F9" s="15"/>
    </row>
    <row r="11" customFormat="false" ht="15.5" hidden="false" customHeight="false" outlineLevel="0" collapsed="false">
      <c r="A11" s="11" t="s">
        <v>143</v>
      </c>
      <c r="B11" s="11"/>
      <c r="C11" s="11"/>
      <c r="D11" s="12"/>
      <c r="E11" s="12"/>
      <c r="F11" s="12"/>
      <c r="G11" s="12"/>
      <c r="H11" s="12"/>
    </row>
    <row r="12" customFormat="false" ht="15" hidden="false" customHeight="false" outlineLevel="0" collapsed="false">
      <c r="A12" s="13" t="s">
        <v>144</v>
      </c>
      <c r="B12" s="13" t="s">
        <v>145</v>
      </c>
      <c r="C12" s="13" t="s">
        <v>146</v>
      </c>
      <c r="D12" s="13"/>
    </row>
    <row r="13" customFormat="false" ht="16" hidden="false" customHeight="false" outlineLevel="0" collapsed="false">
      <c r="A13" s="9" t="s">
        <v>62</v>
      </c>
      <c r="B13" s="9" t="s">
        <v>147</v>
      </c>
      <c r="C13" s="15" t="s">
        <v>148</v>
      </c>
      <c r="D13" s="15"/>
      <c r="E13" s="15"/>
      <c r="F13" s="15"/>
    </row>
    <row r="14" customFormat="false" ht="16" hidden="false" customHeight="false" outlineLevel="0" collapsed="false">
      <c r="A14" s="9" t="s">
        <v>71</v>
      </c>
      <c r="B14" s="14" t="s">
        <v>149</v>
      </c>
      <c r="C14" s="15" t="s">
        <v>150</v>
      </c>
      <c r="D14" s="15"/>
      <c r="E14" s="15"/>
      <c r="F14" s="15"/>
      <c r="G14" s="15"/>
      <c r="H14" s="15"/>
    </row>
    <row r="15" customFormat="false" ht="16" hidden="false" customHeight="false" outlineLevel="0" collapsed="false">
      <c r="A15" s="9" t="s">
        <v>78</v>
      </c>
      <c r="B15" s="9" t="s">
        <v>151</v>
      </c>
      <c r="C15" s="15" t="s">
        <v>152</v>
      </c>
      <c r="D15" s="15"/>
      <c r="E15" s="15"/>
      <c r="F15" s="15"/>
    </row>
    <row r="16" customFormat="false" ht="16" hidden="false" customHeight="false" outlineLevel="0" collapsed="false">
      <c r="A16" s="9" t="s">
        <v>87</v>
      </c>
      <c r="B16" s="9" t="s">
        <v>153</v>
      </c>
      <c r="C16" s="15" t="s">
        <v>154</v>
      </c>
      <c r="D16" s="15"/>
      <c r="E16" s="15"/>
      <c r="F16" s="15"/>
      <c r="G16" s="15"/>
    </row>
    <row r="18" customFormat="false" ht="15.5" hidden="false" customHeight="false" outlineLevel="0" collapsed="false">
      <c r="A18" s="11" t="s">
        <v>155</v>
      </c>
      <c r="B18" s="11"/>
      <c r="C18" s="11"/>
      <c r="D18" s="11"/>
      <c r="E18" s="11"/>
      <c r="F18" s="11"/>
      <c r="G18" s="12"/>
      <c r="H18" s="12"/>
    </row>
    <row r="19" customFormat="false" ht="15.5" hidden="false" customHeight="false" outlineLevel="0" collapsed="false">
      <c r="A19" s="13" t="s">
        <v>156</v>
      </c>
      <c r="B19" s="13" t="s">
        <v>157</v>
      </c>
      <c r="C19" s="13" t="s">
        <v>158</v>
      </c>
      <c r="D19" s="13" t="s">
        <v>159</v>
      </c>
      <c r="E19" s="13" t="s">
        <v>160</v>
      </c>
      <c r="F19" s="13" t="s">
        <v>161</v>
      </c>
      <c r="G19" s="13" t="s">
        <v>120</v>
      </c>
      <c r="H19" s="13"/>
    </row>
    <row r="20" customFormat="false" ht="16" hidden="false" customHeight="false" outlineLevel="0" collapsed="false">
      <c r="A20" s="9" t="s">
        <v>162</v>
      </c>
      <c r="B20" s="16" t="n">
        <v>0.2</v>
      </c>
      <c r="C20" s="16" t="n">
        <v>0.2</v>
      </c>
      <c r="D20" s="16" t="n">
        <v>0.2</v>
      </c>
      <c r="E20" s="28" t="n">
        <f aca="false">B20*C20*D20</f>
        <v>0.008</v>
      </c>
      <c r="F20" s="18" t="n">
        <f aca="false">E20/$E$20</f>
        <v>1</v>
      </c>
      <c r="G20" s="15" t="s">
        <v>163</v>
      </c>
      <c r="H20" s="15"/>
    </row>
    <row r="21" customFormat="false" ht="16" hidden="false" customHeight="false" outlineLevel="0" collapsed="false">
      <c r="A21" s="9" t="s">
        <v>164</v>
      </c>
      <c r="B21" s="16" t="n">
        <v>1</v>
      </c>
      <c r="C21" s="16" t="n">
        <v>0.2</v>
      </c>
      <c r="D21" s="16" t="n">
        <v>0.2</v>
      </c>
      <c r="E21" s="28" t="n">
        <f aca="false">B21*C21*D21</f>
        <v>0.04</v>
      </c>
      <c r="F21" s="18" t="n">
        <f aca="false">E21/$E$20</f>
        <v>5</v>
      </c>
      <c r="G21" s="15" t="s">
        <v>165</v>
      </c>
      <c r="H21" s="15"/>
    </row>
    <row r="22" customFormat="false" ht="16" hidden="false" customHeight="false" outlineLevel="0" collapsed="false">
      <c r="A22" s="9" t="s">
        <v>166</v>
      </c>
      <c r="B22" s="16" t="n">
        <v>1</v>
      </c>
      <c r="C22" s="16" t="n">
        <v>1</v>
      </c>
      <c r="D22" s="16" t="n">
        <v>0.2</v>
      </c>
      <c r="E22" s="28" t="n">
        <f aca="false">B22*C22*D22</f>
        <v>0.2</v>
      </c>
      <c r="F22" s="18" t="n">
        <f aca="false">E22/$E$20</f>
        <v>25</v>
      </c>
      <c r="G22" s="15" t="s">
        <v>167</v>
      </c>
      <c r="H22" s="15"/>
    </row>
    <row r="23" customFormat="false" ht="16" hidden="false" customHeight="false" outlineLevel="0" collapsed="false">
      <c r="A23" s="9" t="s">
        <v>168</v>
      </c>
      <c r="B23" s="16" t="n">
        <v>1</v>
      </c>
      <c r="C23" s="16" t="n">
        <v>1</v>
      </c>
      <c r="D23" s="16" t="n">
        <v>1</v>
      </c>
      <c r="E23" s="28" t="n">
        <f aca="false">B23*C23*D23</f>
        <v>1</v>
      </c>
      <c r="F23" s="18" t="n">
        <f aca="false">E23/$E$20</f>
        <v>125</v>
      </c>
      <c r="G23" s="15" t="s">
        <v>169</v>
      </c>
      <c r="H23" s="15"/>
    </row>
    <row r="25" customFormat="false" ht="15.5" hidden="false" customHeight="true" outlineLevel="0" collapsed="false">
      <c r="A25" s="19" t="s">
        <v>170</v>
      </c>
      <c r="B25" s="19"/>
      <c r="C25" s="19"/>
      <c r="D25" s="19"/>
      <c r="E25" s="19"/>
      <c r="F25" s="19"/>
      <c r="G25" s="19"/>
      <c r="H25" s="19"/>
      <c r="I25" s="19"/>
      <c r="J25" s="19"/>
      <c r="K25" s="19"/>
      <c r="L25" s="19"/>
      <c r="M25" s="19"/>
      <c r="N25" s="19"/>
      <c r="O25" s="19"/>
    </row>
    <row r="27" customFormat="false" ht="15.5" hidden="false" customHeight="false" outlineLevel="0" collapsed="false">
      <c r="A27" s="11" t="s">
        <v>171</v>
      </c>
      <c r="B27" s="11"/>
      <c r="C27" s="11"/>
      <c r="D27" s="12"/>
      <c r="E27" s="12"/>
      <c r="F27" s="12"/>
      <c r="G27" s="12"/>
      <c r="H27" s="12"/>
    </row>
    <row r="28" customFormat="false" ht="15" hidden="false" customHeight="false" outlineLevel="0" collapsed="false">
      <c r="A28" s="13" t="s">
        <v>172</v>
      </c>
      <c r="B28" s="13" t="s">
        <v>173</v>
      </c>
      <c r="C28" s="13" t="s">
        <v>120</v>
      </c>
      <c r="D28" s="13"/>
      <c r="E28" s="13"/>
      <c r="F28" s="13"/>
      <c r="G28" s="13"/>
      <c r="H28" s="13"/>
    </row>
    <row r="29" customFormat="false" ht="16" hidden="false" customHeight="false" outlineLevel="0" collapsed="false">
      <c r="A29" s="9" t="s">
        <v>174</v>
      </c>
      <c r="B29" s="20" t="str">
        <f aca="false">IF(ABS(E23-C23*D23)&lt;0.0000001,"✓","✗")</f>
        <v>✓</v>
      </c>
      <c r="C29" s="9" t="s">
        <v>175</v>
      </c>
    </row>
    <row r="30" customFormat="false" ht="16" hidden="false" customHeight="false" outlineLevel="0" collapsed="false">
      <c r="A30" s="9" t="s">
        <v>176</v>
      </c>
      <c r="B30" s="20" t="str">
        <f aca="false">IF(AND(F21&gt;F20,F22&gt;F21,F23&gt;F22),"✓","✗")</f>
        <v>✓</v>
      </c>
      <c r="C30" s="21" t="s">
        <v>177</v>
      </c>
      <c r="D30" s="21"/>
    </row>
    <row r="32" customFormat="false" ht="15" hidden="false" customHeight="true" outlineLevel="0" collapsed="false">
      <c r="A32" s="19" t="s">
        <v>178</v>
      </c>
      <c r="B32" s="19"/>
      <c r="C32" s="19"/>
      <c r="D32" s="19"/>
      <c r="E32" s="19"/>
      <c r="F32" s="19"/>
      <c r="G32" s="19"/>
    </row>
  </sheetData>
  <mergeCells count="21">
    <mergeCell ref="A1:G1"/>
    <mergeCell ref="A3:C3"/>
    <mergeCell ref="C5:E5"/>
    <mergeCell ref="C6:E6"/>
    <mergeCell ref="C7:F7"/>
    <mergeCell ref="C8:G8"/>
    <mergeCell ref="C9:F9"/>
    <mergeCell ref="A11:C11"/>
    <mergeCell ref="C13:F13"/>
    <mergeCell ref="C14:H14"/>
    <mergeCell ref="C15:F15"/>
    <mergeCell ref="C16:G16"/>
    <mergeCell ref="A18:F18"/>
    <mergeCell ref="G20:H20"/>
    <mergeCell ref="G21:H21"/>
    <mergeCell ref="G22:H22"/>
    <mergeCell ref="G23:H23"/>
    <mergeCell ref="A25:O25"/>
    <mergeCell ref="A27:C27"/>
    <mergeCell ref="C30:D30"/>
    <mergeCell ref="A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T52"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