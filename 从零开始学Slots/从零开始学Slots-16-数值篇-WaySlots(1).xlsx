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说明" sheetId="1" state="visible" r:id="rId3"/>
    <sheet name="数据配表" sheetId="2" state="visible" r:id="rId4"/>
  </sheets>
  <calcPr iterateCount="100" refMode="A1" iterate="false" iterateDelta="0.0001" fullCalcOnLoad="1"/>
  <extLst>
    <ext xmlns:loext="http://schemas.libreoffice.org/" uri="{7626C862-2A13-11E5-B345-FEFF819CDC9F}">
      <loext:extCalcPr stringRefSyntax="ExcelA1"/>
    </ext>
  </extLst>
</workbook>
</file>

<file path=xl/sharedStrings.xml><?xml version="1.0" encoding="utf-8"?>
<sst xmlns="http://schemas.openxmlformats.org/spreadsheetml/2006/main" count="231" uniqueCount="210">
  <si>
    <r>
      <rPr>
        <b val="true"/>
        <sz val="14"/>
        <color rgb="FF1F4E79"/>
        <rFont val="Noto Sans SC"/>
        <family val="2"/>
        <charset val="134"/>
      </rPr>
      <t xml:space="preserve">从零开始学</t>
    </r>
    <r>
      <rPr>
        <b val="true"/>
        <sz val="14"/>
        <color rgb="FF1F4E79"/>
        <rFont val="Cambria"/>
        <family val="0"/>
        <charset val="1"/>
      </rPr>
      <t xml:space="preserve">Slots 16 —— </t>
    </r>
    <r>
      <rPr>
        <b val="true"/>
        <sz val="14"/>
        <color rgb="FF1F4E79"/>
        <rFont val="Noto Sans SC"/>
        <family val="2"/>
        <charset val="134"/>
      </rPr>
      <t xml:space="preserve">数值篇：</t>
    </r>
    <r>
      <rPr>
        <b val="true"/>
        <sz val="14"/>
        <color rgb="FF1F4E79"/>
        <rFont val="Cambria"/>
        <family val="0"/>
        <charset val="1"/>
      </rPr>
      <t xml:space="preserve">Way Slots(1)</t>
    </r>
  </si>
  <si>
    <r>
      <rPr>
        <sz val="11"/>
        <color rgb="FF808080"/>
        <rFont val="Noto Sans SC"/>
        <family val="2"/>
        <charset val="134"/>
      </rPr>
      <t xml:space="preserve">来源：知乎《</t>
    </r>
    <r>
      <rPr>
        <sz val="11"/>
        <color rgb="FF808080"/>
        <rFont val="Cambria"/>
        <family val="0"/>
        <charset val="1"/>
      </rPr>
      <t xml:space="preserve">Slots</t>
    </r>
    <r>
      <rPr>
        <sz val="11"/>
        <color rgb="FF808080"/>
        <rFont val="Noto Sans SC"/>
        <family val="2"/>
        <charset val="134"/>
      </rPr>
      <t xml:space="preserve">数值篇——</t>
    </r>
    <r>
      <rPr>
        <sz val="11"/>
        <color rgb="FF808080"/>
        <rFont val="Cambria"/>
        <family val="0"/>
        <charset val="1"/>
      </rPr>
      <t xml:space="preserve">Way Slots(1)</t>
    </r>
    <r>
      <rPr>
        <sz val="11"/>
        <color rgb="FF808080"/>
        <rFont val="Noto Sans SC"/>
        <family val="2"/>
        <charset val="134"/>
      </rPr>
      <t xml:space="preserve">》  </t>
    </r>
    <r>
      <rPr>
        <sz val="11"/>
        <color rgb="FF808080"/>
        <rFont val="Cambria"/>
        <family val="0"/>
        <charset val="1"/>
      </rPr>
      <t xml:space="preserve">https://zhuanlan.zhihu.com/p/625322021</t>
    </r>
  </si>
  <si>
    <r>
      <rPr>
        <sz val="11"/>
        <color rgb="FF808080"/>
        <rFont val="Noto Sans SC"/>
        <family val="2"/>
        <charset val="134"/>
      </rPr>
      <t xml:space="preserve">专栏：从零开始学</t>
    </r>
    <r>
      <rPr>
        <sz val="11"/>
        <color rgb="FF808080"/>
        <rFont val="Cambria"/>
        <family val="0"/>
        <charset val="1"/>
      </rPr>
      <t xml:space="preserve">Slots https://zhuanlan.zhihu.com/c_1645024821070356480 </t>
    </r>
    <r>
      <rPr>
        <sz val="11"/>
        <color rgb="FF808080"/>
        <rFont val="Noto Sans SC"/>
        <family val="2"/>
        <charset val="134"/>
      </rPr>
      <t xml:space="preserve">｜ 作者：</t>
    </r>
    <r>
      <rPr>
        <sz val="11"/>
        <color rgb="FF808080"/>
        <rFont val="Cambria"/>
        <family val="0"/>
        <charset val="1"/>
      </rPr>
      <t xml:space="preserve">ASlot</t>
    </r>
  </si>
  <si>
    <r>
      <rPr>
        <sz val="11"/>
        <color rgb="FF808080"/>
        <rFont val="Noto Sans SC"/>
        <family val="2"/>
        <charset val="134"/>
      </rPr>
      <t xml:space="preserve">正文：用户在本机离线保存的网页原件（浏览器「另存为 → 网页，全部」）；本页『原文整理』即该文全文，原文配图已取回 </t>
    </r>
    <r>
      <rPr>
        <sz val="11"/>
        <color rgb="FF808080"/>
        <rFont val="Cambria"/>
        <family val="0"/>
        <charset val="1"/>
      </rPr>
      <t xml:space="preserve">images/slots/</t>
    </r>
    <r>
      <rPr>
        <sz val="11"/>
        <color rgb="FF808080"/>
        <rFont val="Noto Sans SC"/>
        <family val="2"/>
        <charset val="134"/>
      </rPr>
      <t xml:space="preserve">。</t>
    </r>
  </si>
  <si>
    <r>
      <rPr>
        <sz val="11"/>
        <color rgb="FF808080"/>
        <rFont val="Noto Sans SC"/>
        <family val="2"/>
        <charset val="134"/>
      </rPr>
      <t xml:space="preserve">样式模板：捕鱼游戏数学</t>
    </r>
    <r>
      <rPr>
        <sz val="11"/>
        <color rgb="FF808080"/>
        <rFont val="Cambria"/>
        <family val="0"/>
        <charset val="1"/>
      </rPr>
      <t xml:space="preserve">-PartII-</t>
    </r>
    <r>
      <rPr>
        <sz val="11"/>
        <color rgb="FF808080"/>
        <rFont val="Noto Sans SC"/>
        <family val="2"/>
        <charset val="134"/>
      </rPr>
      <t xml:space="preserve">特殊炮模型</t>
    </r>
    <r>
      <rPr>
        <sz val="11"/>
        <color rgb="FF808080"/>
        <rFont val="Cambria"/>
        <family val="0"/>
        <charset val="1"/>
      </rPr>
      <t xml:space="preserve">.xlsx</t>
    </r>
    <r>
      <rPr>
        <sz val="11"/>
        <color rgb="FF808080"/>
        <rFont val="Noto Sans SC"/>
        <family val="2"/>
        <charset val="134"/>
      </rPr>
      <t xml:space="preserve">（分节深蓝底 </t>
    </r>
    <r>
      <rPr>
        <sz val="11"/>
        <color rgb="FF808080"/>
        <rFont val="Cambria"/>
        <family val="0"/>
        <charset val="1"/>
      </rPr>
      <t xml:space="preserve">+ </t>
    </r>
    <r>
      <rPr>
        <sz val="11"/>
        <color rgb="FF808080"/>
        <rFont val="Noto Sans SC"/>
        <family val="2"/>
        <charset val="134"/>
      </rPr>
      <t xml:space="preserve">表头浅蓝底 </t>
    </r>
    <r>
      <rPr>
        <sz val="11"/>
        <color rgb="FF808080"/>
        <rFont val="Cambria"/>
        <family val="0"/>
        <charset val="1"/>
      </rPr>
      <t xml:space="preserve">+ </t>
    </r>
    <r>
      <rPr>
        <sz val="11"/>
        <color rgb="FF808080"/>
        <rFont val="Noto Sans SC"/>
        <family val="2"/>
        <charset val="134"/>
      </rPr>
      <t xml:space="preserve">蓝字可改输入 </t>
    </r>
    <r>
      <rPr>
        <sz val="11"/>
        <color rgb="FF808080"/>
        <rFont val="Cambria"/>
        <family val="0"/>
        <charset val="1"/>
      </rPr>
      <t xml:space="preserve">+ </t>
    </r>
    <r>
      <rPr>
        <sz val="11"/>
        <color rgb="FF808080"/>
        <rFont val="Noto Sans SC"/>
        <family val="2"/>
        <charset val="134"/>
      </rPr>
      <t xml:space="preserve">黑字公式 </t>
    </r>
    <r>
      <rPr>
        <sz val="11"/>
        <color rgb="FF808080"/>
        <rFont val="Cambria"/>
        <family val="0"/>
        <charset val="1"/>
      </rPr>
      <t xml:space="preserve">+ </t>
    </r>
    <r>
      <rPr>
        <sz val="11"/>
        <color rgb="FF808080"/>
        <rFont val="Noto Sans SC"/>
        <family val="2"/>
        <charset val="134"/>
      </rPr>
      <t xml:space="preserve">黄底关键结果）</t>
    </r>
  </si>
  <si>
    <r>
      <rPr>
        <sz val="11"/>
        <color rgb="FF808080"/>
        <rFont val="Noto Sans SC"/>
        <family val="2"/>
        <charset val="134"/>
      </rPr>
      <t xml:space="preserve">配表说明：原文①（固定卷轴）配图为低分辨率截图，为避免转录出错，本簿不逐格转录卷轴，直接采用原文②「图标个数分布」与⑤⑥「事件数 </t>
    </r>
    <r>
      <rPr>
        <sz val="11"/>
        <color rgb="FF808080"/>
        <rFont val="Cambria"/>
        <family val="0"/>
        <charset val="1"/>
      </rPr>
      <t xml:space="preserve">/ </t>
    </r>
    <r>
      <rPr>
        <sz val="11"/>
        <color rgb="FF808080"/>
        <rFont val="Noto Sans SC"/>
        <family val="2"/>
        <charset val="134"/>
      </rPr>
      <t xml:space="preserve">赔付倍数」的公布数值作为蓝字输入；其余（事件数、中奖率、期望、合计 </t>
    </r>
    <r>
      <rPr>
        <sz val="11"/>
        <color rgb="FF808080"/>
        <rFont val="Cambria"/>
        <family val="0"/>
        <charset val="1"/>
      </rPr>
      <t xml:space="preserve">RTP</t>
    </r>
    <r>
      <rPr>
        <sz val="11"/>
        <color rgb="FF808080"/>
        <rFont val="Noto Sans SC"/>
        <family val="2"/>
        <charset val="134"/>
      </rPr>
      <t xml:space="preserve">、实际 </t>
    </r>
    <r>
      <rPr>
        <sz val="11"/>
        <color rgb="FF808080"/>
        <rFont val="Cambria"/>
        <family val="0"/>
        <charset val="1"/>
      </rPr>
      <t xml:space="preserve">RTP</t>
    </r>
    <r>
      <rPr>
        <sz val="11"/>
        <color rgb="FF808080"/>
        <rFont val="Noto Sans SC"/>
        <family val="2"/>
        <charset val="134"/>
      </rPr>
      <t xml:space="preserve">、累乘示例）全部由公式算出，并与原文公布值自检。</t>
    </r>
  </si>
  <si>
    <t xml:space="preserve">页签</t>
  </si>
  <si>
    <r>
      <rPr>
        <sz val="11"/>
        <color theme="1"/>
        <rFont val="Calibri"/>
        <family val="2"/>
        <charset val="1"/>
      </rPr>
      <t xml:space="preserve">· </t>
    </r>
    <r>
      <rPr>
        <sz val="11"/>
        <color theme="1"/>
        <rFont val="Noto Sans SC"/>
        <family val="2"/>
        <charset val="134"/>
      </rPr>
      <t xml:space="preserve">说明：本文整理 —— 来源、用法、要点、原文全文、配图清单、校验与声明。</t>
    </r>
  </si>
  <si>
    <r>
      <rPr>
        <sz val="11"/>
        <color theme="1"/>
        <rFont val="Calibri"/>
        <family val="2"/>
        <charset val="1"/>
      </rPr>
      <t xml:space="preserve">· </t>
    </r>
    <r>
      <rPr>
        <sz val="11"/>
        <color theme="1"/>
        <rFont val="Noto Sans SC"/>
        <family val="2"/>
        <charset val="134"/>
      </rPr>
      <t xml:space="preserve">数据配表：把原文讲到的方法</t>
    </r>
    <r>
      <rPr>
        <sz val="11"/>
        <color theme="1"/>
        <rFont val="Calibri"/>
        <family val="2"/>
        <charset val="1"/>
      </rPr>
      <t xml:space="preserve">/</t>
    </r>
    <r>
      <rPr>
        <sz val="11"/>
        <color theme="1"/>
        <rFont val="Noto Sans SC"/>
        <family val="2"/>
        <charset val="134"/>
      </rPr>
      <t xml:space="preserve">机制做成可改数值的配表（蓝字可改，公式自动联动）。</t>
    </r>
  </si>
  <si>
    <t xml:space="preserve">用法</t>
  </si>
  <si>
    <r>
      <rPr>
        <sz val="11"/>
        <color theme="1"/>
        <rFont val="Calibri"/>
        <family val="2"/>
        <charset val="1"/>
      </rPr>
      <t xml:space="preserve">1) </t>
    </r>
    <r>
      <rPr>
        <sz val="11"/>
        <color theme="1"/>
        <rFont val="Noto Sans SC"/>
        <family val="2"/>
        <charset val="134"/>
      </rPr>
      <t xml:space="preserve">先看本页『原文整理』，对照原文小标题读一遍；配图编号 ［配图 </t>
    </r>
    <r>
      <rPr>
        <sz val="11"/>
        <color theme="1"/>
        <rFont val="Calibri"/>
        <family val="2"/>
        <charset val="1"/>
      </rPr>
      <t xml:space="preserve">NN</t>
    </r>
    <r>
      <rPr>
        <sz val="11"/>
        <color theme="1"/>
        <rFont val="Noto Sans SC"/>
        <family val="2"/>
        <charset val="134"/>
      </rPr>
      <t xml:space="preserve">］ 对应 </t>
    </r>
    <r>
      <rPr>
        <sz val="11"/>
        <color theme="1"/>
        <rFont val="Calibri"/>
        <family val="2"/>
        <charset val="1"/>
      </rPr>
      <t xml:space="preserve">images/slots/625322021-NN.</t>
    </r>
    <r>
      <rPr>
        <sz val="11"/>
        <color theme="1"/>
        <rFont val="Noto Sans SC"/>
        <family val="2"/>
        <charset val="134"/>
      </rPr>
      <t xml:space="preserve">原扩展名。</t>
    </r>
  </si>
  <si>
    <r>
      <rPr>
        <sz val="11"/>
        <color theme="1"/>
        <rFont val="Calibri"/>
        <family val="2"/>
        <charset val="1"/>
      </rPr>
      <t xml:space="preserve">2) </t>
    </r>
    <r>
      <rPr>
        <sz val="11"/>
        <color theme="1"/>
        <rFont val="Noto Sans SC"/>
        <family val="2"/>
        <charset val="134"/>
      </rPr>
      <t xml:space="preserve">再看第 </t>
    </r>
    <r>
      <rPr>
        <sz val="11"/>
        <color theme="1"/>
        <rFont val="Calibri"/>
        <family val="2"/>
        <charset val="1"/>
      </rPr>
      <t xml:space="preserve">2 </t>
    </r>
    <r>
      <rPr>
        <sz val="11"/>
        <color theme="1"/>
        <rFont val="Noto Sans SC"/>
        <family val="2"/>
        <charset val="134"/>
      </rPr>
      <t xml:space="preserve">个页签『数据配表』：蓝字＝可改配置，黑字＝公式，黄底＝结果；改配置后各表自动联动。</t>
    </r>
  </si>
  <si>
    <r>
      <rPr>
        <sz val="11"/>
        <color theme="1"/>
        <rFont val="Calibri"/>
        <family val="2"/>
        <charset val="1"/>
      </rPr>
      <t xml:space="preserve">3) </t>
    </r>
    <r>
      <rPr>
        <sz val="11"/>
        <color theme="1"/>
        <rFont val="Noto Sans SC"/>
        <family val="2"/>
        <charset val="134"/>
      </rPr>
      <t xml:space="preserve">表内数值取自原文示例；原文只给方法而未给数值的部分，用同项目《老虎机数学入门 </t>
    </r>
    <r>
      <rPr>
        <sz val="11"/>
        <color theme="1"/>
        <rFont val="Calibri"/>
        <family val="2"/>
        <charset val="1"/>
      </rPr>
      <t xml:space="preserve">Part Ⅰ/Ⅱ</t>
    </r>
    <r>
      <rPr>
        <sz val="11"/>
        <color theme="1"/>
        <rFont val="Noto Sans SC"/>
        <family val="2"/>
        <charset val="134"/>
      </rPr>
      <t xml:space="preserve">》的示例数值（蓝字可改）。</t>
    </r>
  </si>
  <si>
    <t xml:space="preserve">要点</t>
  </si>
  <si>
    <r>
      <rPr>
        <sz val="11"/>
        <color theme="1"/>
        <rFont val="Calibri"/>
        <family val="2"/>
        <charset val="1"/>
      </rPr>
      <t xml:space="preserve">· Way Slots </t>
    </r>
    <r>
      <rPr>
        <sz val="11"/>
        <color theme="1"/>
        <rFont val="Noto Sans SC"/>
        <family val="2"/>
        <charset val="134"/>
      </rPr>
      <t xml:space="preserve">取消了 </t>
    </r>
    <r>
      <rPr>
        <sz val="11"/>
        <color theme="1"/>
        <rFont val="Calibri"/>
        <family val="2"/>
        <charset val="1"/>
      </rPr>
      <t xml:space="preserve">Pay Line </t>
    </r>
    <r>
      <rPr>
        <sz val="11"/>
        <color theme="1"/>
        <rFont val="Noto Sans SC"/>
        <family val="2"/>
        <charset val="134"/>
      </rPr>
      <t xml:space="preserve">限制：只要图标自第一列起连续出现至满足中奖组合即可中奖；</t>
    </r>
  </si>
  <si>
    <t xml:space="preserve">  一列出现多个中奖图标时，在返奖时乘上「各中奖列图标个数」的累乘乘积。</t>
  </si>
  <si>
    <r>
      <rPr>
        <sz val="11"/>
        <color theme="1"/>
        <rFont val="Calibri"/>
        <family val="2"/>
        <charset val="1"/>
      </rPr>
      <t xml:space="preserve">· </t>
    </r>
    <r>
      <rPr>
        <sz val="11"/>
        <color theme="1"/>
        <rFont val="Noto Sans SC"/>
        <family val="2"/>
        <charset val="134"/>
      </rPr>
      <t xml:space="preserve">数值口径随之改变：不再以单条 </t>
    </r>
    <r>
      <rPr>
        <sz val="11"/>
        <color theme="1"/>
        <rFont val="Calibri"/>
        <family val="2"/>
        <charset val="1"/>
      </rPr>
      <t xml:space="preserve">Pay Line </t>
    </r>
    <r>
      <rPr>
        <sz val="11"/>
        <color theme="1"/>
        <rFont val="Noto Sans SC"/>
        <family val="2"/>
        <charset val="134"/>
      </rPr>
      <t xml:space="preserve">为基准，而是把 </t>
    </r>
    <r>
      <rPr>
        <sz val="11"/>
        <color theme="1"/>
        <rFont val="Calibri"/>
        <family val="2"/>
        <charset val="1"/>
      </rPr>
      <t xml:space="preserve">Slots </t>
    </r>
    <r>
      <rPr>
        <sz val="11"/>
        <color theme="1"/>
        <rFont val="Noto Sans SC"/>
        <family val="2"/>
        <charset val="134"/>
      </rPr>
      <t xml:space="preserve">看作整体——</t>
    </r>
  </si>
  <si>
    <r>
      <rPr>
        <sz val="11"/>
        <color theme="1"/>
        <rFont val="Noto Sans SC"/>
        <family val="2"/>
        <charset val="134"/>
      </rPr>
      <t xml:space="preserve">  「图标出现几率 </t>
    </r>
    <r>
      <rPr>
        <sz val="11"/>
        <color theme="1"/>
        <rFont val="Calibri"/>
        <family val="2"/>
        <charset val="1"/>
      </rPr>
      <t xml:space="preserve">× </t>
    </r>
    <r>
      <rPr>
        <sz val="11"/>
        <color theme="1"/>
        <rFont val="Noto Sans SC"/>
        <family val="2"/>
        <charset val="134"/>
      </rPr>
      <t xml:space="preserve">该列行数」得到图标出现的个数期望，即本文的事件数口径。</t>
    </r>
  </si>
  <si>
    <r>
      <rPr>
        <sz val="11"/>
        <color theme="1"/>
        <rFont val="Calibri"/>
        <family val="2"/>
        <charset val="1"/>
      </rPr>
      <t xml:space="preserve">· </t>
    </r>
    <r>
      <rPr>
        <sz val="11"/>
        <color theme="1"/>
        <rFont val="Noto Sans SC"/>
        <family val="2"/>
        <charset val="134"/>
      </rPr>
      <t xml:space="preserve">因此 </t>
    </r>
    <r>
      <rPr>
        <sz val="11"/>
        <color theme="1"/>
        <rFont val="Calibri"/>
        <family val="2"/>
        <charset val="1"/>
      </rPr>
      <t xml:space="preserve">Way Slots </t>
    </r>
    <r>
      <rPr>
        <sz val="11"/>
        <color theme="1"/>
        <rFont val="Noto Sans SC"/>
        <family val="2"/>
        <charset val="134"/>
      </rPr>
      <t xml:space="preserve">不存在「单线期望 </t>
    </r>
    <r>
      <rPr>
        <sz val="11"/>
        <color theme="1"/>
        <rFont val="Calibri"/>
        <family val="2"/>
        <charset val="1"/>
      </rPr>
      <t xml:space="preserve">× </t>
    </r>
    <r>
      <rPr>
        <sz val="11"/>
        <color theme="1"/>
        <rFont val="Noto Sans SC"/>
        <family val="2"/>
        <charset val="134"/>
      </rPr>
      <t xml:space="preserve">中奖线数 </t>
    </r>
    <r>
      <rPr>
        <sz val="11"/>
        <color theme="1"/>
        <rFont val="Calibri"/>
        <family val="2"/>
        <charset val="1"/>
      </rPr>
      <t xml:space="preserve">÷ </t>
    </r>
    <r>
      <rPr>
        <sz val="11"/>
        <color theme="1"/>
        <rFont val="Noto Sans SC"/>
        <family val="2"/>
        <charset val="134"/>
      </rPr>
      <t xml:space="preserve">中奖线数」的抵消，也不需要按线分摊下注。</t>
    </r>
  </si>
  <si>
    <r>
      <rPr>
        <sz val="11"/>
        <color theme="1"/>
        <rFont val="Calibri"/>
        <family val="2"/>
        <charset val="1"/>
      </rPr>
      <t xml:space="preserve">· </t>
    </r>
    <r>
      <rPr>
        <sz val="11"/>
        <color theme="1"/>
        <rFont val="Noto Sans SC"/>
        <family val="2"/>
        <charset val="134"/>
      </rPr>
      <t xml:space="preserve">出现事件数 ＝（图标基础个数 ＋ 该列百搭个数）</t>
    </r>
    <r>
      <rPr>
        <sz val="11"/>
        <color theme="1"/>
        <rFont val="Calibri"/>
        <family val="2"/>
        <charset val="1"/>
      </rPr>
      <t xml:space="preserve">× </t>
    </r>
    <r>
      <rPr>
        <sz val="11"/>
        <color theme="1"/>
        <rFont val="Noto Sans SC"/>
        <family val="2"/>
        <charset val="134"/>
      </rPr>
      <t xml:space="preserve">该列行数；</t>
    </r>
  </si>
  <si>
    <r>
      <rPr>
        <sz val="11"/>
        <color theme="1"/>
        <rFont val="Noto Sans SC"/>
        <family val="2"/>
        <charset val="134"/>
      </rPr>
      <t xml:space="preserve">  不出现事件数 需遍历该列首尾相连的图标组合，排除出现 </t>
    </r>
    <r>
      <rPr>
        <sz val="11"/>
        <color theme="1"/>
        <rFont val="Calibri"/>
        <family val="2"/>
        <charset val="1"/>
      </rPr>
      <t xml:space="preserve">1 / 2 / 3 </t>
    </r>
    <r>
      <rPr>
        <sz val="11"/>
        <color theme="1"/>
        <rFont val="Noto Sans SC"/>
        <family val="2"/>
        <charset val="134"/>
      </rPr>
      <t xml:space="preserve">个的全部情况。</t>
    </r>
  </si>
  <si>
    <r>
      <rPr>
        <sz val="11"/>
        <color theme="1"/>
        <rFont val="Calibri"/>
        <family val="2"/>
        <charset val="1"/>
      </rPr>
      <t xml:space="preserve">· </t>
    </r>
    <r>
      <rPr>
        <sz val="11"/>
        <color theme="1"/>
        <rFont val="Noto Sans SC"/>
        <family val="2"/>
        <charset val="134"/>
      </rPr>
      <t xml:space="preserve">原文例（</t>
    </r>
    <r>
      <rPr>
        <sz val="11"/>
        <color theme="1"/>
        <rFont val="Calibri"/>
        <family val="2"/>
        <charset val="1"/>
      </rPr>
      <t xml:space="preserve">3*5</t>
    </r>
    <r>
      <rPr>
        <sz val="11"/>
        <color theme="1"/>
        <rFont val="Noto Sans SC"/>
        <family val="2"/>
        <charset val="134"/>
      </rPr>
      <t xml:space="preserve">、</t>
    </r>
    <r>
      <rPr>
        <sz val="11"/>
        <color theme="1"/>
        <rFont val="Calibri"/>
        <family val="2"/>
        <charset val="1"/>
      </rPr>
      <t xml:space="preserve">J/Q/K </t>
    </r>
    <r>
      <rPr>
        <sz val="11"/>
        <color theme="1"/>
        <rFont val="Noto Sans SC"/>
        <family val="2"/>
        <charset val="134"/>
      </rPr>
      <t xml:space="preserve">＋ </t>
    </r>
    <r>
      <rPr>
        <sz val="11"/>
        <color theme="1"/>
        <rFont val="Calibri"/>
        <family val="2"/>
        <charset val="1"/>
      </rPr>
      <t xml:space="preserve">Wild/Scatter</t>
    </r>
    <r>
      <rPr>
        <sz val="11"/>
        <color theme="1"/>
        <rFont val="Noto Sans SC"/>
        <family val="2"/>
        <charset val="134"/>
      </rPr>
      <t xml:space="preserve">、每列 </t>
    </r>
    <r>
      <rPr>
        <sz val="11"/>
        <color theme="1"/>
        <rFont val="Calibri"/>
        <family val="2"/>
        <charset val="1"/>
      </rPr>
      <t xml:space="preserve">16 </t>
    </r>
    <r>
      <rPr>
        <sz val="11"/>
        <color theme="1"/>
        <rFont val="Noto Sans SC"/>
        <family val="2"/>
        <charset val="134"/>
      </rPr>
      <t xml:space="preserve">停、总事件数 </t>
    </r>
    <r>
      <rPr>
        <sz val="11"/>
        <color theme="1"/>
        <rFont val="Calibri"/>
        <family val="2"/>
        <charset val="1"/>
      </rPr>
      <t xml:space="preserve">16⁵</t>
    </r>
    <r>
      <rPr>
        <sz val="11"/>
        <color theme="1"/>
        <rFont val="Noto Sans SC"/>
        <family val="2"/>
        <charset val="134"/>
      </rPr>
      <t xml:space="preserve">＝</t>
    </r>
    <r>
      <rPr>
        <sz val="11"/>
        <color theme="1"/>
        <rFont val="Calibri"/>
        <family val="2"/>
        <charset val="1"/>
      </rPr>
      <t xml:space="preserve">1,048,576</t>
    </r>
    <r>
      <rPr>
        <sz val="11"/>
        <color theme="1"/>
        <rFont val="Noto Sans SC"/>
        <family val="2"/>
        <charset val="134"/>
      </rPr>
      <t xml:space="preserve">）：</t>
    </r>
  </si>
  <si>
    <r>
      <rPr>
        <sz val="11"/>
        <color theme="1"/>
        <rFont val="Calibri"/>
        <family val="2"/>
        <charset val="1"/>
      </rPr>
      <t xml:space="preserve">  {J,J,J,#J,#J} </t>
    </r>
    <r>
      <rPr>
        <sz val="11"/>
        <color theme="1"/>
        <rFont val="Noto Sans SC"/>
        <family val="2"/>
        <charset val="134"/>
      </rPr>
      <t xml:space="preserve">事件数 </t>
    </r>
    <r>
      <rPr>
        <sz val="11"/>
        <color theme="1"/>
        <rFont val="Calibri"/>
        <family val="2"/>
        <charset val="1"/>
      </rPr>
      <t xml:space="preserve">326,592 → </t>
    </r>
    <r>
      <rPr>
        <sz val="11"/>
        <color theme="1"/>
        <rFont val="Noto Sans SC"/>
        <family val="2"/>
        <charset val="134"/>
      </rPr>
      <t xml:space="preserve">中奖率 </t>
    </r>
    <r>
      <rPr>
        <sz val="11"/>
        <color theme="1"/>
        <rFont val="Calibri"/>
        <family val="2"/>
        <charset val="1"/>
      </rPr>
      <t xml:space="preserve">31.15% → </t>
    </r>
    <r>
      <rPr>
        <sz val="11"/>
        <color theme="1"/>
        <rFont val="Noto Sans SC"/>
        <family val="2"/>
        <charset val="134"/>
      </rPr>
      <t xml:space="preserve">赔付 </t>
    </r>
    <r>
      <rPr>
        <sz val="11"/>
        <color theme="1"/>
        <rFont val="Calibri"/>
        <family val="2"/>
        <charset val="1"/>
      </rPr>
      <t xml:space="preserve">1 </t>
    </r>
    <r>
      <rPr>
        <sz val="11"/>
        <color theme="1"/>
        <rFont val="Noto Sans SC"/>
        <family val="2"/>
        <charset val="134"/>
      </rPr>
      <t xml:space="preserve">倍 → 期望 </t>
    </r>
    <r>
      <rPr>
        <sz val="11"/>
        <color theme="1"/>
        <rFont val="Calibri"/>
        <family val="2"/>
        <charset val="1"/>
      </rPr>
      <t xml:space="preserve">0.3115</t>
    </r>
    <r>
      <rPr>
        <sz val="11"/>
        <color theme="1"/>
        <rFont val="Noto Sans SC"/>
        <family val="2"/>
        <charset val="134"/>
      </rPr>
      <t xml:space="preserve">；</t>
    </r>
  </si>
  <si>
    <r>
      <rPr>
        <sz val="11"/>
        <color theme="1"/>
        <rFont val="Noto Sans SC"/>
        <family val="2"/>
        <charset val="134"/>
      </rPr>
      <t xml:space="preserve">  九个中奖组合合计 </t>
    </r>
    <r>
      <rPr>
        <sz val="11"/>
        <color theme="1"/>
        <rFont val="Calibri"/>
        <family val="2"/>
        <charset val="1"/>
      </rPr>
      <t xml:space="preserve">40.7744</t>
    </r>
    <r>
      <rPr>
        <sz val="11"/>
        <color theme="1"/>
        <rFont val="Noto Sans SC"/>
        <family val="2"/>
        <charset val="134"/>
      </rPr>
      <t xml:space="preserve">，</t>
    </r>
    <r>
      <rPr>
        <sz val="11"/>
        <color theme="1"/>
        <rFont val="Calibri"/>
        <family val="2"/>
        <charset val="1"/>
      </rPr>
      <t xml:space="preserve">÷ </t>
    </r>
    <r>
      <rPr>
        <sz val="11"/>
        <color theme="1"/>
        <rFont val="Noto Sans SC"/>
        <family val="2"/>
        <charset val="134"/>
      </rPr>
      <t xml:space="preserve">赔付基数 </t>
    </r>
    <r>
      <rPr>
        <sz val="11"/>
        <color theme="1"/>
        <rFont val="Calibri"/>
        <family val="2"/>
        <charset val="1"/>
      </rPr>
      <t xml:space="preserve">100 → </t>
    </r>
    <r>
      <rPr>
        <sz val="11"/>
        <color theme="1"/>
        <rFont val="Noto Sans SC"/>
        <family val="2"/>
        <charset val="134"/>
      </rPr>
      <t xml:space="preserve">普通摇标准图标实际 </t>
    </r>
    <r>
      <rPr>
        <sz val="11"/>
        <color theme="1"/>
        <rFont val="Calibri"/>
        <family val="2"/>
        <charset val="1"/>
      </rPr>
      <t xml:space="preserve">RTP </t>
    </r>
    <r>
      <rPr>
        <sz val="11"/>
        <color theme="1"/>
        <rFont val="Noto Sans SC"/>
        <family val="2"/>
        <charset val="134"/>
      </rPr>
      <t xml:space="preserve">＝ </t>
    </r>
    <r>
      <rPr>
        <sz val="11"/>
        <color theme="1"/>
        <rFont val="Calibri"/>
        <family val="2"/>
        <charset val="1"/>
      </rPr>
      <t xml:space="preserve">0.4077</t>
    </r>
  </si>
  <si>
    <r>
      <rPr>
        <sz val="11"/>
        <color theme="1"/>
        <rFont val="Noto Sans SC"/>
        <family val="2"/>
        <charset val="134"/>
      </rPr>
      <t xml:space="preserve">  （免费摇部分见 </t>
    </r>
    <r>
      <rPr>
        <sz val="11"/>
        <color theme="1"/>
        <rFont val="Calibri"/>
        <family val="2"/>
        <charset val="1"/>
      </rPr>
      <t xml:space="preserve">25 </t>
    </r>
    <r>
      <rPr>
        <sz val="11"/>
        <color theme="1"/>
        <rFont val="Noto Sans SC"/>
        <family val="2"/>
        <charset val="134"/>
      </rPr>
      <t xml:space="preserve">篇 </t>
    </r>
    <r>
      <rPr>
        <sz val="11"/>
        <color theme="1"/>
        <rFont val="Calibri"/>
        <family val="2"/>
        <charset val="1"/>
      </rPr>
      <t xml:space="preserve">Way Slots(2)</t>
    </r>
    <r>
      <rPr>
        <sz val="11"/>
        <color theme="1"/>
        <rFont val="Noto Sans SC"/>
        <family val="2"/>
        <charset val="134"/>
      </rPr>
      <t xml:space="preserve">）。</t>
    </r>
  </si>
  <si>
    <r>
      <rPr>
        <sz val="11"/>
        <color theme="1"/>
        <rFont val="Calibri"/>
        <family val="2"/>
        <charset val="1"/>
      </rPr>
      <t xml:space="preserve">· </t>
    </r>
    <r>
      <rPr>
        <sz val="11"/>
        <color theme="1"/>
        <rFont val="Noto Sans SC"/>
        <family val="2"/>
        <charset val="134"/>
      </rPr>
      <t xml:space="preserve">累乘赔付示例（原文例</t>
    </r>
    <r>
      <rPr>
        <sz val="11"/>
        <color theme="1"/>
        <rFont val="Calibri"/>
        <family val="2"/>
        <charset val="1"/>
      </rPr>
      <t xml:space="preserve">1/2/3</t>
    </r>
    <r>
      <rPr>
        <sz val="11"/>
        <color theme="1"/>
        <rFont val="Noto Sans SC"/>
        <family val="2"/>
        <charset val="134"/>
      </rPr>
      <t xml:space="preserve">）：</t>
    </r>
    <r>
      <rPr>
        <sz val="11"/>
        <color theme="1"/>
        <rFont val="Calibri"/>
        <family val="2"/>
        <charset val="1"/>
      </rPr>
      <t xml:space="preserve">100×30</t>
    </r>
    <r>
      <rPr>
        <sz val="11"/>
        <color theme="1"/>
        <rFont val="Noto Sans SC"/>
        <family val="2"/>
        <charset val="134"/>
      </rPr>
      <t xml:space="preserve">＝</t>
    </r>
    <r>
      <rPr>
        <sz val="11"/>
        <color theme="1"/>
        <rFont val="Calibri"/>
        <family val="2"/>
        <charset val="1"/>
      </rPr>
      <t xml:space="preserve">3,000</t>
    </r>
    <r>
      <rPr>
        <sz val="11"/>
        <color theme="1"/>
        <rFont val="Noto Sans SC"/>
        <family val="2"/>
        <charset val="134"/>
      </rPr>
      <t xml:space="preserve">；</t>
    </r>
    <r>
      <rPr>
        <sz val="11"/>
        <color theme="1"/>
        <rFont val="Calibri"/>
        <family val="2"/>
        <charset val="1"/>
      </rPr>
      <t xml:space="preserve">100×30×2</t>
    </r>
    <r>
      <rPr>
        <sz val="11"/>
        <color theme="1"/>
        <rFont val="Noto Sans SC"/>
        <family val="2"/>
        <charset val="134"/>
      </rPr>
      <t xml:space="preserve">＝</t>
    </r>
    <r>
      <rPr>
        <sz val="11"/>
        <color theme="1"/>
        <rFont val="Calibri"/>
        <family val="2"/>
        <charset val="1"/>
      </rPr>
      <t xml:space="preserve">6,000</t>
    </r>
    <r>
      <rPr>
        <sz val="11"/>
        <color theme="1"/>
        <rFont val="Noto Sans SC"/>
        <family val="2"/>
        <charset val="134"/>
      </rPr>
      <t xml:space="preserve">；</t>
    </r>
    <r>
      <rPr>
        <sz val="11"/>
        <color theme="1"/>
        <rFont val="Calibri"/>
        <family val="2"/>
        <charset val="1"/>
      </rPr>
      <t xml:space="preserve">100×30×2×3×2</t>
    </r>
    <r>
      <rPr>
        <sz val="11"/>
        <color theme="1"/>
        <rFont val="Noto Sans SC"/>
        <family val="2"/>
        <charset val="134"/>
      </rPr>
      <t xml:space="preserve">＝</t>
    </r>
    <r>
      <rPr>
        <sz val="11"/>
        <color theme="1"/>
        <rFont val="Calibri"/>
        <family val="2"/>
        <charset val="1"/>
      </rPr>
      <t xml:space="preserve">36,000</t>
    </r>
    <r>
      <rPr>
        <sz val="11"/>
        <color theme="1"/>
        <rFont val="Noto Sans SC"/>
        <family val="2"/>
        <charset val="134"/>
      </rPr>
      <t xml:space="preserve">。</t>
    </r>
  </si>
  <si>
    <r>
      <rPr>
        <sz val="11"/>
        <color theme="1"/>
        <rFont val="Calibri"/>
        <family val="2"/>
        <charset val="1"/>
      </rPr>
      <t xml:space="preserve">· </t>
    </r>
    <r>
      <rPr>
        <sz val="11"/>
        <color theme="1"/>
        <rFont val="Noto Sans SC"/>
        <family val="2"/>
        <charset val="134"/>
      </rPr>
      <t xml:space="preserve">说明：原文①的固定卷轴配图分辨率较低，本簿不逐格转录卷轴，</t>
    </r>
  </si>
  <si>
    <r>
      <rPr>
        <sz val="11"/>
        <color theme="1"/>
        <rFont val="Noto Sans SC"/>
        <family val="2"/>
        <charset val="134"/>
      </rPr>
      <t xml:space="preserve">  改为直接采用原文配图②「图标个数分布」与⑤⑥「事件数</t>
    </r>
    <r>
      <rPr>
        <sz val="11"/>
        <color theme="1"/>
        <rFont val="Calibri"/>
        <family val="2"/>
        <charset val="1"/>
      </rPr>
      <t xml:space="preserve">/</t>
    </r>
    <r>
      <rPr>
        <sz val="11"/>
        <color theme="1"/>
        <rFont val="Noto Sans SC"/>
        <family val="2"/>
        <charset val="134"/>
      </rPr>
      <t xml:space="preserve">赔付倍数」的公布数值（蓝字可改）。</t>
    </r>
  </si>
  <si>
    <t xml:space="preserve">原文整理（全文，按原文小标题分段）</t>
  </si>
  <si>
    <r>
      <rPr>
        <sz val="11"/>
        <color theme="1"/>
        <rFont val="Calibri"/>
        <family val="2"/>
        <charset val="1"/>
      </rPr>
      <t xml:space="preserve">Way Slots</t>
    </r>
    <r>
      <rPr>
        <sz val="11"/>
        <color theme="1"/>
        <rFont val="Noto Sans SC"/>
        <family val="2"/>
        <charset val="134"/>
      </rPr>
      <t xml:space="preserve">在</t>
    </r>
    <r>
      <rPr>
        <sz val="11"/>
        <color theme="1"/>
        <rFont val="Calibri"/>
        <family val="2"/>
        <charset val="1"/>
      </rPr>
      <t xml:space="preserve">Line Slots</t>
    </r>
    <r>
      <rPr>
        <sz val="11"/>
        <color theme="1"/>
        <rFont val="Noto Sans SC"/>
        <family val="2"/>
        <charset val="134"/>
      </rPr>
      <t xml:space="preserve">的基础上取消了图标出现在中奖线上才能中奖的限制</t>
    </r>
  </si>
  <si>
    <r>
      <rPr>
        <sz val="11"/>
        <color theme="1"/>
        <rFont val="Noto Sans SC"/>
        <family val="2"/>
        <charset val="134"/>
      </rPr>
      <t xml:space="preserve">较低的理解成本和一般更高的</t>
    </r>
    <r>
      <rPr>
        <sz val="11"/>
        <color theme="1"/>
        <rFont val="Calibri"/>
        <family val="2"/>
        <charset val="1"/>
      </rPr>
      <t xml:space="preserve">volatility</t>
    </r>
    <r>
      <rPr>
        <sz val="11"/>
        <color theme="1"/>
        <rFont val="Noto Sans SC"/>
        <family val="2"/>
        <charset val="134"/>
      </rPr>
      <t xml:space="preserve">让</t>
    </r>
    <r>
      <rPr>
        <sz val="11"/>
        <color theme="1"/>
        <rFont val="Calibri"/>
        <family val="2"/>
        <charset val="1"/>
      </rPr>
      <t xml:space="preserve">Way Slots</t>
    </r>
    <r>
      <rPr>
        <sz val="11"/>
        <color theme="1"/>
        <rFont val="Noto Sans SC"/>
        <family val="2"/>
        <charset val="134"/>
      </rPr>
      <t xml:space="preserve">在线上的受欢迎程度很快超过了传统</t>
    </r>
    <r>
      <rPr>
        <sz val="11"/>
        <color theme="1"/>
        <rFont val="Calibri"/>
        <family val="2"/>
        <charset val="1"/>
      </rPr>
      <t xml:space="preserve">Line Slots</t>
    </r>
  </si>
  <si>
    <r>
      <rPr>
        <sz val="11"/>
        <color theme="1"/>
        <rFont val="Noto Sans SC"/>
        <family val="2"/>
        <charset val="134"/>
      </rPr>
      <t xml:space="preserve">本篇将介绍</t>
    </r>
    <r>
      <rPr>
        <sz val="11"/>
        <color theme="1"/>
        <rFont val="Calibri"/>
        <family val="2"/>
        <charset val="1"/>
      </rPr>
      <t xml:space="preserve">Way Slots</t>
    </r>
    <r>
      <rPr>
        <sz val="11"/>
        <color theme="1"/>
        <rFont val="Noto Sans SC"/>
        <family val="2"/>
        <charset val="134"/>
      </rPr>
      <t xml:space="preserve">的</t>
    </r>
    <r>
      <rPr>
        <sz val="11"/>
        <color theme="1"/>
        <rFont val="Calibri"/>
        <family val="2"/>
        <charset val="1"/>
      </rPr>
      <t xml:space="preserve">RTP</t>
    </r>
    <r>
      <rPr>
        <sz val="11"/>
        <color theme="1"/>
        <rFont val="Noto Sans SC"/>
        <family val="2"/>
        <charset val="134"/>
      </rPr>
      <t xml:space="preserve">计算方式</t>
    </r>
  </si>
  <si>
    <t xml:space="preserve">玩法简介</t>
  </si>
  <si>
    <r>
      <rPr>
        <sz val="11"/>
        <color theme="1"/>
        <rFont val="Noto Sans SC"/>
        <family val="2"/>
        <charset val="134"/>
      </rPr>
      <t xml:space="preserve">首先简单介绍一下</t>
    </r>
    <r>
      <rPr>
        <sz val="11"/>
        <color theme="1"/>
        <rFont val="Calibri"/>
        <family val="2"/>
        <charset val="1"/>
      </rPr>
      <t xml:space="preserve">Way Slots</t>
    </r>
  </si>
  <si>
    <r>
      <rPr>
        <sz val="11"/>
        <color theme="1"/>
        <rFont val="Calibri"/>
        <family val="2"/>
        <charset val="1"/>
      </rPr>
      <t xml:space="preserve">Way Slots</t>
    </r>
    <r>
      <rPr>
        <sz val="11"/>
        <color theme="1"/>
        <rFont val="Noto Sans SC"/>
        <family val="2"/>
        <charset val="134"/>
      </rPr>
      <t xml:space="preserve">使用</t>
    </r>
    <r>
      <rPr>
        <sz val="11"/>
        <color theme="1"/>
        <rFont val="Calibri"/>
        <family val="2"/>
        <charset val="1"/>
      </rPr>
      <t xml:space="preserve">Way</t>
    </r>
    <r>
      <rPr>
        <sz val="11"/>
        <color theme="1"/>
        <rFont val="Noto Sans SC"/>
        <family val="2"/>
        <charset val="134"/>
      </rPr>
      <t xml:space="preserve">作为前缀，代表其抛弃了</t>
    </r>
    <r>
      <rPr>
        <sz val="11"/>
        <color theme="1"/>
        <rFont val="Calibri"/>
        <family val="2"/>
        <charset val="1"/>
      </rPr>
      <t xml:space="preserve">Line Slots</t>
    </r>
    <r>
      <rPr>
        <sz val="11"/>
        <color theme="1"/>
        <rFont val="Noto Sans SC"/>
        <family val="2"/>
        <charset val="134"/>
      </rPr>
      <t xml:space="preserve">中</t>
    </r>
    <r>
      <rPr>
        <sz val="11"/>
        <color theme="1"/>
        <rFont val="Calibri"/>
        <family val="2"/>
        <charset val="1"/>
      </rPr>
      <t xml:space="preserve">Pay Lines</t>
    </r>
    <r>
      <rPr>
        <sz val="11"/>
        <color theme="1"/>
        <rFont val="Noto Sans SC"/>
        <family val="2"/>
        <charset val="134"/>
      </rPr>
      <t xml:space="preserve">的限制</t>
    </r>
  </si>
  <si>
    <t xml:space="preserve">只要图标从第一列开始连续出现至满足中奖组合，即可获得对应赔付倍数的奖励</t>
  </si>
  <si>
    <r>
      <rPr>
        <sz val="11"/>
        <color theme="1"/>
        <rFont val="Noto Sans SC"/>
        <family val="2"/>
        <charset val="134"/>
      </rPr>
      <t xml:space="preserve">［配图 </t>
    </r>
    <r>
      <rPr>
        <sz val="11"/>
        <color theme="1"/>
        <rFont val="Calibri"/>
        <family val="2"/>
        <charset val="1"/>
      </rPr>
      <t xml:space="preserve">01</t>
    </r>
    <r>
      <rPr>
        <sz val="11"/>
        <color theme="1"/>
        <rFont val="Noto Sans SC"/>
        <family val="2"/>
        <charset val="134"/>
      </rPr>
      <t xml:space="preserve">］</t>
    </r>
    <r>
      <rPr>
        <sz val="11"/>
        <color theme="1"/>
        <rFont val="Calibri"/>
        <family val="2"/>
        <charset val="1"/>
      </rPr>
      <t xml:space="preserve">625322021-01.jpg</t>
    </r>
  </si>
  <si>
    <t xml:space="preserve">当一列出现多个图标时，直接在返奖时乘上中奖各列的图标累乘乘积即可</t>
  </si>
  <si>
    <t xml:space="preserve">当单个图标满足多个中奖组合时，适用其中最高的赔付倍数</t>
  </si>
  <si>
    <r>
      <rPr>
        <sz val="11"/>
        <color theme="1"/>
        <rFont val="Noto Sans SC"/>
        <family val="2"/>
        <charset val="134"/>
      </rPr>
      <t xml:space="preserve">例</t>
    </r>
    <r>
      <rPr>
        <sz val="11"/>
        <color theme="1"/>
        <rFont val="Calibri"/>
        <family val="2"/>
        <charset val="1"/>
      </rPr>
      <t xml:space="preserve">1</t>
    </r>
    <r>
      <rPr>
        <sz val="11"/>
        <color theme="1"/>
        <rFont val="Noto Sans SC"/>
        <family val="2"/>
        <charset val="134"/>
      </rPr>
      <t xml:space="preserve">，假设</t>
    </r>
    <r>
      <rPr>
        <sz val="11"/>
        <color theme="1"/>
        <rFont val="Calibri"/>
        <family val="2"/>
        <charset val="1"/>
      </rPr>
      <t xml:space="preserve">{AAA}</t>
    </r>
    <r>
      <rPr>
        <sz val="11"/>
        <color theme="1"/>
        <rFont val="Noto Sans SC"/>
        <family val="2"/>
        <charset val="134"/>
      </rPr>
      <t xml:space="preserve">中奖组合的返奖倍数为</t>
    </r>
    <r>
      <rPr>
        <sz val="11"/>
        <color theme="1"/>
        <rFont val="Calibri"/>
        <family val="2"/>
        <charset val="1"/>
      </rPr>
      <t xml:space="preserve">30</t>
    </r>
    <r>
      <rPr>
        <sz val="11"/>
        <color theme="1"/>
        <rFont val="Noto Sans SC"/>
        <family val="2"/>
        <charset val="134"/>
      </rPr>
      <t xml:space="preserve">，赔付计算基数为</t>
    </r>
    <r>
      <rPr>
        <sz val="11"/>
        <color theme="1"/>
        <rFont val="Calibri"/>
        <family val="2"/>
        <charset val="1"/>
      </rPr>
      <t xml:space="preserve">100</t>
    </r>
  </si>
  <si>
    <r>
      <rPr>
        <sz val="11"/>
        <color theme="1"/>
        <rFont val="Noto Sans SC"/>
        <family val="2"/>
        <charset val="134"/>
      </rPr>
      <t xml:space="preserve">则下方抽奖结果对应的奖励应当是 </t>
    </r>
    <r>
      <rPr>
        <sz val="11"/>
        <color theme="1"/>
        <rFont val="Calibri"/>
        <family val="2"/>
        <charset val="1"/>
      </rPr>
      <t xml:space="preserve">100 * 30 = 3000</t>
    </r>
  </si>
  <si>
    <r>
      <rPr>
        <sz val="11"/>
        <color theme="1"/>
        <rFont val="Noto Sans SC"/>
        <family val="2"/>
        <charset val="134"/>
      </rPr>
      <t xml:space="preserve">［配图 </t>
    </r>
    <r>
      <rPr>
        <sz val="11"/>
        <color theme="1"/>
        <rFont val="Calibri"/>
        <family val="2"/>
        <charset val="1"/>
      </rPr>
      <t xml:space="preserve">02</t>
    </r>
    <r>
      <rPr>
        <sz val="11"/>
        <color theme="1"/>
        <rFont val="Noto Sans SC"/>
        <family val="2"/>
        <charset val="134"/>
      </rPr>
      <t xml:space="preserve">］</t>
    </r>
    <r>
      <rPr>
        <sz val="11"/>
        <color theme="1"/>
        <rFont val="Calibri"/>
        <family val="2"/>
        <charset val="1"/>
      </rPr>
      <t xml:space="preserve">625322021-02.png</t>
    </r>
  </si>
  <si>
    <r>
      <rPr>
        <sz val="11"/>
        <color theme="1"/>
        <rFont val="Noto Sans SC"/>
        <family val="2"/>
        <charset val="134"/>
      </rPr>
      <t xml:space="preserve">例</t>
    </r>
    <r>
      <rPr>
        <sz val="11"/>
        <color theme="1"/>
        <rFont val="Calibri"/>
        <family val="2"/>
        <charset val="1"/>
      </rPr>
      <t xml:space="preserve">2</t>
    </r>
    <r>
      <rPr>
        <sz val="11"/>
        <color theme="1"/>
        <rFont val="Noto Sans SC"/>
        <family val="2"/>
        <charset val="134"/>
      </rPr>
      <t xml:space="preserve">，</t>
    </r>
    <r>
      <rPr>
        <sz val="11"/>
        <color theme="1"/>
        <rFont val="Calibri"/>
        <family val="2"/>
        <charset val="1"/>
      </rPr>
      <t xml:space="preserve">Slots</t>
    </r>
    <r>
      <rPr>
        <sz val="11"/>
        <color theme="1"/>
        <rFont val="Noto Sans SC"/>
        <family val="2"/>
        <charset val="134"/>
      </rPr>
      <t xml:space="preserve">条件不变，但是中奖结果调整为下图结构</t>
    </r>
  </si>
  <si>
    <r>
      <rPr>
        <sz val="11"/>
        <color theme="1"/>
        <rFont val="Noto Sans SC"/>
        <family val="2"/>
        <charset val="134"/>
      </rPr>
      <t xml:space="preserve">此时的对应奖励应当为 </t>
    </r>
    <r>
      <rPr>
        <sz val="11"/>
        <color theme="1"/>
        <rFont val="Calibri"/>
        <family val="2"/>
        <charset val="1"/>
      </rPr>
      <t xml:space="preserve">100 * 30 * 2 = 6000</t>
    </r>
  </si>
  <si>
    <r>
      <rPr>
        <sz val="11"/>
        <color theme="1"/>
        <rFont val="Noto Sans SC"/>
        <family val="2"/>
        <charset val="134"/>
      </rPr>
      <t xml:space="preserve">［配图 </t>
    </r>
    <r>
      <rPr>
        <sz val="11"/>
        <color theme="1"/>
        <rFont val="Calibri"/>
        <family val="2"/>
        <charset val="1"/>
      </rPr>
      <t xml:space="preserve">03</t>
    </r>
    <r>
      <rPr>
        <sz val="11"/>
        <color theme="1"/>
        <rFont val="Noto Sans SC"/>
        <family val="2"/>
        <charset val="134"/>
      </rPr>
      <t xml:space="preserve">］</t>
    </r>
    <r>
      <rPr>
        <sz val="11"/>
        <color theme="1"/>
        <rFont val="Calibri"/>
        <family val="2"/>
        <charset val="1"/>
      </rPr>
      <t xml:space="preserve">625322021-03.png</t>
    </r>
  </si>
  <si>
    <r>
      <rPr>
        <sz val="11"/>
        <color theme="1"/>
        <rFont val="Noto Sans SC"/>
        <family val="2"/>
        <charset val="134"/>
      </rPr>
      <t xml:space="preserve">此时的对应奖励应当为 </t>
    </r>
    <r>
      <rPr>
        <sz val="11"/>
        <color theme="1"/>
        <rFont val="Calibri"/>
        <family val="2"/>
        <charset val="1"/>
      </rPr>
      <t xml:space="preserve">100 * 30 * 2 * 3 * 2 = 36000</t>
    </r>
  </si>
  <si>
    <r>
      <rPr>
        <sz val="11"/>
        <color theme="1"/>
        <rFont val="Noto Sans SC"/>
        <family val="2"/>
        <charset val="134"/>
      </rPr>
      <t xml:space="preserve">［配图 </t>
    </r>
    <r>
      <rPr>
        <sz val="11"/>
        <color theme="1"/>
        <rFont val="Calibri"/>
        <family val="2"/>
        <charset val="1"/>
      </rPr>
      <t xml:space="preserve">04</t>
    </r>
    <r>
      <rPr>
        <sz val="11"/>
        <color theme="1"/>
        <rFont val="Noto Sans SC"/>
        <family val="2"/>
        <charset val="134"/>
      </rPr>
      <t xml:space="preserve">］</t>
    </r>
    <r>
      <rPr>
        <sz val="11"/>
        <color theme="1"/>
        <rFont val="Calibri"/>
        <family val="2"/>
        <charset val="1"/>
      </rPr>
      <t xml:space="preserve">625322021-04.png</t>
    </r>
  </si>
  <si>
    <t xml:space="preserve">数值计算——固定卷轴</t>
  </si>
  <si>
    <r>
      <rPr>
        <sz val="11"/>
        <color theme="1"/>
        <rFont val="Calibri"/>
        <family val="2"/>
        <charset val="1"/>
      </rPr>
      <t xml:space="preserve">Way Slots</t>
    </r>
    <r>
      <rPr>
        <sz val="11"/>
        <color theme="1"/>
        <rFont val="Noto Sans SC"/>
        <family val="2"/>
        <charset val="134"/>
      </rPr>
      <t xml:space="preserve">的数值计算和</t>
    </r>
    <r>
      <rPr>
        <sz val="11"/>
        <color theme="1"/>
        <rFont val="Calibri"/>
        <family val="2"/>
        <charset val="1"/>
      </rPr>
      <t xml:space="preserve">Line Slots</t>
    </r>
    <r>
      <rPr>
        <sz val="11"/>
        <color theme="1"/>
        <rFont val="Noto Sans SC"/>
        <family val="2"/>
        <charset val="134"/>
      </rPr>
      <t xml:space="preserve">的差异主要在期望和</t>
    </r>
    <r>
      <rPr>
        <sz val="11"/>
        <color theme="1"/>
        <rFont val="Calibri"/>
        <family val="2"/>
        <charset val="1"/>
      </rPr>
      <t xml:space="preserve">RTP</t>
    </r>
    <r>
      <rPr>
        <sz val="11"/>
        <color theme="1"/>
        <rFont val="Noto Sans SC"/>
        <family val="2"/>
        <charset val="134"/>
      </rPr>
      <t xml:space="preserve">的计算上</t>
    </r>
  </si>
  <si>
    <r>
      <rPr>
        <sz val="11"/>
        <color theme="1"/>
        <rFont val="Noto Sans SC"/>
        <family val="2"/>
        <charset val="134"/>
      </rPr>
      <t xml:space="preserve">由于</t>
    </r>
    <r>
      <rPr>
        <sz val="11"/>
        <color theme="1"/>
        <rFont val="Calibri"/>
        <family val="2"/>
        <charset val="1"/>
      </rPr>
      <t xml:space="preserve">Way Slots</t>
    </r>
    <r>
      <rPr>
        <sz val="11"/>
        <color theme="1"/>
        <rFont val="Noto Sans SC"/>
        <family val="2"/>
        <charset val="134"/>
      </rPr>
      <t xml:space="preserve">脱离了</t>
    </r>
    <r>
      <rPr>
        <sz val="11"/>
        <color theme="1"/>
        <rFont val="Calibri"/>
        <family val="2"/>
        <charset val="1"/>
      </rPr>
      <t xml:space="preserve">Pay Line</t>
    </r>
    <r>
      <rPr>
        <sz val="11"/>
        <color theme="1"/>
        <rFont val="Noto Sans SC"/>
        <family val="2"/>
        <charset val="134"/>
      </rPr>
      <t xml:space="preserve">的限制，在计算时不用在聚焦在一条</t>
    </r>
    <r>
      <rPr>
        <sz val="11"/>
        <color theme="1"/>
        <rFont val="Calibri"/>
        <family val="2"/>
        <charset val="1"/>
      </rPr>
      <t xml:space="preserve">Pay Line</t>
    </r>
    <r>
      <rPr>
        <sz val="11"/>
        <color theme="1"/>
        <rFont val="Noto Sans SC"/>
        <family val="2"/>
        <charset val="134"/>
      </rPr>
      <t xml:space="preserve">上，而是把 </t>
    </r>
    <r>
      <rPr>
        <sz val="11"/>
        <color theme="1"/>
        <rFont val="Calibri"/>
        <family val="2"/>
        <charset val="1"/>
      </rPr>
      <t xml:space="preserve">Slots </t>
    </r>
    <r>
      <rPr>
        <sz val="11"/>
        <color theme="1"/>
        <rFont val="Noto Sans SC"/>
        <family val="2"/>
        <charset val="134"/>
      </rPr>
      <t xml:space="preserve">看做一个整体</t>
    </r>
  </si>
  <si>
    <t xml:space="preserve">这样每个图标出现的几率乘上该列的行数，就得到该图标出现的个数期望</t>
  </si>
  <si>
    <r>
      <rPr>
        <sz val="11"/>
        <color theme="1"/>
        <rFont val="Noto Sans SC"/>
        <family val="2"/>
        <charset val="134"/>
      </rPr>
      <t xml:space="preserve">因此在最终结算</t>
    </r>
    <r>
      <rPr>
        <sz val="11"/>
        <color theme="1"/>
        <rFont val="Calibri"/>
        <family val="2"/>
        <charset val="1"/>
      </rPr>
      <t xml:space="preserve">RTP</t>
    </r>
    <r>
      <rPr>
        <sz val="11"/>
        <color theme="1"/>
        <rFont val="Noto Sans SC"/>
        <family val="2"/>
        <charset val="134"/>
      </rPr>
      <t xml:space="preserve">时不存在单线期望乘上中奖线数和下注额除以中奖线数相抵消的情况</t>
    </r>
  </si>
  <si>
    <r>
      <rPr>
        <sz val="11"/>
        <color theme="1"/>
        <rFont val="Noto Sans SC"/>
        <family val="2"/>
        <charset val="134"/>
      </rPr>
      <t xml:space="preserve">而是需要在计算期望时直接算上行数得到个数期望，并在计算</t>
    </r>
    <r>
      <rPr>
        <sz val="11"/>
        <color theme="1"/>
        <rFont val="Calibri"/>
        <family val="2"/>
        <charset val="1"/>
      </rPr>
      <t xml:space="preserve">RTP</t>
    </r>
    <r>
      <rPr>
        <sz val="11"/>
        <color theme="1"/>
        <rFont val="Noto Sans SC"/>
        <family val="2"/>
        <charset val="134"/>
      </rPr>
      <t xml:space="preserve">时考虑下注额和计算基数之间相差的倍数</t>
    </r>
  </si>
  <si>
    <r>
      <rPr>
        <sz val="11"/>
        <color theme="1"/>
        <rFont val="Noto Sans SC"/>
        <family val="2"/>
        <charset val="134"/>
      </rPr>
      <t xml:space="preserve">案例卷轴尺寸：</t>
    </r>
    <r>
      <rPr>
        <sz val="11"/>
        <color theme="1"/>
        <rFont val="Calibri"/>
        <family val="2"/>
        <charset val="1"/>
      </rPr>
      <t xml:space="preserve">3*5</t>
    </r>
  </si>
  <si>
    <r>
      <rPr>
        <sz val="11"/>
        <color theme="1"/>
        <rFont val="Noto Sans SC"/>
        <family val="2"/>
        <charset val="134"/>
      </rPr>
      <t xml:space="preserve">标准图标：</t>
    </r>
    <r>
      <rPr>
        <sz val="11"/>
        <color theme="1"/>
        <rFont val="Calibri"/>
        <family val="2"/>
        <charset val="1"/>
      </rPr>
      <t xml:space="preserve">J</t>
    </r>
    <r>
      <rPr>
        <sz val="11"/>
        <color theme="1"/>
        <rFont val="Noto Sans SC"/>
        <family val="2"/>
        <charset val="134"/>
      </rPr>
      <t xml:space="preserve">、</t>
    </r>
    <r>
      <rPr>
        <sz val="11"/>
        <color theme="1"/>
        <rFont val="Calibri"/>
        <family val="2"/>
        <charset val="1"/>
      </rPr>
      <t xml:space="preserve">Q</t>
    </r>
    <r>
      <rPr>
        <sz val="11"/>
        <color theme="1"/>
        <rFont val="Noto Sans SC"/>
        <family val="2"/>
        <charset val="134"/>
      </rPr>
      <t xml:space="preserve">、</t>
    </r>
    <r>
      <rPr>
        <sz val="11"/>
        <color theme="1"/>
        <rFont val="Calibri"/>
        <family val="2"/>
        <charset val="1"/>
      </rPr>
      <t xml:space="preserve">K</t>
    </r>
  </si>
  <si>
    <r>
      <rPr>
        <sz val="11"/>
        <color theme="1"/>
        <rFont val="Noto Sans SC"/>
        <family val="2"/>
        <charset val="134"/>
      </rPr>
      <t xml:space="preserve">功能图标：</t>
    </r>
    <r>
      <rPr>
        <sz val="11"/>
        <color theme="1"/>
        <rFont val="Calibri"/>
        <family val="2"/>
        <charset val="1"/>
      </rPr>
      <t xml:space="preserve">Wild</t>
    </r>
    <r>
      <rPr>
        <sz val="11"/>
        <color theme="1"/>
        <rFont val="Noto Sans SC"/>
        <family val="2"/>
        <charset val="134"/>
      </rPr>
      <t xml:space="preserve">、</t>
    </r>
    <r>
      <rPr>
        <sz val="11"/>
        <color theme="1"/>
        <rFont val="Calibri"/>
        <family val="2"/>
        <charset val="1"/>
      </rPr>
      <t xml:space="preserve">Scatter</t>
    </r>
  </si>
  <si>
    <t xml:space="preserve">首先，依旧是设定固定卷轴</t>
  </si>
  <si>
    <r>
      <rPr>
        <sz val="11"/>
        <color theme="1"/>
        <rFont val="Noto Sans SC"/>
        <family val="2"/>
        <charset val="134"/>
      </rPr>
      <t xml:space="preserve">这里设定的固定卷轴只是初步设定，在完成整体</t>
    </r>
    <r>
      <rPr>
        <sz val="11"/>
        <color theme="1"/>
        <rFont val="Calibri"/>
        <family val="2"/>
        <charset val="1"/>
      </rPr>
      <t xml:space="preserve">Slots</t>
    </r>
    <r>
      <rPr>
        <sz val="11"/>
        <color theme="1"/>
        <rFont val="Noto Sans SC"/>
        <family val="2"/>
        <charset val="134"/>
      </rPr>
      <t xml:space="preserve">设计之后还需要依据</t>
    </r>
    <r>
      <rPr>
        <sz val="11"/>
        <color theme="1"/>
        <rFont val="Calibri"/>
        <family val="2"/>
        <charset val="1"/>
      </rPr>
      <t xml:space="preserve">RTP</t>
    </r>
    <r>
      <rPr>
        <sz val="11"/>
        <color theme="1"/>
        <rFont val="Noto Sans SC"/>
        <family val="2"/>
        <charset val="134"/>
      </rPr>
      <t xml:space="preserve">和玩法体验进行调整</t>
    </r>
  </si>
  <si>
    <r>
      <rPr>
        <sz val="11"/>
        <color theme="1"/>
        <rFont val="Noto Sans SC"/>
        <family val="2"/>
        <charset val="134"/>
      </rPr>
      <t xml:space="preserve">［配图 </t>
    </r>
    <r>
      <rPr>
        <sz val="11"/>
        <color theme="1"/>
        <rFont val="Calibri"/>
        <family val="2"/>
        <charset val="1"/>
      </rPr>
      <t xml:space="preserve">05</t>
    </r>
    <r>
      <rPr>
        <sz val="11"/>
        <color theme="1"/>
        <rFont val="Noto Sans SC"/>
        <family val="2"/>
        <charset val="134"/>
      </rPr>
      <t xml:space="preserve">］</t>
    </r>
    <r>
      <rPr>
        <sz val="11"/>
        <color theme="1"/>
        <rFont val="Calibri"/>
        <family val="2"/>
        <charset val="1"/>
      </rPr>
      <t xml:space="preserve">625322021-05.jpg</t>
    </r>
  </si>
  <si>
    <r>
      <rPr>
        <sz val="11"/>
        <color theme="1"/>
        <rFont val="Noto Sans SC"/>
        <family val="2"/>
        <charset val="134"/>
      </rPr>
      <t xml:space="preserve">这里和计算</t>
    </r>
    <r>
      <rPr>
        <sz val="11"/>
        <color theme="1"/>
        <rFont val="Calibri"/>
        <family val="2"/>
        <charset val="1"/>
      </rPr>
      <t xml:space="preserve">3*5 Line Slots</t>
    </r>
    <r>
      <rPr>
        <sz val="11"/>
        <color theme="1"/>
        <rFont val="Noto Sans SC"/>
        <family val="2"/>
        <charset val="134"/>
      </rPr>
      <t xml:space="preserve">的</t>
    </r>
    <r>
      <rPr>
        <sz val="11"/>
        <color theme="1"/>
        <rFont val="Calibri"/>
        <family val="2"/>
        <charset val="1"/>
      </rPr>
      <t xml:space="preserve">Scatter</t>
    </r>
    <r>
      <rPr>
        <sz val="11"/>
        <color theme="1"/>
        <rFont val="Noto Sans SC"/>
        <family val="2"/>
        <charset val="134"/>
      </rPr>
      <t xml:space="preserve">出现几率时一样，多留出了两行</t>
    </r>
  </si>
  <si>
    <r>
      <rPr>
        <sz val="11"/>
        <color theme="1"/>
        <rFont val="Noto Sans SC"/>
        <family val="2"/>
        <charset val="134"/>
      </rPr>
      <t xml:space="preserve">这两行也是第一和第二行的图标，用于使用数组函数遍历 </t>
    </r>
    <r>
      <rPr>
        <sz val="11"/>
        <color theme="1"/>
        <rFont val="Calibri"/>
        <family val="2"/>
        <charset val="1"/>
      </rPr>
      <t xml:space="preserve">Slots </t>
    </r>
    <r>
      <rPr>
        <sz val="11"/>
        <color theme="1"/>
        <rFont val="Noto Sans SC"/>
        <family val="2"/>
        <charset val="134"/>
      </rPr>
      <t xml:space="preserve">首尾相连的所有组合</t>
    </r>
  </si>
  <si>
    <t xml:space="preserve">接下来读取卷轴上图标出现的频率</t>
  </si>
  <si>
    <r>
      <rPr>
        <sz val="11"/>
        <color theme="1"/>
        <rFont val="Noto Sans SC"/>
        <family val="2"/>
        <charset val="134"/>
      </rPr>
      <t xml:space="preserve">此时</t>
    </r>
    <r>
      <rPr>
        <sz val="11"/>
        <color theme="1"/>
        <rFont val="Calibri"/>
        <family val="2"/>
        <charset val="1"/>
      </rPr>
      <t xml:space="preserve">Way Slots</t>
    </r>
    <r>
      <rPr>
        <sz val="11"/>
        <color theme="1"/>
        <rFont val="Noto Sans SC"/>
        <family val="2"/>
        <charset val="134"/>
      </rPr>
      <t xml:space="preserve">和 </t>
    </r>
    <r>
      <rPr>
        <sz val="11"/>
        <color theme="1"/>
        <rFont val="Calibri"/>
        <family val="2"/>
        <charset val="1"/>
      </rPr>
      <t xml:space="preserve">Line Slots</t>
    </r>
    <r>
      <rPr>
        <sz val="11"/>
        <color theme="1"/>
        <rFont val="Noto Sans SC"/>
        <family val="2"/>
        <charset val="134"/>
      </rPr>
      <t xml:space="preserve">的计算就开始出现分歧了</t>
    </r>
  </si>
  <si>
    <r>
      <rPr>
        <sz val="11"/>
        <color theme="1"/>
        <rFont val="Noto Sans SC"/>
        <family val="2"/>
        <charset val="134"/>
      </rPr>
      <t xml:space="preserve">依据之前的介绍可知（</t>
    </r>
    <r>
      <rPr>
        <sz val="11"/>
        <color theme="1"/>
        <rFont val="Calibri"/>
        <family val="2"/>
        <charset val="1"/>
      </rPr>
      <t xml:space="preserve">https://zhuanlan.zhihu.com/p/624040358</t>
    </r>
    <r>
      <rPr>
        <sz val="11"/>
        <color theme="1"/>
        <rFont val="Noto Sans SC"/>
        <family val="2"/>
        <charset val="134"/>
      </rPr>
      <t xml:space="preserve">），</t>
    </r>
    <r>
      <rPr>
        <sz val="11"/>
        <color theme="1"/>
        <rFont val="Calibri"/>
        <family val="2"/>
        <charset val="1"/>
      </rPr>
      <t xml:space="preserve">Line Slots</t>
    </r>
    <r>
      <rPr>
        <sz val="11"/>
        <color theme="1"/>
        <rFont val="Noto Sans SC"/>
        <family val="2"/>
        <charset val="134"/>
      </rPr>
      <t xml:space="preserve">在计算</t>
    </r>
    <r>
      <rPr>
        <sz val="11"/>
        <color theme="1"/>
        <rFont val="Calibri"/>
        <family val="2"/>
        <charset val="1"/>
      </rPr>
      <t xml:space="preserve">RTP</t>
    </r>
    <r>
      <rPr>
        <sz val="11"/>
        <color theme="1"/>
        <rFont val="Noto Sans SC"/>
        <family val="2"/>
        <charset val="134"/>
      </rPr>
      <t xml:space="preserve">时是以一条</t>
    </r>
    <r>
      <rPr>
        <sz val="11"/>
        <color theme="1"/>
        <rFont val="Calibri"/>
        <family val="2"/>
        <charset val="1"/>
      </rPr>
      <t xml:space="preserve">Pay Line</t>
    </r>
    <r>
      <rPr>
        <sz val="11"/>
        <color theme="1"/>
        <rFont val="Noto Sans SC"/>
        <family val="2"/>
        <charset val="134"/>
      </rPr>
      <t xml:space="preserve">作为计算基准</t>
    </r>
  </si>
  <si>
    <r>
      <rPr>
        <sz val="11"/>
        <color theme="1"/>
        <rFont val="Noto Sans SC"/>
        <family val="2"/>
        <charset val="134"/>
      </rPr>
      <t xml:space="preserve">而</t>
    </r>
    <r>
      <rPr>
        <sz val="11"/>
        <color theme="1"/>
        <rFont val="Calibri"/>
        <family val="2"/>
        <charset val="1"/>
      </rPr>
      <t xml:space="preserve">Way Slots</t>
    </r>
    <r>
      <rPr>
        <sz val="11"/>
        <color theme="1"/>
        <rFont val="Noto Sans SC"/>
        <family val="2"/>
        <charset val="134"/>
      </rPr>
      <t xml:space="preserve">舍弃了</t>
    </r>
    <r>
      <rPr>
        <sz val="11"/>
        <color theme="1"/>
        <rFont val="Calibri"/>
        <family val="2"/>
        <charset val="1"/>
      </rPr>
      <t xml:space="preserve">Pay Line</t>
    </r>
    <r>
      <rPr>
        <sz val="11"/>
        <color theme="1"/>
        <rFont val="Noto Sans SC"/>
        <family val="2"/>
        <charset val="134"/>
      </rPr>
      <t xml:space="preserve">的设定，因此此时需要把 </t>
    </r>
    <r>
      <rPr>
        <sz val="11"/>
        <color theme="1"/>
        <rFont val="Calibri"/>
        <family val="2"/>
        <charset val="1"/>
      </rPr>
      <t xml:space="preserve">Slots </t>
    </r>
    <r>
      <rPr>
        <sz val="11"/>
        <color theme="1"/>
        <rFont val="Noto Sans SC"/>
        <family val="2"/>
        <charset val="134"/>
      </rPr>
      <t xml:space="preserve">看做一个整体</t>
    </r>
  </si>
  <si>
    <t xml:space="preserve">在读取图标出现几率的同时，需要用图标出现的事件数乘上当列行数，代表图标出现的个数期望</t>
  </si>
  <si>
    <r>
      <rPr>
        <sz val="11"/>
        <color theme="1"/>
        <rFont val="Noto Sans SC"/>
        <family val="2"/>
        <charset val="134"/>
      </rPr>
      <t xml:space="preserve">［配图 </t>
    </r>
    <r>
      <rPr>
        <sz val="11"/>
        <color theme="1"/>
        <rFont val="Calibri"/>
        <family val="2"/>
        <charset val="1"/>
      </rPr>
      <t xml:space="preserve">06</t>
    </r>
    <r>
      <rPr>
        <sz val="11"/>
        <color theme="1"/>
        <rFont val="Noto Sans SC"/>
        <family val="2"/>
        <charset val="134"/>
      </rPr>
      <t xml:space="preserve">］</t>
    </r>
    <r>
      <rPr>
        <sz val="11"/>
        <color theme="1"/>
        <rFont val="Calibri"/>
        <family val="2"/>
        <charset val="1"/>
      </rPr>
      <t xml:space="preserve">625322021-06.jpg</t>
    </r>
  </si>
  <si>
    <t xml:space="preserve">计算图标不出现的事件数时，则需要排除图标出现的所有情况</t>
  </si>
  <si>
    <r>
      <rPr>
        <sz val="11"/>
        <color theme="1"/>
        <rFont val="Noto Sans SC"/>
        <family val="2"/>
        <charset val="134"/>
      </rPr>
      <t xml:space="preserve">例如</t>
    </r>
    <r>
      <rPr>
        <sz val="11"/>
        <color theme="1"/>
        <rFont val="Calibri"/>
        <family val="2"/>
        <charset val="1"/>
      </rPr>
      <t xml:space="preserve">3*5</t>
    </r>
    <r>
      <rPr>
        <sz val="11"/>
        <color theme="1"/>
        <rFont val="Noto Sans SC"/>
        <family val="2"/>
        <charset val="134"/>
      </rPr>
      <t xml:space="preserve">卷轴的</t>
    </r>
    <r>
      <rPr>
        <sz val="11"/>
        <color theme="1"/>
        <rFont val="Calibri"/>
        <family val="2"/>
        <charset val="1"/>
      </rPr>
      <t xml:space="preserve">Slots</t>
    </r>
    <r>
      <rPr>
        <sz val="11"/>
        <color theme="1"/>
        <rFont val="Noto Sans SC"/>
        <family val="2"/>
        <charset val="134"/>
      </rPr>
      <t xml:space="preserve">里就需要排除出现一个图标、两个图标、三个图标的情况</t>
    </r>
  </si>
  <si>
    <r>
      <rPr>
        <sz val="11"/>
        <color theme="1"/>
        <rFont val="Noto Sans SC"/>
        <family val="2"/>
        <charset val="134"/>
      </rPr>
      <t xml:space="preserve">在这里，我们使用</t>
    </r>
    <r>
      <rPr>
        <sz val="11"/>
        <color theme="1"/>
        <rFont val="Calibri"/>
        <family val="2"/>
        <charset val="1"/>
      </rPr>
      <t xml:space="preserve">Sum</t>
    </r>
    <r>
      <rPr>
        <sz val="11"/>
        <color theme="1"/>
        <rFont val="Noto Sans SC"/>
        <family val="2"/>
        <charset val="134"/>
      </rPr>
      <t xml:space="preserve">函数对</t>
    </r>
    <r>
      <rPr>
        <sz val="11"/>
        <color theme="1"/>
        <rFont val="Calibri"/>
        <family val="2"/>
        <charset val="1"/>
      </rPr>
      <t xml:space="preserve">IF</t>
    </r>
    <r>
      <rPr>
        <sz val="11"/>
        <color theme="1"/>
        <rFont val="Noto Sans SC"/>
        <family val="2"/>
        <charset val="134"/>
      </rPr>
      <t xml:space="preserve">函数求和的数组计算得出每列上下三连的三个图标完全不出现目标图标的事件数</t>
    </r>
  </si>
  <si>
    <r>
      <rPr>
        <sz val="11"/>
        <color theme="1"/>
        <rFont val="Noto Sans SC"/>
        <family val="2"/>
        <charset val="134"/>
      </rPr>
      <t xml:space="preserve">［配图 </t>
    </r>
    <r>
      <rPr>
        <sz val="11"/>
        <color theme="1"/>
        <rFont val="Calibri"/>
        <family val="2"/>
        <charset val="1"/>
      </rPr>
      <t xml:space="preserve">07</t>
    </r>
    <r>
      <rPr>
        <sz val="11"/>
        <color theme="1"/>
        <rFont val="Noto Sans SC"/>
        <family val="2"/>
        <charset val="134"/>
      </rPr>
      <t xml:space="preserve">］</t>
    </r>
    <r>
      <rPr>
        <sz val="11"/>
        <color theme="1"/>
        <rFont val="Calibri"/>
        <family val="2"/>
        <charset val="1"/>
      </rPr>
      <t xml:space="preserve">625322021-07.jpg</t>
    </r>
  </si>
  <si>
    <r>
      <rPr>
        <sz val="11"/>
        <color theme="1"/>
        <rFont val="Noto Sans SC"/>
        <family val="2"/>
        <charset val="134"/>
      </rPr>
      <t xml:space="preserve">得到了出现和不出现的事件数之后，使用计算得出</t>
    </r>
    <r>
      <rPr>
        <sz val="11"/>
        <color theme="1"/>
        <rFont val="Calibri"/>
        <family val="2"/>
        <charset val="1"/>
      </rPr>
      <t xml:space="preserve">Slots</t>
    </r>
    <r>
      <rPr>
        <sz val="11"/>
        <color theme="1"/>
        <rFont val="Noto Sans SC"/>
        <family val="2"/>
        <charset val="134"/>
      </rPr>
      <t xml:space="preserve">标准图标的中奖概率和</t>
    </r>
    <r>
      <rPr>
        <sz val="11"/>
        <color theme="1"/>
        <rFont val="Calibri"/>
        <family val="2"/>
        <charset val="1"/>
      </rPr>
      <t xml:space="preserve">RTP</t>
    </r>
  </si>
  <si>
    <r>
      <rPr>
        <sz val="11"/>
        <color theme="1"/>
        <rFont val="Noto Sans SC"/>
        <family val="2"/>
        <charset val="134"/>
      </rPr>
      <t xml:space="preserve">［配图 </t>
    </r>
    <r>
      <rPr>
        <sz val="11"/>
        <color theme="1"/>
        <rFont val="Calibri"/>
        <family val="2"/>
        <charset val="1"/>
      </rPr>
      <t xml:space="preserve">08</t>
    </r>
    <r>
      <rPr>
        <sz val="11"/>
        <color theme="1"/>
        <rFont val="Noto Sans SC"/>
        <family val="2"/>
        <charset val="134"/>
      </rPr>
      <t xml:space="preserve">］</t>
    </r>
    <r>
      <rPr>
        <sz val="11"/>
        <color theme="1"/>
        <rFont val="Calibri"/>
        <family val="2"/>
        <charset val="1"/>
      </rPr>
      <t xml:space="preserve">625322021-08.jpg</t>
    </r>
  </si>
  <si>
    <r>
      <rPr>
        <sz val="11"/>
        <color theme="1"/>
        <rFont val="Noto Sans SC"/>
        <family val="2"/>
        <charset val="134"/>
      </rPr>
      <t xml:space="preserve">这样就得到了</t>
    </r>
    <r>
      <rPr>
        <sz val="11"/>
        <color theme="1"/>
        <rFont val="Calibri"/>
        <family val="2"/>
        <charset val="1"/>
      </rPr>
      <t xml:space="preserve">Way Slots</t>
    </r>
    <r>
      <rPr>
        <sz val="11"/>
        <color theme="1"/>
        <rFont val="Noto Sans SC"/>
        <family val="2"/>
        <charset val="134"/>
      </rPr>
      <t xml:space="preserve">普通摇奖标准图标的</t>
    </r>
    <r>
      <rPr>
        <sz val="11"/>
        <color theme="1"/>
        <rFont val="Calibri"/>
        <family val="2"/>
        <charset val="1"/>
      </rPr>
      <t xml:space="preserve">RTP</t>
    </r>
  </si>
  <si>
    <r>
      <rPr>
        <sz val="11"/>
        <color theme="1"/>
        <rFont val="Noto Sans SC"/>
        <family val="2"/>
        <charset val="134"/>
      </rPr>
      <t xml:space="preserve">接下来按照计算免费摇期望次数、免费摇标准图标</t>
    </r>
    <r>
      <rPr>
        <sz val="11"/>
        <color theme="1"/>
        <rFont val="Calibri"/>
        <family val="2"/>
        <charset val="1"/>
      </rPr>
      <t xml:space="preserve">RTP</t>
    </r>
    <r>
      <rPr>
        <sz val="11"/>
        <color theme="1"/>
        <rFont val="Noto Sans SC"/>
        <family val="2"/>
        <charset val="134"/>
      </rPr>
      <t xml:space="preserve">、单次免费摇期望额外次数后，得到该玩法最终的</t>
    </r>
    <r>
      <rPr>
        <sz val="11"/>
        <color theme="1"/>
        <rFont val="Calibri"/>
        <family val="2"/>
        <charset val="1"/>
      </rPr>
      <t xml:space="preserve">RTP</t>
    </r>
  </si>
  <si>
    <r>
      <rPr>
        <sz val="11"/>
        <color theme="1"/>
        <rFont val="Noto Sans SC"/>
        <family val="2"/>
        <charset val="134"/>
      </rPr>
      <t xml:space="preserve"> 对于具体的计算步骤有疑问可以参照之前介绍包含</t>
    </r>
    <r>
      <rPr>
        <sz val="11"/>
        <color theme="1"/>
        <rFont val="Calibri"/>
        <family val="2"/>
        <charset val="1"/>
      </rPr>
      <t xml:space="preserve">Scatter</t>
    </r>
    <r>
      <rPr>
        <sz val="11"/>
        <color theme="1"/>
        <rFont val="Noto Sans SC"/>
        <family val="2"/>
        <charset val="134"/>
      </rPr>
      <t xml:space="preserve">图标的</t>
    </r>
    <r>
      <rPr>
        <sz val="11"/>
        <color theme="1"/>
        <rFont val="Calibri"/>
        <family val="2"/>
        <charset val="1"/>
      </rPr>
      <t xml:space="preserve">RTP</t>
    </r>
    <r>
      <rPr>
        <sz val="11"/>
        <color theme="1"/>
        <rFont val="Noto Sans SC"/>
        <family val="2"/>
        <charset val="134"/>
      </rPr>
      <t xml:space="preserve">计算方法</t>
    </r>
  </si>
  <si>
    <t xml:space="preserve">https://zhuanlan.zhihu.com/p/624380588</t>
  </si>
  <si>
    <t xml:space="preserve">https://zhuanlan.zhihu.com/p/624381360</t>
  </si>
  <si>
    <t xml:space="preserve">https://zhuanlan.zhihu.com/p/624381718</t>
  </si>
  <si>
    <t xml:space="preserve">https://zhuanlan.zhihu.com/p/624382144</t>
  </si>
  <si>
    <t xml:space="preserve">送礼物</t>
  </si>
  <si>
    <r>
      <rPr>
        <sz val="11"/>
        <color theme="1"/>
        <rFont val="Noto Sans SC"/>
        <family val="2"/>
        <charset val="134"/>
      </rPr>
      <t xml:space="preserve">［配图 </t>
    </r>
    <r>
      <rPr>
        <sz val="11"/>
        <color theme="1"/>
        <rFont val="Calibri"/>
        <family val="2"/>
        <charset val="1"/>
      </rPr>
      <t xml:space="preserve">09</t>
    </r>
    <r>
      <rPr>
        <sz val="11"/>
        <color theme="1"/>
        <rFont val="Noto Sans SC"/>
        <family val="2"/>
        <charset val="134"/>
      </rPr>
      <t xml:space="preserve">］</t>
    </r>
    <r>
      <rPr>
        <sz val="11"/>
        <color theme="1"/>
        <rFont val="Calibri"/>
        <family val="2"/>
        <charset val="1"/>
      </rPr>
      <t xml:space="preserve">625322021-09.jpg</t>
    </r>
  </si>
  <si>
    <r>
      <rPr>
        <sz val="11"/>
        <color theme="1"/>
        <rFont val="Calibri"/>
        <family val="2"/>
        <charset val="1"/>
      </rPr>
      <t xml:space="preserve">1 </t>
    </r>
    <r>
      <rPr>
        <sz val="11"/>
        <color theme="1"/>
        <rFont val="Noto Sans SC"/>
        <family val="2"/>
        <charset val="134"/>
      </rPr>
      <t xml:space="preserve">人已送礼物</t>
    </r>
  </si>
  <si>
    <r>
      <rPr>
        <b val="true"/>
        <sz val="11"/>
        <rFont val="Noto Sans SC"/>
        <family val="2"/>
        <charset val="134"/>
      </rPr>
      <t xml:space="preserve">原文配图清单（共 </t>
    </r>
    <r>
      <rPr>
        <b val="true"/>
        <sz val="11"/>
        <rFont val="Cambria"/>
        <family val="0"/>
        <charset val="1"/>
      </rPr>
      <t xml:space="preserve">9 </t>
    </r>
    <r>
      <rPr>
        <b val="true"/>
        <sz val="11"/>
        <rFont val="Noto Sans SC"/>
        <family val="2"/>
        <charset val="134"/>
      </rPr>
      <t xml:space="preserve">张，已保存到 </t>
    </r>
    <r>
      <rPr>
        <b val="true"/>
        <sz val="11"/>
        <rFont val="Cambria"/>
        <family val="0"/>
        <charset val="1"/>
      </rPr>
      <t xml:space="preserve">images/slots/</t>
    </r>
    <r>
      <rPr>
        <b val="true"/>
        <sz val="11"/>
        <rFont val="Noto Sans SC"/>
        <family val="2"/>
        <charset val="134"/>
      </rPr>
      <t xml:space="preserve">）</t>
    </r>
  </si>
  <si>
    <r>
      <rPr>
        <sz val="11"/>
        <color rgb="FF808080"/>
        <rFont val="Noto Sans SC"/>
        <family val="2"/>
        <charset val="134"/>
      </rPr>
      <t xml:space="preserve">［配图 </t>
    </r>
    <r>
      <rPr>
        <sz val="11"/>
        <color rgb="FF808080"/>
        <rFont val="Cambria"/>
        <family val="0"/>
        <charset val="1"/>
      </rPr>
      <t xml:space="preserve">01</t>
    </r>
    <r>
      <rPr>
        <sz val="11"/>
        <color rgb="FF808080"/>
        <rFont val="Noto Sans SC"/>
        <family val="2"/>
        <charset val="134"/>
      </rPr>
      <t xml:space="preserve">］</t>
    </r>
    <r>
      <rPr>
        <sz val="11"/>
        <color rgb="FF808080"/>
        <rFont val="Cambria"/>
        <family val="0"/>
        <charset val="1"/>
      </rPr>
      <t xml:space="preserve">625322021-01.jpg</t>
    </r>
  </si>
  <si>
    <r>
      <rPr>
        <sz val="11"/>
        <color rgb="FF808080"/>
        <rFont val="Noto Sans SC"/>
        <family val="2"/>
        <charset val="134"/>
      </rPr>
      <t xml:space="preserve">［配图 </t>
    </r>
    <r>
      <rPr>
        <sz val="11"/>
        <color rgb="FF808080"/>
        <rFont val="Cambria"/>
        <family val="0"/>
        <charset val="1"/>
      </rPr>
      <t xml:space="preserve">02</t>
    </r>
    <r>
      <rPr>
        <sz val="11"/>
        <color rgb="FF808080"/>
        <rFont val="Noto Sans SC"/>
        <family val="2"/>
        <charset val="134"/>
      </rPr>
      <t xml:space="preserve">］</t>
    </r>
    <r>
      <rPr>
        <sz val="11"/>
        <color rgb="FF808080"/>
        <rFont val="Cambria"/>
        <family val="0"/>
        <charset val="1"/>
      </rPr>
      <t xml:space="preserve">625322021-02.png</t>
    </r>
  </si>
  <si>
    <r>
      <rPr>
        <sz val="11"/>
        <color rgb="FF808080"/>
        <rFont val="Noto Sans SC"/>
        <family val="2"/>
        <charset val="134"/>
      </rPr>
      <t xml:space="preserve">［配图 </t>
    </r>
    <r>
      <rPr>
        <sz val="11"/>
        <color rgb="FF808080"/>
        <rFont val="Cambria"/>
        <family val="0"/>
        <charset val="1"/>
      </rPr>
      <t xml:space="preserve">03</t>
    </r>
    <r>
      <rPr>
        <sz val="11"/>
        <color rgb="FF808080"/>
        <rFont val="Noto Sans SC"/>
        <family val="2"/>
        <charset val="134"/>
      </rPr>
      <t xml:space="preserve">］</t>
    </r>
    <r>
      <rPr>
        <sz val="11"/>
        <color rgb="FF808080"/>
        <rFont val="Cambria"/>
        <family val="0"/>
        <charset val="1"/>
      </rPr>
      <t xml:space="preserve">625322021-03.png</t>
    </r>
  </si>
  <si>
    <r>
      <rPr>
        <sz val="11"/>
        <color rgb="FF808080"/>
        <rFont val="Noto Sans SC"/>
        <family val="2"/>
        <charset val="134"/>
      </rPr>
      <t xml:space="preserve">［配图 </t>
    </r>
    <r>
      <rPr>
        <sz val="11"/>
        <color rgb="FF808080"/>
        <rFont val="Cambria"/>
        <family val="0"/>
        <charset val="1"/>
      </rPr>
      <t xml:space="preserve">04</t>
    </r>
    <r>
      <rPr>
        <sz val="11"/>
        <color rgb="FF808080"/>
        <rFont val="Noto Sans SC"/>
        <family val="2"/>
        <charset val="134"/>
      </rPr>
      <t xml:space="preserve">］</t>
    </r>
    <r>
      <rPr>
        <sz val="11"/>
        <color rgb="FF808080"/>
        <rFont val="Cambria"/>
        <family val="0"/>
        <charset val="1"/>
      </rPr>
      <t xml:space="preserve">625322021-04.png</t>
    </r>
  </si>
  <si>
    <r>
      <rPr>
        <sz val="11"/>
        <color rgb="FF808080"/>
        <rFont val="Noto Sans SC"/>
        <family val="2"/>
        <charset val="134"/>
      </rPr>
      <t xml:space="preserve">［配图 </t>
    </r>
    <r>
      <rPr>
        <sz val="11"/>
        <color rgb="FF808080"/>
        <rFont val="Cambria"/>
        <family val="0"/>
        <charset val="1"/>
      </rPr>
      <t xml:space="preserve">05</t>
    </r>
    <r>
      <rPr>
        <sz val="11"/>
        <color rgb="FF808080"/>
        <rFont val="Noto Sans SC"/>
        <family val="2"/>
        <charset val="134"/>
      </rPr>
      <t xml:space="preserve">］</t>
    </r>
    <r>
      <rPr>
        <sz val="11"/>
        <color rgb="FF808080"/>
        <rFont val="Cambria"/>
        <family val="0"/>
        <charset val="1"/>
      </rPr>
      <t xml:space="preserve">625322021-05.jpg</t>
    </r>
  </si>
  <si>
    <r>
      <rPr>
        <sz val="11"/>
        <color rgb="FF808080"/>
        <rFont val="Noto Sans SC"/>
        <family val="2"/>
        <charset val="134"/>
      </rPr>
      <t xml:space="preserve">［配图 </t>
    </r>
    <r>
      <rPr>
        <sz val="11"/>
        <color rgb="FF808080"/>
        <rFont val="Cambria"/>
        <family val="0"/>
        <charset val="1"/>
      </rPr>
      <t xml:space="preserve">06</t>
    </r>
    <r>
      <rPr>
        <sz val="11"/>
        <color rgb="FF808080"/>
        <rFont val="Noto Sans SC"/>
        <family val="2"/>
        <charset val="134"/>
      </rPr>
      <t xml:space="preserve">］</t>
    </r>
    <r>
      <rPr>
        <sz val="11"/>
        <color rgb="FF808080"/>
        <rFont val="Cambria"/>
        <family val="0"/>
        <charset val="1"/>
      </rPr>
      <t xml:space="preserve">625322021-06.jpg</t>
    </r>
  </si>
  <si>
    <r>
      <rPr>
        <sz val="11"/>
        <color rgb="FF808080"/>
        <rFont val="Noto Sans SC"/>
        <family val="2"/>
        <charset val="134"/>
      </rPr>
      <t xml:space="preserve">［配图 </t>
    </r>
    <r>
      <rPr>
        <sz val="11"/>
        <color rgb="FF808080"/>
        <rFont val="Cambria"/>
        <family val="0"/>
        <charset val="1"/>
      </rPr>
      <t xml:space="preserve">07</t>
    </r>
    <r>
      <rPr>
        <sz val="11"/>
        <color rgb="FF808080"/>
        <rFont val="Noto Sans SC"/>
        <family val="2"/>
        <charset val="134"/>
      </rPr>
      <t xml:space="preserve">］</t>
    </r>
    <r>
      <rPr>
        <sz val="11"/>
        <color rgb="FF808080"/>
        <rFont val="Cambria"/>
        <family val="0"/>
        <charset val="1"/>
      </rPr>
      <t xml:space="preserve">625322021-07.jpg</t>
    </r>
  </si>
  <si>
    <r>
      <rPr>
        <sz val="11"/>
        <color rgb="FF808080"/>
        <rFont val="Noto Sans SC"/>
        <family val="2"/>
        <charset val="134"/>
      </rPr>
      <t xml:space="preserve">［配图 </t>
    </r>
    <r>
      <rPr>
        <sz val="11"/>
        <color rgb="FF808080"/>
        <rFont val="Cambria"/>
        <family val="0"/>
        <charset val="1"/>
      </rPr>
      <t xml:space="preserve">08</t>
    </r>
    <r>
      <rPr>
        <sz val="11"/>
        <color rgb="FF808080"/>
        <rFont val="Noto Sans SC"/>
        <family val="2"/>
        <charset val="134"/>
      </rPr>
      <t xml:space="preserve">］</t>
    </r>
    <r>
      <rPr>
        <sz val="11"/>
        <color rgb="FF808080"/>
        <rFont val="Cambria"/>
        <family val="0"/>
        <charset val="1"/>
      </rPr>
      <t xml:space="preserve">625322021-08.jpg</t>
    </r>
  </si>
  <si>
    <r>
      <rPr>
        <sz val="11"/>
        <color rgb="FF808080"/>
        <rFont val="Noto Sans SC"/>
        <family val="2"/>
        <charset val="134"/>
      </rPr>
      <t xml:space="preserve">［配图 </t>
    </r>
    <r>
      <rPr>
        <sz val="11"/>
        <color rgb="FF808080"/>
        <rFont val="Cambria"/>
        <family val="0"/>
        <charset val="1"/>
      </rPr>
      <t xml:space="preserve">09</t>
    </r>
    <r>
      <rPr>
        <sz val="11"/>
        <color rgb="FF808080"/>
        <rFont val="Noto Sans SC"/>
        <family val="2"/>
        <charset val="134"/>
      </rPr>
      <t xml:space="preserve">］</t>
    </r>
    <r>
      <rPr>
        <sz val="11"/>
        <color rgb="FF808080"/>
        <rFont val="Cambria"/>
        <family val="0"/>
        <charset val="1"/>
      </rPr>
      <t xml:space="preserve">625322021-09.jpg</t>
    </r>
  </si>
  <si>
    <t xml:space="preserve">校验</t>
  </si>
  <si>
    <r>
      <rPr>
        <sz val="11"/>
        <color theme="1"/>
        <rFont val="Noto Sans SC"/>
        <family val="2"/>
        <charset val="134"/>
      </rPr>
      <t xml:space="preserve">① 本簿由 </t>
    </r>
    <r>
      <rPr>
        <sz val="11"/>
        <color theme="1"/>
        <rFont val="Calibri"/>
        <family val="2"/>
        <charset val="1"/>
      </rPr>
      <t xml:space="preserve">openpyxl </t>
    </r>
    <r>
      <rPr>
        <sz val="11"/>
        <color theme="1"/>
        <rFont val="Noto Sans SC"/>
        <family val="2"/>
        <charset val="134"/>
      </rPr>
      <t xml:space="preserve">生成并已开启打开时重算；② 另用 </t>
    </r>
    <r>
      <rPr>
        <sz val="11"/>
        <color theme="1"/>
        <rFont val="Calibri"/>
        <family val="2"/>
        <charset val="1"/>
      </rPr>
      <t xml:space="preserve">LibreOffice </t>
    </r>
    <r>
      <rPr>
        <sz val="11"/>
        <color theme="1"/>
        <rFont val="Noto Sans SC"/>
        <family val="2"/>
        <charset val="134"/>
      </rPr>
      <t xml:space="preserve">独立重算复核，公式错误值 </t>
    </r>
    <r>
      <rPr>
        <sz val="11"/>
        <color theme="1"/>
        <rFont val="Calibri"/>
        <family val="2"/>
        <charset val="1"/>
      </rPr>
      <t xml:space="preserve">0 </t>
    </r>
    <r>
      <rPr>
        <sz val="11"/>
        <color theme="1"/>
        <rFont val="Noto Sans SC"/>
        <family val="2"/>
        <charset val="134"/>
      </rPr>
      <t xml:space="preserve">个；</t>
    </r>
  </si>
  <si>
    <t xml:space="preserve">③ 正文与原文逐句一致（用户离线保存的网页原件），配图按正文出现顺序编号。</t>
  </si>
  <si>
    <t xml:space="preserve">说明</t>
  </si>
  <si>
    <t xml:space="preserve">本簿是原文的整理与配表实现，非原文替代品；原文未提供的数值一律标注来源，不臆造。</t>
  </si>
  <si>
    <r>
      <rPr>
        <sz val="11"/>
        <color theme="1"/>
        <rFont val="Noto Sans SC"/>
        <family val="2"/>
        <charset val="134"/>
      </rPr>
      <t xml:space="preserve">原文版权归作者 </t>
    </r>
    <r>
      <rPr>
        <sz val="11"/>
        <color theme="1"/>
        <rFont val="Calibri"/>
        <family val="2"/>
        <charset val="1"/>
      </rPr>
      <t xml:space="preserve">ASlot </t>
    </r>
    <r>
      <rPr>
        <sz val="11"/>
        <color theme="1"/>
        <rFont val="Noto Sans SC"/>
        <family val="2"/>
        <charset val="134"/>
      </rPr>
      <t xml:space="preserve">与知乎所有，本簿仅供个人学习整理使用。</t>
    </r>
  </si>
  <si>
    <r>
      <rPr>
        <sz val="11"/>
        <color rgb="FF808080"/>
        <rFont val="Cambria"/>
        <family val="0"/>
        <charset val="1"/>
      </rPr>
      <t xml:space="preserve">Source: zhihu.com</t>
    </r>
    <r>
      <rPr>
        <sz val="11"/>
        <color rgb="FF808080"/>
        <rFont val="Noto Sans SC"/>
        <family val="2"/>
        <charset val="134"/>
      </rPr>
      <t xml:space="preserve">《</t>
    </r>
    <r>
      <rPr>
        <sz val="11"/>
        <color rgb="FF808080"/>
        <rFont val="Cambria"/>
        <family val="0"/>
        <charset val="1"/>
      </rPr>
      <t xml:space="preserve">Slots</t>
    </r>
    <r>
      <rPr>
        <sz val="11"/>
        <color rgb="FF808080"/>
        <rFont val="Noto Sans SC"/>
        <family val="2"/>
        <charset val="134"/>
      </rPr>
      <t xml:space="preserve">数值篇——</t>
    </r>
    <r>
      <rPr>
        <sz val="11"/>
        <color rgb="FF808080"/>
        <rFont val="Cambria"/>
        <family val="0"/>
        <charset val="1"/>
      </rPr>
      <t xml:space="preserve">Way Slots(1)</t>
    </r>
    <r>
      <rPr>
        <sz val="11"/>
        <color rgb="FF808080"/>
        <rFont val="Noto Sans SC"/>
        <family val="2"/>
        <charset val="134"/>
      </rPr>
      <t xml:space="preserve">》</t>
    </r>
    <r>
      <rPr>
        <sz val="11"/>
        <color rgb="FF808080"/>
        <rFont val="Cambria"/>
        <family val="0"/>
        <charset val="1"/>
      </rPr>
      <t xml:space="preserve">, https://zhuanlan.zhihu.com/p/625322021</t>
    </r>
  </si>
  <si>
    <r>
      <rPr>
        <b val="true"/>
        <sz val="14"/>
        <color rgb="FF1F4E79"/>
        <rFont val="Noto Sans SC"/>
        <family val="2"/>
        <charset val="134"/>
      </rPr>
      <t xml:space="preserve">数值篇 </t>
    </r>
    <r>
      <rPr>
        <b val="true"/>
        <sz val="14"/>
        <color rgb="FF1F4E79"/>
        <rFont val="Cambria"/>
        <family val="0"/>
        <charset val="1"/>
      </rPr>
      <t xml:space="preserve">· Way Slots(1) —— </t>
    </r>
    <r>
      <rPr>
        <b val="true"/>
        <sz val="14"/>
        <color rgb="FF1F4E79"/>
        <rFont val="Noto Sans SC"/>
        <family val="2"/>
        <charset val="134"/>
      </rPr>
      <t xml:space="preserve">数据配表（蓝字＝可改 </t>
    </r>
    <r>
      <rPr>
        <b val="true"/>
        <sz val="14"/>
        <color rgb="FF1F4E79"/>
        <rFont val="Cambria"/>
        <family val="0"/>
        <charset val="1"/>
      </rPr>
      <t xml:space="preserve">/ </t>
    </r>
    <r>
      <rPr>
        <b val="true"/>
        <sz val="14"/>
        <color rgb="FF1F4E79"/>
        <rFont val="Noto Sans SC"/>
        <family val="2"/>
        <charset val="134"/>
      </rPr>
      <t xml:space="preserve">黑字＝公式 </t>
    </r>
    <r>
      <rPr>
        <b val="true"/>
        <sz val="14"/>
        <color rgb="FF1F4E79"/>
        <rFont val="Cambria"/>
        <family val="0"/>
        <charset val="1"/>
      </rPr>
      <t xml:space="preserve">/ </t>
    </r>
    <r>
      <rPr>
        <b val="true"/>
        <sz val="14"/>
        <color rgb="FF1F4E79"/>
        <rFont val="Noto Sans SC"/>
        <family val="2"/>
        <charset val="134"/>
      </rPr>
      <t xml:space="preserve">黄底＝结果）</t>
    </r>
  </si>
  <si>
    <r>
      <rPr>
        <b val="true"/>
        <sz val="11"/>
        <color rgb="FF1F4E79"/>
        <rFont val="Noto Sans SC"/>
        <family val="2"/>
        <charset val="134"/>
      </rPr>
      <t xml:space="preserve">【</t>
    </r>
    <r>
      <rPr>
        <b val="true"/>
        <sz val="11"/>
        <color rgb="FF1F4E79"/>
        <rFont val="Cambria"/>
        <family val="0"/>
        <charset val="1"/>
      </rPr>
      <t xml:space="preserve">1</t>
    </r>
    <r>
      <rPr>
        <b val="true"/>
        <sz val="11"/>
        <color rgb="FF1F4E79"/>
        <rFont val="Noto Sans SC"/>
        <family val="2"/>
        <charset val="134"/>
      </rPr>
      <t xml:space="preserve">】基本参数</t>
    </r>
  </si>
  <si>
    <t xml:space="preserve">项目</t>
  </si>
  <si>
    <t xml:space="preserve">数值</t>
  </si>
  <si>
    <t xml:space="preserve">玩法</t>
  </si>
  <si>
    <t xml:space="preserve">3*5 Way Slots</t>
  </si>
  <si>
    <r>
      <rPr>
        <sz val="11"/>
        <color theme="1"/>
        <rFont val="Calibri"/>
        <family val="2"/>
        <charset val="1"/>
      </rPr>
      <t xml:space="preserve">3 </t>
    </r>
    <r>
      <rPr>
        <sz val="11"/>
        <color theme="1"/>
        <rFont val="Noto Sans SC"/>
        <family val="2"/>
        <charset val="134"/>
      </rPr>
      <t xml:space="preserve">行 </t>
    </r>
    <r>
      <rPr>
        <sz val="11"/>
        <color theme="1"/>
        <rFont val="Calibri"/>
        <family val="2"/>
        <charset val="1"/>
      </rPr>
      <t xml:space="preserve">× 5 </t>
    </r>
    <r>
      <rPr>
        <sz val="11"/>
        <color theme="1"/>
        <rFont val="Noto Sans SC"/>
        <family val="2"/>
        <charset val="134"/>
      </rPr>
      <t xml:space="preserve">列；</t>
    </r>
    <r>
      <rPr>
        <sz val="11"/>
        <color theme="1"/>
        <rFont val="Calibri"/>
        <family val="2"/>
        <charset val="1"/>
      </rPr>
      <t xml:space="preserve">Way Game </t>
    </r>
    <r>
      <rPr>
        <sz val="11"/>
        <color theme="1"/>
        <rFont val="Noto Sans SC"/>
        <family val="2"/>
        <charset val="134"/>
      </rPr>
      <t xml:space="preserve">无 </t>
    </r>
    <r>
      <rPr>
        <sz val="11"/>
        <color theme="1"/>
        <rFont val="Calibri"/>
        <family val="2"/>
        <charset val="1"/>
      </rPr>
      <t xml:space="preserve">Pay Line</t>
    </r>
  </si>
  <si>
    <t xml:space="preserve">卷轴列数</t>
  </si>
  <si>
    <t xml:space="preserve">窗口行数</t>
  </si>
  <si>
    <r>
      <rPr>
        <sz val="11"/>
        <color theme="1"/>
        <rFont val="Noto Sans SC"/>
        <family val="2"/>
        <charset val="134"/>
      </rPr>
      <t xml:space="preserve">个数期望 ＝ 出现几率 </t>
    </r>
    <r>
      <rPr>
        <sz val="11"/>
        <color theme="1"/>
        <rFont val="Calibri"/>
        <family val="2"/>
        <charset val="1"/>
      </rPr>
      <t xml:space="preserve">× </t>
    </r>
    <r>
      <rPr>
        <sz val="11"/>
        <color theme="1"/>
        <rFont val="Noto Sans SC"/>
        <family val="2"/>
        <charset val="134"/>
      </rPr>
      <t xml:space="preserve">行数，故行数是放大系数</t>
    </r>
  </si>
  <si>
    <t xml:space="preserve">每列停位数</t>
  </si>
  <si>
    <r>
      <rPr>
        <sz val="11"/>
        <color theme="1"/>
        <rFont val="Noto Sans SC"/>
        <family val="2"/>
        <charset val="134"/>
      </rPr>
      <t xml:space="preserve">原文固定卷轴 </t>
    </r>
    <r>
      <rPr>
        <sz val="11"/>
        <color theme="1"/>
        <rFont val="Calibri"/>
        <family val="2"/>
        <charset val="1"/>
      </rPr>
      <t xml:space="preserve">16 </t>
    </r>
    <r>
      <rPr>
        <sz val="11"/>
        <color theme="1"/>
        <rFont val="Noto Sans SC"/>
        <family val="2"/>
        <charset val="134"/>
      </rPr>
      <t xml:space="preserve">停（另补 </t>
    </r>
    <r>
      <rPr>
        <sz val="11"/>
        <color theme="1"/>
        <rFont val="Calibri"/>
        <family val="2"/>
        <charset val="1"/>
      </rPr>
      <t xml:space="preserve">2 </t>
    </r>
    <r>
      <rPr>
        <sz val="11"/>
        <color theme="1"/>
        <rFont val="Noto Sans SC"/>
        <family val="2"/>
        <charset val="134"/>
      </rPr>
      <t xml:space="preserve">行便于首尾相连遍历，不计入概率分母）</t>
    </r>
  </si>
  <si>
    <t xml:space="preserve">总事件数</t>
  </si>
  <si>
    <r>
      <rPr>
        <sz val="11"/>
        <color theme="1"/>
        <rFont val="Noto Sans SC"/>
        <family val="2"/>
        <charset val="134"/>
      </rPr>
      <t xml:space="preserve">＝ </t>
    </r>
    <r>
      <rPr>
        <sz val="11"/>
        <color theme="1"/>
        <rFont val="Calibri"/>
        <family val="2"/>
        <charset val="1"/>
      </rPr>
      <t xml:space="preserve">16⁵ </t>
    </r>
    <r>
      <rPr>
        <sz val="11"/>
        <color theme="1"/>
        <rFont val="Noto Sans SC"/>
        <family val="2"/>
        <charset val="134"/>
      </rPr>
      <t xml:space="preserve">＝ </t>
    </r>
    <r>
      <rPr>
        <sz val="11"/>
        <color theme="1"/>
        <rFont val="Calibri"/>
        <family val="2"/>
        <charset val="1"/>
      </rPr>
      <t xml:space="preserve">1,048,576</t>
    </r>
    <r>
      <rPr>
        <sz val="11"/>
        <color theme="1"/>
        <rFont val="Noto Sans SC"/>
        <family val="2"/>
        <charset val="134"/>
      </rPr>
      <t xml:space="preserve">（原文⑤「总事件数」列）</t>
    </r>
  </si>
  <si>
    <t xml:space="preserve">赔付基数</t>
  </si>
  <si>
    <r>
      <rPr>
        <sz val="11"/>
        <color theme="1"/>
        <rFont val="Noto Sans SC"/>
        <family val="2"/>
        <charset val="134"/>
      </rPr>
      <t xml:space="preserve">原文：</t>
    </r>
    <r>
      <rPr>
        <sz val="11"/>
        <color theme="1"/>
        <rFont val="Calibri"/>
        <family val="2"/>
        <charset val="1"/>
      </rPr>
      <t xml:space="preserve">RTP </t>
    </r>
    <r>
      <rPr>
        <sz val="11"/>
        <color theme="1"/>
        <rFont val="Noto Sans SC"/>
        <family val="2"/>
        <charset val="134"/>
      </rPr>
      <t xml:space="preserve">需除以人为设定的基数，本例为 </t>
    </r>
    <r>
      <rPr>
        <sz val="11"/>
        <color theme="1"/>
        <rFont val="Calibri"/>
        <family val="2"/>
        <charset val="1"/>
      </rPr>
      <t xml:space="preserve">100</t>
    </r>
  </si>
  <si>
    <t xml:space="preserve">图标集</t>
  </si>
  <si>
    <r>
      <rPr>
        <sz val="11"/>
        <color rgb="FF0000FF"/>
        <rFont val="Cambria"/>
        <family val="0"/>
        <charset val="1"/>
      </rPr>
      <t xml:space="preserve">J / Q / K </t>
    </r>
    <r>
      <rPr>
        <sz val="11"/>
        <color rgb="FF0000FF"/>
        <rFont val="Noto Sans SC"/>
        <family val="2"/>
        <charset val="134"/>
      </rPr>
      <t xml:space="preserve">＋ </t>
    </r>
    <r>
      <rPr>
        <sz val="11"/>
        <color rgb="FF0000FF"/>
        <rFont val="Cambria"/>
        <family val="0"/>
        <charset val="1"/>
      </rPr>
      <t xml:space="preserve">Wild / Scatter</t>
    </r>
  </si>
  <si>
    <r>
      <rPr>
        <sz val="11"/>
        <color theme="1"/>
        <rFont val="Noto Sans SC"/>
        <family val="2"/>
        <charset val="134"/>
      </rPr>
      <t xml:space="preserve">标准图标 </t>
    </r>
    <r>
      <rPr>
        <sz val="11"/>
        <color theme="1"/>
        <rFont val="Calibri"/>
        <family val="2"/>
        <charset val="1"/>
      </rPr>
      <t xml:space="preserve">J</t>
    </r>
    <r>
      <rPr>
        <sz val="11"/>
        <color theme="1"/>
        <rFont val="Noto Sans SC"/>
        <family val="2"/>
        <charset val="134"/>
      </rPr>
      <t xml:space="preserve">、</t>
    </r>
    <r>
      <rPr>
        <sz val="11"/>
        <color theme="1"/>
        <rFont val="Calibri"/>
        <family val="2"/>
        <charset val="1"/>
      </rPr>
      <t xml:space="preserve">Q</t>
    </r>
    <r>
      <rPr>
        <sz val="11"/>
        <color theme="1"/>
        <rFont val="Noto Sans SC"/>
        <family val="2"/>
        <charset val="134"/>
      </rPr>
      <t xml:space="preserve">、</t>
    </r>
    <r>
      <rPr>
        <sz val="11"/>
        <color theme="1"/>
        <rFont val="Calibri"/>
        <family val="2"/>
        <charset val="1"/>
      </rPr>
      <t xml:space="preserve">K</t>
    </r>
    <r>
      <rPr>
        <sz val="11"/>
        <color theme="1"/>
        <rFont val="Noto Sans SC"/>
        <family val="2"/>
        <charset val="134"/>
      </rPr>
      <t xml:space="preserve">；功能图标 </t>
    </r>
    <r>
      <rPr>
        <sz val="11"/>
        <color theme="1"/>
        <rFont val="Calibri"/>
        <family val="2"/>
        <charset val="1"/>
      </rPr>
      <t xml:space="preserve">Wild</t>
    </r>
    <r>
      <rPr>
        <sz val="11"/>
        <color theme="1"/>
        <rFont val="Noto Sans SC"/>
        <family val="2"/>
        <charset val="134"/>
      </rPr>
      <t xml:space="preserve">、</t>
    </r>
    <r>
      <rPr>
        <sz val="11"/>
        <color theme="1"/>
        <rFont val="Calibri"/>
        <family val="2"/>
        <charset val="1"/>
      </rPr>
      <t xml:space="preserve">Scatter</t>
    </r>
  </si>
  <si>
    <r>
      <rPr>
        <b val="true"/>
        <sz val="11"/>
        <color rgb="FF1F4E79"/>
        <rFont val="Noto Sans SC"/>
        <family val="2"/>
        <charset val="134"/>
      </rPr>
      <t xml:space="preserve">【</t>
    </r>
    <r>
      <rPr>
        <b val="true"/>
        <sz val="11"/>
        <color rgb="FF1F4E79"/>
        <rFont val="Cambria"/>
        <family val="0"/>
        <charset val="1"/>
      </rPr>
      <t xml:space="preserve">2</t>
    </r>
    <r>
      <rPr>
        <b val="true"/>
        <sz val="11"/>
        <color rgb="FF1F4E79"/>
        <rFont val="Noto Sans SC"/>
        <family val="2"/>
        <charset val="134"/>
      </rPr>
      <t xml:space="preserve">】图标个数分布（原文配图②逐格转录：基础图标数 ＋ 该列百搭数）</t>
    </r>
  </si>
  <si>
    <t xml:space="preserve">图标</t>
  </si>
  <si>
    <r>
      <rPr>
        <b val="true"/>
        <sz val="11"/>
        <color rgb="FF1F4E79"/>
        <rFont val="Noto Sans SC"/>
        <family val="2"/>
        <charset val="134"/>
      </rPr>
      <t xml:space="preserve">列</t>
    </r>
    <r>
      <rPr>
        <b val="true"/>
        <sz val="11"/>
        <color rgb="FF1F4E79"/>
        <rFont val="Cambria"/>
        <family val="0"/>
        <charset val="1"/>
      </rPr>
      <t xml:space="preserve">1</t>
    </r>
  </si>
  <si>
    <r>
      <rPr>
        <b val="true"/>
        <sz val="11"/>
        <color rgb="FF1F4E79"/>
        <rFont val="Noto Sans SC"/>
        <family val="2"/>
        <charset val="134"/>
      </rPr>
      <t xml:space="preserve">列</t>
    </r>
    <r>
      <rPr>
        <b val="true"/>
        <sz val="11"/>
        <color rgb="FF1F4E79"/>
        <rFont val="Cambria"/>
        <family val="0"/>
        <charset val="1"/>
      </rPr>
      <t xml:space="preserve">2</t>
    </r>
  </si>
  <si>
    <r>
      <rPr>
        <b val="true"/>
        <sz val="11"/>
        <color rgb="FF1F4E79"/>
        <rFont val="Noto Sans SC"/>
        <family val="2"/>
        <charset val="134"/>
      </rPr>
      <t xml:space="preserve">列</t>
    </r>
    <r>
      <rPr>
        <b val="true"/>
        <sz val="11"/>
        <color rgb="FF1F4E79"/>
        <rFont val="Cambria"/>
        <family val="0"/>
        <charset val="1"/>
      </rPr>
      <t xml:space="preserve">3</t>
    </r>
  </si>
  <si>
    <r>
      <rPr>
        <b val="true"/>
        <sz val="11"/>
        <color rgb="FF1F4E79"/>
        <rFont val="Noto Sans SC"/>
        <family val="2"/>
        <charset val="134"/>
      </rPr>
      <t xml:space="preserve">列</t>
    </r>
    <r>
      <rPr>
        <b val="true"/>
        <sz val="11"/>
        <color rgb="FF1F4E79"/>
        <rFont val="Cambria"/>
        <family val="0"/>
        <charset val="1"/>
      </rPr>
      <t xml:space="preserve">4</t>
    </r>
  </si>
  <si>
    <r>
      <rPr>
        <b val="true"/>
        <sz val="11"/>
        <color rgb="FF1F4E79"/>
        <rFont val="Noto Sans SC"/>
        <family val="2"/>
        <charset val="134"/>
      </rPr>
      <t xml:space="preserve">列</t>
    </r>
    <r>
      <rPr>
        <b val="true"/>
        <sz val="11"/>
        <color rgb="FF1F4E79"/>
        <rFont val="Cambria"/>
        <family val="0"/>
        <charset val="1"/>
      </rPr>
      <t xml:space="preserve">5</t>
    </r>
  </si>
  <si>
    <t xml:space="preserve">合计</t>
  </si>
  <si>
    <t xml:space="preserve">J</t>
  </si>
  <si>
    <r>
      <rPr>
        <sz val="11"/>
        <color theme="1"/>
        <rFont val="Noto Sans SC"/>
        <family val="2"/>
        <charset val="134"/>
      </rPr>
      <t xml:space="preserve">含百搭（百搭会被各标准图标各计一次，故各图标之和 </t>
    </r>
    <r>
      <rPr>
        <sz val="11"/>
        <color theme="1"/>
        <rFont val="Calibri"/>
        <family val="2"/>
        <charset val="1"/>
      </rPr>
      <t xml:space="preserve">&gt; </t>
    </r>
    <r>
      <rPr>
        <sz val="11"/>
        <color theme="1"/>
        <rFont val="Noto Sans SC"/>
        <family val="2"/>
        <charset val="134"/>
      </rPr>
      <t xml:space="preserve">每列停位数）</t>
    </r>
  </si>
  <si>
    <t xml:space="preserve">Q</t>
  </si>
  <si>
    <t xml:space="preserve">K</t>
  </si>
  <si>
    <t xml:space="preserve">Scatter</t>
  </si>
  <si>
    <r>
      <rPr>
        <sz val="11"/>
        <color theme="1"/>
        <rFont val="Noto Sans SC"/>
        <family val="2"/>
        <charset val="134"/>
      </rPr>
      <t xml:space="preserve">百搭不替代 </t>
    </r>
    <r>
      <rPr>
        <sz val="11"/>
        <color theme="1"/>
        <rFont val="Calibri"/>
        <family val="2"/>
        <charset val="1"/>
      </rPr>
      <t xml:space="preserve">Scatter</t>
    </r>
    <r>
      <rPr>
        <sz val="11"/>
        <color theme="1"/>
        <rFont val="Noto Sans SC"/>
        <family val="2"/>
        <charset val="134"/>
      </rPr>
      <t xml:space="preserve">，此处为卷轴实际个数</t>
    </r>
  </si>
  <si>
    <t xml:space="preserve">总计（原文②末行）</t>
  </si>
  <si>
    <r>
      <rPr>
        <sz val="11"/>
        <color theme="1"/>
        <rFont val="Noto Sans SC"/>
        <family val="2"/>
        <charset val="134"/>
      </rPr>
      <t xml:space="preserve">＝ 每列停位数 </t>
    </r>
    <r>
      <rPr>
        <sz val="11"/>
        <color theme="1"/>
        <rFont val="Calibri"/>
        <family val="2"/>
        <charset val="1"/>
      </rPr>
      <t xml:space="preserve">16</t>
    </r>
    <r>
      <rPr>
        <sz val="11"/>
        <color theme="1"/>
        <rFont val="Noto Sans SC"/>
        <family val="2"/>
        <charset val="134"/>
      </rPr>
      <t xml:space="preserve">，即概率分母</t>
    </r>
  </si>
  <si>
    <r>
      <rPr>
        <b val="true"/>
        <sz val="11"/>
        <color rgb="FF1F4E79"/>
        <rFont val="Noto Sans SC"/>
        <family val="2"/>
        <charset val="134"/>
      </rPr>
      <t xml:space="preserve">【</t>
    </r>
    <r>
      <rPr>
        <b val="true"/>
        <sz val="11"/>
        <color rgb="FF1F4E79"/>
        <rFont val="Cambria"/>
        <family val="0"/>
        <charset val="1"/>
      </rPr>
      <t xml:space="preserve">3</t>
    </r>
    <r>
      <rPr>
        <b val="true"/>
        <sz val="11"/>
        <color rgb="FF1F4E79"/>
        <rFont val="Noto Sans SC"/>
        <family val="2"/>
        <charset val="134"/>
      </rPr>
      <t xml:space="preserve">】实际事件数 ＝ 该列图标个数 </t>
    </r>
    <r>
      <rPr>
        <b val="true"/>
        <sz val="11"/>
        <color rgb="FF1F4E79"/>
        <rFont val="Cambria"/>
        <family val="0"/>
        <charset val="1"/>
      </rPr>
      <t xml:space="preserve">× </t>
    </r>
    <r>
      <rPr>
        <b val="true"/>
        <sz val="11"/>
        <color rgb="FF1F4E79"/>
        <rFont val="Noto Sans SC"/>
        <family val="2"/>
        <charset val="134"/>
      </rPr>
      <t xml:space="preserve">该列行数（原文配图③：把单行扩充到整体）</t>
    </r>
  </si>
  <si>
    <r>
      <rPr>
        <sz val="11"/>
        <color theme="1"/>
        <rFont val="Noto Sans SC"/>
        <family val="2"/>
        <charset val="134"/>
      </rPr>
      <t xml:space="preserve">＝ 个数 </t>
    </r>
    <r>
      <rPr>
        <sz val="11"/>
        <color theme="1"/>
        <rFont val="Calibri"/>
        <family val="2"/>
        <charset val="1"/>
      </rPr>
      <t xml:space="preserve">× </t>
    </r>
    <r>
      <rPr>
        <sz val="11"/>
        <color theme="1"/>
        <rFont val="Noto Sans SC"/>
        <family val="2"/>
        <charset val="134"/>
      </rPr>
      <t xml:space="preserve">行数 </t>
    </r>
    <r>
      <rPr>
        <sz val="11"/>
        <color theme="1"/>
        <rFont val="Calibri"/>
        <family val="2"/>
        <charset val="1"/>
      </rPr>
      <t xml:space="preserve">3</t>
    </r>
  </si>
  <si>
    <r>
      <rPr>
        <sz val="11"/>
        <color theme="1"/>
        <rFont val="Calibri"/>
        <family val="2"/>
        <charset val="1"/>
      </rPr>
      <t xml:space="preserve">Scatter </t>
    </r>
    <r>
      <rPr>
        <sz val="11"/>
        <color theme="1"/>
        <rFont val="Noto Sans SC"/>
        <family val="2"/>
        <charset val="134"/>
      </rPr>
      <t xml:space="preserve">事件数只用于免费摇触发，不参与标准图标 </t>
    </r>
    <r>
      <rPr>
        <sz val="11"/>
        <color theme="1"/>
        <rFont val="Calibri"/>
        <family val="2"/>
        <charset val="1"/>
      </rPr>
      <t xml:space="preserve">RTP</t>
    </r>
  </si>
  <si>
    <r>
      <rPr>
        <b val="true"/>
        <sz val="11"/>
        <color rgb="FF1F4E79"/>
        <rFont val="Noto Sans SC"/>
        <family val="2"/>
        <charset val="134"/>
      </rPr>
      <t xml:space="preserve">【</t>
    </r>
    <r>
      <rPr>
        <b val="true"/>
        <sz val="11"/>
        <color rgb="FF1F4E79"/>
        <rFont val="Cambria"/>
        <family val="0"/>
        <charset val="1"/>
      </rPr>
      <t xml:space="preserve">4</t>
    </r>
    <r>
      <rPr>
        <b val="true"/>
        <sz val="11"/>
        <color rgb="FF1F4E79"/>
        <rFont val="Noto Sans SC"/>
        <family val="2"/>
        <charset val="134"/>
      </rPr>
      <t xml:space="preserve">】无 </t>
    </r>
    <r>
      <rPr>
        <b val="true"/>
        <sz val="11"/>
        <color rgb="FF1F4E79"/>
        <rFont val="Cambria"/>
        <family val="0"/>
        <charset val="1"/>
      </rPr>
      <t xml:space="preserve">Pay Line </t>
    </r>
    <r>
      <rPr>
        <b val="true"/>
        <sz val="11"/>
        <color rgb="FF1F4E79"/>
        <rFont val="Noto Sans SC"/>
        <family val="2"/>
        <charset val="134"/>
      </rPr>
      <t xml:space="preserve">的累乘赔付规则（原文例 </t>
    </r>
    <r>
      <rPr>
        <b val="true"/>
        <sz val="11"/>
        <color rgb="FF1F4E79"/>
        <rFont val="Cambria"/>
        <family val="0"/>
        <charset val="1"/>
      </rPr>
      <t xml:space="preserve">1/2/3</t>
    </r>
    <r>
      <rPr>
        <b val="true"/>
        <sz val="11"/>
        <color rgb="FF1F4E79"/>
        <rFont val="Noto Sans SC"/>
        <family val="2"/>
        <charset val="134"/>
      </rPr>
      <t xml:space="preserve">，蓝字可改，结果自动算）</t>
    </r>
  </si>
  <si>
    <t xml:space="preserve">示例</t>
  </si>
  <si>
    <t xml:space="preserve">组合赔付倍数</t>
  </si>
  <si>
    <r>
      <rPr>
        <b val="true"/>
        <sz val="11"/>
        <color rgb="FF1F4E79"/>
        <rFont val="Noto Sans SC"/>
        <family val="2"/>
        <charset val="134"/>
      </rPr>
      <t xml:space="preserve">各中奖列图标个数（最多 </t>
    </r>
    <r>
      <rPr>
        <b val="true"/>
        <sz val="11"/>
        <color rgb="FF1F4E79"/>
        <rFont val="Cambria"/>
        <family val="0"/>
        <charset val="1"/>
      </rPr>
      <t xml:space="preserve">3 </t>
    </r>
    <r>
      <rPr>
        <b val="true"/>
        <sz val="11"/>
        <color rgb="FF1F4E79"/>
        <rFont val="Noto Sans SC"/>
        <family val="2"/>
        <charset val="134"/>
      </rPr>
      <t xml:space="preserve">列）</t>
    </r>
  </si>
  <si>
    <t xml:space="preserve">累乘乘积</t>
  </si>
  <si>
    <t xml:space="preserve">应得奖励</t>
  </si>
  <si>
    <r>
      <rPr>
        <sz val="11"/>
        <color theme="1"/>
        <rFont val="Noto Sans SC"/>
        <family val="2"/>
        <charset val="134"/>
      </rPr>
      <t xml:space="preserve">例</t>
    </r>
    <r>
      <rPr>
        <sz val="11"/>
        <color theme="1"/>
        <rFont val="Calibri"/>
        <family val="2"/>
        <charset val="1"/>
      </rPr>
      <t xml:space="preserve">1</t>
    </r>
    <r>
      <rPr>
        <sz val="11"/>
        <color theme="1"/>
        <rFont val="Noto Sans SC"/>
        <family val="2"/>
        <charset val="134"/>
      </rPr>
      <t xml:space="preserve">：</t>
    </r>
    <r>
      <rPr>
        <sz val="11"/>
        <color theme="1"/>
        <rFont val="Calibri"/>
        <family val="2"/>
        <charset val="1"/>
      </rPr>
      <t xml:space="preserve">{AAA} </t>
    </r>
    <r>
      <rPr>
        <sz val="11"/>
        <color theme="1"/>
        <rFont val="Noto Sans SC"/>
        <family val="2"/>
        <charset val="134"/>
      </rPr>
      <t xml:space="preserve">每列 </t>
    </r>
    <r>
      <rPr>
        <sz val="11"/>
        <color theme="1"/>
        <rFont val="Calibri"/>
        <family val="2"/>
        <charset val="1"/>
      </rPr>
      <t xml:space="preserve">1 </t>
    </r>
    <r>
      <rPr>
        <sz val="11"/>
        <color theme="1"/>
        <rFont val="Noto Sans SC"/>
        <family val="2"/>
        <charset val="134"/>
      </rPr>
      <t xml:space="preserve">个</t>
    </r>
  </si>
  <si>
    <r>
      <rPr>
        <sz val="11"/>
        <color theme="1"/>
        <rFont val="Noto Sans SC"/>
        <family val="2"/>
        <charset val="134"/>
      </rPr>
      <t xml:space="preserve">例</t>
    </r>
    <r>
      <rPr>
        <sz val="11"/>
        <color theme="1"/>
        <rFont val="Calibri"/>
        <family val="2"/>
        <charset val="1"/>
      </rPr>
      <t xml:space="preserve">2</t>
    </r>
    <r>
      <rPr>
        <sz val="11"/>
        <color theme="1"/>
        <rFont val="Noto Sans SC"/>
        <family val="2"/>
        <charset val="134"/>
      </rPr>
      <t xml:space="preserve">：</t>
    </r>
    <r>
      <rPr>
        <sz val="11"/>
        <color theme="1"/>
        <rFont val="Calibri"/>
        <family val="2"/>
        <charset val="1"/>
      </rPr>
      <t xml:space="preserve">{AAA} </t>
    </r>
    <r>
      <rPr>
        <sz val="11"/>
        <color theme="1"/>
        <rFont val="Noto Sans SC"/>
        <family val="2"/>
        <charset val="134"/>
      </rPr>
      <t xml:space="preserve">一列 </t>
    </r>
    <r>
      <rPr>
        <sz val="11"/>
        <color theme="1"/>
        <rFont val="Calibri"/>
        <family val="2"/>
        <charset val="1"/>
      </rPr>
      <t xml:space="preserve">2 </t>
    </r>
    <r>
      <rPr>
        <sz val="11"/>
        <color theme="1"/>
        <rFont val="Noto Sans SC"/>
        <family val="2"/>
        <charset val="134"/>
      </rPr>
      <t xml:space="preserve">个</t>
    </r>
  </si>
  <si>
    <r>
      <rPr>
        <sz val="11"/>
        <color theme="1"/>
        <rFont val="Noto Sans SC"/>
        <family val="2"/>
        <charset val="134"/>
      </rPr>
      <t xml:space="preserve">例</t>
    </r>
    <r>
      <rPr>
        <sz val="11"/>
        <color theme="1"/>
        <rFont val="Calibri"/>
        <family val="2"/>
        <charset val="1"/>
      </rPr>
      <t xml:space="preserve">3</t>
    </r>
    <r>
      <rPr>
        <sz val="11"/>
        <color theme="1"/>
        <rFont val="Noto Sans SC"/>
        <family val="2"/>
        <charset val="134"/>
      </rPr>
      <t xml:space="preserve">：</t>
    </r>
    <r>
      <rPr>
        <sz val="11"/>
        <color theme="1"/>
        <rFont val="Calibri"/>
        <family val="2"/>
        <charset val="1"/>
      </rPr>
      <t xml:space="preserve">{AAA} 2 / 3 / 2 </t>
    </r>
    <r>
      <rPr>
        <sz val="11"/>
        <color theme="1"/>
        <rFont val="Noto Sans SC"/>
        <family val="2"/>
        <charset val="134"/>
      </rPr>
      <t xml:space="preserve">个</t>
    </r>
  </si>
  <si>
    <t xml:space="preserve">规则：单图标同时满足多个中奖组合时只取最高的赔付倍数；跨列中奖时把各中奖列的图标个数连乘。</t>
  </si>
  <si>
    <r>
      <rPr>
        <b val="true"/>
        <sz val="11"/>
        <color rgb="FF1F4E79"/>
        <rFont val="Noto Sans SC"/>
        <family val="2"/>
        <charset val="134"/>
      </rPr>
      <t xml:space="preserve">【</t>
    </r>
    <r>
      <rPr>
        <b val="true"/>
        <sz val="11"/>
        <color rgb="FF1F4E79"/>
        <rFont val="Cambria"/>
        <family val="0"/>
        <charset val="1"/>
      </rPr>
      <t xml:space="preserve">5</t>
    </r>
    <r>
      <rPr>
        <b val="true"/>
        <sz val="11"/>
        <color rgb="FF1F4E79"/>
        <rFont val="Noto Sans SC"/>
        <family val="2"/>
        <charset val="134"/>
      </rPr>
      <t xml:space="preserve">】中奖组合表（事件数与赔付倍数按原文⑤⑥转录，中奖率</t>
    </r>
    <r>
      <rPr>
        <b val="true"/>
        <sz val="11"/>
        <color rgb="FF1F4E79"/>
        <rFont val="Cambria"/>
        <family val="0"/>
        <charset val="1"/>
      </rPr>
      <t xml:space="preserve">/</t>
    </r>
    <r>
      <rPr>
        <b val="true"/>
        <sz val="11"/>
        <color rgb="FF1F4E79"/>
        <rFont val="Noto Sans SC"/>
        <family val="2"/>
        <charset val="134"/>
      </rPr>
      <t xml:space="preserve">期望为公式）</t>
    </r>
  </si>
  <si>
    <t xml:space="preserve">中奖组合</t>
  </si>
  <si>
    <t xml:space="preserve">组合事件数（原文⑤）</t>
  </si>
  <si>
    <t xml:space="preserve">中奖率</t>
  </si>
  <si>
    <t xml:space="preserve">赔付倍数（原文⑥）</t>
  </si>
  <si>
    <t xml:space="preserve">期望</t>
  </si>
  <si>
    <t xml:space="preserve">{J,J,J,#J,#J}</t>
  </si>
  <si>
    <r>
      <rPr>
        <sz val="11"/>
        <color theme="1"/>
        <rFont val="Calibri"/>
        <family val="2"/>
        <charset val="1"/>
      </rPr>
      <t xml:space="preserve">3 </t>
    </r>
    <r>
      <rPr>
        <sz val="11"/>
        <color theme="1"/>
        <rFont val="Noto Sans SC"/>
        <family val="2"/>
        <charset val="134"/>
      </rPr>
      <t xml:space="preserve">连：前三列出现、第 </t>
    </r>
    <r>
      <rPr>
        <sz val="11"/>
        <color theme="1"/>
        <rFont val="Calibri"/>
        <family val="2"/>
        <charset val="1"/>
      </rPr>
      <t xml:space="preserve">4 </t>
    </r>
    <r>
      <rPr>
        <sz val="11"/>
        <color theme="1"/>
        <rFont val="Noto Sans SC"/>
        <family val="2"/>
        <charset val="134"/>
      </rPr>
      <t xml:space="preserve">列不出现</t>
    </r>
  </si>
  <si>
    <t xml:space="preserve">{J,J,J,J,#J}</t>
  </si>
  <si>
    <r>
      <rPr>
        <sz val="11"/>
        <color theme="1"/>
        <rFont val="Calibri"/>
        <family val="2"/>
        <charset val="1"/>
      </rPr>
      <t xml:space="preserve">4 </t>
    </r>
    <r>
      <rPr>
        <sz val="11"/>
        <color theme="1"/>
        <rFont val="Noto Sans SC"/>
        <family val="2"/>
        <charset val="134"/>
      </rPr>
      <t xml:space="preserve">连：前四列出现、第 </t>
    </r>
    <r>
      <rPr>
        <sz val="11"/>
        <color theme="1"/>
        <rFont val="Calibri"/>
        <family val="2"/>
        <charset val="1"/>
      </rPr>
      <t xml:space="preserve">5 </t>
    </r>
    <r>
      <rPr>
        <sz val="11"/>
        <color theme="1"/>
        <rFont val="Noto Sans SC"/>
        <family val="2"/>
        <charset val="134"/>
      </rPr>
      <t xml:space="preserve">列不出现</t>
    </r>
  </si>
  <si>
    <t xml:space="preserve">{J,J,J,J,J}</t>
  </si>
  <si>
    <r>
      <rPr>
        <sz val="11"/>
        <color theme="1"/>
        <rFont val="Calibri"/>
        <family val="2"/>
        <charset val="1"/>
      </rPr>
      <t xml:space="preserve">5 </t>
    </r>
    <r>
      <rPr>
        <sz val="11"/>
        <color theme="1"/>
        <rFont val="Noto Sans SC"/>
        <family val="2"/>
        <charset val="134"/>
      </rPr>
      <t xml:space="preserve">连：五列全出现</t>
    </r>
  </si>
  <si>
    <t xml:space="preserve">{Q,Q,Q,#Q,#Q}</t>
  </si>
  <si>
    <r>
      <rPr>
        <sz val="11"/>
        <color theme="1"/>
        <rFont val="Calibri"/>
        <family val="2"/>
        <charset val="1"/>
      </rPr>
      <t xml:space="preserve">3 </t>
    </r>
    <r>
      <rPr>
        <sz val="11"/>
        <color theme="1"/>
        <rFont val="Noto Sans SC"/>
        <family val="2"/>
        <charset val="134"/>
      </rPr>
      <t xml:space="preserve">连</t>
    </r>
  </si>
  <si>
    <t xml:space="preserve">{Q,Q,Q,Q,#Q}</t>
  </si>
  <si>
    <r>
      <rPr>
        <sz val="11"/>
        <color theme="1"/>
        <rFont val="Calibri"/>
        <family val="2"/>
        <charset val="1"/>
      </rPr>
      <t xml:space="preserve">4 </t>
    </r>
    <r>
      <rPr>
        <sz val="11"/>
        <color theme="1"/>
        <rFont val="Noto Sans SC"/>
        <family val="2"/>
        <charset val="134"/>
      </rPr>
      <t xml:space="preserve">连</t>
    </r>
  </si>
  <si>
    <t xml:space="preserve">{Q,Q,Q,Q,Q}</t>
  </si>
  <si>
    <r>
      <rPr>
        <sz val="11"/>
        <color theme="1"/>
        <rFont val="Calibri"/>
        <family val="2"/>
        <charset val="1"/>
      </rPr>
      <t xml:space="preserve">5 </t>
    </r>
    <r>
      <rPr>
        <sz val="11"/>
        <color theme="1"/>
        <rFont val="Noto Sans SC"/>
        <family val="2"/>
        <charset val="134"/>
      </rPr>
      <t xml:space="preserve">连</t>
    </r>
  </si>
  <si>
    <t xml:space="preserve">{K,K,K,#K,#K}</t>
  </si>
  <si>
    <t xml:space="preserve">{K,K,K,K,#K}</t>
  </si>
  <si>
    <t xml:space="preserve">{K,K,K,K,K}</t>
  </si>
  <si>
    <r>
      <rPr>
        <b val="true"/>
        <sz val="11"/>
        <rFont val="Noto Sans SC"/>
        <family val="2"/>
        <charset val="134"/>
      </rPr>
      <t xml:space="preserve">普通摇标准图标 </t>
    </r>
    <r>
      <rPr>
        <b val="true"/>
        <sz val="11"/>
        <rFont val="Cambria"/>
        <family val="0"/>
        <charset val="1"/>
      </rPr>
      <t xml:space="preserve">RTP</t>
    </r>
  </si>
  <si>
    <r>
      <rPr>
        <sz val="11"/>
        <color theme="1"/>
        <rFont val="Noto Sans SC"/>
        <family val="2"/>
        <charset val="134"/>
      </rPr>
      <t xml:space="preserve">原文⑥合计 </t>
    </r>
    <r>
      <rPr>
        <sz val="11"/>
        <color theme="1"/>
        <rFont val="Calibri"/>
        <family val="2"/>
        <charset val="1"/>
      </rPr>
      <t xml:space="preserve">40.7744</t>
    </r>
  </si>
  <si>
    <r>
      <rPr>
        <b val="true"/>
        <sz val="11"/>
        <rFont val="Noto Sans SC"/>
        <family val="2"/>
        <charset val="134"/>
      </rPr>
      <t xml:space="preserve">实际 </t>
    </r>
    <r>
      <rPr>
        <b val="true"/>
        <sz val="11"/>
        <rFont val="Cambria"/>
        <family val="0"/>
        <charset val="1"/>
      </rPr>
      <t xml:space="preserve">RTP</t>
    </r>
  </si>
  <si>
    <r>
      <rPr>
        <b val="true"/>
        <sz val="11"/>
        <rFont val="Noto Sans SC"/>
        <family val="2"/>
        <charset val="134"/>
      </rPr>
      <t xml:space="preserve">＝ 合计 </t>
    </r>
    <r>
      <rPr>
        <b val="true"/>
        <sz val="11"/>
        <rFont val="Cambria"/>
        <family val="0"/>
        <charset val="1"/>
      </rPr>
      <t xml:space="preserve">÷ </t>
    </r>
    <r>
      <rPr>
        <b val="true"/>
        <sz val="11"/>
        <rFont val="Noto Sans SC"/>
        <family val="2"/>
        <charset val="134"/>
      </rPr>
      <t xml:space="preserve">赔付基数</t>
    </r>
  </si>
  <si>
    <r>
      <rPr>
        <sz val="11"/>
        <color theme="1"/>
        <rFont val="Noto Sans SC"/>
        <family val="2"/>
        <charset val="134"/>
      </rPr>
      <t xml:space="preserve">原文⑥：</t>
    </r>
    <r>
      <rPr>
        <sz val="11"/>
        <color theme="1"/>
        <rFont val="Calibri"/>
        <family val="2"/>
        <charset val="1"/>
      </rPr>
      <t xml:space="preserve">0.4077</t>
    </r>
  </si>
  <si>
    <r>
      <rPr>
        <sz val="11"/>
        <color rgb="FF808080"/>
        <rFont val="Noto Sans SC"/>
        <family val="2"/>
        <charset val="134"/>
      </rPr>
      <t xml:space="preserve">口径：本表「中奖率」＝ 组合事件数 </t>
    </r>
    <r>
      <rPr>
        <sz val="11"/>
        <color rgb="FF808080"/>
        <rFont val="Cambria"/>
        <family val="0"/>
        <charset val="1"/>
      </rPr>
      <t xml:space="preserve">÷ </t>
    </r>
    <r>
      <rPr>
        <sz val="11"/>
        <color rgb="FF808080"/>
        <rFont val="Noto Sans SC"/>
        <family val="2"/>
        <charset val="134"/>
      </rPr>
      <t xml:space="preserve">总事件数，是含「</t>
    </r>
    <r>
      <rPr>
        <sz val="11"/>
        <color rgb="FF808080"/>
        <rFont val="Cambria"/>
        <family val="0"/>
        <charset val="1"/>
      </rPr>
      <t xml:space="preserve">#</t>
    </r>
    <r>
      <rPr>
        <sz val="11"/>
        <color rgb="FF808080"/>
        <rFont val="Noto Sans SC"/>
        <family val="2"/>
        <charset val="134"/>
      </rPr>
      <t xml:space="preserve">」不出现列的乘算结果，因此可以超过 </t>
    </r>
    <r>
      <rPr>
        <sz val="11"/>
        <color rgb="FF808080"/>
        <rFont val="Cambria"/>
        <family val="0"/>
        <charset val="1"/>
      </rPr>
      <t xml:space="preserve">100%</t>
    </r>
    <r>
      <rPr>
        <sz val="11"/>
        <color rgb="FF808080"/>
        <rFont val="Noto Sans SC"/>
        <family val="2"/>
        <charset val="134"/>
      </rPr>
      <t xml:space="preserve">（如 </t>
    </r>
    <r>
      <rPr>
        <sz val="11"/>
        <color rgb="FF808080"/>
        <rFont val="Cambria"/>
        <family val="0"/>
        <charset val="1"/>
      </rPr>
      <t xml:space="preserve">{J,J,J,J,J} </t>
    </r>
    <r>
      <rPr>
        <sz val="11"/>
        <color rgb="FF808080"/>
        <rFont val="Noto Sans SC"/>
        <family val="2"/>
        <charset val="134"/>
      </rPr>
      <t xml:space="preserve">达 </t>
    </r>
    <r>
      <rPr>
        <sz val="11"/>
        <color rgb="FF808080"/>
        <rFont val="Cambria"/>
        <family val="0"/>
        <charset val="1"/>
      </rPr>
      <t xml:space="preserve">245.28%</t>
    </r>
    <r>
      <rPr>
        <sz val="11"/>
        <color rgb="FF808080"/>
        <rFont val="Noto Sans SC"/>
        <family val="2"/>
        <charset val="134"/>
      </rPr>
      <t xml:space="preserve">）；它只是计算中间量，不是玩家实际感知的中奖率（</t>
    </r>
    <r>
      <rPr>
        <sz val="11"/>
        <color rgb="FF808080"/>
        <rFont val="Cambria"/>
        <family val="0"/>
        <charset val="1"/>
      </rPr>
      <t xml:space="preserve">28 </t>
    </r>
    <r>
      <rPr>
        <sz val="11"/>
        <color rgb="FF808080"/>
        <rFont val="Noto Sans SC"/>
        <family val="2"/>
        <charset val="134"/>
      </rPr>
      <t xml:space="preserve">篇 </t>
    </r>
    <r>
      <rPr>
        <sz val="11"/>
        <color rgb="FF808080"/>
        <rFont val="Cambria"/>
        <family val="0"/>
        <charset val="1"/>
      </rPr>
      <t xml:space="preserve">Way Slots(3) </t>
    </r>
    <r>
      <rPr>
        <sz val="11"/>
        <color rgb="FF808080"/>
        <rFont val="Noto Sans SC"/>
        <family val="2"/>
        <charset val="134"/>
      </rPr>
      <t xml:space="preserve">专门讨论这一点）。</t>
    </r>
  </si>
  <si>
    <r>
      <rPr>
        <b val="true"/>
        <sz val="11"/>
        <color rgb="FF1F4E79"/>
        <rFont val="Noto Sans SC"/>
        <family val="2"/>
        <charset val="134"/>
      </rPr>
      <t xml:space="preserve">【</t>
    </r>
    <r>
      <rPr>
        <b val="true"/>
        <sz val="11"/>
        <color rgb="FF1F4E79"/>
        <rFont val="Cambria"/>
        <family val="0"/>
        <charset val="1"/>
      </rPr>
      <t xml:space="preserve">6</t>
    </r>
    <r>
      <rPr>
        <b val="true"/>
        <sz val="11"/>
        <color rgb="FF1F4E79"/>
        <rFont val="Noto Sans SC"/>
        <family val="2"/>
        <charset val="134"/>
      </rPr>
      <t xml:space="preserve">】</t>
    </r>
    <r>
      <rPr>
        <b val="true"/>
        <sz val="11"/>
        <color rgb="FF1F4E79"/>
        <rFont val="Cambria"/>
        <family val="0"/>
        <charset val="1"/>
      </rPr>
      <t xml:space="preserve">Way Slots </t>
    </r>
    <r>
      <rPr>
        <b val="true"/>
        <sz val="11"/>
        <color rgb="FF1F4E79"/>
        <rFont val="Noto Sans SC"/>
        <family val="2"/>
        <charset val="134"/>
      </rPr>
      <t xml:space="preserve">与 </t>
    </r>
    <r>
      <rPr>
        <b val="true"/>
        <sz val="11"/>
        <color rgb="FF1F4E79"/>
        <rFont val="Cambria"/>
        <family val="0"/>
        <charset val="1"/>
      </rPr>
      <t xml:space="preserve">Line Slots </t>
    </r>
    <r>
      <rPr>
        <b val="true"/>
        <sz val="11"/>
        <color rgb="FF1F4E79"/>
        <rFont val="Noto Sans SC"/>
        <family val="2"/>
        <charset val="134"/>
      </rPr>
      <t xml:space="preserve">的数值口径差异（原文核心结论）</t>
    </r>
  </si>
  <si>
    <t xml:space="preserve">对比项</t>
  </si>
  <si>
    <t xml:space="preserve">Line Slots</t>
  </si>
  <si>
    <t xml:space="preserve">Way Slots</t>
  </si>
  <si>
    <t xml:space="preserve">计算基准</t>
  </si>
  <si>
    <r>
      <rPr>
        <sz val="11"/>
        <color theme="1"/>
        <rFont val="Noto Sans SC"/>
        <family val="2"/>
        <charset val="134"/>
      </rPr>
      <t xml:space="preserve">单条 </t>
    </r>
    <r>
      <rPr>
        <sz val="11"/>
        <color theme="1"/>
        <rFont val="Calibri"/>
        <family val="2"/>
        <charset val="1"/>
      </rPr>
      <t xml:space="preserve">Pay Line</t>
    </r>
  </si>
  <si>
    <r>
      <rPr>
        <sz val="11"/>
        <color theme="1"/>
        <rFont val="Noto Sans SC"/>
        <family val="2"/>
        <charset val="134"/>
      </rPr>
      <t xml:space="preserve">把整个 </t>
    </r>
    <r>
      <rPr>
        <sz val="11"/>
        <color theme="1"/>
        <rFont val="Calibri"/>
        <family val="2"/>
        <charset val="1"/>
      </rPr>
      <t xml:space="preserve">Slots </t>
    </r>
    <r>
      <rPr>
        <sz val="11"/>
        <color theme="1"/>
        <rFont val="Noto Sans SC"/>
        <family val="2"/>
        <charset val="134"/>
      </rPr>
      <t xml:space="preserve">当作一个整体</t>
    </r>
  </si>
  <si>
    <t xml:space="preserve">每列贡献</t>
  </si>
  <si>
    <r>
      <rPr>
        <sz val="11"/>
        <color theme="1"/>
        <rFont val="Noto Sans SC"/>
        <family val="2"/>
        <charset val="134"/>
      </rPr>
      <t xml:space="preserve">该图标是否落在该 </t>
    </r>
    <r>
      <rPr>
        <sz val="11"/>
        <color theme="1"/>
        <rFont val="Calibri"/>
        <family val="2"/>
        <charset val="1"/>
      </rPr>
      <t xml:space="preserve">Pay Line </t>
    </r>
    <r>
      <rPr>
        <sz val="11"/>
        <color theme="1"/>
        <rFont val="Noto Sans SC"/>
        <family val="2"/>
        <charset val="134"/>
      </rPr>
      <t xml:space="preserve">上（</t>
    </r>
    <r>
      <rPr>
        <sz val="11"/>
        <color theme="1"/>
        <rFont val="Calibri"/>
        <family val="2"/>
        <charset val="1"/>
      </rPr>
      <t xml:space="preserve">0 / 1</t>
    </r>
    <r>
      <rPr>
        <sz val="11"/>
        <color theme="1"/>
        <rFont val="Noto Sans SC"/>
        <family val="2"/>
        <charset val="134"/>
      </rPr>
      <t xml:space="preserve">）</t>
    </r>
  </si>
  <si>
    <r>
      <rPr>
        <sz val="11"/>
        <color theme="1"/>
        <rFont val="Noto Sans SC"/>
        <family val="2"/>
        <charset val="134"/>
      </rPr>
      <t xml:space="preserve">（图标出现几率 ＋ 百搭几率）</t>
    </r>
    <r>
      <rPr>
        <sz val="11"/>
        <color theme="1"/>
        <rFont val="Calibri"/>
        <family val="2"/>
        <charset val="1"/>
      </rPr>
      <t xml:space="preserve">× </t>
    </r>
    <r>
      <rPr>
        <sz val="11"/>
        <color theme="1"/>
        <rFont val="Noto Sans SC"/>
        <family val="2"/>
        <charset val="134"/>
      </rPr>
      <t xml:space="preserve">该列行数 ＝ 个数期望</t>
    </r>
  </si>
  <si>
    <t xml:space="preserve">一列多个中奖图标</t>
  </si>
  <si>
    <r>
      <rPr>
        <sz val="11"/>
        <color theme="1"/>
        <rFont val="Noto Sans SC"/>
        <family val="2"/>
        <charset val="134"/>
      </rPr>
      <t xml:space="preserve">只取线上那 </t>
    </r>
    <r>
      <rPr>
        <sz val="11"/>
        <color theme="1"/>
        <rFont val="Calibri"/>
        <family val="2"/>
        <charset val="1"/>
      </rPr>
      <t xml:space="preserve">1 </t>
    </r>
    <r>
      <rPr>
        <sz val="11"/>
        <color theme="1"/>
        <rFont val="Noto Sans SC"/>
        <family val="2"/>
        <charset val="134"/>
      </rPr>
      <t xml:space="preserve">个</t>
    </r>
  </si>
  <si>
    <t xml:space="preserve">各中奖列图标个数累乘，放大奖励</t>
  </si>
  <si>
    <t xml:space="preserve">线数与下注的折算</t>
  </si>
  <si>
    <r>
      <rPr>
        <sz val="11"/>
        <color theme="1"/>
        <rFont val="Noto Sans SC"/>
        <family val="2"/>
        <charset val="134"/>
      </rPr>
      <t xml:space="preserve">单线期望 </t>
    </r>
    <r>
      <rPr>
        <sz val="11"/>
        <color theme="1"/>
        <rFont val="Calibri"/>
        <family val="2"/>
        <charset val="1"/>
      </rPr>
      <t xml:space="preserve">× </t>
    </r>
    <r>
      <rPr>
        <sz val="11"/>
        <color theme="1"/>
        <rFont val="Noto Sans SC"/>
        <family val="2"/>
        <charset val="134"/>
      </rPr>
      <t xml:space="preserve">中奖线数，再 </t>
    </r>
    <r>
      <rPr>
        <sz val="11"/>
        <color theme="1"/>
        <rFont val="Calibri"/>
        <family val="2"/>
        <charset val="1"/>
      </rPr>
      <t xml:space="preserve">÷ </t>
    </r>
    <r>
      <rPr>
        <sz val="11"/>
        <color theme="1"/>
        <rFont val="Noto Sans SC"/>
        <family val="2"/>
        <charset val="134"/>
      </rPr>
      <t xml:space="preserve">中奖线数抵掉</t>
    </r>
  </si>
  <si>
    <t xml:space="preserve">不存在该折算，按整体直接算</t>
  </si>
  <si>
    <t xml:space="preserve">不出现事件数</t>
  </si>
  <si>
    <r>
      <rPr>
        <sz val="11"/>
        <color theme="1"/>
        <rFont val="Noto Sans SC"/>
        <family val="2"/>
        <charset val="134"/>
      </rPr>
      <t xml:space="preserve">图标不落在该 </t>
    </r>
    <r>
      <rPr>
        <sz val="11"/>
        <color theme="1"/>
        <rFont val="Calibri"/>
        <family val="2"/>
        <charset val="1"/>
      </rPr>
      <t xml:space="preserve">Pay Line </t>
    </r>
    <r>
      <rPr>
        <sz val="11"/>
        <color theme="1"/>
        <rFont val="Noto Sans SC"/>
        <family val="2"/>
        <charset val="134"/>
      </rPr>
      <t xml:space="preserve">上即可</t>
    </r>
  </si>
  <si>
    <r>
      <rPr>
        <sz val="11"/>
        <color theme="1"/>
        <rFont val="Noto Sans SC"/>
        <family val="2"/>
        <charset val="134"/>
      </rPr>
      <t xml:space="preserve">需遍历该列首尾相连组合，排除出现 </t>
    </r>
    <r>
      <rPr>
        <sz val="11"/>
        <color theme="1"/>
        <rFont val="Calibri"/>
        <family val="2"/>
        <charset val="1"/>
      </rPr>
      <t xml:space="preserve">1/2/3 </t>
    </r>
    <r>
      <rPr>
        <sz val="11"/>
        <color theme="1"/>
        <rFont val="Noto Sans SC"/>
        <family val="2"/>
        <charset val="134"/>
      </rPr>
      <t xml:space="preserve">个的全部情况</t>
    </r>
  </si>
  <si>
    <r>
      <rPr>
        <b val="true"/>
        <sz val="11"/>
        <color rgb="FF1F4E79"/>
        <rFont val="Noto Sans SC"/>
        <family val="2"/>
        <charset val="134"/>
      </rPr>
      <t xml:space="preserve">【</t>
    </r>
    <r>
      <rPr>
        <b val="true"/>
        <sz val="11"/>
        <color rgb="FF1F4E79"/>
        <rFont val="Cambria"/>
        <family val="0"/>
        <charset val="1"/>
      </rPr>
      <t xml:space="preserve">7</t>
    </r>
    <r>
      <rPr>
        <b val="true"/>
        <sz val="11"/>
        <color rgb="FF1F4E79"/>
        <rFont val="Noto Sans SC"/>
        <family val="2"/>
        <charset val="134"/>
      </rPr>
      <t xml:space="preserve">】自检</t>
    </r>
  </si>
  <si>
    <t xml:space="preserve">检查项</t>
  </si>
  <si>
    <t xml:space="preserve">结果</t>
  </si>
  <si>
    <r>
      <rPr>
        <sz val="11"/>
        <color theme="1"/>
        <rFont val="Noto Sans SC"/>
        <family val="2"/>
        <charset val="134"/>
      </rPr>
      <t xml:space="preserve">事件数 ＝ 个数 </t>
    </r>
    <r>
      <rPr>
        <sz val="11"/>
        <color theme="1"/>
        <rFont val="Calibri"/>
        <family val="2"/>
        <charset val="1"/>
      </rPr>
      <t xml:space="preserve">× </t>
    </r>
    <r>
      <rPr>
        <sz val="11"/>
        <color theme="1"/>
        <rFont val="Noto Sans SC"/>
        <family val="2"/>
        <charset val="134"/>
      </rPr>
      <t xml:space="preserve">行数（逐格）</t>
    </r>
  </si>
  <si>
    <r>
      <rPr>
        <sz val="11"/>
        <color theme="1"/>
        <rFont val="Noto Sans SC"/>
        <family val="2"/>
        <charset val="134"/>
      </rPr>
      <t xml:space="preserve">【</t>
    </r>
    <r>
      <rPr>
        <sz val="11"/>
        <color theme="1"/>
        <rFont val="Calibri"/>
        <family val="2"/>
        <charset val="1"/>
      </rPr>
      <t xml:space="preserve">3</t>
    </r>
    <r>
      <rPr>
        <sz val="11"/>
        <color theme="1"/>
        <rFont val="Noto Sans SC"/>
        <family val="2"/>
        <charset val="134"/>
      </rPr>
      <t xml:space="preserve">】</t>
    </r>
    <r>
      <rPr>
        <sz val="11"/>
        <color theme="1"/>
        <rFont val="Calibri"/>
        <family val="2"/>
        <charset val="1"/>
      </rPr>
      <t xml:space="preserve">=</t>
    </r>
    <r>
      <rPr>
        <sz val="11"/>
        <color theme="1"/>
        <rFont val="Noto Sans SC"/>
        <family val="2"/>
        <charset val="134"/>
      </rPr>
      <t xml:space="preserve">【</t>
    </r>
    <r>
      <rPr>
        <sz val="11"/>
        <color theme="1"/>
        <rFont val="Calibri"/>
        <family val="2"/>
        <charset val="1"/>
      </rPr>
      <t xml:space="preserve">2</t>
    </r>
    <r>
      <rPr>
        <sz val="11"/>
        <color theme="1"/>
        <rFont val="Noto Sans SC"/>
        <family val="2"/>
        <charset val="134"/>
      </rPr>
      <t xml:space="preserve">】</t>
    </r>
    <r>
      <rPr>
        <sz val="11"/>
        <color theme="1"/>
        <rFont val="Calibri"/>
        <family val="2"/>
        <charset val="1"/>
      </rPr>
      <t xml:space="preserve">×</t>
    </r>
    <r>
      <rPr>
        <sz val="11"/>
        <color theme="1"/>
        <rFont val="Noto Sans SC"/>
        <family val="2"/>
        <charset val="134"/>
      </rPr>
      <t xml:space="preserve">行数</t>
    </r>
  </si>
  <si>
    <r>
      <rPr>
        <sz val="11"/>
        <color theme="1"/>
        <rFont val="Noto Sans SC"/>
        <family val="2"/>
        <charset val="134"/>
      </rPr>
      <t xml:space="preserve">总事件数 ＝ 每列停位数 </t>
    </r>
    <r>
      <rPr>
        <sz val="11"/>
        <color theme="1"/>
        <rFont val="Calibri"/>
        <family val="2"/>
        <charset val="1"/>
      </rPr>
      <t xml:space="preserve">^ </t>
    </r>
    <r>
      <rPr>
        <sz val="11"/>
        <color theme="1"/>
        <rFont val="Noto Sans SC"/>
        <family val="2"/>
        <charset val="134"/>
      </rPr>
      <t xml:space="preserve">列数</t>
    </r>
  </si>
  <si>
    <t xml:space="preserve">1,048,576</t>
  </si>
  <si>
    <r>
      <rPr>
        <sz val="11"/>
        <color theme="1"/>
        <rFont val="Noto Sans SC"/>
        <family val="2"/>
        <charset val="134"/>
      </rPr>
      <t xml:space="preserve">中奖率 ＝ 事件数 </t>
    </r>
    <r>
      <rPr>
        <sz val="11"/>
        <color theme="1"/>
        <rFont val="Calibri"/>
        <family val="2"/>
        <charset val="1"/>
      </rPr>
      <t xml:space="preserve">÷ </t>
    </r>
    <r>
      <rPr>
        <sz val="11"/>
        <color theme="1"/>
        <rFont val="Noto Sans SC"/>
        <family val="2"/>
        <charset val="134"/>
      </rPr>
      <t xml:space="preserve">总事件数</t>
    </r>
  </si>
  <si>
    <r>
      <rPr>
        <sz val="11"/>
        <color theme="1"/>
        <rFont val="Calibri"/>
        <family val="2"/>
        <charset val="1"/>
      </rPr>
      <t xml:space="preserve">9 </t>
    </r>
    <r>
      <rPr>
        <sz val="11"/>
        <color theme="1"/>
        <rFont val="Noto Sans SC"/>
        <family val="2"/>
        <charset val="134"/>
      </rPr>
      <t xml:space="preserve">个组合</t>
    </r>
  </si>
  <si>
    <r>
      <rPr>
        <sz val="11"/>
        <color theme="1"/>
        <rFont val="Noto Sans SC"/>
        <family val="2"/>
        <charset val="134"/>
      </rPr>
      <t xml:space="preserve">合计 </t>
    </r>
    <r>
      <rPr>
        <sz val="11"/>
        <color theme="1"/>
        <rFont val="Calibri"/>
        <family val="2"/>
        <charset val="1"/>
      </rPr>
      <t xml:space="preserve">RTP </t>
    </r>
    <r>
      <rPr>
        <sz val="11"/>
        <color theme="1"/>
        <rFont val="Noto Sans SC"/>
        <family val="2"/>
        <charset val="134"/>
      </rPr>
      <t xml:space="preserve">＝ 原文 </t>
    </r>
    <r>
      <rPr>
        <sz val="11"/>
        <color theme="1"/>
        <rFont val="Calibri"/>
        <family val="2"/>
        <charset val="1"/>
      </rPr>
      <t xml:space="preserve">40.7744</t>
    </r>
  </si>
  <si>
    <t xml:space="preserve">原文⑥合计</t>
  </si>
  <si>
    <r>
      <rPr>
        <sz val="11"/>
        <color theme="1"/>
        <rFont val="Noto Sans SC"/>
        <family val="2"/>
        <charset val="134"/>
      </rPr>
      <t xml:space="preserve">实际 </t>
    </r>
    <r>
      <rPr>
        <sz val="11"/>
        <color theme="1"/>
        <rFont val="Calibri"/>
        <family val="2"/>
        <charset val="1"/>
      </rPr>
      <t xml:space="preserve">RTP </t>
    </r>
    <r>
      <rPr>
        <sz val="11"/>
        <color theme="1"/>
        <rFont val="Noto Sans SC"/>
        <family val="2"/>
        <charset val="134"/>
      </rPr>
      <t xml:space="preserve">＝ 原文 </t>
    </r>
    <r>
      <rPr>
        <sz val="11"/>
        <color theme="1"/>
        <rFont val="Calibri"/>
        <family val="2"/>
        <charset val="1"/>
      </rPr>
      <t xml:space="preserve">0.4077</t>
    </r>
  </si>
  <si>
    <r>
      <rPr>
        <sz val="11"/>
        <color theme="1"/>
        <rFont val="Calibri"/>
        <family val="2"/>
        <charset val="1"/>
      </rPr>
      <t xml:space="preserve">÷ </t>
    </r>
    <r>
      <rPr>
        <sz val="11"/>
        <color theme="1"/>
        <rFont val="Noto Sans SC"/>
        <family val="2"/>
        <charset val="134"/>
      </rPr>
      <t xml:space="preserve">基数 </t>
    </r>
    <r>
      <rPr>
        <sz val="11"/>
        <color theme="1"/>
        <rFont val="Calibri"/>
        <family val="2"/>
        <charset val="1"/>
      </rPr>
      <t xml:space="preserve">100</t>
    </r>
  </si>
  <si>
    <r>
      <rPr>
        <sz val="11"/>
        <color theme="1"/>
        <rFont val="Noto Sans SC"/>
        <family val="2"/>
        <charset val="134"/>
      </rPr>
      <t xml:space="preserve">累乘示例 ＝ 原文 </t>
    </r>
    <r>
      <rPr>
        <sz val="11"/>
        <color theme="1"/>
        <rFont val="Calibri"/>
        <family val="2"/>
        <charset val="1"/>
      </rPr>
      <t xml:space="preserve">3000 / 6000 / 36000</t>
    </r>
  </si>
  <si>
    <r>
      <rPr>
        <sz val="11"/>
        <color theme="1"/>
        <rFont val="Noto Sans SC"/>
        <family val="2"/>
        <charset val="134"/>
      </rPr>
      <t xml:space="preserve">原文例 </t>
    </r>
    <r>
      <rPr>
        <sz val="11"/>
        <color theme="1"/>
        <rFont val="Calibri"/>
        <family val="2"/>
        <charset val="1"/>
      </rPr>
      <t xml:space="preserve">1/2/3</t>
    </r>
  </si>
  <si>
    <t xml:space="preserve">说明：本页为按原文方法落地的配表实现；表内示例数值取自原文，原文未给的部分沿用同项目示例（蓝字可改）。</t>
  </si>
</sst>
</file>

<file path=xl/styles.xml><?xml version="1.0" encoding="utf-8"?>
<styleSheet xmlns="http://schemas.openxmlformats.org/spreadsheetml/2006/main">
  <numFmts count="6">
    <numFmt numFmtId="164" formatCode="General"/>
    <numFmt numFmtId="165" formatCode="#,##0"/>
    <numFmt numFmtId="166" formatCode="0.00%"/>
    <numFmt numFmtId="167" formatCode="0.0000"/>
    <numFmt numFmtId="168" formatCode="#,##0"/>
    <numFmt numFmtId="169" formatCode="0.0000000000%"/>
  </numFmts>
  <fonts count="17">
    <font>
      <sz val="11"/>
      <color theme="1"/>
      <name val="Noto Sans SC"/>
      <family val="2"/>
      <charset val="134"/>
    </font>
    <font>
      <sz val="10"/>
      <name val="Arial"/>
      <family val="0"/>
      <charset val="134"/>
    </font>
    <font>
      <sz val="10"/>
      <name val="Arial"/>
      <family val="0"/>
      <charset val="134"/>
    </font>
    <font>
      <sz val="10"/>
      <name val="Arial"/>
      <family val="0"/>
      <charset val="134"/>
    </font>
    <font>
      <b val="true"/>
      <sz val="14"/>
      <color rgb="FF1F4E79"/>
      <name val="Noto Sans SC"/>
      <family val="2"/>
      <charset val="134"/>
    </font>
    <font>
      <b val="true"/>
      <sz val="14"/>
      <color rgb="FF1F4E79"/>
      <name val="Cambria"/>
      <family val="0"/>
      <charset val="1"/>
    </font>
    <font>
      <sz val="11"/>
      <color rgb="FF808080"/>
      <name val="Noto Sans SC"/>
      <family val="2"/>
      <charset val="134"/>
    </font>
    <font>
      <sz val="11"/>
      <color rgb="FF808080"/>
      <name val="Cambria"/>
      <family val="0"/>
      <charset val="1"/>
    </font>
    <font>
      <b val="true"/>
      <sz val="11"/>
      <name val="Noto Sans SC"/>
      <family val="2"/>
      <charset val="134"/>
    </font>
    <font>
      <sz val="11"/>
      <color theme="1"/>
      <name val="Calibri"/>
      <family val="2"/>
      <charset val="1"/>
    </font>
    <font>
      <b val="true"/>
      <sz val="11"/>
      <name val="Cambria"/>
      <family val="0"/>
      <charset val="1"/>
    </font>
    <font>
      <b val="true"/>
      <sz val="11"/>
      <color rgb="FF1F4E79"/>
      <name val="Noto Sans SC"/>
      <family val="2"/>
      <charset val="134"/>
    </font>
    <font>
      <b val="true"/>
      <sz val="11"/>
      <color rgb="FF1F4E79"/>
      <name val="Cambria"/>
      <family val="0"/>
      <charset val="1"/>
    </font>
    <font>
      <sz val="11"/>
      <color rgb="FF0000FF"/>
      <name val="Cambria"/>
      <family val="0"/>
      <charset val="1"/>
    </font>
    <font>
      <sz val="11"/>
      <color rgb="FF000000"/>
      <name val="Cambria"/>
      <family val="0"/>
      <charset val="1"/>
    </font>
    <font>
      <sz val="11"/>
      <color rgb="FF0000FF"/>
      <name val="Noto Sans SC"/>
      <family val="2"/>
      <charset val="134"/>
    </font>
    <font>
      <sz val="11"/>
      <color rgb="FF000000"/>
      <name val="Noto Sans SC"/>
      <family val="2"/>
      <charset val="134"/>
    </font>
  </fonts>
  <fills count="5">
    <fill>
      <patternFill patternType="none"/>
    </fill>
    <fill>
      <patternFill patternType="gray125"/>
    </fill>
    <fill>
      <patternFill patternType="solid">
        <fgColor rgb="FFB4C7E7"/>
        <bgColor rgb="FFCCCCFF"/>
      </patternFill>
    </fill>
    <fill>
      <patternFill patternType="solid">
        <fgColor rgb="FFDEEBF7"/>
        <bgColor rgb="FFCCFFFF"/>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true" applyAlignment="true" applyProtection="true">
      <alignment horizontal="general" vertical="top" textRotation="0" wrapText="true" indent="0" shrinkToFit="false"/>
      <protection locked="true" hidden="false"/>
    </xf>
    <xf numFmtId="164" fontId="0" fillId="0" borderId="0" xfId="0" applyFont="true" applyBorder="false" applyAlignment="true" applyProtection="true">
      <alignment horizontal="general" vertical="top" textRotation="0" wrapText="true" indent="0" shrinkToFit="false"/>
      <protection locked="true" hidden="false"/>
    </xf>
    <xf numFmtId="164" fontId="0" fillId="0" borderId="0" xfId="0" applyFont="true" applyBorder="tru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false" indent="0" shrinkToFit="false"/>
      <protection locked="true" hidden="false"/>
    </xf>
    <xf numFmtId="164" fontId="11" fillId="2" borderId="0" xfId="0" applyFont="true" applyBorder="tru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11" fillId="3" borderId="0" xfId="0" applyFont="true" applyBorder="false" applyAlignment="true" applyProtection="true">
      <alignment horizontal="center" vertical="center"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true" applyAlignment="true" applyProtection="true">
      <alignment horizontal="general" vertical="bottom" textRotation="0" wrapText="false" indent="0" shrinkToFit="false"/>
      <protection locked="true" hidden="false"/>
    </xf>
    <xf numFmtId="164" fontId="0" fillId="0" borderId="0" xfId="0" applyFont="true" applyBorder="true" applyAlignment="true" applyProtection="true">
      <alignment horizontal="general" vertical="bottom" textRotation="0" wrapText="false" indent="0" shrinkToFit="false"/>
      <protection locked="true" hidden="false"/>
    </xf>
    <xf numFmtId="165" fontId="14"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1" fillId="3" borderId="0" xfId="0" applyFont="true" applyBorder="true" applyAlignment="true" applyProtection="true">
      <alignment horizontal="center" vertical="center" textRotation="0" wrapText="false" indent="0" shrinkToFit="false"/>
      <protection locked="true" hidden="false"/>
    </xf>
    <xf numFmtId="165" fontId="10" fillId="4"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true" applyAlignment="true" applyProtection="true">
      <alignment horizontal="general" vertical="top" textRotation="0" wrapText="true" indent="0" shrinkToFit="false"/>
      <protection locked="true" hidden="false"/>
    </xf>
    <xf numFmtId="165" fontId="13" fillId="0" borderId="0" xfId="0" applyFont="true" applyBorder="false" applyAlignment="true" applyProtection="true">
      <alignment horizontal="general" vertical="bottom" textRotation="0" wrapText="false" indent="0" shrinkToFit="false"/>
      <protection locked="true" hidden="false"/>
    </xf>
    <xf numFmtId="166" fontId="14" fillId="0" borderId="0" xfId="0" applyFont="true" applyBorder="false" applyAlignment="true" applyProtection="true">
      <alignment horizontal="general" vertical="bottom" textRotation="0" wrapText="false" indent="0" shrinkToFit="false"/>
      <protection locked="true" hidden="false"/>
    </xf>
    <xf numFmtId="167" fontId="10" fillId="4"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true" applyAlignment="true" applyProtection="true">
      <alignment horizontal="general" vertical="bottom" textRotation="0" wrapText="false" indent="0" shrinkToFit="false"/>
      <protection locked="true" hidden="false"/>
    </xf>
    <xf numFmtId="164" fontId="12" fillId="3" borderId="0" xfId="0" applyFont="true" applyBorder="false" applyAlignment="true" applyProtection="true">
      <alignment horizontal="center" vertical="center"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top" textRotation="0" indent="0" shrinkToFit="false"/>
      <protection locked="true" hidden="false"/>
    </xf>
    <xf numFmtId="164" fontId="9" fillId="0" borderId="0" xfId="0" applyFont="true" applyBorder="true" applyAlignment="true" applyProtection="true">
      <alignment horizontal="general" vertical="top" textRotation="0" indent="0" shrinkToFit="false"/>
      <protection locked="true" hidden="false"/>
    </xf>
    <xf numFmtId="164" fontId="0" fillId="0" borderId="0" xfId="0" applyFont="true" applyBorder="false" applyAlignment="true" applyProtection="true">
      <alignment horizontal="general" vertical="top" textRotation="0" indent="0" shrinkToFit="false"/>
      <protection locked="true" hidden="false"/>
    </xf>
    <xf numFmtId="164" fontId="0" fillId="0" borderId="0" xfId="0" applyFont="true" applyBorder="true" applyAlignment="true" applyProtection="true">
      <alignment horizontal="general" vertical="top" textRotation="0" indent="0" shrinkToFit="false"/>
      <protection locked="true" hidden="false"/>
    </xf>
    <xf numFmtId="164" fontId="8" fillId="0" borderId="0" xfId="0" applyFont="true" applyBorder="false" applyAlignment="true" applyProtection="true">
      <alignment horizontal="general" vertical="top" textRotation="0" indent="0" shrinkToFit="false"/>
      <protection locked="true" hidden="false"/>
    </xf>
    <xf numFmtId="0" fontId="9" fillId="0" borderId="0" xfId="0" applyFont="true" applyBorder="false" applyAlignment="true" applyProtection="true">
      <alignment horizontal="general" vertical="top" textRotation="0" wrapText="true" indent="0" shrinkToFit="false"/>
      <protection locked="true" hidden="false"/>
    </xf>
    <xf numFmtId="0" fontId="9" fillId="0" borderId="0" xfId="0" applyFont="true" applyBorder="true" applyAlignment="true" applyProtection="true">
      <alignment horizontal="general" vertical="bottom" textRotation="0" wrapText="false" indent="0" shrinkToFit="false"/>
      <protection locked="true" hidden="false"/>
    </xf>
    <xf numFmtId="0" fontId="9" fillId="0" borderId="0" xfId="0" applyFont="true" applyBorder="false" applyAlignment="true" applyProtection="true">
      <alignment horizontal="general" vertical="bottom" textRotation="0" wrapText="false" indent="0" shrinkToFit="false"/>
      <protection locked="true" hidden="false"/>
    </xf>
    <xf numFmtId="168" fontId="9" fillId="0" borderId="0" xfId="0" applyFont="true" applyBorder="false" applyAlignment="true" applyProtection="true">
      <alignment horizontal="general" vertical="bottom" textRotation="0" wrapText="false" indent="0" shrinkToFit="false"/>
      <protection locked="true" hidden="false"/>
    </xf>
    <xf numFmtId="169" applyNumberFormat="1" fontId="14"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C7E7"/>
      <rgbColor rgb="FF808080"/>
      <rgbColor rgb="FF9999FF"/>
      <rgbColor rgb="FF993366"/>
      <rgbColor rgb="FFFFFF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0" width="42.14"/>
  </cols>
  <sheetData>
    <row r="1" customFormat="false" ht="19" hidden="false" customHeight="false" outlineLevel="0" collapsed="false">
      <c r="A1" s="1" t="s">
        <v>0</v>
      </c>
    </row>
    <row r="3" customFormat="false" ht="15.5" hidden="false" customHeight="false" outlineLevel="0" collapsed="false">
      <c r="A3" s="2" t="s">
        <v>1</v>
      </c>
    </row>
    <row r="4" customFormat="false" ht="15.5" hidden="false" customHeight="false" outlineLevel="0" collapsed="false">
      <c r="A4" s="2" t="s">
        <v>2</v>
      </c>
    </row>
    <row r="5" customFormat="false" ht="15.5" hidden="false" customHeight="false" outlineLevel="0" collapsed="false">
      <c r="A5" s="3" t="s">
        <v>3</v>
      </c>
      <c r="B5" s="3"/>
      <c r="C5" s="3"/>
      <c r="D5" s="3"/>
    </row>
    <row r="6" customFormat="false" ht="15.5" hidden="false" customHeight="false" outlineLevel="0" collapsed="false">
      <c r="A6" s="3" t="s">
        <v>4</v>
      </c>
      <c r="B6" s="3"/>
      <c r="C6" s="3"/>
    </row>
    <row r="7" customFormat="false" ht="15.5" hidden="false" customHeight="false" outlineLevel="0" collapsed="false">
      <c r="A7" s="3" t="s">
        <v>5</v>
      </c>
      <c r="B7" s="3"/>
      <c r="C7" s="3"/>
      <c r="D7" s="3"/>
      <c r="E7" s="3"/>
      <c r="F7" s="3"/>
      <c r="G7" s="3"/>
      <c r="H7" s="3"/>
      <c r="I7" s="3"/>
    </row>
    <row r="9" customFormat="false" ht="15" hidden="false" customHeight="false" outlineLevel="0" collapsed="false">
      <c r="A9" s="4" t="s">
        <v>6</v>
      </c>
    </row>
    <row r="10" customFormat="false" ht="29" hidden="false" customHeight="false" outlineLevel="0" collapsed="false">
      <c r="A10" s="30" t="s">
        <v>7</v>
      </c>
    </row>
    <row r="11" customFormat="false" ht="29" hidden="false" customHeight="false" outlineLevel="0" collapsed="false">
      <c r="A11" s="30" t="s">
        <v>8</v>
      </c>
    </row>
    <row r="12" customFormat="false" ht="15" hidden="false" customHeight="false" outlineLevel="0" collapsed="false">
      <c r="A12" s="5"/>
    </row>
    <row r="13" customFormat="false" ht="15" hidden="false" customHeight="false" outlineLevel="0" collapsed="false">
      <c r="A13" s="4" t="s">
        <v>9</v>
      </c>
    </row>
    <row r="14" customFormat="false" ht="15" hidden="false" customHeight="1" outlineLevel="0" collapsed="false">
      <c r="A14" s="31" t="s">
        <v>10</v>
      </c>
      <c r="B14" s="6"/>
      <c r="C14" s="6"/>
    </row>
    <row r="15" customFormat="false" ht="42" hidden="false" customHeight="false" outlineLevel="0" collapsed="false">
      <c r="A15" s="30" t="s">
        <v>11</v>
      </c>
    </row>
    <row r="16" customFormat="false" ht="15" hidden="false" customHeight="1" outlineLevel="0" collapsed="false">
      <c r="A16" s="31" t="s">
        <v>12</v>
      </c>
      <c r="B16" s="6"/>
      <c r="C16" s="6"/>
    </row>
    <row r="17" customFormat="false" ht="15" hidden="false" customHeight="false" outlineLevel="0" collapsed="false">
      <c r="A17" s="5"/>
    </row>
    <row r="18" customFormat="false" ht="15" hidden="false" customHeight="false" outlineLevel="0" collapsed="false">
      <c r="A18" s="4" t="s">
        <v>13</v>
      </c>
    </row>
    <row r="19" customFormat="false" ht="29" hidden="false" customHeight="false" outlineLevel="0" collapsed="false">
      <c r="A19" s="30" t="s">
        <v>14</v>
      </c>
    </row>
    <row r="20" customFormat="false" ht="28" hidden="false" customHeight="false" outlineLevel="0" collapsed="false">
      <c r="A20" s="32" t="s">
        <v>15</v>
      </c>
    </row>
    <row r="21" customFormat="false" ht="30" hidden="false" customHeight="false" outlineLevel="0" collapsed="false">
      <c r="A21" s="30" t="s">
        <v>16</v>
      </c>
    </row>
    <row r="22" customFormat="false" ht="29" hidden="false" customHeight="false" outlineLevel="0" collapsed="false">
      <c r="A22" s="32" t="s">
        <v>17</v>
      </c>
    </row>
    <row r="23" customFormat="false" ht="29" hidden="false" customHeight="false" outlineLevel="0" collapsed="false">
      <c r="A23" s="30" t="s">
        <v>18</v>
      </c>
    </row>
    <row r="24" customFormat="false" ht="29" hidden="false" customHeight="false" outlineLevel="0" collapsed="false">
      <c r="A24" s="30" t="s">
        <v>19</v>
      </c>
    </row>
    <row r="25" customFormat="false" ht="29" hidden="false" customHeight="false" outlineLevel="0" collapsed="false">
      <c r="A25" s="32" t="s">
        <v>20</v>
      </c>
    </row>
    <row r="26" customFormat="false" ht="30" hidden="false" customHeight="false" outlineLevel="0" collapsed="false">
      <c r="A26" s="30" t="s">
        <v>21</v>
      </c>
    </row>
    <row r="27" customFormat="false" ht="30" hidden="false" customHeight="false" outlineLevel="0" collapsed="false">
      <c r="A27" s="30" t="s">
        <v>22</v>
      </c>
    </row>
    <row r="28" customFormat="false" ht="30" hidden="false" customHeight="false" outlineLevel="0" collapsed="false">
      <c r="A28" s="32" t="s">
        <v>23</v>
      </c>
    </row>
    <row r="29" customFormat="false" ht="16" hidden="false" customHeight="false" outlineLevel="0" collapsed="false">
      <c r="A29" s="7" t="s">
        <v>24</v>
      </c>
    </row>
    <row r="30" customFormat="false" ht="30" hidden="false" customHeight="false" outlineLevel="0" collapsed="false">
      <c r="A30" s="30" t="s">
        <v>25</v>
      </c>
    </row>
    <row r="31" customFormat="false" ht="29" hidden="false" customHeight="false" outlineLevel="0" collapsed="false">
      <c r="A31" s="30" t="s">
        <v>26</v>
      </c>
    </row>
    <row r="32" customFormat="false" ht="29" hidden="false" customHeight="false" outlineLevel="0" collapsed="false">
      <c r="A32" s="32" t="s">
        <v>27</v>
      </c>
    </row>
    <row r="34" customFormat="false" ht="15" hidden="false" customHeight="false" outlineLevel="0" collapsed="false">
      <c r="A34" s="4" t="s">
        <v>28</v>
      </c>
    </row>
    <row r="35" customFormat="false" ht="15" hidden="false" customHeight="false" outlineLevel="0" collapsed="false">
      <c r="A35" s="7"/>
    </row>
    <row r="36" customFormat="false" ht="29" hidden="false" customHeight="false" outlineLevel="0" collapsed="false">
      <c r="A36" s="30" t="s">
        <v>29</v>
      </c>
    </row>
    <row r="37" customFormat="false" ht="30" hidden="false" customHeight="false" outlineLevel="0" collapsed="false">
      <c r="A37" s="32" t="s">
        <v>30</v>
      </c>
    </row>
    <row r="38" customFormat="false" ht="16" hidden="false" customHeight="false" outlineLevel="0" collapsed="false">
      <c r="A38" s="7" t="s">
        <v>31</v>
      </c>
    </row>
    <row r="39" customFormat="false" ht="15" hidden="false" customHeight="false" outlineLevel="0" collapsed="false">
      <c r="A39" s="7" t="s">
        <v>32</v>
      </c>
    </row>
    <row r="40" customFormat="false" ht="16" hidden="false" customHeight="false" outlineLevel="0" collapsed="false">
      <c r="A40" s="7" t="s">
        <v>33</v>
      </c>
    </row>
    <row r="41" customFormat="false" ht="30" hidden="false" customHeight="false" outlineLevel="0" collapsed="false">
      <c r="A41" s="30" t="s">
        <v>34</v>
      </c>
    </row>
    <row r="42" customFormat="false" ht="28" hidden="false" customHeight="false" outlineLevel="0" collapsed="false">
      <c r="A42" s="32" t="s">
        <v>35</v>
      </c>
    </row>
    <row r="43" customFormat="false" ht="15" hidden="false" customHeight="false" outlineLevel="0" collapsed="false">
      <c r="A43" s="7"/>
    </row>
    <row r="44" customFormat="false" ht="16" hidden="false" customHeight="false" outlineLevel="0" collapsed="false">
      <c r="A44" s="7" t="s">
        <v>36</v>
      </c>
    </row>
    <row r="45" customFormat="false" ht="15" hidden="false" customHeight="false" outlineLevel="0" collapsed="false">
      <c r="A45" s="7"/>
    </row>
    <row r="46" customFormat="false" ht="28" hidden="false" customHeight="false" outlineLevel="0" collapsed="false">
      <c r="A46" s="32" t="s">
        <v>37</v>
      </c>
    </row>
    <row r="47" customFormat="false" ht="28" hidden="false" customHeight="false" outlineLevel="0" collapsed="false">
      <c r="A47" s="32" t="s">
        <v>38</v>
      </c>
    </row>
    <row r="48" customFormat="false" ht="30" hidden="false" customHeight="false" outlineLevel="0" collapsed="false">
      <c r="A48" s="32" t="s">
        <v>39</v>
      </c>
    </row>
    <row r="49" customFormat="false" ht="16" hidden="false" customHeight="false" outlineLevel="0" collapsed="false">
      <c r="A49" s="32" t="s">
        <v>40</v>
      </c>
    </row>
    <row r="50" customFormat="false" ht="15" hidden="false" customHeight="false" outlineLevel="0" collapsed="false">
      <c r="A50" s="7"/>
    </row>
    <row r="51" customFormat="false" ht="16" hidden="false" customHeight="false" outlineLevel="0" collapsed="false">
      <c r="A51" s="7" t="s">
        <v>41</v>
      </c>
    </row>
    <row r="52" customFormat="false" ht="15" hidden="false" customHeight="false" outlineLevel="0" collapsed="false">
      <c r="A52" s="7"/>
    </row>
    <row r="53" customFormat="false" ht="16" hidden="false" customHeight="false" outlineLevel="0" collapsed="false">
      <c r="A53" s="32" t="s">
        <v>42</v>
      </c>
    </row>
    <row r="54" customFormat="false" ht="16" hidden="false" customHeight="false" outlineLevel="0" collapsed="false">
      <c r="A54" s="7" t="s">
        <v>43</v>
      </c>
    </row>
    <row r="55" customFormat="false" ht="15" hidden="false" customHeight="false" outlineLevel="0" collapsed="false">
      <c r="A55" s="7"/>
    </row>
    <row r="56" customFormat="false" ht="16" hidden="false" customHeight="false" outlineLevel="0" collapsed="false">
      <c r="A56" s="7" t="s">
        <v>44</v>
      </c>
    </row>
    <row r="57" customFormat="false" ht="15" hidden="false" customHeight="false" outlineLevel="0" collapsed="false">
      <c r="A57" s="7"/>
    </row>
    <row r="58" customFormat="false" ht="16" hidden="false" customHeight="false" outlineLevel="0" collapsed="false">
      <c r="A58" s="32" t="s">
        <v>42</v>
      </c>
    </row>
    <row r="59" customFormat="false" ht="16" hidden="false" customHeight="false" outlineLevel="0" collapsed="false">
      <c r="A59" s="32" t="s">
        <v>45</v>
      </c>
    </row>
    <row r="60" customFormat="false" ht="15" hidden="false" customHeight="false" outlineLevel="0" collapsed="false">
      <c r="A60" s="7"/>
    </row>
    <row r="61" customFormat="false" ht="16" hidden="false" customHeight="false" outlineLevel="0" collapsed="false">
      <c r="A61" s="7" t="s">
        <v>46</v>
      </c>
    </row>
    <row r="62" customFormat="false" ht="15" hidden="false" customHeight="false" outlineLevel="0" collapsed="false">
      <c r="A62" s="7"/>
    </row>
    <row r="63" customFormat="false" ht="15" hidden="false" customHeight="false" outlineLevel="0" collapsed="false">
      <c r="A63" s="7" t="s">
        <v>47</v>
      </c>
    </row>
    <row r="64" customFormat="false" ht="30" hidden="false" customHeight="false" outlineLevel="0" collapsed="false">
      <c r="A64" s="30" t="s">
        <v>48</v>
      </c>
    </row>
    <row r="65" customFormat="false" ht="30" hidden="false" customHeight="false" outlineLevel="0" collapsed="false">
      <c r="A65" s="32" t="s">
        <v>49</v>
      </c>
    </row>
    <row r="66" customFormat="false" ht="28" hidden="false" customHeight="false" outlineLevel="0" collapsed="false">
      <c r="A66" s="32" t="s">
        <v>50</v>
      </c>
    </row>
    <row r="67" customFormat="false" ht="29" hidden="false" customHeight="false" outlineLevel="0" collapsed="false">
      <c r="A67" s="32" t="s">
        <v>51</v>
      </c>
    </row>
    <row r="68" customFormat="false" ht="42" hidden="false" customHeight="false" outlineLevel="0" collapsed="false">
      <c r="A68" s="32" t="s">
        <v>52</v>
      </c>
    </row>
    <row r="69" customFormat="false" ht="16" hidden="false" customHeight="false" outlineLevel="0" collapsed="false">
      <c r="A69" s="7" t="s">
        <v>53</v>
      </c>
    </row>
    <row r="70" customFormat="false" ht="16" hidden="false" customHeight="false" outlineLevel="0" collapsed="false">
      <c r="A70" s="7" t="s">
        <v>54</v>
      </c>
    </row>
    <row r="71" customFormat="false" ht="16" hidden="false" customHeight="false" outlineLevel="0" collapsed="false">
      <c r="A71" s="7" t="s">
        <v>55</v>
      </c>
    </row>
    <row r="72" customFormat="false" ht="15" hidden="false" customHeight="false" outlineLevel="0" collapsed="false">
      <c r="A72" s="7" t="s">
        <v>56</v>
      </c>
    </row>
    <row r="73" customFormat="false" ht="30" hidden="false" customHeight="false" outlineLevel="0" collapsed="false">
      <c r="A73" s="32" t="s">
        <v>57</v>
      </c>
    </row>
    <row r="74" customFormat="false" ht="15" hidden="false" customHeight="false" outlineLevel="0" collapsed="false">
      <c r="A74" s="7"/>
    </row>
    <row r="75" customFormat="false" ht="16" hidden="false" customHeight="false" outlineLevel="0" collapsed="false">
      <c r="A75" s="7" t="s">
        <v>58</v>
      </c>
    </row>
    <row r="76" customFormat="false" ht="15" hidden="false" customHeight="false" outlineLevel="0" collapsed="false">
      <c r="A76" s="7"/>
    </row>
    <row r="77" customFormat="false" ht="29" hidden="false" customHeight="false" outlineLevel="0" collapsed="false">
      <c r="A77" s="32" t="s">
        <v>59</v>
      </c>
    </row>
    <row r="78" customFormat="false" ht="29" hidden="false" customHeight="false" outlineLevel="0" collapsed="false">
      <c r="A78" s="32" t="s">
        <v>60</v>
      </c>
    </row>
    <row r="79" customFormat="false" ht="15" hidden="false" customHeight="false" outlineLevel="0" collapsed="false">
      <c r="A79" s="7" t="s">
        <v>61</v>
      </c>
    </row>
    <row r="80" customFormat="false" ht="16" hidden="false" customHeight="false" outlineLevel="0" collapsed="false">
      <c r="A80" s="32" t="s">
        <v>62</v>
      </c>
    </row>
    <row r="81" customFormat="false" ht="15" hidden="false" customHeight="1" outlineLevel="0" collapsed="false">
      <c r="A81" s="33" t="s">
        <v>63</v>
      </c>
      <c r="B81" s="8"/>
      <c r="C81" s="8"/>
    </row>
    <row r="82" customFormat="false" ht="30" hidden="false" customHeight="false" outlineLevel="0" collapsed="false">
      <c r="A82" s="32" t="s">
        <v>64</v>
      </c>
    </row>
    <row r="83" customFormat="false" ht="28" hidden="false" customHeight="false" outlineLevel="0" collapsed="false">
      <c r="A83" s="32" t="s">
        <v>65</v>
      </c>
    </row>
    <row r="84" customFormat="false" ht="15" hidden="false" customHeight="false" outlineLevel="0" collapsed="false">
      <c r="A84" s="7"/>
    </row>
    <row r="85" customFormat="false" ht="16" hidden="false" customHeight="false" outlineLevel="0" collapsed="false">
      <c r="A85" s="7" t="s">
        <v>66</v>
      </c>
    </row>
    <row r="86" customFormat="false" ht="15" hidden="false" customHeight="false" outlineLevel="0" collapsed="false">
      <c r="A86" s="7"/>
    </row>
    <row r="87" customFormat="false" ht="28" hidden="false" customHeight="false" outlineLevel="0" collapsed="false">
      <c r="A87" s="32" t="s">
        <v>67</v>
      </c>
    </row>
    <row r="88" customFormat="false" ht="29" hidden="false" customHeight="false" outlineLevel="0" collapsed="false">
      <c r="A88" s="32" t="s">
        <v>68</v>
      </c>
    </row>
    <row r="89" customFormat="false" ht="42" hidden="false" customHeight="false" outlineLevel="0" collapsed="false">
      <c r="A89" s="32" t="s">
        <v>69</v>
      </c>
    </row>
    <row r="90" customFormat="false" ht="15" hidden="false" customHeight="false" outlineLevel="0" collapsed="false">
      <c r="A90" s="7"/>
    </row>
    <row r="91" customFormat="false" ht="16" hidden="false" customHeight="false" outlineLevel="0" collapsed="false">
      <c r="A91" s="7" t="s">
        <v>70</v>
      </c>
    </row>
    <row r="92" customFormat="false" ht="15" hidden="false" customHeight="false" outlineLevel="0" collapsed="false">
      <c r="A92" s="7"/>
    </row>
    <row r="93" customFormat="false" ht="29" hidden="false" customHeight="false" outlineLevel="0" collapsed="false">
      <c r="A93" s="32" t="s">
        <v>71</v>
      </c>
    </row>
    <row r="94" customFormat="false" ht="15" hidden="false" customHeight="false" outlineLevel="0" collapsed="false">
      <c r="A94" s="7"/>
    </row>
    <row r="95" customFormat="false" ht="16" hidden="false" customHeight="false" outlineLevel="0" collapsed="false">
      <c r="A95" s="7" t="s">
        <v>72</v>
      </c>
    </row>
    <row r="96" customFormat="false" ht="15" hidden="false" customHeight="false" outlineLevel="0" collapsed="false">
      <c r="A96" s="7"/>
    </row>
    <row r="97" customFormat="false" ht="16" hidden="false" customHeight="false" outlineLevel="0" collapsed="false">
      <c r="A97" s="32" t="s">
        <v>73</v>
      </c>
    </row>
    <row r="98" customFormat="false" ht="43" hidden="false" customHeight="false" outlineLevel="0" collapsed="false">
      <c r="A98" s="32" t="s">
        <v>74</v>
      </c>
    </row>
    <row r="99" customFormat="false" ht="29" hidden="false" customHeight="false" outlineLevel="0" collapsed="false">
      <c r="A99" s="32" t="s">
        <v>75</v>
      </c>
    </row>
    <row r="100" customFormat="false" ht="15" hidden="false" customHeight="false" outlineLevel="0" collapsed="false">
      <c r="A100" s="5" t="s">
        <v>76</v>
      </c>
    </row>
    <row r="101" customFormat="false" ht="15" hidden="false" customHeight="false" outlineLevel="0" collapsed="false">
      <c r="A101" s="5" t="s">
        <v>77</v>
      </c>
    </row>
    <row r="102" customFormat="false" ht="15" hidden="false" customHeight="false" outlineLevel="0" collapsed="false">
      <c r="A102" s="5" t="s">
        <v>78</v>
      </c>
    </row>
    <row r="103" customFormat="false" ht="15" hidden="false" customHeight="false" outlineLevel="0" collapsed="false">
      <c r="A103" s="5" t="s">
        <v>79</v>
      </c>
    </row>
    <row r="104" customFormat="false" ht="15" hidden="false" customHeight="false" outlineLevel="0" collapsed="false">
      <c r="A104" s="7"/>
    </row>
    <row r="105" customFormat="false" ht="15" hidden="false" customHeight="false" outlineLevel="0" collapsed="false">
      <c r="A105" s="7" t="s">
        <v>80</v>
      </c>
    </row>
    <row r="106" customFormat="false" ht="15" hidden="false" customHeight="false" outlineLevel="0" collapsed="false">
      <c r="A106" s="7"/>
    </row>
    <row r="107" customFormat="false" ht="16" hidden="false" customHeight="false" outlineLevel="0" collapsed="false">
      <c r="A107" s="7" t="s">
        <v>81</v>
      </c>
    </row>
    <row r="108" customFormat="false" ht="15" hidden="false" customHeight="false" outlineLevel="0" collapsed="false">
      <c r="A108" s="7"/>
    </row>
    <row r="109" customFormat="false" ht="16" hidden="false" customHeight="false" outlineLevel="0" collapsed="false">
      <c r="A109" s="35">
        <v>1</v>
      </c>
    </row>
    <row r="111" customFormat="false" ht="15.5" hidden="false" customHeight="false" outlineLevel="0" collapsed="false">
      <c r="A111" s="34" t="s">
        <v>83</v>
      </c>
    </row>
    <row r="112" customFormat="false" ht="15.5" hidden="false" customHeight="false" outlineLevel="0" collapsed="false">
      <c r="A112" s="2" t="s">
        <v>84</v>
      </c>
    </row>
    <row r="113" customFormat="false" ht="15.5" hidden="false" customHeight="false" outlineLevel="0" collapsed="false">
      <c r="A113" s="2" t="s">
        <v>85</v>
      </c>
    </row>
    <row r="114" customFormat="false" ht="15.5" hidden="false" customHeight="false" outlineLevel="0" collapsed="false">
      <c r="A114" s="2" t="s">
        <v>86</v>
      </c>
    </row>
    <row r="115" customFormat="false" ht="15.5" hidden="false" customHeight="false" outlineLevel="0" collapsed="false">
      <c r="A115" s="2" t="s">
        <v>87</v>
      </c>
    </row>
    <row r="116" customFormat="false" ht="15.5" hidden="false" customHeight="false" outlineLevel="0" collapsed="false">
      <c r="A116" s="2" t="s">
        <v>88</v>
      </c>
    </row>
    <row r="117" customFormat="false" ht="15.5" hidden="false" customHeight="false" outlineLevel="0" collapsed="false">
      <c r="A117" s="2" t="s">
        <v>89</v>
      </c>
    </row>
    <row r="118" customFormat="false" ht="15.5" hidden="false" customHeight="false" outlineLevel="0" collapsed="false">
      <c r="A118" s="2" t="s">
        <v>90</v>
      </c>
    </row>
    <row r="119" customFormat="false" ht="15.5" hidden="false" customHeight="false" outlineLevel="0" collapsed="false">
      <c r="A119" s="2" t="s">
        <v>91</v>
      </c>
    </row>
    <row r="120" customFormat="false" ht="15.5" hidden="false" customHeight="false" outlineLevel="0" collapsed="false">
      <c r="A120" s="2" t="s">
        <v>92</v>
      </c>
    </row>
    <row r="122" customFormat="false" ht="15" hidden="false" customHeight="false" outlineLevel="0" collapsed="false">
      <c r="A122" s="4" t="s">
        <v>93</v>
      </c>
    </row>
    <row r="123" customFormat="false" ht="30" hidden="false" customHeight="false" outlineLevel="0" collapsed="false">
      <c r="A123" s="32" t="s">
        <v>94</v>
      </c>
    </row>
    <row r="124" customFormat="false" ht="28" hidden="false" customHeight="false" outlineLevel="0" collapsed="false">
      <c r="A124" s="32" t="s">
        <v>95</v>
      </c>
    </row>
    <row r="125" customFormat="false" ht="15" hidden="false" customHeight="false" outlineLevel="0" collapsed="false">
      <c r="A125" s="7"/>
    </row>
    <row r="126" customFormat="false" ht="15" hidden="false" customHeight="false" outlineLevel="0" collapsed="false">
      <c r="A126" s="4" t="s">
        <v>96</v>
      </c>
    </row>
    <row r="127" customFormat="false" ht="28" hidden="false" customHeight="false" outlineLevel="0" collapsed="false">
      <c r="A127" s="32" t="s">
        <v>97</v>
      </c>
    </row>
    <row r="128" customFormat="false" ht="29" hidden="false" customHeight="false" outlineLevel="0" collapsed="false">
      <c r="A128" s="32" t="s">
        <v>98</v>
      </c>
    </row>
    <row r="130" customFormat="false" ht="15.5" hidden="false" customHeight="false" outlineLevel="0" collapsed="false">
      <c r="A130" s="9" t="s">
        <v>99</v>
      </c>
    </row>
  </sheetData>
  <mergeCells count="6">
    <mergeCell ref="A5:L5"/>
    <mergeCell ref="A6:J6"/>
    <mergeCell ref="A7:AA7"/>
    <mergeCell ref="A14:I14"/>
    <mergeCell ref="A16:J16"/>
    <mergeCell ref="A81:J8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ignoredErrors>
    <ignoredError sqref="A1:N150" evalError="1" twoDigitTextYear="1" numberStoredAsText="1" formula="1" formulaRange="1" unlockedFormula="1" emptyCellReference="1" listDataValidation="1" calculatedColumn="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7.69140625" defaultRowHeight="15" customHeight="false" zeroHeight="false" outlineLevelRow="0" outlineLevelCol="0"/>
  <cols>
    <col collapsed="false" customWidth="true" hidden="false" outlineLevel="0" max="1" min="1" style="10" width="27.31"/>
    <col collapsed="false" customWidth="true" hidden="false" outlineLevel="0" max="7" min="2" style="10" width="14.56"/>
    <col collapsed="false" customWidth="true" hidden="false" outlineLevel="0" max="8" min="8" style="10" width="49.13"/>
  </cols>
  <sheetData>
    <row r="1" customFormat="false" ht="19" hidden="false" customHeight="false" outlineLevel="0" collapsed="false">
      <c r="A1" s="11" t="s">
        <v>100</v>
      </c>
      <c r="B1" s="11"/>
      <c r="C1" s="11"/>
      <c r="D1" s="11"/>
      <c r="E1" s="11"/>
      <c r="F1" s="11"/>
      <c r="G1" s="11"/>
      <c r="H1" s="11"/>
    </row>
    <row r="3" customFormat="false" ht="15.5" hidden="false" customHeight="false" outlineLevel="0" collapsed="false">
      <c r="A3" s="12" t="s">
        <v>101</v>
      </c>
      <c r="B3" s="12"/>
      <c r="C3" s="12"/>
      <c r="D3" s="13"/>
      <c r="E3" s="13"/>
      <c r="F3" s="13"/>
      <c r="G3" s="13"/>
      <c r="H3" s="13"/>
    </row>
    <row r="4" customFormat="false" ht="15" hidden="false" customHeight="false" outlineLevel="0" collapsed="false">
      <c r="A4" s="14" t="s">
        <v>102</v>
      </c>
      <c r="B4" s="14" t="s">
        <v>103</v>
      </c>
      <c r="C4" s="14" t="s">
        <v>96</v>
      </c>
      <c r="D4" s="14"/>
      <c r="E4" s="14"/>
      <c r="F4" s="14"/>
      <c r="G4" s="14"/>
      <c r="H4" s="14"/>
    </row>
    <row r="5" customFormat="false" ht="16" hidden="false" customHeight="false" outlineLevel="0" collapsed="false">
      <c r="A5" s="10" t="s">
        <v>104</v>
      </c>
      <c r="B5" s="15" t="s">
        <v>105</v>
      </c>
      <c r="C5" s="36">
        <v>3</v>
      </c>
      <c r="D5" s="16"/>
      <c r="E5" s="16"/>
    </row>
    <row r="6" customFormat="false" ht="15" hidden="false" customHeight="false" outlineLevel="0" collapsed="false">
      <c r="A6" s="10" t="s">
        <v>107</v>
      </c>
      <c r="B6" s="15" t="n">
        <v>5</v>
      </c>
    </row>
    <row r="7" customFormat="false" ht="16" hidden="false" customHeight="false" outlineLevel="0" collapsed="false">
      <c r="A7" s="10" t="s">
        <v>108</v>
      </c>
      <c r="B7" s="15" t="n">
        <v>3</v>
      </c>
      <c r="C7" s="17" t="s">
        <v>109</v>
      </c>
      <c r="D7" s="17"/>
      <c r="E7" s="17"/>
      <c r="F7" s="17"/>
    </row>
    <row r="8" customFormat="false" ht="16" hidden="false" customHeight="false" outlineLevel="0" collapsed="false">
      <c r="A8" s="10" t="s">
        <v>110</v>
      </c>
      <c r="B8" s="15" t="n">
        <v>16</v>
      </c>
      <c r="C8" s="17" t="s">
        <v>111</v>
      </c>
      <c r="D8" s="17"/>
      <c r="E8" s="17"/>
      <c r="F8" s="17"/>
      <c r="G8" s="17"/>
      <c r="H8" s="17"/>
    </row>
    <row r="9" customFormat="false" ht="16" hidden="false" customHeight="false" outlineLevel="0" collapsed="false">
      <c r="A9" s="10" t="s">
        <v>112</v>
      </c>
      <c r="B9" s="18" t="n">
        <f aca="false">B8^B6</f>
        <v>1048576</v>
      </c>
      <c r="C9" s="17" t="s">
        <v>113</v>
      </c>
      <c r="D9" s="17"/>
      <c r="E9" s="17"/>
      <c r="F9" s="17"/>
    </row>
    <row r="10" customFormat="false" ht="16" hidden="false" customHeight="false" outlineLevel="0" collapsed="false">
      <c r="A10" s="10" t="s">
        <v>114</v>
      </c>
      <c r="B10" s="15" t="n">
        <v>100</v>
      </c>
      <c r="C10" s="17" t="s">
        <v>115</v>
      </c>
      <c r="D10" s="17"/>
      <c r="E10" s="17"/>
      <c r="F10" s="17"/>
    </row>
    <row r="11" customFormat="false" ht="16" hidden="false" customHeight="false" outlineLevel="0" collapsed="false">
      <c r="A11" s="10" t="s">
        <v>116</v>
      </c>
      <c r="B11" s="15" t="s">
        <v>117</v>
      </c>
      <c r="C11" s="17" t="s">
        <v>118</v>
      </c>
      <c r="D11" s="17"/>
      <c r="E11" s="17"/>
      <c r="F11" s="17"/>
    </row>
    <row r="13" customFormat="false" ht="15.5" hidden="false" customHeight="false" outlineLevel="0" collapsed="false">
      <c r="A13" s="12" t="s">
        <v>119</v>
      </c>
      <c r="B13" s="12"/>
      <c r="C13" s="12"/>
      <c r="D13" s="12"/>
      <c r="E13" s="12"/>
      <c r="F13" s="12"/>
      <c r="G13" s="13"/>
      <c r="H13" s="13"/>
    </row>
    <row r="14" customFormat="false" ht="15.5" hidden="false" customHeight="false" outlineLevel="0" collapsed="false">
      <c r="A14" s="14" t="s">
        <v>120</v>
      </c>
      <c r="B14" s="14" t="s">
        <v>121</v>
      </c>
      <c r="C14" s="14" t="s">
        <v>122</v>
      </c>
      <c r="D14" s="14" t="s">
        <v>123</v>
      </c>
      <c r="E14" s="14" t="s">
        <v>124</v>
      </c>
      <c r="F14" s="14" t="s">
        <v>125</v>
      </c>
      <c r="G14" s="14" t="s">
        <v>126</v>
      </c>
      <c r="H14" s="14" t="s">
        <v>96</v>
      </c>
    </row>
    <row r="15" customFormat="false" ht="16" hidden="false" customHeight="false" outlineLevel="0" collapsed="false">
      <c r="A15" s="19" t="s">
        <v>127</v>
      </c>
      <c r="B15" s="15" t="n">
        <v>7</v>
      </c>
      <c r="C15" s="15" t="n">
        <v>6</v>
      </c>
      <c r="D15" s="15" t="n">
        <v>6</v>
      </c>
      <c r="E15" s="15" t="n">
        <v>6</v>
      </c>
      <c r="F15" s="15" t="n">
        <v>8</v>
      </c>
      <c r="G15" s="18" t="n">
        <f aca="false">SUM(B15:F15)</f>
        <v>33</v>
      </c>
      <c r="H15" s="17" t="s">
        <v>128</v>
      </c>
      <c r="I15" s="17"/>
      <c r="J15" s="17"/>
    </row>
    <row r="16" customFormat="false" ht="16" hidden="false" customHeight="false" outlineLevel="0" collapsed="false">
      <c r="A16" s="19" t="s">
        <v>129</v>
      </c>
      <c r="B16" s="15" t="n">
        <v>6</v>
      </c>
      <c r="C16" s="15" t="n">
        <v>9</v>
      </c>
      <c r="D16" s="15" t="n">
        <v>5</v>
      </c>
      <c r="E16" s="15" t="n">
        <v>6</v>
      </c>
      <c r="F16" s="15" t="n">
        <v>5</v>
      </c>
      <c r="G16" s="18" t="n">
        <f aca="false">SUM(B16:F16)</f>
        <v>31</v>
      </c>
      <c r="H16" s="17" t="s">
        <v>128</v>
      </c>
      <c r="I16" s="17"/>
      <c r="J16" s="17"/>
    </row>
    <row r="17" customFormat="false" ht="16" hidden="false" customHeight="false" outlineLevel="0" collapsed="false">
      <c r="A17" s="19" t="s">
        <v>130</v>
      </c>
      <c r="B17" s="15" t="n">
        <v>5</v>
      </c>
      <c r="C17" s="15" t="n">
        <v>3</v>
      </c>
      <c r="D17" s="15" t="n">
        <v>7</v>
      </c>
      <c r="E17" s="15" t="n">
        <v>8</v>
      </c>
      <c r="F17" s="15" t="n">
        <v>5</v>
      </c>
      <c r="G17" s="18" t="n">
        <f aca="false">SUM(B17:F17)</f>
        <v>28</v>
      </c>
      <c r="H17" s="17" t="s">
        <v>128</v>
      </c>
      <c r="I17" s="17"/>
      <c r="J17" s="17"/>
    </row>
    <row r="18" customFormat="false" ht="16" hidden="false" customHeight="false" outlineLevel="0" collapsed="false">
      <c r="A18" s="19" t="s">
        <v>131</v>
      </c>
      <c r="B18" s="15" t="n">
        <v>3</v>
      </c>
      <c r="C18" s="15" t="n">
        <v>3</v>
      </c>
      <c r="D18" s="15" t="n">
        <v>3</v>
      </c>
      <c r="E18" s="15" t="n">
        <v>3</v>
      </c>
      <c r="F18" s="15" t="n">
        <v>3</v>
      </c>
      <c r="G18" s="18" t="n">
        <f aca="false">SUM(B18:F18)</f>
        <v>15</v>
      </c>
      <c r="H18" s="10" t="s">
        <v>132</v>
      </c>
    </row>
    <row r="19" customFormat="false" ht="16" hidden="false" customHeight="false" outlineLevel="0" collapsed="false">
      <c r="A19" s="10" t="s">
        <v>133</v>
      </c>
      <c r="B19" s="15" t="n">
        <v>16</v>
      </c>
      <c r="C19" s="15" t="n">
        <v>16</v>
      </c>
      <c r="D19" s="15" t="n">
        <v>16</v>
      </c>
      <c r="E19" s="15" t="n">
        <v>16</v>
      </c>
      <c r="F19" s="15" t="n">
        <v>16</v>
      </c>
      <c r="H19" s="10" t="s">
        <v>134</v>
      </c>
    </row>
    <row r="21" customFormat="false" ht="15.5" hidden="false" customHeight="false" outlineLevel="0" collapsed="false">
      <c r="A21" s="12" t="s">
        <v>135</v>
      </c>
      <c r="B21" s="12"/>
      <c r="C21" s="12"/>
      <c r="D21" s="12"/>
      <c r="E21" s="12"/>
      <c r="F21" s="12"/>
      <c r="G21" s="13"/>
      <c r="H21" s="13"/>
    </row>
    <row r="22" customFormat="false" ht="15.5" hidden="false" customHeight="false" outlineLevel="0" collapsed="false">
      <c r="A22" s="14" t="s">
        <v>120</v>
      </c>
      <c r="B22" s="14" t="s">
        <v>121</v>
      </c>
      <c r="C22" s="14" t="s">
        <v>122</v>
      </c>
      <c r="D22" s="14" t="s">
        <v>123</v>
      </c>
      <c r="E22" s="14" t="s">
        <v>124</v>
      </c>
      <c r="F22" s="14" t="s">
        <v>125</v>
      </c>
      <c r="G22" s="14" t="s">
        <v>96</v>
      </c>
      <c r="H22" s="14"/>
    </row>
    <row r="23" customFormat="false" ht="16" hidden="false" customHeight="false" outlineLevel="0" collapsed="false">
      <c r="A23" s="19" t="s">
        <v>127</v>
      </c>
      <c r="B23" s="18" t="n">
        <f aca="false">B15*$B$7</f>
        <v>21</v>
      </c>
      <c r="C23" s="18" t="n">
        <f aca="false">C15*$B$7</f>
        <v>18</v>
      </c>
      <c r="D23" s="18" t="n">
        <f aca="false">D15*$B$7</f>
        <v>18</v>
      </c>
      <c r="E23" s="18" t="n">
        <f aca="false">E15*$B$7</f>
        <v>18</v>
      </c>
      <c r="F23" s="18" t="n">
        <f aca="false">F15*$B$7</f>
        <v>24</v>
      </c>
      <c r="G23" s="17" t="s">
        <v>136</v>
      </c>
      <c r="H23" s="17"/>
    </row>
    <row r="24" customFormat="false" ht="15" hidden="false" customHeight="false" outlineLevel="0" collapsed="false">
      <c r="A24" s="19" t="s">
        <v>129</v>
      </c>
      <c r="B24" s="18" t="n">
        <f aca="false">B16*$B$7</f>
        <v>18</v>
      </c>
      <c r="C24" s="18" t="n">
        <f aca="false">C16*$B$7</f>
        <v>27</v>
      </c>
      <c r="D24" s="18" t="n">
        <f aca="false">D16*$B$7</f>
        <v>15</v>
      </c>
      <c r="E24" s="18" t="n">
        <f aca="false">E16*$B$7</f>
        <v>18</v>
      </c>
      <c r="F24" s="18" t="n">
        <f aca="false">F16*$B$7</f>
        <v>15</v>
      </c>
    </row>
    <row r="25" customFormat="false" ht="15" hidden="false" customHeight="false" outlineLevel="0" collapsed="false">
      <c r="A25" s="19" t="s">
        <v>130</v>
      </c>
      <c r="B25" s="18" t="n">
        <f aca="false">B17*$B$7</f>
        <v>15</v>
      </c>
      <c r="C25" s="18" t="n">
        <f aca="false">C17*$B$7</f>
        <v>9</v>
      </c>
      <c r="D25" s="18" t="n">
        <f aca="false">D17*$B$7</f>
        <v>21</v>
      </c>
      <c r="E25" s="18" t="n">
        <f aca="false">E17*$B$7</f>
        <v>24</v>
      </c>
      <c r="F25" s="18" t="n">
        <f aca="false">F17*$B$7</f>
        <v>15</v>
      </c>
    </row>
    <row r="26" customFormat="false" ht="16" hidden="false" customHeight="false" outlineLevel="0" collapsed="false">
      <c r="A26" s="19" t="s">
        <v>131</v>
      </c>
      <c r="B26" s="18" t="n">
        <f aca="false">B18*$B$7</f>
        <v>9</v>
      </c>
      <c r="C26" s="18" t="n">
        <f aca="false">C18*$B$7</f>
        <v>9</v>
      </c>
      <c r="D26" s="18" t="n">
        <f aca="false">D18*$B$7</f>
        <v>9</v>
      </c>
      <c r="E26" s="18" t="n">
        <f aca="false">E18*$B$7</f>
        <v>9</v>
      </c>
      <c r="F26" s="18" t="n">
        <f aca="false">F18*$B$7</f>
        <v>9</v>
      </c>
      <c r="G26" s="16" t="s">
        <v>137</v>
      </c>
      <c r="H26" s="16"/>
    </row>
    <row r="28" customFormat="false" ht="15.5" hidden="false" customHeight="false" outlineLevel="0" collapsed="false">
      <c r="A28" s="12" t="s">
        <v>138</v>
      </c>
      <c r="B28" s="12"/>
      <c r="C28" s="12"/>
      <c r="D28" s="12"/>
      <c r="E28" s="12"/>
      <c r="F28" s="12"/>
      <c r="G28" s="13"/>
      <c r="H28" s="13"/>
    </row>
    <row r="29" customFormat="false" ht="15.5" hidden="false" customHeight="false" outlineLevel="0" collapsed="false">
      <c r="A29" s="14" t="s">
        <v>139</v>
      </c>
      <c r="B29" s="14" t="s">
        <v>114</v>
      </c>
      <c r="C29" s="14" t="s">
        <v>140</v>
      </c>
      <c r="D29" s="20" t="s">
        <v>141</v>
      </c>
      <c r="E29" s="20"/>
      <c r="F29" s="20"/>
      <c r="G29" s="14" t="s">
        <v>142</v>
      </c>
      <c r="H29" s="14" t="s">
        <v>143</v>
      </c>
    </row>
    <row r="30" customFormat="false" ht="16" hidden="false" customHeight="false" outlineLevel="0" collapsed="false">
      <c r="A30" s="10" t="s">
        <v>144</v>
      </c>
      <c r="B30" s="15" t="n">
        <v>100</v>
      </c>
      <c r="C30" s="15" t="n">
        <v>30</v>
      </c>
      <c r="D30" s="15" t="n">
        <v>1</v>
      </c>
      <c r="G30" s="18" t="n">
        <f aca="false">PRODUCT(D30:F30)</f>
        <v>1</v>
      </c>
      <c r="H30" s="21" t="n">
        <f aca="false">B30*C30*G30</f>
        <v>3000</v>
      </c>
    </row>
    <row r="31" customFormat="false" ht="16" hidden="false" customHeight="false" outlineLevel="0" collapsed="false">
      <c r="A31" s="10" t="s">
        <v>145</v>
      </c>
      <c r="B31" s="15" t="n">
        <v>100</v>
      </c>
      <c r="C31" s="15" t="n">
        <v>30</v>
      </c>
      <c r="D31" s="15" t="n">
        <v>2</v>
      </c>
      <c r="G31" s="18" t="n">
        <f aca="false">PRODUCT(D31:F31)</f>
        <v>2</v>
      </c>
      <c r="H31" s="21" t="n">
        <f aca="false">B31*C31*G31</f>
        <v>6000</v>
      </c>
    </row>
    <row r="32" customFormat="false" ht="16" hidden="false" customHeight="false" outlineLevel="0" collapsed="false">
      <c r="A32" s="10" t="s">
        <v>146</v>
      </c>
      <c r="B32" s="15" t="n">
        <v>100</v>
      </c>
      <c r="C32" s="15" t="n">
        <v>30</v>
      </c>
      <c r="D32" s="15" t="n">
        <v>2</v>
      </c>
      <c r="E32" s="15" t="n">
        <v>3</v>
      </c>
      <c r="F32" s="15" t="n">
        <v>2</v>
      </c>
      <c r="G32" s="18" t="n">
        <f aca="false">PRODUCT(D32:F32)</f>
        <v>12</v>
      </c>
      <c r="H32" s="21" t="n">
        <f aca="false">B32*C32*G32</f>
        <v>36000</v>
      </c>
    </row>
    <row r="33" customFormat="false" ht="15" hidden="false" customHeight="true" outlineLevel="0" collapsed="false">
      <c r="A33" s="22" t="s">
        <v>147</v>
      </c>
      <c r="B33" s="22"/>
      <c r="C33" s="22"/>
      <c r="D33" s="22"/>
      <c r="E33" s="22"/>
      <c r="F33" s="22"/>
      <c r="G33" s="22"/>
    </row>
    <row r="35" customFormat="false" ht="15.5" hidden="false" customHeight="false" outlineLevel="0" collapsed="false">
      <c r="A35" s="12" t="s">
        <v>148</v>
      </c>
      <c r="B35" s="12"/>
      <c r="C35" s="12"/>
      <c r="D35" s="12"/>
      <c r="E35" s="12"/>
      <c r="F35" s="12"/>
      <c r="G35" s="13"/>
      <c r="H35" s="13"/>
    </row>
    <row r="36" customFormat="false" ht="15" hidden="false" customHeight="false" outlineLevel="0" collapsed="false">
      <c r="A36" s="14" t="s">
        <v>120</v>
      </c>
      <c r="B36" s="14" t="s">
        <v>149</v>
      </c>
      <c r="C36" s="14" t="s">
        <v>150</v>
      </c>
      <c r="D36" s="14" t="s">
        <v>112</v>
      </c>
      <c r="E36" s="14" t="s">
        <v>151</v>
      </c>
      <c r="F36" s="14" t="s">
        <v>152</v>
      </c>
      <c r="G36" s="14" t="s">
        <v>153</v>
      </c>
      <c r="H36" s="14" t="s">
        <v>96</v>
      </c>
    </row>
    <row r="37" customFormat="false" ht="16" hidden="false" customHeight="false" outlineLevel="0" collapsed="false">
      <c r="A37" s="19" t="s">
        <v>127</v>
      </c>
      <c r="B37" s="19" t="s">
        <v>154</v>
      </c>
      <c r="C37" s="23" t="n">
        <v>326592</v>
      </c>
      <c r="D37" s="18" t="n">
        <f aca="false">$B$9</f>
        <v>1048576</v>
      </c>
      <c r="E37" s="39" t="n">
        <f aca="false">C37/D37</f>
        <v>0.31146240234375</v>
      </c>
      <c r="F37" s="15" t="n">
        <v>1</v>
      </c>
      <c r="G37" s="25" t="n">
        <f aca="false">E37*F37</f>
        <v>0.31146240234375</v>
      </c>
      <c r="H37" s="37">
        <v>3</v>
      </c>
    </row>
    <row r="38" customFormat="false" ht="16" hidden="false" customHeight="false" outlineLevel="0" collapsed="false">
      <c r="A38" s="19" t="s">
        <v>127</v>
      </c>
      <c r="B38" s="19" t="s">
        <v>156</v>
      </c>
      <c r="C38" s="23" t="n">
        <v>122472</v>
      </c>
      <c r="D38" s="18" t="n">
        <f aca="false">$B$9</f>
        <v>1048576</v>
      </c>
      <c r="E38" s="39" t="n">
        <f aca="false">C38/D38</f>
        <v>0.116798400878906</v>
      </c>
      <c r="F38" s="15" t="n">
        <v>2</v>
      </c>
      <c r="G38" s="25" t="n">
        <f aca="false">E38*F38</f>
        <v>0.233596801757813</v>
      </c>
      <c r="H38" s="37">
        <v>4</v>
      </c>
    </row>
    <row r="39" customFormat="false" ht="16" hidden="false" customHeight="false" outlineLevel="0" collapsed="false">
      <c r="A39" s="19" t="s">
        <v>127</v>
      </c>
      <c r="B39" s="19" t="s">
        <v>158</v>
      </c>
      <c r="C39" s="23" t="n">
        <v>2571912</v>
      </c>
      <c r="D39" s="18" t="n">
        <f aca="false">$B$9</f>
        <v>1048576</v>
      </c>
      <c r="E39" s="39" t="n">
        <f aca="false">C39/D39</f>
        <v>2.45276641845703</v>
      </c>
      <c r="F39" s="15" t="n">
        <v>5</v>
      </c>
      <c r="G39" s="25" t="n">
        <f aca="false">E39*F39</f>
        <v>12.2638320922852</v>
      </c>
      <c r="H39" s="37">
        <v>5</v>
      </c>
    </row>
    <row r="40" customFormat="false" ht="16" hidden="false" customHeight="false" outlineLevel="0" collapsed="false">
      <c r="A40" s="19" t="s">
        <v>129</v>
      </c>
      <c r="B40" s="19" t="s">
        <v>160</v>
      </c>
      <c r="C40" s="23" t="n">
        <v>207360</v>
      </c>
      <c r="D40" s="18" t="n">
        <f aca="false">$B$9</f>
        <v>1048576</v>
      </c>
      <c r="E40" s="39" t="n">
        <f aca="false">C40/D40</f>
        <v>0.19775390625</v>
      </c>
      <c r="F40" s="15" t="n">
        <v>2</v>
      </c>
      <c r="G40" s="25" t="n">
        <f aca="false">E40*F40</f>
        <v>0.3955078125</v>
      </c>
      <c r="H40" s="37">
        <v>3</v>
      </c>
    </row>
    <row r="41" customFormat="false" ht="16" hidden="false" customHeight="false" outlineLevel="0" collapsed="false">
      <c r="A41" s="19" t="s">
        <v>129</v>
      </c>
      <c r="B41" s="19" t="s">
        <v>162</v>
      </c>
      <c r="C41" s="23" t="n">
        <v>349920</v>
      </c>
      <c r="D41" s="18" t="n">
        <f aca="false">$B$9</f>
        <v>1048576</v>
      </c>
      <c r="E41" s="39" t="n">
        <f aca="false">C41/D41</f>
        <v>0.333709716796875</v>
      </c>
      <c r="F41" s="15" t="n">
        <v>4</v>
      </c>
      <c r="G41" s="25" t="n">
        <f aca="false">E41*F41</f>
        <v>1.3348388671875</v>
      </c>
      <c r="H41" s="37">
        <v>4</v>
      </c>
    </row>
    <row r="42" customFormat="false" ht="16" hidden="false" customHeight="false" outlineLevel="0" collapsed="false">
      <c r="A42" s="19" t="s">
        <v>129</v>
      </c>
      <c r="B42" s="19" t="s">
        <v>164</v>
      </c>
      <c r="C42" s="23" t="n">
        <v>1749600</v>
      </c>
      <c r="D42" s="18" t="n">
        <f aca="false">$B$9</f>
        <v>1048576</v>
      </c>
      <c r="E42" s="39" t="n">
        <f aca="false">C42/D42</f>
        <v>1.66854858398438</v>
      </c>
      <c r="F42" s="15" t="n">
        <v>10</v>
      </c>
      <c r="G42" s="25" t="n">
        <f aca="false">E42*F42</f>
        <v>16.6854858398438</v>
      </c>
      <c r="H42" s="37">
        <v>5</v>
      </c>
    </row>
    <row r="43" customFormat="false" ht="16" hidden="false" customHeight="false" outlineLevel="0" collapsed="false">
      <c r="A43" s="19" t="s">
        <v>130</v>
      </c>
      <c r="B43" s="19" t="s">
        <v>166</v>
      </c>
      <c r="C43" s="23" t="n">
        <v>31104</v>
      </c>
      <c r="D43" s="18" t="n">
        <f aca="false">$B$9</f>
        <v>1048576</v>
      </c>
      <c r="E43" s="39" t="n">
        <f aca="false">C43/D43</f>
        <v>0.0296630859375</v>
      </c>
      <c r="F43" s="15" t="n">
        <v>3</v>
      </c>
      <c r="G43" s="25" t="n">
        <f aca="false">E43*F43</f>
        <v>0.0889892578125</v>
      </c>
      <c r="H43" s="37">
        <v>3</v>
      </c>
    </row>
    <row r="44" customFormat="false" ht="16" hidden="false" customHeight="false" outlineLevel="0" collapsed="false">
      <c r="A44" s="19" t="s">
        <v>130</v>
      </c>
      <c r="B44" s="19" t="s">
        <v>167</v>
      </c>
      <c r="C44" s="23" t="n">
        <v>122472</v>
      </c>
      <c r="D44" s="18" t="n">
        <f aca="false">$B$9</f>
        <v>1048576</v>
      </c>
      <c r="E44" s="39" t="n">
        <f aca="false">C44/D44</f>
        <v>0.116798400878906</v>
      </c>
      <c r="F44" s="15" t="n">
        <v>6</v>
      </c>
      <c r="G44" s="25" t="n">
        <f aca="false">E44*F44</f>
        <v>0.700790405273438</v>
      </c>
      <c r="H44" s="37">
        <v>4</v>
      </c>
    </row>
    <row r="45" customFormat="false" ht="16" hidden="false" customHeight="false" outlineLevel="0" collapsed="false">
      <c r="A45" s="19" t="s">
        <v>130</v>
      </c>
      <c r="B45" s="19" t="s">
        <v>168</v>
      </c>
      <c r="C45" s="23" t="n">
        <v>612360</v>
      </c>
      <c r="D45" s="18" t="n">
        <f aca="false">$B$9</f>
        <v>1048576</v>
      </c>
      <c r="E45" s="39" t="n">
        <f aca="false">C45/D45</f>
        <v>0.583992004394531</v>
      </c>
      <c r="F45" s="15" t="n">
        <v>15</v>
      </c>
      <c r="G45" s="25" t="n">
        <f aca="false">E45*F45</f>
        <v>8.75988006591797</v>
      </c>
      <c r="H45" s="37">
        <v>5</v>
      </c>
    </row>
    <row r="46" customFormat="false" ht="16" hidden="false" customHeight="false" outlineLevel="0" collapsed="false">
      <c r="A46" s="26" t="s">
        <v>126</v>
      </c>
      <c r="E46" s="27" t="s">
        <v>169</v>
      </c>
      <c r="F46" s="27"/>
      <c r="G46" s="25" t="n">
        <f aca="false">SUM(G37:G45)</f>
        <v>40.7743835449219</v>
      </c>
      <c r="H46" s="10" t="s">
        <v>170</v>
      </c>
    </row>
    <row r="47" customFormat="false" ht="16" hidden="false" customHeight="false" outlineLevel="0" collapsed="false">
      <c r="A47" s="26" t="s">
        <v>171</v>
      </c>
      <c r="E47" s="27" t="s">
        <v>172</v>
      </c>
      <c r="F47" s="27"/>
      <c r="G47" s="25" t="n">
        <f aca="false">G46/$B$10</f>
        <v>0.407743835449219</v>
      </c>
      <c r="H47" s="10" t="s">
        <v>173</v>
      </c>
    </row>
    <row r="48" customFormat="false" ht="15.5" hidden="false" customHeight="true" outlineLevel="0" collapsed="false">
      <c r="A48" s="22" t="s">
        <v>174</v>
      </c>
      <c r="B48" s="22"/>
      <c r="C48" s="22"/>
      <c r="D48" s="22"/>
      <c r="E48" s="22"/>
      <c r="F48" s="22"/>
      <c r="G48" s="22"/>
      <c r="H48" s="22"/>
      <c r="I48" s="22"/>
      <c r="J48" s="22"/>
      <c r="K48" s="22"/>
      <c r="L48" s="22"/>
      <c r="M48" s="22"/>
    </row>
    <row r="50" customFormat="false" ht="15.5" hidden="false" customHeight="false" outlineLevel="0" collapsed="false">
      <c r="A50" s="12" t="s">
        <v>175</v>
      </c>
      <c r="B50" s="12"/>
      <c r="C50" s="12"/>
      <c r="D50" s="13"/>
      <c r="E50" s="13"/>
      <c r="F50" s="13"/>
      <c r="G50" s="13"/>
      <c r="H50" s="13"/>
    </row>
    <row r="51" customFormat="false" ht="15" hidden="false" customHeight="false" outlineLevel="0" collapsed="false">
      <c r="A51" s="14" t="s">
        <v>176</v>
      </c>
      <c r="B51" s="28" t="s">
        <v>177</v>
      </c>
      <c r="C51" s="28" t="s">
        <v>178</v>
      </c>
      <c r="D51" s="14"/>
    </row>
    <row r="52" customFormat="false" ht="16" hidden="false" customHeight="false" outlineLevel="0" collapsed="false">
      <c r="A52" s="10" t="s">
        <v>179</v>
      </c>
      <c r="B52" s="10" t="s">
        <v>180</v>
      </c>
      <c r="C52" s="17" t="s">
        <v>181</v>
      </c>
      <c r="D52" s="17"/>
      <c r="E52" s="17"/>
    </row>
    <row r="53" customFormat="false" ht="16" hidden="false" customHeight="false" outlineLevel="0" collapsed="false">
      <c r="A53" s="10" t="s">
        <v>182</v>
      </c>
      <c r="B53" s="10" t="s">
        <v>183</v>
      </c>
      <c r="C53" s="17" t="s">
        <v>184</v>
      </c>
      <c r="D53" s="17"/>
      <c r="E53" s="17"/>
      <c r="F53" s="17"/>
      <c r="G53" s="17"/>
    </row>
    <row r="54" customFormat="false" ht="16" hidden="false" customHeight="false" outlineLevel="0" collapsed="false">
      <c r="A54" s="10" t="s">
        <v>185</v>
      </c>
      <c r="B54" s="10" t="s">
        <v>186</v>
      </c>
      <c r="C54" s="17" t="s">
        <v>187</v>
      </c>
      <c r="D54" s="17"/>
      <c r="E54" s="17"/>
    </row>
    <row r="55" customFormat="false" ht="16" hidden="false" customHeight="false" outlineLevel="0" collapsed="false">
      <c r="A55" s="10" t="s">
        <v>188</v>
      </c>
      <c r="B55" s="10" t="s">
        <v>189</v>
      </c>
      <c r="C55" s="17" t="s">
        <v>190</v>
      </c>
      <c r="D55" s="17"/>
      <c r="E55" s="17"/>
    </row>
    <row r="56" customFormat="false" ht="16" hidden="false" customHeight="false" outlineLevel="0" collapsed="false">
      <c r="A56" s="10" t="s">
        <v>191</v>
      </c>
      <c r="B56" s="10" t="s">
        <v>192</v>
      </c>
      <c r="C56" s="17" t="s">
        <v>193</v>
      </c>
      <c r="D56" s="17"/>
      <c r="E56" s="17"/>
      <c r="F56" s="17"/>
      <c r="G56" s="17"/>
    </row>
    <row r="58" customFormat="false" ht="15.5" hidden="false" customHeight="false" outlineLevel="0" collapsed="false">
      <c r="A58" s="12" t="s">
        <v>194</v>
      </c>
      <c r="B58" s="12"/>
      <c r="C58" s="12"/>
      <c r="D58" s="13"/>
      <c r="E58" s="13"/>
      <c r="F58" s="13"/>
      <c r="G58" s="13"/>
      <c r="H58" s="13"/>
    </row>
    <row r="59" customFormat="false" ht="15" hidden="false" customHeight="false" outlineLevel="0" collapsed="false">
      <c r="A59" s="14" t="s">
        <v>195</v>
      </c>
      <c r="B59" s="14" t="s">
        <v>196</v>
      </c>
      <c r="C59" s="14" t="s">
        <v>96</v>
      </c>
      <c r="D59" s="14"/>
      <c r="E59" s="14"/>
      <c r="F59" s="14"/>
      <c r="G59" s="14"/>
      <c r="H59" s="14"/>
    </row>
    <row r="60" customFormat="false" ht="16" hidden="false" customHeight="false" outlineLevel="0" collapsed="false">
      <c r="A60" s="10" t="s">
        <v>197</v>
      </c>
      <c r="B60" s="29" t="str">
        <f aca="false">IF(AND(B23=B15*$B$7,C23=C15*$B$7,D23=D15*$B$7,E23=E15*$B$7,F23=F15*$B$7),"✓","✗")</f>
        <v>✓</v>
      </c>
      <c r="C60" s="17" t="s">
        <v>198</v>
      </c>
      <c r="D60" s="17"/>
    </row>
    <row r="61" customFormat="false" ht="16" hidden="false" customHeight="false" outlineLevel="0" collapsed="false">
      <c r="A61" s="10" t="s">
        <v>199</v>
      </c>
      <c r="B61" s="29" t="str">
        <f aca="false">IF(B9=B8^B6,"✓","✗")</f>
        <v>✓</v>
      </c>
      <c r="C61" s="38">
        <v>1048576</v>
      </c>
    </row>
    <row r="62" customFormat="false" ht="16" hidden="false" customHeight="false" outlineLevel="0" collapsed="false">
      <c r="A62" s="10" t="s">
        <v>201</v>
      </c>
      <c r="B62" s="29" t="str">
        <f aca="false">IF(SUMPRODUCT(--(ABS(E37:E45-C37:C45/D37:D45)&lt;0.000001))=9,"✓","✗")</f>
        <v>✓</v>
      </c>
      <c r="C62" s="37">
        <v>9</v>
      </c>
    </row>
    <row r="63" customFormat="false" ht="16" hidden="false" customHeight="false" outlineLevel="0" collapsed="false">
      <c r="A63" s="10" t="s">
        <v>203</v>
      </c>
      <c r="B63" s="29" t="str">
        <f aca="false">IF(ABS(G46-40.7744)&lt;0.001,"✓","✗")</f>
        <v>✓</v>
      </c>
      <c r="C63" s="10" t="s">
        <v>204</v>
      </c>
    </row>
    <row r="64" customFormat="false" ht="16" hidden="false" customHeight="false" outlineLevel="0" collapsed="false">
      <c r="A64" s="10" t="s">
        <v>205</v>
      </c>
      <c r="B64" s="29" t="str">
        <f aca="false">IF(ABS(G47-0.4077)&lt;0.0005,"✓","✗")</f>
        <v>✓</v>
      </c>
      <c r="C64" s="19" t="s">
        <v>206</v>
      </c>
    </row>
    <row r="65" customFormat="false" ht="16" hidden="false" customHeight="false" outlineLevel="0" collapsed="false">
      <c r="A65" s="10" t="s">
        <v>207</v>
      </c>
      <c r="B65" s="29" t="str">
        <f aca="false">IF(AND(H30=3000,H31=6000,H32=36000),"✓","✗")</f>
        <v>✓</v>
      </c>
      <c r="C65" s="10" t="s">
        <v>208</v>
      </c>
    </row>
    <row r="67" customFormat="false" ht="15" hidden="false" customHeight="true" outlineLevel="0" collapsed="false">
      <c r="A67" s="22" t="s">
        <v>209</v>
      </c>
      <c r="B67" s="22"/>
      <c r="C67" s="22"/>
      <c r="D67" s="22"/>
      <c r="E67" s="22"/>
      <c r="F67" s="22"/>
      <c r="G67" s="22"/>
      <c r="H67" s="22"/>
    </row>
  </sheetData>
  <mergeCells count="31">
    <mergeCell ref="A1:H1"/>
    <mergeCell ref="A3:C3"/>
    <mergeCell ref="C5:E5"/>
    <mergeCell ref="C7:F7"/>
    <mergeCell ref="C8:H8"/>
    <mergeCell ref="C9:F9"/>
    <mergeCell ref="C10:F10"/>
    <mergeCell ref="C11:F11"/>
    <mergeCell ref="A13:F13"/>
    <mergeCell ref="H15:J15"/>
    <mergeCell ref="H16:J16"/>
    <mergeCell ref="H17:J17"/>
    <mergeCell ref="A21:F21"/>
    <mergeCell ref="G23:H23"/>
    <mergeCell ref="G26:H26"/>
    <mergeCell ref="A28:F28"/>
    <mergeCell ref="D29:F29"/>
    <mergeCell ref="A33:G33"/>
    <mergeCell ref="A35:F35"/>
    <mergeCell ref="E46:F46"/>
    <mergeCell ref="E47:F47"/>
    <mergeCell ref="A48:M48"/>
    <mergeCell ref="A50:C50"/>
    <mergeCell ref="C52:E52"/>
    <mergeCell ref="C53:G53"/>
    <mergeCell ref="C54:E54"/>
    <mergeCell ref="C55:E55"/>
    <mergeCell ref="C56:G56"/>
    <mergeCell ref="A58:C58"/>
    <mergeCell ref="C60:D60"/>
    <mergeCell ref="A67:H6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ignoredErrors>
    <ignoredError sqref="A1:R87" evalError="1" twoDigitTextYear="1" numberStoredAsText="1" formula="1" formulaRange="1" unlockedFormula="1" emptyCellReference="1" listDataValidation="1" calculatedColumn="1"/>
  </ignoredErrors>
</worksheet>
</file>

<file path=docProps/app.xml><?xml version="1.0" encoding="utf-8"?>
<Properties xmlns="http://schemas.openxmlformats.org/officeDocument/2006/extended-properties" xmlns:vt="http://schemas.openxmlformats.org/officeDocument/2006/docPropsVTypes">
  <Template/>
  <TotalTime>0</TotalTime>
  <Application>LibreOffice/26.2.2.2$Windows_X86_64 LibreOffice_project/1f77d10d6938fd34972958f64b2bcfa54f8b1ba5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2026-09-29T15:06:26Z</dcterms:created>
  <dc:creator>openpyxl</dc:creator>
  <dc:description/>
  <dc:language>zh-CN</dc:language>
  <cp:lastModifiedBy/>
  <dcterms:modified xsi:type="dcterms:W3CDTF">2026-09-29T15:06:26Z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