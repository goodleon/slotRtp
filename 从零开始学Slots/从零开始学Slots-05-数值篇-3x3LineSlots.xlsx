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说明" sheetId="1" state="visible" r:id="rId3"/>
    <sheet name="数据配表" sheetId="2" state="visible" r:id="rId4"/>
  </sheet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<sst xmlns="http://schemas.openxmlformats.org/spreadsheetml/2006/main" count="306" uniqueCount="194">
  <si>
    <r>
      <rPr>
        <b val="true"/>
        <sz val="14"/>
        <color rgb="FF1F4E79"/>
        <rFont val="Noto Sans SC"/>
        <family val="2"/>
        <charset val="134"/>
      </rPr>
      <t xml:space="preserve">从零开始学</t>
    </r>
    <r>
      <rPr>
        <b val="true"/>
        <sz val="14"/>
        <color rgb="FF1F4E79"/>
        <rFont val="Cambria"/>
        <family val="0"/>
        <charset val="1"/>
      </rPr>
      <t xml:space="preserve">Slots 05 —— </t>
    </r>
    <r>
      <rPr>
        <b val="true"/>
        <sz val="14"/>
        <color rgb="FF1F4E79"/>
        <rFont val="Noto Sans SC"/>
        <family val="2"/>
        <charset val="134"/>
      </rPr>
      <t xml:space="preserve">数值篇：</t>
    </r>
    <r>
      <rPr>
        <b val="true"/>
        <sz val="14"/>
        <color rgb="FF1F4E79"/>
        <rFont val="Cambria"/>
        <family val="0"/>
        <charset val="1"/>
      </rPr>
      <t xml:space="preserve">3*3 Line Slots</t>
    </r>
  </si>
  <si>
    <r>
      <rPr>
        <sz val="11"/>
        <color rgb="FF808080"/>
        <rFont val="Noto Sans SC"/>
        <family val="2"/>
        <charset val="134"/>
      </rPr>
      <t xml:space="preserve">来源：知乎《</t>
    </r>
    <r>
      <rPr>
        <sz val="11"/>
        <color rgb="FF808080"/>
        <rFont val="Cambria"/>
        <family val="0"/>
        <charset val="1"/>
      </rPr>
      <t xml:space="preserve">Slots</t>
    </r>
    <r>
      <rPr>
        <sz val="11"/>
        <color rgb="FF808080"/>
        <rFont val="Noto Sans SC"/>
        <family val="2"/>
        <charset val="134"/>
      </rPr>
      <t xml:space="preserve">数值篇——</t>
    </r>
    <r>
      <rPr>
        <sz val="11"/>
        <color rgb="FF808080"/>
        <rFont val="Cambria"/>
        <family val="0"/>
        <charset val="1"/>
      </rPr>
      <t xml:space="preserve">3*3 Line Slots</t>
    </r>
    <r>
      <rPr>
        <sz val="11"/>
        <color rgb="FF808080"/>
        <rFont val="Noto Sans SC"/>
        <family val="2"/>
        <charset val="134"/>
      </rPr>
      <t xml:space="preserve">》  </t>
    </r>
    <r>
      <rPr>
        <sz val="11"/>
        <color rgb="FF808080"/>
        <rFont val="Cambria"/>
        <family val="0"/>
        <charset val="1"/>
      </rPr>
      <t xml:space="preserve">https://zhuanlan.zhihu.com/p/623825211</t>
    </r>
  </si>
  <si>
    <r>
      <rPr>
        <sz val="11"/>
        <color rgb="FF808080"/>
        <rFont val="Noto Sans SC"/>
        <family val="2"/>
        <charset val="134"/>
      </rPr>
      <t xml:space="preserve">专栏：从零开始学</t>
    </r>
    <r>
      <rPr>
        <sz val="11"/>
        <color rgb="FF808080"/>
        <rFont val="Cambria"/>
        <family val="0"/>
        <charset val="1"/>
      </rPr>
      <t xml:space="preserve">Slots https://zhuanlan.zhihu.com/c_1645024821070356480 </t>
    </r>
    <r>
      <rPr>
        <sz val="11"/>
        <color rgb="FF808080"/>
        <rFont val="Noto Sans SC"/>
        <family val="2"/>
        <charset val="134"/>
      </rPr>
      <t xml:space="preserve">｜ 作者：</t>
    </r>
    <r>
      <rPr>
        <sz val="11"/>
        <color rgb="FF808080"/>
        <rFont val="Cambria"/>
        <family val="0"/>
        <charset val="1"/>
      </rPr>
      <t xml:space="preserve">ASlot</t>
    </r>
  </si>
  <si>
    <r>
      <rPr>
        <sz val="11"/>
        <color rgb="FF808080"/>
        <rFont val="Noto Sans SC"/>
        <family val="2"/>
        <charset val="134"/>
      </rPr>
      <t xml:space="preserve">正文：用户在本机离线保存的网页原件（浏览器「另存为 → 网页，全部」）；本页『原文整理』即该文全文，原文配图已取回 </t>
    </r>
    <r>
      <rPr>
        <sz val="11"/>
        <color rgb="FF808080"/>
        <rFont val="Cambria"/>
        <family val="0"/>
        <charset val="1"/>
      </rPr>
      <t xml:space="preserve">images/slots/</t>
    </r>
    <r>
      <rPr>
        <sz val="11"/>
        <color rgb="FF808080"/>
        <rFont val="Noto Sans SC"/>
        <family val="2"/>
        <charset val="134"/>
      </rPr>
      <t xml:space="preserve">。</t>
    </r>
  </si>
  <si>
    <r>
      <rPr>
        <sz val="11"/>
        <color rgb="FF808080"/>
        <rFont val="Noto Sans SC"/>
        <family val="2"/>
        <charset val="134"/>
      </rPr>
      <t xml:space="preserve">样式模板：捕鱼游戏数学</t>
    </r>
    <r>
      <rPr>
        <sz val="11"/>
        <color rgb="FF808080"/>
        <rFont val="Cambria"/>
        <family val="0"/>
        <charset val="1"/>
      </rPr>
      <t xml:space="preserve">-PartII-</t>
    </r>
    <r>
      <rPr>
        <sz val="11"/>
        <color rgb="FF808080"/>
        <rFont val="Noto Sans SC"/>
        <family val="2"/>
        <charset val="134"/>
      </rPr>
      <t xml:space="preserve">特殊炮模型</t>
    </r>
    <r>
      <rPr>
        <sz val="11"/>
        <color rgb="FF808080"/>
        <rFont val="Cambria"/>
        <family val="0"/>
        <charset val="1"/>
      </rPr>
      <t xml:space="preserve">.xlsx</t>
    </r>
    <r>
      <rPr>
        <sz val="11"/>
        <color rgb="FF808080"/>
        <rFont val="Noto Sans SC"/>
        <family val="2"/>
        <charset val="134"/>
      </rPr>
      <t xml:space="preserve">（分节深蓝底 </t>
    </r>
    <r>
      <rPr>
        <sz val="11"/>
        <color rgb="FF808080"/>
        <rFont val="Cambria"/>
        <family val="0"/>
        <charset val="1"/>
      </rPr>
      <t xml:space="preserve">+ </t>
    </r>
    <r>
      <rPr>
        <sz val="11"/>
        <color rgb="FF808080"/>
        <rFont val="Noto Sans SC"/>
        <family val="2"/>
        <charset val="134"/>
      </rPr>
      <t xml:space="preserve">表头浅蓝底 </t>
    </r>
    <r>
      <rPr>
        <sz val="11"/>
        <color rgb="FF808080"/>
        <rFont val="Cambria"/>
        <family val="0"/>
        <charset val="1"/>
      </rPr>
      <t xml:space="preserve">+ </t>
    </r>
    <r>
      <rPr>
        <sz val="11"/>
        <color rgb="FF808080"/>
        <rFont val="Noto Sans SC"/>
        <family val="2"/>
        <charset val="134"/>
      </rPr>
      <t xml:space="preserve">蓝字可改输入 </t>
    </r>
    <r>
      <rPr>
        <sz val="11"/>
        <color rgb="FF808080"/>
        <rFont val="Cambria"/>
        <family val="0"/>
        <charset val="1"/>
      </rPr>
      <t xml:space="preserve">+ </t>
    </r>
    <r>
      <rPr>
        <sz val="11"/>
        <color rgb="FF808080"/>
        <rFont val="Noto Sans SC"/>
        <family val="2"/>
        <charset val="134"/>
      </rPr>
      <t xml:space="preserve">黑字公式 </t>
    </r>
    <r>
      <rPr>
        <sz val="11"/>
        <color rgb="FF808080"/>
        <rFont val="Cambria"/>
        <family val="0"/>
        <charset val="1"/>
      </rPr>
      <t xml:space="preserve">+ </t>
    </r>
    <r>
      <rPr>
        <sz val="11"/>
        <color rgb="FF808080"/>
        <rFont val="Noto Sans SC"/>
        <family val="2"/>
        <charset val="134"/>
      </rPr>
      <t xml:space="preserve">黄底关键结果）</t>
    </r>
  </si>
  <si>
    <t xml:space="preserve">页签</t>
  </si>
  <si>
    <r>
      <rPr>
        <sz val="11"/>
        <color theme="1"/>
        <rFont val="Calibri"/>
        <family val="2"/>
        <charset val="1"/>
      </rPr>
      <t xml:space="preserve">· </t>
    </r>
    <r>
      <rPr>
        <sz val="11"/>
        <color theme="1"/>
        <rFont val="Noto Sans SC"/>
        <family val="2"/>
        <charset val="134"/>
      </rPr>
      <t xml:space="preserve">说明：本文整理 —— 来源、用法、要点、原文全文、配图清单、校验与声明。</t>
    </r>
  </si>
  <si>
    <r>
      <rPr>
        <sz val="11"/>
        <color theme="1"/>
        <rFont val="Calibri"/>
        <family val="2"/>
        <charset val="1"/>
      </rPr>
      <t xml:space="preserve">· </t>
    </r>
    <r>
      <rPr>
        <sz val="11"/>
        <color theme="1"/>
        <rFont val="Noto Sans SC"/>
        <family val="2"/>
        <charset val="134"/>
      </rPr>
      <t xml:space="preserve">数据配表：把原文讲到的方法</t>
    </r>
    <r>
      <rPr>
        <sz val="11"/>
        <color theme="1"/>
        <rFont val="Calibri"/>
        <family val="2"/>
        <charset val="1"/>
      </rPr>
      <t xml:space="preserve">/</t>
    </r>
    <r>
      <rPr>
        <sz val="11"/>
        <color theme="1"/>
        <rFont val="Noto Sans SC"/>
        <family val="2"/>
        <charset val="134"/>
      </rPr>
      <t xml:space="preserve">机制做成可改数值的配表（蓝字可改，公式自动联动）。</t>
    </r>
  </si>
  <si>
    <t xml:space="preserve">用法</t>
  </si>
  <si>
    <r>
      <rPr>
        <sz val="11"/>
        <color theme="1"/>
        <rFont val="Calibri"/>
        <family val="2"/>
        <charset val="1"/>
      </rPr>
      <t xml:space="preserve">1) </t>
    </r>
    <r>
      <rPr>
        <sz val="11"/>
        <color theme="1"/>
        <rFont val="Noto Sans SC"/>
        <family val="2"/>
        <charset val="134"/>
      </rPr>
      <t xml:space="preserve">先看本页『原文整理』，对照原文小标题读一遍；配图编号 ［配图 </t>
    </r>
    <r>
      <rPr>
        <sz val="11"/>
        <color theme="1"/>
        <rFont val="Calibri"/>
        <family val="2"/>
        <charset val="1"/>
      </rPr>
      <t xml:space="preserve">NN</t>
    </r>
    <r>
      <rPr>
        <sz val="11"/>
        <color theme="1"/>
        <rFont val="Noto Sans SC"/>
        <family val="2"/>
        <charset val="134"/>
      </rPr>
      <t xml:space="preserve">］ 对应 </t>
    </r>
    <r>
      <rPr>
        <sz val="11"/>
        <color theme="1"/>
        <rFont val="Calibri"/>
        <family val="2"/>
        <charset val="1"/>
      </rPr>
      <t xml:space="preserve">images/slots/623825211-NN.</t>
    </r>
    <r>
      <rPr>
        <sz val="11"/>
        <color theme="1"/>
        <rFont val="Noto Sans SC"/>
        <family val="2"/>
        <charset val="134"/>
      </rPr>
      <t xml:space="preserve">原扩展名。</t>
    </r>
  </si>
  <si>
    <r>
      <rPr>
        <sz val="11"/>
        <color theme="1"/>
        <rFont val="Calibri"/>
        <family val="2"/>
        <charset val="1"/>
      </rPr>
      <t xml:space="preserve">2) </t>
    </r>
    <r>
      <rPr>
        <sz val="11"/>
        <color theme="1"/>
        <rFont val="Noto Sans SC"/>
        <family val="2"/>
        <charset val="134"/>
      </rPr>
      <t xml:space="preserve">再看第 </t>
    </r>
    <r>
      <rPr>
        <sz val="11"/>
        <color theme="1"/>
        <rFont val="Calibri"/>
        <family val="2"/>
        <charset val="1"/>
      </rPr>
      <t xml:space="preserve">2 </t>
    </r>
    <r>
      <rPr>
        <sz val="11"/>
        <color theme="1"/>
        <rFont val="Noto Sans SC"/>
        <family val="2"/>
        <charset val="134"/>
      </rPr>
      <t xml:space="preserve">个页签『数据配表』：蓝字＝可改配置，黑字＝公式，黄底＝结果；改配置后各表自动联动。</t>
    </r>
  </si>
  <si>
    <r>
      <rPr>
        <sz val="11"/>
        <color theme="1"/>
        <rFont val="Calibri"/>
        <family val="2"/>
        <charset val="1"/>
      </rPr>
      <t xml:space="preserve">3) </t>
    </r>
    <r>
      <rPr>
        <sz val="11"/>
        <color theme="1"/>
        <rFont val="Noto Sans SC"/>
        <family val="2"/>
        <charset val="134"/>
      </rPr>
      <t xml:space="preserve">表内数值取自原文示例；原文只给方法而未给数值的部分，用同项目《老虎机数学入门 </t>
    </r>
    <r>
      <rPr>
        <sz val="11"/>
        <color theme="1"/>
        <rFont val="Calibri"/>
        <family val="2"/>
        <charset val="1"/>
      </rPr>
      <t xml:space="preserve">Part Ⅰ/Ⅱ</t>
    </r>
    <r>
      <rPr>
        <sz val="11"/>
        <color theme="1"/>
        <rFont val="Noto Sans SC"/>
        <family val="2"/>
        <charset val="134"/>
      </rPr>
      <t xml:space="preserve">》的示例数值（蓝字可改）。</t>
    </r>
  </si>
  <si>
    <t xml:space="preserve">要点</t>
  </si>
  <si>
    <r>
      <rPr>
        <sz val="11"/>
        <color theme="1"/>
        <rFont val="Calibri"/>
        <family val="2"/>
        <charset val="1"/>
      </rPr>
      <t xml:space="preserve">· 3*3 </t>
    </r>
    <r>
      <rPr>
        <sz val="11"/>
        <color theme="1"/>
        <rFont val="Noto Sans SC"/>
        <family val="2"/>
        <charset val="134"/>
      </rPr>
      <t xml:space="preserve">卷轴共有 </t>
    </r>
    <r>
      <rPr>
        <sz val="11"/>
        <color theme="1"/>
        <rFont val="Calibri"/>
        <family val="2"/>
        <charset val="1"/>
      </rPr>
      <t xml:space="preserve">3³ </t>
    </r>
    <r>
      <rPr>
        <sz val="11"/>
        <color theme="1"/>
        <rFont val="Noto Sans SC"/>
        <family val="2"/>
        <charset val="134"/>
      </rPr>
      <t xml:space="preserve">＝ </t>
    </r>
    <r>
      <rPr>
        <sz val="11"/>
        <color theme="1"/>
        <rFont val="Calibri"/>
        <family val="2"/>
        <charset val="1"/>
      </rPr>
      <t xml:space="preserve">27 </t>
    </r>
    <r>
      <rPr>
        <sz val="11"/>
        <color theme="1"/>
        <rFont val="Noto Sans SC"/>
        <family val="2"/>
        <charset val="134"/>
      </rPr>
      <t xml:space="preserve">种连线方式，但一般不会把每条成立的连线都设为中奖线；本例沿用 </t>
    </r>
    <r>
      <rPr>
        <sz val="11"/>
        <color theme="1"/>
        <rFont val="Calibri"/>
        <family val="2"/>
        <charset val="1"/>
      </rPr>
      <t xml:space="preserve">Endorphina</t>
    </r>
  </si>
  <si>
    <r>
      <rPr>
        <sz val="11"/>
        <color theme="1"/>
        <rFont val="Calibri"/>
        <family val="2"/>
        <charset val="1"/>
      </rPr>
      <t xml:space="preserve">  Lucky Streak 3</t>
    </r>
    <r>
      <rPr>
        <sz val="11"/>
        <color theme="1"/>
        <rFont val="Noto Sans SC"/>
        <family val="2"/>
        <charset val="134"/>
      </rPr>
      <t xml:space="preserve">：</t>
    </r>
    <r>
      <rPr>
        <sz val="11"/>
        <color theme="1"/>
        <rFont val="Calibri"/>
        <family val="2"/>
        <charset val="1"/>
      </rPr>
      <t xml:space="preserve">3*3</t>
    </r>
    <r>
      <rPr>
        <sz val="11"/>
        <color theme="1"/>
        <rFont val="Noto Sans SC"/>
        <family val="2"/>
        <charset val="134"/>
      </rPr>
      <t xml:space="preserve">、</t>
    </r>
    <r>
      <rPr>
        <sz val="11"/>
        <color theme="1"/>
        <rFont val="Calibri"/>
        <family val="2"/>
        <charset val="1"/>
      </rPr>
      <t xml:space="preserve">5 </t>
    </r>
    <r>
      <rPr>
        <sz val="11"/>
        <color theme="1"/>
        <rFont val="Noto Sans SC"/>
        <family val="2"/>
        <charset val="134"/>
      </rPr>
      <t xml:space="preserve">条中奖线、</t>
    </r>
    <r>
      <rPr>
        <sz val="11"/>
        <color theme="1"/>
        <rFont val="Calibri"/>
        <family val="2"/>
        <charset val="1"/>
      </rPr>
      <t xml:space="preserve">RTP 96%</t>
    </r>
    <r>
      <rPr>
        <sz val="11"/>
        <color theme="1"/>
        <rFont val="Noto Sans SC"/>
        <family val="2"/>
        <charset val="134"/>
      </rPr>
      <t xml:space="preserve">，固定卷轴、每列 </t>
    </r>
    <r>
      <rPr>
        <sz val="11"/>
        <color theme="1"/>
        <rFont val="Calibri"/>
        <family val="2"/>
        <charset val="1"/>
      </rPr>
      <t xml:space="preserve">30 </t>
    </r>
    <r>
      <rPr>
        <sz val="11"/>
        <color theme="1"/>
        <rFont val="Noto Sans SC"/>
        <family val="2"/>
        <charset val="134"/>
      </rPr>
      <t xml:space="preserve">个图标。</t>
    </r>
  </si>
  <si>
    <r>
      <rPr>
        <sz val="11"/>
        <color theme="1"/>
        <rFont val="Calibri"/>
        <family val="2"/>
        <charset val="1"/>
      </rPr>
      <t xml:space="preserve">· </t>
    </r>
    <r>
      <rPr>
        <sz val="11"/>
        <color theme="1"/>
        <rFont val="Noto Sans SC"/>
        <family val="2"/>
        <charset val="134"/>
      </rPr>
      <t xml:space="preserve">算法与 </t>
    </r>
    <r>
      <rPr>
        <sz val="11"/>
        <color theme="1"/>
        <rFont val="Calibri"/>
        <family val="2"/>
        <charset val="1"/>
      </rPr>
      <t xml:space="preserve">1*3 </t>
    </r>
    <r>
      <rPr>
        <sz val="11"/>
        <color theme="1"/>
        <rFont val="Noto Sans SC"/>
        <family val="2"/>
        <charset val="134"/>
      </rPr>
      <t xml:space="preserve">完全相同：每列图标出现互相独立、列内互斥，所以某图标在某条中奖线上中奖的事件数</t>
    </r>
  </si>
  <si>
    <r>
      <rPr>
        <sz val="11"/>
        <color theme="1"/>
        <rFont val="Noto Sans SC"/>
        <family val="2"/>
        <charset val="134"/>
      </rPr>
      <t xml:space="preserve">  ＝ 三列该图标个数之积；总事件数 ＝ </t>
    </r>
    <r>
      <rPr>
        <sz val="11"/>
        <color theme="1"/>
        <rFont val="Calibri"/>
        <family val="2"/>
        <charset val="1"/>
      </rPr>
      <t xml:space="preserve">30³ </t>
    </r>
    <r>
      <rPr>
        <sz val="11"/>
        <color theme="1"/>
        <rFont val="Noto Sans SC"/>
        <family val="2"/>
        <charset val="134"/>
      </rPr>
      <t xml:space="preserve">＝ </t>
    </r>
    <r>
      <rPr>
        <sz val="11"/>
        <color theme="1"/>
        <rFont val="Calibri"/>
        <family val="2"/>
        <charset val="1"/>
      </rPr>
      <t xml:space="preserve">27000</t>
    </r>
    <r>
      <rPr>
        <sz val="11"/>
        <color theme="1"/>
        <rFont val="Noto Sans SC"/>
        <family val="2"/>
        <charset val="134"/>
      </rPr>
      <t xml:space="preserve">；中奖率 ＝ 事件数 </t>
    </r>
    <r>
      <rPr>
        <sz val="11"/>
        <color theme="1"/>
        <rFont val="Calibri"/>
        <family val="2"/>
        <charset val="1"/>
      </rPr>
      <t xml:space="preserve">÷ </t>
    </r>
    <r>
      <rPr>
        <sz val="11"/>
        <color theme="1"/>
        <rFont val="Noto Sans SC"/>
        <family val="2"/>
        <charset val="134"/>
      </rPr>
      <t xml:space="preserve">总事件数。</t>
    </r>
  </si>
  <si>
    <r>
      <rPr>
        <sz val="11"/>
        <color theme="1"/>
        <rFont val="Calibri"/>
        <family val="2"/>
        <charset val="1"/>
      </rPr>
      <t xml:space="preserve">· </t>
    </r>
    <r>
      <rPr>
        <sz val="11"/>
        <color theme="1"/>
        <rFont val="Noto Sans SC"/>
        <family val="2"/>
        <charset val="134"/>
      </rPr>
      <t xml:space="preserve">口径：赔付基数＝</t>
    </r>
    <r>
      <rPr>
        <sz val="11"/>
        <color theme="1"/>
        <rFont val="Calibri"/>
        <family val="2"/>
        <charset val="1"/>
      </rPr>
      <t xml:space="preserve">Line Bet</t>
    </r>
    <r>
      <rPr>
        <sz val="11"/>
        <color theme="1"/>
        <rFont val="Noto Sans SC"/>
        <family val="2"/>
        <charset val="134"/>
      </rPr>
      <t xml:space="preserve">，下注额已分摊到各条线，因此「单线 </t>
    </r>
    <r>
      <rPr>
        <sz val="11"/>
        <color theme="1"/>
        <rFont val="Calibri"/>
        <family val="2"/>
        <charset val="1"/>
      </rPr>
      <t xml:space="preserve">RTP </t>
    </r>
    <r>
      <rPr>
        <sz val="11"/>
        <color theme="1"/>
        <rFont val="Noto Sans SC"/>
        <family val="2"/>
        <charset val="134"/>
      </rPr>
      <t xml:space="preserve">与整体 </t>
    </r>
    <r>
      <rPr>
        <sz val="11"/>
        <color theme="1"/>
        <rFont val="Calibri"/>
        <family val="2"/>
        <charset val="1"/>
      </rPr>
      <t xml:space="preserve">RTP </t>
    </r>
    <r>
      <rPr>
        <sz val="11"/>
        <color theme="1"/>
        <rFont val="Noto Sans SC"/>
        <family val="2"/>
        <charset val="134"/>
      </rPr>
      <t xml:space="preserve">相等」，</t>
    </r>
  </si>
  <si>
    <r>
      <rPr>
        <sz val="11"/>
        <color theme="1"/>
        <rFont val="Noto Sans SC"/>
        <family val="2"/>
        <charset val="134"/>
      </rPr>
      <t xml:space="preserve">  不需要把单线 </t>
    </r>
    <r>
      <rPr>
        <sz val="11"/>
        <color theme="1"/>
        <rFont val="Calibri"/>
        <family val="2"/>
        <charset val="1"/>
      </rPr>
      <t xml:space="preserve">RTP </t>
    </r>
    <r>
      <rPr>
        <sz val="11"/>
        <color theme="1"/>
        <rFont val="Noto Sans SC"/>
        <family val="2"/>
        <charset val="134"/>
      </rPr>
      <t xml:space="preserve">再乘线数；不中奖的线分不到下注额，期望为 </t>
    </r>
    <r>
      <rPr>
        <sz val="11"/>
        <color theme="1"/>
        <rFont val="Calibri"/>
        <family val="2"/>
        <charset val="1"/>
      </rPr>
      <t xml:space="preserve">0</t>
    </r>
    <r>
      <rPr>
        <sz val="11"/>
        <color theme="1"/>
        <rFont val="Noto Sans SC"/>
        <family val="2"/>
        <charset val="134"/>
      </rPr>
      <t xml:space="preserve">，不必计入。</t>
    </r>
  </si>
  <si>
    <r>
      <rPr>
        <sz val="11"/>
        <color theme="1"/>
        <rFont val="Calibri"/>
        <family val="2"/>
        <charset val="1"/>
      </rPr>
      <t xml:space="preserve">· </t>
    </r>
    <r>
      <rPr>
        <sz val="11"/>
        <color theme="1"/>
        <rFont val="Noto Sans SC"/>
        <family val="2"/>
        <charset val="134"/>
      </rPr>
      <t xml:space="preserve">本簿按原文配图转录了 </t>
    </r>
    <r>
      <rPr>
        <sz val="11"/>
        <color theme="1"/>
        <rFont val="Calibri"/>
        <family val="2"/>
        <charset val="1"/>
      </rPr>
      <t xml:space="preserve">30 </t>
    </r>
    <r>
      <rPr>
        <sz val="11"/>
        <color theme="1"/>
        <rFont val="Noto Sans SC"/>
        <family val="2"/>
        <charset val="134"/>
      </rPr>
      <t xml:space="preserve">停 </t>
    </r>
    <r>
      <rPr>
        <sz val="11"/>
        <color theme="1"/>
        <rFont val="Calibri"/>
        <family val="2"/>
        <charset val="1"/>
      </rPr>
      <t xml:space="preserve">× 3 </t>
    </r>
    <r>
      <rPr>
        <sz val="11"/>
        <color theme="1"/>
        <rFont val="Noto Sans SC"/>
        <family val="2"/>
        <charset val="134"/>
      </rPr>
      <t xml:space="preserve">列的卷轴与赔付表，算出 </t>
    </r>
    <r>
      <rPr>
        <sz val="11"/>
        <color theme="1"/>
        <rFont val="Calibri"/>
        <family val="2"/>
        <charset val="1"/>
      </rPr>
      <t xml:space="preserve">RTP 96.82%</t>
    </r>
    <r>
      <rPr>
        <sz val="11"/>
        <color theme="1"/>
        <rFont val="Noto Sans SC"/>
        <family val="2"/>
        <charset val="134"/>
      </rPr>
      <t xml:space="preserve">，与原文</t>
    </r>
    <r>
      <rPr>
        <sz val="11"/>
        <color theme="1"/>
        <rFont val="Calibri"/>
        <family val="2"/>
        <charset val="1"/>
      </rPr>
      <t xml:space="preserve">/</t>
    </r>
    <r>
      <rPr>
        <sz val="11"/>
        <color theme="1"/>
        <rFont val="Noto Sans SC"/>
        <family val="2"/>
        <charset val="134"/>
      </rPr>
      <t xml:space="preserve">官网 </t>
    </r>
    <r>
      <rPr>
        <sz val="11"/>
        <color theme="1"/>
        <rFont val="Calibri"/>
        <family val="2"/>
        <charset val="1"/>
      </rPr>
      <t xml:space="preserve">96% </t>
    </r>
    <r>
      <rPr>
        <sz val="11"/>
        <color theme="1"/>
        <rFont val="Noto Sans SC"/>
        <family val="2"/>
        <charset val="134"/>
      </rPr>
      <t xml:space="preserve">相符。</t>
    </r>
  </si>
  <si>
    <t xml:space="preserve">原文整理（全文，按原文小标题分段）</t>
  </si>
  <si>
    <r>
      <rPr>
        <sz val="11"/>
        <color theme="1"/>
        <rFont val="Noto Sans SC"/>
        <family val="2"/>
        <charset val="134"/>
      </rPr>
      <t xml:space="preserve">［配图 </t>
    </r>
    <r>
      <rPr>
        <sz val="11"/>
        <color theme="1"/>
        <rFont val="Calibri"/>
        <family val="2"/>
        <charset val="1"/>
      </rPr>
      <t xml:space="preserve">01</t>
    </r>
    <r>
      <rPr>
        <sz val="11"/>
        <color theme="1"/>
        <rFont val="Noto Sans SC"/>
        <family val="2"/>
        <charset val="134"/>
      </rPr>
      <t xml:space="preserve">］</t>
    </r>
    <r>
      <rPr>
        <sz val="11"/>
        <color theme="1"/>
        <rFont val="Calibri"/>
        <family val="2"/>
        <charset val="1"/>
      </rPr>
      <t xml:space="preserve">623825211-01.jpg</t>
    </r>
  </si>
  <si>
    <r>
      <rPr>
        <sz val="11"/>
        <color theme="1"/>
        <rFont val="Noto Sans SC"/>
        <family val="2"/>
        <charset val="134"/>
      </rPr>
      <t xml:space="preserve">上篇介绍了</t>
    </r>
    <r>
      <rPr>
        <sz val="11"/>
        <color theme="1"/>
        <rFont val="Calibri"/>
        <family val="2"/>
        <charset val="1"/>
      </rPr>
      <t xml:space="preserve">1*3 Slots </t>
    </r>
    <r>
      <rPr>
        <sz val="11"/>
        <color theme="1"/>
        <rFont val="Noto Sans SC"/>
        <family val="2"/>
        <charset val="134"/>
      </rPr>
      <t xml:space="preserve">的概率计算方式</t>
    </r>
  </si>
  <si>
    <r>
      <rPr>
        <sz val="11"/>
        <color theme="1"/>
        <rFont val="Noto Sans SC"/>
        <family val="2"/>
        <charset val="134"/>
      </rPr>
      <t xml:space="preserve">本篇将在</t>
    </r>
    <r>
      <rPr>
        <sz val="11"/>
        <color theme="1"/>
        <rFont val="Calibri"/>
        <family val="2"/>
        <charset val="1"/>
      </rPr>
      <t xml:space="preserve">1*3</t>
    </r>
    <r>
      <rPr>
        <sz val="11"/>
        <color theme="1"/>
        <rFont val="Noto Sans SC"/>
        <family val="2"/>
        <charset val="134"/>
      </rPr>
      <t xml:space="preserve">的基础上扩展卷轴尺寸到</t>
    </r>
    <r>
      <rPr>
        <sz val="11"/>
        <color theme="1"/>
        <rFont val="Calibri"/>
        <family val="2"/>
        <charset val="1"/>
      </rPr>
      <t xml:space="preserve">3*3</t>
    </r>
  </si>
  <si>
    <t xml:space="preserve">卷轴尺寸的提升，直接带来了的影响就是中奖线不再只有一条</t>
  </si>
  <si>
    <r>
      <rPr>
        <sz val="11"/>
        <color theme="1"/>
        <rFont val="Calibri"/>
        <family val="2"/>
        <charset val="1"/>
      </rPr>
      <t xml:space="preserve">3*3 Slots </t>
    </r>
    <r>
      <rPr>
        <sz val="11"/>
        <color theme="1"/>
        <rFont val="Noto Sans SC"/>
        <family val="2"/>
        <charset val="134"/>
      </rPr>
      <t xml:space="preserve">一共有 </t>
    </r>
    <r>
      <rPr>
        <sz val="11"/>
        <color theme="1"/>
        <rFont val="Calibri"/>
        <family val="2"/>
        <charset val="1"/>
      </rPr>
      <t xml:space="preserve">3 * 3 * 3 = 27</t>
    </r>
    <r>
      <rPr>
        <sz val="11"/>
        <color theme="1"/>
        <rFont val="Noto Sans SC"/>
        <family val="2"/>
        <charset val="134"/>
      </rPr>
      <t xml:space="preserve">种连线方式</t>
    </r>
  </si>
  <si>
    <t xml:space="preserve">但是一般情况并不把每一条成立的连线都设置为中奖线</t>
  </si>
  <si>
    <r>
      <rPr>
        <sz val="11"/>
        <color theme="1"/>
        <rFont val="Noto Sans SC"/>
        <family val="2"/>
        <charset val="134"/>
      </rPr>
      <t xml:space="preserve">本文将使用</t>
    </r>
    <r>
      <rPr>
        <sz val="11"/>
        <color theme="1"/>
        <rFont val="Calibri"/>
        <family val="2"/>
        <charset val="1"/>
      </rPr>
      <t xml:space="preserve">Endorphina</t>
    </r>
    <r>
      <rPr>
        <sz val="11"/>
        <color theme="1"/>
        <rFont val="Noto Sans SC"/>
        <family val="2"/>
        <charset val="134"/>
      </rPr>
      <t xml:space="preserve">推出的</t>
    </r>
    <r>
      <rPr>
        <sz val="11"/>
        <color theme="1"/>
        <rFont val="Calibri"/>
        <family val="2"/>
        <charset val="1"/>
      </rPr>
      <t xml:space="preserve">Lucky Streak 3</t>
    </r>
    <r>
      <rPr>
        <sz val="11"/>
        <color theme="1"/>
        <rFont val="Noto Sans SC"/>
        <family val="2"/>
        <charset val="134"/>
      </rPr>
      <t xml:space="preserve">作为例子，介绍</t>
    </r>
    <r>
      <rPr>
        <sz val="11"/>
        <color theme="1"/>
        <rFont val="Calibri"/>
        <family val="2"/>
        <charset val="1"/>
      </rPr>
      <t xml:space="preserve">3*3 Line Slots</t>
    </r>
    <r>
      <rPr>
        <sz val="11"/>
        <color theme="1"/>
        <rFont val="Noto Sans SC"/>
        <family val="2"/>
        <charset val="134"/>
      </rPr>
      <t xml:space="preserve">的数值计算方法</t>
    </r>
  </si>
  <si>
    <t xml:space="preserve">玩法简介</t>
  </si>
  <si>
    <r>
      <rPr>
        <sz val="11"/>
        <color theme="1"/>
        <rFont val="Noto Sans SC"/>
        <family val="2"/>
        <charset val="134"/>
      </rPr>
      <t xml:space="preserve">卷轴尺寸：</t>
    </r>
    <r>
      <rPr>
        <sz val="11"/>
        <color theme="1"/>
        <rFont val="Calibri"/>
        <family val="2"/>
        <charset val="1"/>
      </rPr>
      <t xml:space="preserve">3*3</t>
    </r>
  </si>
  <si>
    <r>
      <rPr>
        <sz val="11"/>
        <color theme="1"/>
        <rFont val="Noto Sans SC"/>
        <family val="2"/>
        <charset val="134"/>
      </rPr>
      <t xml:space="preserve">中奖线数：</t>
    </r>
    <r>
      <rPr>
        <sz val="11"/>
        <color theme="1"/>
        <rFont val="Calibri"/>
        <family val="2"/>
        <charset val="1"/>
      </rPr>
      <t xml:space="preserve">5</t>
    </r>
  </si>
  <si>
    <r>
      <rPr>
        <sz val="11"/>
        <color theme="1"/>
        <rFont val="Calibri"/>
        <family val="2"/>
        <charset val="1"/>
      </rPr>
      <t xml:space="preserve">RTP</t>
    </r>
    <r>
      <rPr>
        <sz val="11"/>
        <color theme="1"/>
        <rFont val="Noto Sans SC"/>
        <family val="2"/>
        <charset val="134"/>
      </rPr>
      <t xml:space="preserve">：</t>
    </r>
    <r>
      <rPr>
        <sz val="11"/>
        <color theme="1"/>
        <rFont val="Calibri"/>
        <family val="2"/>
        <charset val="1"/>
      </rPr>
      <t xml:space="preserve">96%</t>
    </r>
  </si>
  <si>
    <t xml:space="preserve">卷轴属性：固定卷轴，线上产品使用的是非固定卷轴，这里先使用固定卷轴展示概率的计算发放</t>
  </si>
  <si>
    <t xml:space="preserve">赔付倍数：赔付倍数如下：</t>
  </si>
  <si>
    <r>
      <rPr>
        <sz val="11"/>
        <color theme="1"/>
        <rFont val="Noto Sans SC"/>
        <family val="2"/>
        <charset val="134"/>
      </rPr>
      <t xml:space="preserve">［配图 </t>
    </r>
    <r>
      <rPr>
        <sz val="11"/>
        <color theme="1"/>
        <rFont val="Calibri"/>
        <family val="2"/>
        <charset val="1"/>
      </rPr>
      <t xml:space="preserve">02</t>
    </r>
    <r>
      <rPr>
        <sz val="11"/>
        <color theme="1"/>
        <rFont val="Noto Sans SC"/>
        <family val="2"/>
        <charset val="134"/>
      </rPr>
      <t xml:space="preserve">］</t>
    </r>
    <r>
      <rPr>
        <sz val="11"/>
        <color theme="1"/>
        <rFont val="Calibri"/>
        <family val="2"/>
        <charset val="1"/>
      </rPr>
      <t xml:space="preserve">623825211-02.jpg</t>
    </r>
  </si>
  <si>
    <t xml:space="preserve">中间线数分布如下：</t>
  </si>
  <si>
    <r>
      <rPr>
        <sz val="11"/>
        <color theme="1"/>
        <rFont val="Noto Sans SC"/>
        <family val="2"/>
        <charset val="134"/>
      </rPr>
      <t xml:space="preserve">［配图 </t>
    </r>
    <r>
      <rPr>
        <sz val="11"/>
        <color theme="1"/>
        <rFont val="Calibri"/>
        <family val="2"/>
        <charset val="1"/>
      </rPr>
      <t xml:space="preserve">03</t>
    </r>
    <r>
      <rPr>
        <sz val="11"/>
        <color theme="1"/>
        <rFont val="Noto Sans SC"/>
        <family val="2"/>
        <charset val="134"/>
      </rPr>
      <t xml:space="preserve">］</t>
    </r>
    <r>
      <rPr>
        <sz val="11"/>
        <color theme="1"/>
        <rFont val="Calibri"/>
        <family val="2"/>
        <charset val="1"/>
      </rPr>
      <t xml:space="preserve">623825211-03.jpg</t>
    </r>
  </si>
  <si>
    <t xml:space="preserve">固定卷轴分布如下：</t>
  </si>
  <si>
    <r>
      <rPr>
        <sz val="11"/>
        <color theme="1"/>
        <rFont val="Noto Sans SC"/>
        <family val="2"/>
        <charset val="134"/>
      </rPr>
      <t xml:space="preserve">［配图 </t>
    </r>
    <r>
      <rPr>
        <sz val="11"/>
        <color theme="1"/>
        <rFont val="Calibri"/>
        <family val="2"/>
        <charset val="1"/>
      </rPr>
      <t xml:space="preserve">04</t>
    </r>
    <r>
      <rPr>
        <sz val="11"/>
        <color theme="1"/>
        <rFont val="Noto Sans SC"/>
        <family val="2"/>
        <charset val="134"/>
      </rPr>
      <t xml:space="preserve">］</t>
    </r>
    <r>
      <rPr>
        <sz val="11"/>
        <color theme="1"/>
        <rFont val="Calibri"/>
        <family val="2"/>
        <charset val="1"/>
      </rPr>
      <t xml:space="preserve">623825211-04.png</t>
    </r>
  </si>
  <si>
    <t xml:space="preserve">和上篇一致，灰色部分代表人为设定的内容</t>
  </si>
  <si>
    <t xml:space="preserve">数值计算</t>
  </si>
  <si>
    <r>
      <rPr>
        <sz val="11"/>
        <color theme="1"/>
        <rFont val="Noto Sans SC"/>
        <family val="2"/>
        <charset val="134"/>
      </rPr>
      <t xml:space="preserve">和</t>
    </r>
    <r>
      <rPr>
        <sz val="11"/>
        <color theme="1"/>
        <rFont val="Calibri"/>
        <family val="2"/>
        <charset val="1"/>
      </rPr>
      <t xml:space="preserve">1*3 Slots </t>
    </r>
    <r>
      <rPr>
        <sz val="11"/>
        <color theme="1"/>
        <rFont val="Noto Sans SC"/>
        <family val="2"/>
        <charset val="134"/>
      </rPr>
      <t xml:space="preserve">一致，首先依据上方卷轴理清楚每列的图标分布，得到每列共有</t>
    </r>
    <r>
      <rPr>
        <sz val="11"/>
        <color theme="1"/>
        <rFont val="Calibri"/>
        <family val="2"/>
        <charset val="1"/>
      </rPr>
      <t xml:space="preserve">30</t>
    </r>
    <r>
      <rPr>
        <sz val="11"/>
        <color theme="1"/>
        <rFont val="Noto Sans SC"/>
        <family val="2"/>
        <charset val="134"/>
      </rPr>
      <t xml:space="preserve">个图标</t>
    </r>
  </si>
  <si>
    <t xml:space="preserve">虽然卷轴范围扩大了，但每个图标出现在指定位置的事件依旧相互独立</t>
  </si>
  <si>
    <r>
      <rPr>
        <sz val="11"/>
        <color theme="1"/>
        <rFont val="Noto Sans SC"/>
        <family val="2"/>
        <charset val="134"/>
      </rPr>
      <t xml:space="preserve">以</t>
    </r>
    <r>
      <rPr>
        <sz val="11"/>
        <color theme="1"/>
        <rFont val="Calibri"/>
        <family val="2"/>
        <charset val="1"/>
      </rPr>
      <t xml:space="preserve">Bar</t>
    </r>
    <r>
      <rPr>
        <sz val="11"/>
        <color theme="1"/>
        <rFont val="Noto Sans SC"/>
        <family val="2"/>
        <charset val="134"/>
      </rPr>
      <t xml:space="preserve">图标为例，当其在中奖线</t>
    </r>
    <r>
      <rPr>
        <sz val="11"/>
        <color theme="1"/>
        <rFont val="Calibri"/>
        <family val="2"/>
        <charset val="1"/>
      </rPr>
      <t xml:space="preserve">1</t>
    </r>
    <r>
      <rPr>
        <sz val="11"/>
        <color theme="1"/>
        <rFont val="Noto Sans SC"/>
        <family val="2"/>
        <charset val="134"/>
      </rPr>
      <t xml:space="preserve">上中奖时，每列可能出现以下图标组合：</t>
    </r>
  </si>
  <si>
    <r>
      <rPr>
        <sz val="11"/>
        <color theme="1"/>
        <rFont val="Noto Sans SC"/>
        <family val="2"/>
        <charset val="134"/>
      </rPr>
      <t xml:space="preserve">［配图 </t>
    </r>
    <r>
      <rPr>
        <sz val="11"/>
        <color theme="1"/>
        <rFont val="Calibri"/>
        <family val="2"/>
        <charset val="1"/>
      </rPr>
      <t xml:space="preserve">05</t>
    </r>
    <r>
      <rPr>
        <sz val="11"/>
        <color theme="1"/>
        <rFont val="Noto Sans SC"/>
        <family val="2"/>
        <charset val="134"/>
      </rPr>
      <t xml:space="preserve">］</t>
    </r>
    <r>
      <rPr>
        <sz val="11"/>
        <color theme="1"/>
        <rFont val="Calibri"/>
        <family val="2"/>
        <charset val="1"/>
      </rPr>
      <t xml:space="preserve">623825211-05.png</t>
    </r>
  </si>
  <si>
    <r>
      <rPr>
        <sz val="11"/>
        <color theme="1"/>
        <rFont val="Noto Sans SC"/>
        <family val="2"/>
        <charset val="134"/>
      </rPr>
      <t xml:space="preserve">将每列的 </t>
    </r>
    <r>
      <rPr>
        <sz val="11"/>
        <color theme="1"/>
        <rFont val="Calibri"/>
        <family val="2"/>
        <charset val="1"/>
      </rPr>
      <t xml:space="preserve">3 </t>
    </r>
    <r>
      <rPr>
        <sz val="11"/>
        <color theme="1"/>
        <rFont val="Noto Sans SC"/>
        <family val="2"/>
        <charset val="134"/>
      </rPr>
      <t xml:space="preserve">种组合排列即可得出 </t>
    </r>
    <r>
      <rPr>
        <sz val="11"/>
        <color theme="1"/>
        <rFont val="Calibri"/>
        <family val="2"/>
        <charset val="1"/>
      </rPr>
      <t xml:space="preserve">3 * 3 * 3 = 27</t>
    </r>
    <r>
      <rPr>
        <sz val="11"/>
        <color theme="1"/>
        <rFont val="Noto Sans SC"/>
        <family val="2"/>
        <charset val="134"/>
      </rPr>
      <t xml:space="preserve">个事件情况。具体如下：</t>
    </r>
  </si>
  <si>
    <r>
      <rPr>
        <sz val="11"/>
        <color theme="1"/>
        <rFont val="Noto Sans SC"/>
        <family val="2"/>
        <charset val="134"/>
      </rPr>
      <t xml:space="preserve">［配图 </t>
    </r>
    <r>
      <rPr>
        <sz val="11"/>
        <color theme="1"/>
        <rFont val="Calibri"/>
        <family val="2"/>
        <charset val="1"/>
      </rPr>
      <t xml:space="preserve">06</t>
    </r>
    <r>
      <rPr>
        <sz val="11"/>
        <color theme="1"/>
        <rFont val="Noto Sans SC"/>
        <family val="2"/>
        <charset val="134"/>
      </rPr>
      <t xml:space="preserve">］</t>
    </r>
    <r>
      <rPr>
        <sz val="11"/>
        <color theme="1"/>
        <rFont val="Calibri"/>
        <family val="2"/>
        <charset val="1"/>
      </rPr>
      <t xml:space="preserve">623825211-06.jpg</t>
    </r>
  </si>
  <si>
    <r>
      <rPr>
        <sz val="11"/>
        <color theme="1"/>
        <rFont val="Noto Sans SC"/>
        <family val="2"/>
        <charset val="134"/>
      </rPr>
      <t xml:space="preserve">该 </t>
    </r>
    <r>
      <rPr>
        <sz val="11"/>
        <color theme="1"/>
        <rFont val="Calibri"/>
        <family val="2"/>
        <charset val="1"/>
      </rPr>
      <t xml:space="preserve">Slots </t>
    </r>
    <r>
      <rPr>
        <sz val="11"/>
        <color theme="1"/>
        <rFont val="Noto Sans SC"/>
        <family val="2"/>
        <charset val="134"/>
      </rPr>
      <t xml:space="preserve">共存在</t>
    </r>
    <r>
      <rPr>
        <sz val="11"/>
        <color theme="1"/>
        <rFont val="Calibri"/>
        <family val="2"/>
        <charset val="1"/>
      </rPr>
      <t xml:space="preserve">30 * 30 * 30 = 27000</t>
    </r>
    <r>
      <rPr>
        <sz val="11"/>
        <color theme="1"/>
        <rFont val="Noto Sans SC"/>
        <family val="2"/>
        <charset val="134"/>
      </rPr>
      <t xml:space="preserve">个事件</t>
    </r>
  </si>
  <si>
    <r>
      <rPr>
        <sz val="11"/>
        <color theme="1"/>
        <rFont val="Noto Sans SC"/>
        <family val="2"/>
        <charset val="134"/>
      </rPr>
      <t xml:space="preserve">故</t>
    </r>
    <r>
      <rPr>
        <sz val="11"/>
        <color theme="1"/>
        <rFont val="Calibri"/>
        <family val="2"/>
        <charset val="1"/>
      </rPr>
      <t xml:space="preserve">Bar</t>
    </r>
    <r>
      <rPr>
        <sz val="11"/>
        <color theme="1"/>
        <rFont val="Noto Sans SC"/>
        <family val="2"/>
        <charset val="134"/>
      </rPr>
      <t xml:space="preserve">图标在中奖线</t>
    </r>
    <r>
      <rPr>
        <sz val="11"/>
        <color theme="1"/>
        <rFont val="Calibri"/>
        <family val="2"/>
        <charset val="1"/>
      </rPr>
      <t xml:space="preserve">1</t>
    </r>
    <r>
      <rPr>
        <sz val="11"/>
        <color theme="1"/>
        <rFont val="Noto Sans SC"/>
        <family val="2"/>
        <charset val="134"/>
      </rPr>
      <t xml:space="preserve">上中奖的几率为 </t>
    </r>
    <r>
      <rPr>
        <sz val="11"/>
        <color theme="1"/>
        <rFont val="Calibri"/>
        <family val="2"/>
        <charset val="1"/>
      </rPr>
      <t xml:space="preserve">27 / 27000</t>
    </r>
  </si>
  <si>
    <r>
      <rPr>
        <sz val="11"/>
        <color theme="1"/>
        <rFont val="Noto Sans SC"/>
        <family val="2"/>
        <charset val="134"/>
      </rPr>
      <t xml:space="preserve">同理可得其</t>
    </r>
    <r>
      <rPr>
        <sz val="11"/>
        <color theme="1"/>
        <rFont val="Calibri"/>
        <family val="2"/>
        <charset val="1"/>
      </rPr>
      <t xml:space="preserve">Bar</t>
    </r>
    <r>
      <rPr>
        <sz val="11"/>
        <color theme="1"/>
        <rFont val="Noto Sans SC"/>
        <family val="2"/>
        <charset val="134"/>
      </rPr>
      <t xml:space="preserve">图标在其他中奖线上的概率，相加既可以得到</t>
    </r>
    <r>
      <rPr>
        <sz val="11"/>
        <color theme="1"/>
        <rFont val="Calibri"/>
        <family val="2"/>
        <charset val="1"/>
      </rPr>
      <t xml:space="preserve">Bar</t>
    </r>
    <r>
      <rPr>
        <sz val="11"/>
        <color theme="1"/>
        <rFont val="Noto Sans SC"/>
        <family val="2"/>
        <charset val="134"/>
      </rPr>
      <t xml:space="preserve">的期望之和</t>
    </r>
  </si>
  <si>
    <r>
      <rPr>
        <sz val="11"/>
        <color theme="1"/>
        <rFont val="Noto Sans SC"/>
        <family val="2"/>
        <charset val="134"/>
      </rPr>
      <t xml:space="preserve">由于最终的下注额需要分摊到每条线上，因此在计算</t>
    </r>
    <r>
      <rPr>
        <sz val="11"/>
        <color theme="1"/>
        <rFont val="Calibri"/>
        <family val="2"/>
        <charset val="1"/>
      </rPr>
      <t xml:space="preserve">RTP</t>
    </r>
    <r>
      <rPr>
        <sz val="11"/>
        <color theme="1"/>
        <rFont val="Noto Sans SC"/>
        <family val="2"/>
        <charset val="134"/>
      </rPr>
      <t xml:space="preserve">时，无需将单线</t>
    </r>
    <r>
      <rPr>
        <sz val="11"/>
        <color theme="1"/>
        <rFont val="Calibri"/>
        <family val="2"/>
        <charset val="1"/>
      </rPr>
      <t xml:space="preserve">RTP</t>
    </r>
    <r>
      <rPr>
        <sz val="11"/>
        <color theme="1"/>
        <rFont val="Noto Sans SC"/>
        <family val="2"/>
        <charset val="134"/>
      </rPr>
      <t xml:space="preserve">乘以线数</t>
    </r>
  </si>
  <si>
    <r>
      <rPr>
        <sz val="11"/>
        <color theme="1"/>
        <rFont val="Noto Sans SC"/>
        <family val="2"/>
        <charset val="134"/>
      </rPr>
      <t xml:space="preserve">无需考虑不中奖的线，因为其分配不到下注额，乘上下注额 </t>
    </r>
    <r>
      <rPr>
        <sz val="11"/>
        <color theme="1"/>
        <rFont val="Calibri"/>
        <family val="2"/>
        <charset val="1"/>
      </rPr>
      <t xml:space="preserve">0 </t>
    </r>
    <r>
      <rPr>
        <sz val="11"/>
        <color theme="1"/>
        <rFont val="Noto Sans SC"/>
        <family val="2"/>
        <charset val="134"/>
      </rPr>
      <t xml:space="preserve">之后的期望必然等于</t>
    </r>
    <r>
      <rPr>
        <sz val="11"/>
        <color theme="1"/>
        <rFont val="Calibri"/>
        <family val="2"/>
        <charset val="1"/>
      </rPr>
      <t xml:space="preserve">0</t>
    </r>
  </si>
  <si>
    <r>
      <rPr>
        <sz val="11"/>
        <color theme="1"/>
        <rFont val="Noto Sans SC"/>
        <family val="2"/>
        <charset val="134"/>
      </rPr>
      <t xml:space="preserve">使用该逻辑计算出其他图标的</t>
    </r>
    <r>
      <rPr>
        <sz val="11"/>
        <color theme="1"/>
        <rFont val="Calibri"/>
        <family val="2"/>
        <charset val="1"/>
      </rPr>
      <t xml:space="preserve">RTP</t>
    </r>
    <r>
      <rPr>
        <sz val="11"/>
        <color theme="1"/>
        <rFont val="Noto Sans SC"/>
        <family val="2"/>
        <charset val="134"/>
      </rPr>
      <t xml:space="preserve">之后加总，便得到该 </t>
    </r>
    <r>
      <rPr>
        <sz val="11"/>
        <color theme="1"/>
        <rFont val="Calibri"/>
        <family val="2"/>
        <charset val="1"/>
      </rPr>
      <t xml:space="preserve">Slots </t>
    </r>
    <r>
      <rPr>
        <sz val="11"/>
        <color theme="1"/>
        <rFont val="Noto Sans SC"/>
        <family val="2"/>
        <charset val="134"/>
      </rPr>
      <t xml:space="preserve">的理论</t>
    </r>
    <r>
      <rPr>
        <sz val="11"/>
        <color theme="1"/>
        <rFont val="Calibri"/>
        <family val="2"/>
        <charset val="1"/>
      </rPr>
      <t xml:space="preserve">RTP</t>
    </r>
  </si>
  <si>
    <r>
      <rPr>
        <sz val="11"/>
        <color theme="1"/>
        <rFont val="Noto Sans SC"/>
        <family val="2"/>
        <charset val="134"/>
      </rPr>
      <t xml:space="preserve">依据其在官网上的介绍，该 </t>
    </r>
    <r>
      <rPr>
        <sz val="11"/>
        <color theme="1"/>
        <rFont val="Calibri"/>
        <family val="2"/>
        <charset val="1"/>
      </rPr>
      <t xml:space="preserve">Slots </t>
    </r>
    <r>
      <rPr>
        <sz val="11"/>
        <color theme="1"/>
        <rFont val="Noto Sans SC"/>
        <family val="2"/>
        <charset val="134"/>
      </rPr>
      <t xml:space="preserve">的</t>
    </r>
    <r>
      <rPr>
        <sz val="11"/>
        <color theme="1"/>
        <rFont val="Calibri"/>
        <family val="2"/>
        <charset val="1"/>
      </rPr>
      <t xml:space="preserve">RTP</t>
    </r>
    <r>
      <rPr>
        <sz val="11"/>
        <color theme="1"/>
        <rFont val="Noto Sans SC"/>
        <family val="2"/>
        <charset val="134"/>
      </rPr>
      <t xml:space="preserve">应该是在</t>
    </r>
    <r>
      <rPr>
        <sz val="11"/>
        <color theme="1"/>
        <rFont val="Calibri"/>
        <family val="2"/>
        <charset val="1"/>
      </rPr>
      <t xml:space="preserve">96%</t>
    </r>
    <r>
      <rPr>
        <sz val="11"/>
        <color theme="1"/>
        <rFont val="Noto Sans SC"/>
        <family val="2"/>
        <charset val="134"/>
      </rPr>
      <t xml:space="preserve">左右</t>
    </r>
  </si>
  <si>
    <r>
      <rPr>
        <sz val="11"/>
        <color theme="1"/>
        <rFont val="Noto Sans SC"/>
        <family val="2"/>
        <charset val="134"/>
      </rPr>
      <t xml:space="preserve">带入</t>
    </r>
    <r>
      <rPr>
        <sz val="11"/>
        <color theme="1"/>
        <rFont val="Calibri"/>
        <family val="2"/>
        <charset val="1"/>
      </rPr>
      <t xml:space="preserve">Excel</t>
    </r>
    <r>
      <rPr>
        <sz val="11"/>
        <color theme="1"/>
        <rFont val="Noto Sans SC"/>
        <family val="2"/>
        <charset val="134"/>
      </rPr>
      <t xml:space="preserve">计算</t>
    </r>
  </si>
  <si>
    <r>
      <rPr>
        <sz val="11"/>
        <color theme="1"/>
        <rFont val="Noto Sans SC"/>
        <family val="2"/>
        <charset val="134"/>
      </rPr>
      <t xml:space="preserve">首先，通过</t>
    </r>
    <r>
      <rPr>
        <sz val="11"/>
        <color theme="1"/>
        <rFont val="Calibri"/>
        <family val="2"/>
        <charset val="1"/>
      </rPr>
      <t xml:space="preserve">countif</t>
    </r>
    <r>
      <rPr>
        <sz val="11"/>
        <color theme="1"/>
        <rFont val="Noto Sans SC"/>
        <family val="2"/>
        <charset val="134"/>
      </rPr>
      <t xml:space="preserve">函数计算出该图标在该列出现的个数以及每列总图标个数</t>
    </r>
  </si>
  <si>
    <r>
      <rPr>
        <sz val="11"/>
        <color theme="1"/>
        <rFont val="Noto Sans SC"/>
        <family val="2"/>
        <charset val="134"/>
      </rPr>
      <t xml:space="preserve">［配图 </t>
    </r>
    <r>
      <rPr>
        <sz val="11"/>
        <color theme="1"/>
        <rFont val="Calibri"/>
        <family val="2"/>
        <charset val="1"/>
      </rPr>
      <t xml:space="preserve">07</t>
    </r>
    <r>
      <rPr>
        <sz val="11"/>
        <color theme="1"/>
        <rFont val="Noto Sans SC"/>
        <family val="2"/>
        <charset val="134"/>
      </rPr>
      <t xml:space="preserve">］</t>
    </r>
    <r>
      <rPr>
        <sz val="11"/>
        <color theme="1"/>
        <rFont val="Calibri"/>
        <family val="2"/>
        <charset val="1"/>
      </rPr>
      <t xml:space="preserve">623825211-07.jpg</t>
    </r>
  </si>
  <si>
    <t xml:space="preserve">依据图标个数计算得出中奖事件数和总事件数，并通过两个数字相除得到中奖率</t>
  </si>
  <si>
    <r>
      <rPr>
        <sz val="11"/>
        <color theme="1"/>
        <rFont val="Noto Sans SC"/>
        <family val="2"/>
        <charset val="134"/>
      </rPr>
      <t xml:space="preserve">［配图 </t>
    </r>
    <r>
      <rPr>
        <sz val="11"/>
        <color theme="1"/>
        <rFont val="Calibri"/>
        <family val="2"/>
        <charset val="1"/>
      </rPr>
      <t xml:space="preserve">08</t>
    </r>
    <r>
      <rPr>
        <sz val="11"/>
        <color theme="1"/>
        <rFont val="Noto Sans SC"/>
        <family val="2"/>
        <charset val="134"/>
      </rPr>
      <t xml:space="preserve">］</t>
    </r>
    <r>
      <rPr>
        <sz val="11"/>
        <color theme="1"/>
        <rFont val="Calibri"/>
        <family val="2"/>
        <charset val="1"/>
      </rPr>
      <t xml:space="preserve">623825211-08.jpg</t>
    </r>
  </si>
  <si>
    <r>
      <rPr>
        <sz val="11"/>
        <color theme="1"/>
        <rFont val="Noto Sans SC"/>
        <family val="2"/>
        <charset val="134"/>
      </rPr>
      <t xml:space="preserve">用中奖率乘上预先设置好的赔付倍数，得到单线</t>
    </r>
    <r>
      <rPr>
        <sz val="11"/>
        <color theme="1"/>
        <rFont val="Calibri"/>
        <family val="2"/>
        <charset val="1"/>
      </rPr>
      <t xml:space="preserve">RTP</t>
    </r>
  </si>
  <si>
    <r>
      <rPr>
        <sz val="11"/>
        <color theme="1"/>
        <rFont val="Noto Sans SC"/>
        <family val="2"/>
        <charset val="134"/>
      </rPr>
      <t xml:space="preserve">［配图 </t>
    </r>
    <r>
      <rPr>
        <sz val="11"/>
        <color theme="1"/>
        <rFont val="Calibri"/>
        <family val="2"/>
        <charset val="1"/>
      </rPr>
      <t xml:space="preserve">09</t>
    </r>
    <r>
      <rPr>
        <sz val="11"/>
        <color theme="1"/>
        <rFont val="Noto Sans SC"/>
        <family val="2"/>
        <charset val="134"/>
      </rPr>
      <t xml:space="preserve">］</t>
    </r>
    <r>
      <rPr>
        <sz val="11"/>
        <color theme="1"/>
        <rFont val="Calibri"/>
        <family val="2"/>
        <charset val="1"/>
      </rPr>
      <t xml:space="preserve">623825211-09.png</t>
    </r>
  </si>
  <si>
    <r>
      <rPr>
        <sz val="11"/>
        <color theme="1"/>
        <rFont val="Noto Sans SC"/>
        <family val="2"/>
        <charset val="134"/>
      </rPr>
      <t xml:space="preserve">因为整体结算时需要将下注额分摊到各中奖线，因此单线</t>
    </r>
    <r>
      <rPr>
        <sz val="11"/>
        <color theme="1"/>
        <rFont val="Calibri"/>
        <family val="2"/>
        <charset val="1"/>
      </rPr>
      <t xml:space="preserve">RTP</t>
    </r>
    <r>
      <rPr>
        <sz val="11"/>
        <color theme="1"/>
        <rFont val="Noto Sans SC"/>
        <family val="2"/>
        <charset val="134"/>
      </rPr>
      <t xml:space="preserve">和整体</t>
    </r>
    <r>
      <rPr>
        <sz val="11"/>
        <color theme="1"/>
        <rFont val="Calibri"/>
        <family val="2"/>
        <charset val="1"/>
      </rPr>
      <t xml:space="preserve">RTP</t>
    </r>
    <r>
      <rPr>
        <sz val="11"/>
        <color theme="1"/>
        <rFont val="Noto Sans SC"/>
        <family val="2"/>
        <charset val="134"/>
      </rPr>
      <t xml:space="preserve">相等</t>
    </r>
  </si>
  <si>
    <r>
      <rPr>
        <sz val="11"/>
        <color theme="1"/>
        <rFont val="Noto Sans SC"/>
        <family val="2"/>
        <charset val="134"/>
      </rPr>
      <t xml:space="preserve">计算得到和</t>
    </r>
    <r>
      <rPr>
        <sz val="11"/>
        <color theme="1"/>
        <rFont val="Calibri"/>
        <family val="2"/>
        <charset val="1"/>
      </rPr>
      <t xml:space="preserve">RTP</t>
    </r>
    <r>
      <rPr>
        <sz val="11"/>
        <color theme="1"/>
        <rFont val="Noto Sans SC"/>
        <family val="2"/>
        <charset val="134"/>
      </rPr>
      <t xml:space="preserve">为</t>
    </r>
    <r>
      <rPr>
        <sz val="11"/>
        <color theme="1"/>
        <rFont val="Calibri"/>
        <family val="2"/>
        <charset val="1"/>
      </rPr>
      <t xml:space="preserve">96.82%</t>
    </r>
    <r>
      <rPr>
        <sz val="11"/>
        <color theme="1"/>
        <rFont val="Noto Sans SC"/>
        <family val="2"/>
        <charset val="134"/>
      </rPr>
      <t xml:space="preserve">，和其官网公布的</t>
    </r>
    <r>
      <rPr>
        <sz val="11"/>
        <color theme="1"/>
        <rFont val="Calibri"/>
        <family val="2"/>
        <charset val="1"/>
      </rPr>
      <t xml:space="preserve">96%</t>
    </r>
    <r>
      <rPr>
        <sz val="11"/>
        <color theme="1"/>
        <rFont val="Noto Sans SC"/>
        <family val="2"/>
        <charset val="134"/>
      </rPr>
      <t xml:space="preserve">比较接近</t>
    </r>
  </si>
  <si>
    <r>
      <rPr>
        <sz val="11"/>
        <color theme="1"/>
        <rFont val="Noto Sans SC"/>
        <family val="2"/>
        <charset val="134"/>
      </rPr>
      <t xml:space="preserve">因此当前卷轴和赔付倍数设计，能够满足</t>
    </r>
    <r>
      <rPr>
        <sz val="11"/>
        <color theme="1"/>
        <rFont val="Calibri"/>
        <family val="2"/>
        <charset val="1"/>
      </rPr>
      <t xml:space="preserve">96%RTP</t>
    </r>
    <r>
      <rPr>
        <sz val="11"/>
        <color theme="1"/>
        <rFont val="Noto Sans SC"/>
        <family val="2"/>
        <charset val="134"/>
      </rPr>
      <t xml:space="preserve">的</t>
    </r>
    <r>
      <rPr>
        <sz val="11"/>
        <color theme="1"/>
        <rFont val="Calibri"/>
        <family val="2"/>
        <charset val="1"/>
      </rPr>
      <t xml:space="preserve">3*3 Line Slots</t>
    </r>
    <r>
      <rPr>
        <sz val="11"/>
        <color theme="1"/>
        <rFont val="Noto Sans SC"/>
        <family val="2"/>
        <charset val="134"/>
      </rPr>
      <t xml:space="preserve">的数值配置</t>
    </r>
  </si>
  <si>
    <r>
      <rPr>
        <sz val="11"/>
        <color theme="1"/>
        <rFont val="Noto Sans SC"/>
        <family val="2"/>
        <charset val="134"/>
      </rPr>
      <t xml:space="preserve">以上便是在随机固定卷轴情况下的 </t>
    </r>
    <r>
      <rPr>
        <sz val="11"/>
        <color theme="1"/>
        <rFont val="Calibri"/>
        <family val="2"/>
        <charset val="1"/>
      </rPr>
      <t xml:space="preserve">3*3 Line Slots</t>
    </r>
    <r>
      <rPr>
        <sz val="11"/>
        <color theme="1"/>
        <rFont val="Noto Sans SC"/>
        <family val="2"/>
        <charset val="134"/>
      </rPr>
      <t xml:space="preserve">的</t>
    </r>
    <r>
      <rPr>
        <sz val="11"/>
        <color theme="1"/>
        <rFont val="Calibri"/>
        <family val="2"/>
        <charset val="1"/>
      </rPr>
      <t xml:space="preserve">RTP</t>
    </r>
    <r>
      <rPr>
        <sz val="11"/>
        <color theme="1"/>
        <rFont val="Noto Sans SC"/>
        <family val="2"/>
        <charset val="134"/>
      </rPr>
      <t xml:space="preserve">计算方法和步骤</t>
    </r>
  </si>
  <si>
    <r>
      <rPr>
        <sz val="11"/>
        <color theme="1"/>
        <rFont val="Noto Sans SC"/>
        <family val="2"/>
        <charset val="134"/>
      </rPr>
      <t xml:space="preserve">即使三个卷轴不是随机排列并且一模一样，会导致中奖线</t>
    </r>
    <r>
      <rPr>
        <sz val="11"/>
        <color theme="1"/>
        <rFont val="Calibri"/>
        <family val="2"/>
        <charset val="1"/>
      </rPr>
      <t xml:space="preserve">1</t>
    </r>
    <r>
      <rPr>
        <sz val="11"/>
        <color theme="1"/>
        <rFont val="Noto Sans SC"/>
        <family val="2"/>
        <charset val="134"/>
      </rPr>
      <t xml:space="preserve">中奖时，中奖线</t>
    </r>
    <r>
      <rPr>
        <sz val="11"/>
        <color theme="1"/>
        <rFont val="Calibri"/>
        <family val="2"/>
        <charset val="1"/>
      </rPr>
      <t xml:space="preserve">2</t>
    </r>
    <r>
      <rPr>
        <sz val="11"/>
        <color theme="1"/>
        <rFont val="Noto Sans SC"/>
        <family val="2"/>
        <charset val="134"/>
      </rPr>
      <t xml:space="preserve">和</t>
    </r>
    <r>
      <rPr>
        <sz val="11"/>
        <color theme="1"/>
        <rFont val="Calibri"/>
        <family val="2"/>
        <charset val="1"/>
      </rPr>
      <t xml:space="preserve">3</t>
    </r>
    <r>
      <rPr>
        <sz val="11"/>
        <color theme="1"/>
        <rFont val="Noto Sans SC"/>
        <family val="2"/>
        <charset val="134"/>
      </rPr>
      <t xml:space="preserve">也中奖，该套计算方法依旧适用，因为当卷轴完全一致时需要对可能性去重，计算概率将分子分母去重后计算公式整体不变</t>
    </r>
  </si>
  <si>
    <t xml:space="preserve">固定卷轴和随机卷轴</t>
  </si>
  <si>
    <r>
      <rPr>
        <sz val="11"/>
        <color theme="1"/>
        <rFont val="Noto Sans SC"/>
        <family val="2"/>
        <charset val="134"/>
      </rPr>
      <t xml:space="preserve">上篇和本篇在计算可能性时都使用 “满足条件的事件数 </t>
    </r>
    <r>
      <rPr>
        <sz val="11"/>
        <color theme="1"/>
        <rFont val="Calibri"/>
        <family val="2"/>
        <charset val="1"/>
      </rPr>
      <t xml:space="preserve">/ </t>
    </r>
    <r>
      <rPr>
        <sz val="11"/>
        <color theme="1"/>
        <rFont val="Noto Sans SC"/>
        <family val="2"/>
        <charset val="134"/>
      </rPr>
      <t xml:space="preserve">总事件数” 的方式</t>
    </r>
  </si>
  <si>
    <t xml:space="preserve">这个方法一定不会有错但是在实际工作中有时不会采用固定卷轴的方式</t>
  </si>
  <si>
    <t xml:space="preserve">和固定卷轴相对的就是随机卷轴</t>
  </si>
  <si>
    <r>
      <rPr>
        <sz val="11"/>
        <color theme="1"/>
        <rFont val="Noto Sans SC"/>
        <family val="2"/>
        <charset val="134"/>
      </rPr>
      <t xml:space="preserve">使用图标的出现几率控制老虎机的</t>
    </r>
    <r>
      <rPr>
        <sz val="11"/>
        <color theme="1"/>
        <rFont val="Calibri"/>
        <family val="2"/>
        <charset val="1"/>
      </rPr>
      <t xml:space="preserve">RTP</t>
    </r>
  </si>
  <si>
    <t xml:space="preserve">两种方法在计算步骤上存在一定差异</t>
  </si>
  <si>
    <t xml:space="preserve">但是得到的结果是一致的</t>
  </si>
  <si>
    <r>
      <rPr>
        <sz val="11"/>
        <color theme="1"/>
        <rFont val="Noto Sans SC"/>
        <family val="2"/>
        <charset val="134"/>
      </rPr>
      <t xml:space="preserve">以</t>
    </r>
    <r>
      <rPr>
        <sz val="11"/>
        <color theme="1"/>
        <rFont val="Calibri"/>
        <family val="2"/>
        <charset val="1"/>
      </rPr>
      <t xml:space="preserve">Lucky Streak 3</t>
    </r>
    <r>
      <rPr>
        <sz val="11"/>
        <color theme="1"/>
        <rFont val="Noto Sans SC"/>
        <family val="2"/>
        <charset val="134"/>
      </rPr>
      <t xml:space="preserve">为例</t>
    </r>
  </si>
  <si>
    <t xml:space="preserve">从固定卷轴上读取各图标个数</t>
  </si>
  <si>
    <r>
      <rPr>
        <sz val="11"/>
        <color theme="1"/>
        <rFont val="Noto Sans SC"/>
        <family val="2"/>
        <charset val="134"/>
      </rPr>
      <t xml:space="preserve">假设</t>
    </r>
    <r>
      <rPr>
        <sz val="11"/>
        <color theme="1"/>
        <rFont val="Calibri"/>
        <family val="2"/>
        <charset val="1"/>
      </rPr>
      <t xml:space="preserve">Bar</t>
    </r>
    <r>
      <rPr>
        <sz val="11"/>
        <color theme="1"/>
        <rFont val="Noto Sans SC"/>
        <family val="2"/>
        <charset val="134"/>
      </rPr>
      <t xml:space="preserve">图标在三列的个数分别为 </t>
    </r>
    <r>
      <rPr>
        <sz val="11"/>
        <color theme="1"/>
        <rFont val="Calibri"/>
        <family val="2"/>
        <charset val="1"/>
      </rPr>
      <t xml:space="preserve">Bar1</t>
    </r>
    <r>
      <rPr>
        <sz val="11"/>
        <color theme="1"/>
        <rFont val="Noto Sans SC"/>
        <family val="2"/>
        <charset val="134"/>
      </rPr>
      <t xml:space="preserve">、</t>
    </r>
    <r>
      <rPr>
        <sz val="11"/>
        <color theme="1"/>
        <rFont val="Calibri"/>
        <family val="2"/>
        <charset val="1"/>
      </rPr>
      <t xml:space="preserve">Bar2</t>
    </r>
    <r>
      <rPr>
        <sz val="11"/>
        <color theme="1"/>
        <rFont val="Noto Sans SC"/>
        <family val="2"/>
        <charset val="134"/>
      </rPr>
      <t xml:space="preserve">和</t>
    </r>
    <r>
      <rPr>
        <sz val="11"/>
        <color theme="1"/>
        <rFont val="Calibri"/>
        <family val="2"/>
        <charset val="1"/>
      </rPr>
      <t xml:space="preserve">Bar3</t>
    </r>
  </si>
  <si>
    <r>
      <rPr>
        <sz val="11"/>
        <color theme="1"/>
        <rFont val="Noto Sans SC"/>
        <family val="2"/>
        <charset val="134"/>
      </rPr>
      <t xml:space="preserve">三列的总图标个数均为</t>
    </r>
    <r>
      <rPr>
        <sz val="11"/>
        <color theme="1"/>
        <rFont val="Calibri"/>
        <family val="2"/>
        <charset val="1"/>
      </rPr>
      <t xml:space="preserve">X</t>
    </r>
  </si>
  <si>
    <r>
      <rPr>
        <sz val="11"/>
        <color theme="1"/>
        <rFont val="Noto Sans SC"/>
        <family val="2"/>
        <charset val="134"/>
      </rPr>
      <t xml:space="preserve">此时，</t>
    </r>
    <r>
      <rPr>
        <sz val="11"/>
        <color theme="1"/>
        <rFont val="Calibri"/>
        <family val="2"/>
        <charset val="1"/>
      </rPr>
      <t xml:space="preserve">Bar</t>
    </r>
    <r>
      <rPr>
        <sz val="11"/>
        <color theme="1"/>
        <rFont val="Noto Sans SC"/>
        <family val="2"/>
        <charset val="134"/>
      </rPr>
      <t xml:space="preserve">图标在任意一条中奖线上的中奖事件数为 </t>
    </r>
    <r>
      <rPr>
        <sz val="11"/>
        <color theme="1"/>
        <rFont val="Calibri"/>
        <family val="2"/>
        <charset val="1"/>
      </rPr>
      <t xml:space="preserve">Bar1 * Bar2 * Bar3</t>
    </r>
  </si>
  <si>
    <r>
      <rPr>
        <sz val="11"/>
        <color theme="1"/>
        <rFont val="Noto Sans SC"/>
        <family val="2"/>
        <charset val="134"/>
      </rPr>
      <t xml:space="preserve">总事件数为 </t>
    </r>
    <r>
      <rPr>
        <sz val="11"/>
        <color theme="1"/>
        <rFont val="Calibri"/>
        <family val="2"/>
        <charset val="1"/>
      </rPr>
      <t xml:space="preserve">X ^ 3</t>
    </r>
  </si>
  <si>
    <r>
      <rPr>
        <sz val="11"/>
        <color theme="1"/>
        <rFont val="Noto Sans SC"/>
        <family val="2"/>
        <charset val="134"/>
      </rPr>
      <t xml:space="preserve">此时，</t>
    </r>
    <r>
      <rPr>
        <sz val="11"/>
        <color theme="1"/>
        <rFont val="Calibri"/>
        <family val="2"/>
        <charset val="1"/>
      </rPr>
      <t xml:space="preserve">Bar</t>
    </r>
    <r>
      <rPr>
        <sz val="11"/>
        <color theme="1"/>
        <rFont val="Noto Sans SC"/>
        <family val="2"/>
        <charset val="134"/>
      </rPr>
      <t xml:space="preserve">图标的中奖率为（</t>
    </r>
    <r>
      <rPr>
        <sz val="11"/>
        <color theme="1"/>
        <rFont val="Calibri"/>
        <family val="2"/>
        <charset val="1"/>
      </rPr>
      <t xml:space="preserve">Bar1 * Bar2 * Bar3</t>
    </r>
    <r>
      <rPr>
        <sz val="11"/>
        <color theme="1"/>
        <rFont val="Noto Sans SC"/>
        <family val="2"/>
        <charset val="134"/>
      </rPr>
      <t xml:space="preserve">）</t>
    </r>
    <r>
      <rPr>
        <sz val="11"/>
        <color theme="1"/>
        <rFont val="Calibri"/>
        <family val="2"/>
        <charset val="1"/>
      </rPr>
      <t xml:space="preserve">/</t>
    </r>
    <r>
      <rPr>
        <sz val="11"/>
        <color theme="1"/>
        <rFont val="Noto Sans SC"/>
        <family val="2"/>
        <charset val="134"/>
      </rPr>
      <t xml:space="preserve">（ </t>
    </r>
    <r>
      <rPr>
        <sz val="11"/>
        <color theme="1"/>
        <rFont val="Calibri"/>
        <family val="2"/>
        <charset val="1"/>
      </rPr>
      <t xml:space="preserve">X ^ 3</t>
    </r>
    <r>
      <rPr>
        <sz val="11"/>
        <color theme="1"/>
        <rFont val="Noto Sans SC"/>
        <family val="2"/>
        <charset val="134"/>
      </rPr>
      <t xml:space="preserve">）</t>
    </r>
  </si>
  <si>
    <t xml:space="preserve">使用以上公式乘上图标中奖组合对应的赔付倍数，就可以得到该图标的期望</t>
  </si>
  <si>
    <r>
      <rPr>
        <sz val="11"/>
        <color theme="1"/>
        <rFont val="Noto Sans SC"/>
        <family val="2"/>
        <charset val="134"/>
      </rPr>
      <t xml:space="preserve">但是先别急，将上述公式变形可以得到（</t>
    </r>
    <r>
      <rPr>
        <sz val="11"/>
        <color theme="1"/>
        <rFont val="Calibri"/>
        <family val="2"/>
        <charset val="1"/>
      </rPr>
      <t xml:space="preserve">Bar1 / X</t>
    </r>
    <r>
      <rPr>
        <sz val="11"/>
        <color theme="1"/>
        <rFont val="Noto Sans SC"/>
        <family val="2"/>
        <charset val="134"/>
      </rPr>
      <t xml:space="preserve">）</t>
    </r>
    <r>
      <rPr>
        <sz val="11"/>
        <color theme="1"/>
        <rFont val="Calibri"/>
        <family val="2"/>
        <charset val="1"/>
      </rPr>
      <t xml:space="preserve">*</t>
    </r>
    <r>
      <rPr>
        <sz val="11"/>
        <color theme="1"/>
        <rFont val="Noto Sans SC"/>
        <family val="2"/>
        <charset val="134"/>
      </rPr>
      <t xml:space="preserve">（</t>
    </r>
    <r>
      <rPr>
        <sz val="11"/>
        <color theme="1"/>
        <rFont val="Calibri"/>
        <family val="2"/>
        <charset val="1"/>
      </rPr>
      <t xml:space="preserve">Bar2 / X</t>
    </r>
    <r>
      <rPr>
        <sz val="11"/>
        <color theme="1"/>
        <rFont val="Noto Sans SC"/>
        <family val="2"/>
        <charset val="134"/>
      </rPr>
      <t xml:space="preserve">）</t>
    </r>
    <r>
      <rPr>
        <sz val="11"/>
        <color theme="1"/>
        <rFont val="Calibri"/>
        <family val="2"/>
        <charset val="1"/>
      </rPr>
      <t xml:space="preserve">*</t>
    </r>
    <r>
      <rPr>
        <sz val="11"/>
        <color theme="1"/>
        <rFont val="Noto Sans SC"/>
        <family val="2"/>
        <charset val="134"/>
      </rPr>
      <t xml:space="preserve">（</t>
    </r>
    <r>
      <rPr>
        <sz val="11"/>
        <color theme="1"/>
        <rFont val="Calibri"/>
        <family val="2"/>
        <charset val="1"/>
      </rPr>
      <t xml:space="preserve">Bar3 / X</t>
    </r>
    <r>
      <rPr>
        <sz val="11"/>
        <color theme="1"/>
        <rFont val="Noto Sans SC"/>
        <family val="2"/>
        <charset val="134"/>
      </rPr>
      <t xml:space="preserve">）</t>
    </r>
  </si>
  <si>
    <r>
      <rPr>
        <sz val="11"/>
        <color theme="1"/>
        <rFont val="Noto Sans SC"/>
        <family val="2"/>
        <charset val="134"/>
      </rPr>
      <t xml:space="preserve">其中（</t>
    </r>
    <r>
      <rPr>
        <sz val="11"/>
        <color theme="1"/>
        <rFont val="Calibri"/>
        <family val="2"/>
        <charset val="1"/>
      </rPr>
      <t xml:space="preserve">Bar1 / X</t>
    </r>
    <r>
      <rPr>
        <sz val="11"/>
        <color theme="1"/>
        <rFont val="Noto Sans SC"/>
        <family val="2"/>
        <charset val="134"/>
      </rPr>
      <t xml:space="preserve">）、（</t>
    </r>
    <r>
      <rPr>
        <sz val="11"/>
        <color theme="1"/>
        <rFont val="Calibri"/>
        <family val="2"/>
        <charset val="1"/>
      </rPr>
      <t xml:space="preserve">Bar2 / X</t>
    </r>
    <r>
      <rPr>
        <sz val="11"/>
        <color theme="1"/>
        <rFont val="Noto Sans SC"/>
        <family val="2"/>
        <charset val="134"/>
      </rPr>
      <t xml:space="preserve">）和（</t>
    </r>
    <r>
      <rPr>
        <sz val="11"/>
        <color theme="1"/>
        <rFont val="Calibri"/>
        <family val="2"/>
        <charset val="1"/>
      </rPr>
      <t xml:space="preserve">Bar3 / X</t>
    </r>
    <r>
      <rPr>
        <sz val="11"/>
        <color theme="1"/>
        <rFont val="Noto Sans SC"/>
        <family val="2"/>
        <charset val="134"/>
      </rPr>
      <t xml:space="preserve">）分别对应的就是</t>
    </r>
    <r>
      <rPr>
        <sz val="11"/>
        <color theme="1"/>
        <rFont val="Calibri"/>
        <family val="2"/>
        <charset val="1"/>
      </rPr>
      <t xml:space="preserve">Bar</t>
    </r>
    <r>
      <rPr>
        <sz val="11"/>
        <color theme="1"/>
        <rFont val="Noto Sans SC"/>
        <family val="2"/>
        <charset val="134"/>
      </rPr>
      <t xml:space="preserve">图标在三列的出现几率</t>
    </r>
  </si>
  <si>
    <t xml:space="preserve">因此直接设置图标在三列的出现几率和设置固定卷轴计算得到的结果是一致的</t>
  </si>
  <si>
    <r>
      <rPr>
        <sz val="11"/>
        <color theme="1"/>
        <rFont val="Noto Sans SC"/>
        <family val="2"/>
        <charset val="134"/>
      </rPr>
      <t xml:space="preserve">需要注意所有图标概率之和相加等于</t>
    </r>
    <r>
      <rPr>
        <sz val="11"/>
        <color theme="1"/>
        <rFont val="Calibri"/>
        <family val="2"/>
        <charset val="1"/>
      </rPr>
      <t xml:space="preserve">100%</t>
    </r>
    <r>
      <rPr>
        <sz val="11"/>
        <color theme="1"/>
        <rFont val="Noto Sans SC"/>
        <family val="2"/>
        <charset val="134"/>
      </rPr>
      <t xml:space="preserve">即可</t>
    </r>
  </si>
  <si>
    <t xml:space="preserve">计算步骤详见下图：</t>
  </si>
  <si>
    <r>
      <rPr>
        <sz val="11"/>
        <color theme="1"/>
        <rFont val="Noto Sans SC"/>
        <family val="2"/>
        <charset val="134"/>
      </rPr>
      <t xml:space="preserve">［配图 </t>
    </r>
    <r>
      <rPr>
        <sz val="11"/>
        <color theme="1"/>
        <rFont val="Calibri"/>
        <family val="2"/>
        <charset val="1"/>
      </rPr>
      <t xml:space="preserve">10</t>
    </r>
    <r>
      <rPr>
        <sz val="11"/>
        <color theme="1"/>
        <rFont val="Noto Sans SC"/>
        <family val="2"/>
        <charset val="134"/>
      </rPr>
      <t xml:space="preserve">］</t>
    </r>
    <r>
      <rPr>
        <sz val="11"/>
        <color theme="1"/>
        <rFont val="Calibri"/>
        <family val="2"/>
        <charset val="1"/>
      </rPr>
      <t xml:space="preserve">623825211-10.jpg</t>
    </r>
  </si>
  <si>
    <t xml:space="preserve">附上使用事件数计算的基础方法，进行对比，可比较以下两者的差异选择更合适的一个作为自己的制作方法</t>
  </si>
  <si>
    <r>
      <rPr>
        <sz val="11"/>
        <color theme="1"/>
        <rFont val="Noto Sans SC"/>
        <family val="2"/>
        <charset val="134"/>
      </rPr>
      <t xml:space="preserve">［配图 </t>
    </r>
    <r>
      <rPr>
        <sz val="11"/>
        <color theme="1"/>
        <rFont val="Calibri"/>
        <family val="2"/>
        <charset val="1"/>
      </rPr>
      <t xml:space="preserve">11</t>
    </r>
    <r>
      <rPr>
        <sz val="11"/>
        <color theme="1"/>
        <rFont val="Noto Sans SC"/>
        <family val="2"/>
        <charset val="134"/>
      </rPr>
      <t xml:space="preserve">］</t>
    </r>
    <r>
      <rPr>
        <sz val="11"/>
        <color theme="1"/>
        <rFont val="Calibri"/>
        <family val="2"/>
        <charset val="1"/>
      </rPr>
      <t xml:space="preserve">623825211-11.jpg</t>
    </r>
  </si>
  <si>
    <t xml:space="preserve">上述两个计算方式得出的几率不一样，是因为每个图标出现的差异其实不同</t>
  </si>
  <si>
    <t xml:space="preserve">对图标概率的控制精细度也是固定卷轴和随机卷轴的主要差异之一</t>
  </si>
  <si>
    <r>
      <rPr>
        <b val="true"/>
        <sz val="11"/>
        <rFont val="Noto Sans SC"/>
        <family val="2"/>
        <charset val="134"/>
      </rPr>
      <t xml:space="preserve">原文配图清单（共 </t>
    </r>
    <r>
      <rPr>
        <b val="true"/>
        <sz val="11"/>
        <rFont val="Cambria"/>
        <family val="0"/>
        <charset val="1"/>
      </rPr>
      <t xml:space="preserve">11 </t>
    </r>
    <r>
      <rPr>
        <b val="true"/>
        <sz val="11"/>
        <rFont val="Noto Sans SC"/>
        <family val="2"/>
        <charset val="134"/>
      </rPr>
      <t xml:space="preserve">张，已保存到 </t>
    </r>
    <r>
      <rPr>
        <b val="true"/>
        <sz val="11"/>
        <rFont val="Cambria"/>
        <family val="0"/>
        <charset val="1"/>
      </rPr>
      <t xml:space="preserve">images/slots/</t>
    </r>
    <r>
      <rPr>
        <b val="true"/>
        <sz val="11"/>
        <rFont val="Noto Sans SC"/>
        <family val="2"/>
        <charset val="134"/>
      </rPr>
      <t xml:space="preserve">）</t>
    </r>
  </si>
  <si>
    <r>
      <rPr>
        <sz val="11"/>
        <color rgb="FF808080"/>
        <rFont val="Noto Sans SC"/>
        <family val="2"/>
        <charset val="134"/>
      </rPr>
      <t xml:space="preserve">［配图 </t>
    </r>
    <r>
      <rPr>
        <sz val="11"/>
        <color rgb="FF808080"/>
        <rFont val="Cambria"/>
        <family val="0"/>
        <charset val="1"/>
      </rPr>
      <t xml:space="preserve">01</t>
    </r>
    <r>
      <rPr>
        <sz val="11"/>
        <color rgb="FF808080"/>
        <rFont val="Noto Sans SC"/>
        <family val="2"/>
        <charset val="134"/>
      </rPr>
      <t xml:space="preserve">］</t>
    </r>
    <r>
      <rPr>
        <sz val="11"/>
        <color rgb="FF808080"/>
        <rFont val="Cambria"/>
        <family val="0"/>
        <charset val="1"/>
      </rPr>
      <t xml:space="preserve">623825211-01.jpg</t>
    </r>
  </si>
  <si>
    <r>
      <rPr>
        <sz val="11"/>
        <color rgb="FF808080"/>
        <rFont val="Noto Sans SC"/>
        <family val="2"/>
        <charset val="134"/>
      </rPr>
      <t xml:space="preserve">［配图 </t>
    </r>
    <r>
      <rPr>
        <sz val="11"/>
        <color rgb="FF808080"/>
        <rFont val="Cambria"/>
        <family val="0"/>
        <charset val="1"/>
      </rPr>
      <t xml:space="preserve">02</t>
    </r>
    <r>
      <rPr>
        <sz val="11"/>
        <color rgb="FF808080"/>
        <rFont val="Noto Sans SC"/>
        <family val="2"/>
        <charset val="134"/>
      </rPr>
      <t xml:space="preserve">］</t>
    </r>
    <r>
      <rPr>
        <sz val="11"/>
        <color rgb="FF808080"/>
        <rFont val="Cambria"/>
        <family val="0"/>
        <charset val="1"/>
      </rPr>
      <t xml:space="preserve">623825211-02.jpg</t>
    </r>
  </si>
  <si>
    <r>
      <rPr>
        <sz val="11"/>
        <color rgb="FF808080"/>
        <rFont val="Noto Sans SC"/>
        <family val="2"/>
        <charset val="134"/>
      </rPr>
      <t xml:space="preserve">［配图 </t>
    </r>
    <r>
      <rPr>
        <sz val="11"/>
        <color rgb="FF808080"/>
        <rFont val="Cambria"/>
        <family val="0"/>
        <charset val="1"/>
      </rPr>
      <t xml:space="preserve">03</t>
    </r>
    <r>
      <rPr>
        <sz val="11"/>
        <color rgb="FF808080"/>
        <rFont val="Noto Sans SC"/>
        <family val="2"/>
        <charset val="134"/>
      </rPr>
      <t xml:space="preserve">］</t>
    </r>
    <r>
      <rPr>
        <sz val="11"/>
        <color rgb="FF808080"/>
        <rFont val="Cambria"/>
        <family val="0"/>
        <charset val="1"/>
      </rPr>
      <t xml:space="preserve">623825211-03.jpg</t>
    </r>
  </si>
  <si>
    <r>
      <rPr>
        <sz val="11"/>
        <color rgb="FF808080"/>
        <rFont val="Noto Sans SC"/>
        <family val="2"/>
        <charset val="134"/>
      </rPr>
      <t xml:space="preserve">［配图 </t>
    </r>
    <r>
      <rPr>
        <sz val="11"/>
        <color rgb="FF808080"/>
        <rFont val="Cambria"/>
        <family val="0"/>
        <charset val="1"/>
      </rPr>
      <t xml:space="preserve">04</t>
    </r>
    <r>
      <rPr>
        <sz val="11"/>
        <color rgb="FF808080"/>
        <rFont val="Noto Sans SC"/>
        <family val="2"/>
        <charset val="134"/>
      </rPr>
      <t xml:space="preserve">］</t>
    </r>
    <r>
      <rPr>
        <sz val="11"/>
        <color rgb="FF808080"/>
        <rFont val="Cambria"/>
        <family val="0"/>
        <charset val="1"/>
      </rPr>
      <t xml:space="preserve">623825211-04.png</t>
    </r>
  </si>
  <si>
    <r>
      <rPr>
        <sz val="11"/>
        <color rgb="FF808080"/>
        <rFont val="Noto Sans SC"/>
        <family val="2"/>
        <charset val="134"/>
      </rPr>
      <t xml:space="preserve">［配图 </t>
    </r>
    <r>
      <rPr>
        <sz val="11"/>
        <color rgb="FF808080"/>
        <rFont val="Cambria"/>
        <family val="0"/>
        <charset val="1"/>
      </rPr>
      <t xml:space="preserve">05</t>
    </r>
    <r>
      <rPr>
        <sz val="11"/>
        <color rgb="FF808080"/>
        <rFont val="Noto Sans SC"/>
        <family val="2"/>
        <charset val="134"/>
      </rPr>
      <t xml:space="preserve">］</t>
    </r>
    <r>
      <rPr>
        <sz val="11"/>
        <color rgb="FF808080"/>
        <rFont val="Cambria"/>
        <family val="0"/>
        <charset val="1"/>
      </rPr>
      <t xml:space="preserve">623825211-05.png</t>
    </r>
  </si>
  <si>
    <r>
      <rPr>
        <sz val="11"/>
        <color rgb="FF808080"/>
        <rFont val="Noto Sans SC"/>
        <family val="2"/>
        <charset val="134"/>
      </rPr>
      <t xml:space="preserve">［配图 </t>
    </r>
    <r>
      <rPr>
        <sz val="11"/>
        <color rgb="FF808080"/>
        <rFont val="Cambria"/>
        <family val="0"/>
        <charset val="1"/>
      </rPr>
      <t xml:space="preserve">06</t>
    </r>
    <r>
      <rPr>
        <sz val="11"/>
        <color rgb="FF808080"/>
        <rFont val="Noto Sans SC"/>
        <family val="2"/>
        <charset val="134"/>
      </rPr>
      <t xml:space="preserve">］</t>
    </r>
    <r>
      <rPr>
        <sz val="11"/>
        <color rgb="FF808080"/>
        <rFont val="Cambria"/>
        <family val="0"/>
        <charset val="1"/>
      </rPr>
      <t xml:space="preserve">623825211-06.jpg</t>
    </r>
  </si>
  <si>
    <r>
      <rPr>
        <sz val="11"/>
        <color rgb="FF808080"/>
        <rFont val="Noto Sans SC"/>
        <family val="2"/>
        <charset val="134"/>
      </rPr>
      <t xml:space="preserve">［配图 </t>
    </r>
    <r>
      <rPr>
        <sz val="11"/>
        <color rgb="FF808080"/>
        <rFont val="Cambria"/>
        <family val="0"/>
        <charset val="1"/>
      </rPr>
      <t xml:space="preserve">07</t>
    </r>
    <r>
      <rPr>
        <sz val="11"/>
        <color rgb="FF808080"/>
        <rFont val="Noto Sans SC"/>
        <family val="2"/>
        <charset val="134"/>
      </rPr>
      <t xml:space="preserve">］</t>
    </r>
    <r>
      <rPr>
        <sz val="11"/>
        <color rgb="FF808080"/>
        <rFont val="Cambria"/>
        <family val="0"/>
        <charset val="1"/>
      </rPr>
      <t xml:space="preserve">623825211-07.jpg</t>
    </r>
  </si>
  <si>
    <r>
      <rPr>
        <sz val="11"/>
        <color rgb="FF808080"/>
        <rFont val="Noto Sans SC"/>
        <family val="2"/>
        <charset val="134"/>
      </rPr>
      <t xml:space="preserve">［配图 </t>
    </r>
    <r>
      <rPr>
        <sz val="11"/>
        <color rgb="FF808080"/>
        <rFont val="Cambria"/>
        <family val="0"/>
        <charset val="1"/>
      </rPr>
      <t xml:space="preserve">08</t>
    </r>
    <r>
      <rPr>
        <sz val="11"/>
        <color rgb="FF808080"/>
        <rFont val="Noto Sans SC"/>
        <family val="2"/>
        <charset val="134"/>
      </rPr>
      <t xml:space="preserve">］</t>
    </r>
    <r>
      <rPr>
        <sz val="11"/>
        <color rgb="FF808080"/>
        <rFont val="Cambria"/>
        <family val="0"/>
        <charset val="1"/>
      </rPr>
      <t xml:space="preserve">623825211-08.jpg</t>
    </r>
  </si>
  <si>
    <r>
      <rPr>
        <sz val="11"/>
        <color rgb="FF808080"/>
        <rFont val="Noto Sans SC"/>
        <family val="2"/>
        <charset val="134"/>
      </rPr>
      <t xml:space="preserve">［配图 </t>
    </r>
    <r>
      <rPr>
        <sz val="11"/>
        <color rgb="FF808080"/>
        <rFont val="Cambria"/>
        <family val="0"/>
        <charset val="1"/>
      </rPr>
      <t xml:space="preserve">09</t>
    </r>
    <r>
      <rPr>
        <sz val="11"/>
        <color rgb="FF808080"/>
        <rFont val="Noto Sans SC"/>
        <family val="2"/>
        <charset val="134"/>
      </rPr>
      <t xml:space="preserve">］</t>
    </r>
    <r>
      <rPr>
        <sz val="11"/>
        <color rgb="FF808080"/>
        <rFont val="Cambria"/>
        <family val="0"/>
        <charset val="1"/>
      </rPr>
      <t xml:space="preserve">623825211-09.png</t>
    </r>
  </si>
  <si>
    <r>
      <rPr>
        <sz val="11"/>
        <color rgb="FF808080"/>
        <rFont val="Noto Sans SC"/>
        <family val="2"/>
        <charset val="134"/>
      </rPr>
      <t xml:space="preserve">［配图 </t>
    </r>
    <r>
      <rPr>
        <sz val="11"/>
        <color rgb="FF808080"/>
        <rFont val="Cambria"/>
        <family val="0"/>
        <charset val="1"/>
      </rPr>
      <t xml:space="preserve">10</t>
    </r>
    <r>
      <rPr>
        <sz val="11"/>
        <color rgb="FF808080"/>
        <rFont val="Noto Sans SC"/>
        <family val="2"/>
        <charset val="134"/>
      </rPr>
      <t xml:space="preserve">］</t>
    </r>
    <r>
      <rPr>
        <sz val="11"/>
        <color rgb="FF808080"/>
        <rFont val="Cambria"/>
        <family val="0"/>
        <charset val="1"/>
      </rPr>
      <t xml:space="preserve">623825211-10.jpg</t>
    </r>
  </si>
  <si>
    <r>
      <rPr>
        <sz val="11"/>
        <color rgb="FF808080"/>
        <rFont val="Noto Sans SC"/>
        <family val="2"/>
        <charset val="134"/>
      </rPr>
      <t xml:space="preserve">［配图 </t>
    </r>
    <r>
      <rPr>
        <sz val="11"/>
        <color rgb="FF808080"/>
        <rFont val="Cambria"/>
        <family val="0"/>
        <charset val="1"/>
      </rPr>
      <t xml:space="preserve">11</t>
    </r>
    <r>
      <rPr>
        <sz val="11"/>
        <color rgb="FF808080"/>
        <rFont val="Noto Sans SC"/>
        <family val="2"/>
        <charset val="134"/>
      </rPr>
      <t xml:space="preserve">］</t>
    </r>
    <r>
      <rPr>
        <sz val="11"/>
        <color rgb="FF808080"/>
        <rFont val="Cambria"/>
        <family val="0"/>
        <charset val="1"/>
      </rPr>
      <t xml:space="preserve">623825211-11.jpg</t>
    </r>
  </si>
  <si>
    <t xml:space="preserve">校验</t>
  </si>
  <si>
    <r>
      <rPr>
        <sz val="11"/>
        <color theme="1"/>
        <rFont val="Noto Sans SC"/>
        <family val="2"/>
        <charset val="134"/>
      </rPr>
      <t xml:space="preserve">① 本簿由 </t>
    </r>
    <r>
      <rPr>
        <sz val="11"/>
        <color theme="1"/>
        <rFont val="Calibri"/>
        <family val="2"/>
        <charset val="1"/>
      </rPr>
      <t xml:space="preserve">openpyxl </t>
    </r>
    <r>
      <rPr>
        <sz val="11"/>
        <color theme="1"/>
        <rFont val="Noto Sans SC"/>
        <family val="2"/>
        <charset val="134"/>
      </rPr>
      <t xml:space="preserve">生成并已开启打开时重算；② 另用 </t>
    </r>
    <r>
      <rPr>
        <sz val="11"/>
        <color theme="1"/>
        <rFont val="Calibri"/>
        <family val="2"/>
        <charset val="1"/>
      </rPr>
      <t xml:space="preserve">LibreOffice </t>
    </r>
    <r>
      <rPr>
        <sz val="11"/>
        <color theme="1"/>
        <rFont val="Noto Sans SC"/>
        <family val="2"/>
        <charset val="134"/>
      </rPr>
      <t xml:space="preserve">独立重算复核，公式错误值 </t>
    </r>
    <r>
      <rPr>
        <sz val="11"/>
        <color theme="1"/>
        <rFont val="Calibri"/>
        <family val="2"/>
        <charset val="1"/>
      </rPr>
      <t xml:space="preserve">0 </t>
    </r>
    <r>
      <rPr>
        <sz val="11"/>
        <color theme="1"/>
        <rFont val="Noto Sans SC"/>
        <family val="2"/>
        <charset val="134"/>
      </rPr>
      <t xml:space="preserve">个；</t>
    </r>
  </si>
  <si>
    <t xml:space="preserve">③ 正文与原文逐句一致（用户离线保存的网页原件），配图按正文出现顺序编号。</t>
  </si>
  <si>
    <t xml:space="preserve">说明</t>
  </si>
  <si>
    <t xml:space="preserve">本簿是原文的整理与配表实现，非原文替代品；原文未提供的数值一律标注来源，不臆造。</t>
  </si>
  <si>
    <r>
      <rPr>
        <sz val="11"/>
        <color theme="1"/>
        <rFont val="Noto Sans SC"/>
        <family val="2"/>
        <charset val="134"/>
      </rPr>
      <t xml:space="preserve">原文版权归作者 </t>
    </r>
    <r>
      <rPr>
        <sz val="11"/>
        <color theme="1"/>
        <rFont val="Calibri"/>
        <family val="2"/>
        <charset val="1"/>
      </rPr>
      <t xml:space="preserve">ASlot </t>
    </r>
    <r>
      <rPr>
        <sz val="11"/>
        <color theme="1"/>
        <rFont val="Noto Sans SC"/>
        <family val="2"/>
        <charset val="134"/>
      </rPr>
      <t xml:space="preserve">与知乎所有，本簿仅供个人学习整理使用。</t>
    </r>
  </si>
  <si>
    <r>
      <rPr>
        <sz val="11"/>
        <color rgb="FF808080"/>
        <rFont val="Cambria"/>
        <family val="0"/>
        <charset val="1"/>
      </rPr>
      <t xml:space="preserve">Source: zhihu.com</t>
    </r>
    <r>
      <rPr>
        <sz val="11"/>
        <color rgb="FF808080"/>
        <rFont val="Noto Sans SC"/>
        <family val="2"/>
        <charset val="134"/>
      </rPr>
      <t xml:space="preserve">《</t>
    </r>
    <r>
      <rPr>
        <sz val="11"/>
        <color rgb="FF808080"/>
        <rFont val="Cambria"/>
        <family val="0"/>
        <charset val="1"/>
      </rPr>
      <t xml:space="preserve">Slots</t>
    </r>
    <r>
      <rPr>
        <sz val="11"/>
        <color rgb="FF808080"/>
        <rFont val="Noto Sans SC"/>
        <family val="2"/>
        <charset val="134"/>
      </rPr>
      <t xml:space="preserve">数值篇——</t>
    </r>
    <r>
      <rPr>
        <sz val="11"/>
        <color rgb="FF808080"/>
        <rFont val="Cambria"/>
        <family val="0"/>
        <charset val="1"/>
      </rPr>
      <t xml:space="preserve">3*3 Line Slots</t>
    </r>
    <r>
      <rPr>
        <sz val="11"/>
        <color rgb="FF808080"/>
        <rFont val="Noto Sans SC"/>
        <family val="2"/>
        <charset val="134"/>
      </rPr>
      <t xml:space="preserve">》</t>
    </r>
    <r>
      <rPr>
        <sz val="11"/>
        <color rgb="FF808080"/>
        <rFont val="Cambria"/>
        <family val="0"/>
        <charset val="1"/>
      </rPr>
      <t xml:space="preserve">, https://zhuanlan.zhihu.com/p/623825211</t>
    </r>
  </si>
  <si>
    <r>
      <rPr>
        <b val="true"/>
        <sz val="14"/>
        <color rgb="FF1F4E79"/>
        <rFont val="Noto Sans SC"/>
        <family val="2"/>
        <charset val="134"/>
      </rPr>
      <t xml:space="preserve">数值篇 </t>
    </r>
    <r>
      <rPr>
        <b val="true"/>
        <sz val="14"/>
        <color rgb="FF1F4E79"/>
        <rFont val="Cambria"/>
        <family val="0"/>
        <charset val="1"/>
      </rPr>
      <t xml:space="preserve">· 3*3 Line Slots —— </t>
    </r>
    <r>
      <rPr>
        <b val="true"/>
        <sz val="14"/>
        <color rgb="FF1F4E79"/>
        <rFont val="Noto Sans SC"/>
        <family val="2"/>
        <charset val="134"/>
      </rPr>
      <t xml:space="preserve">数据配表（蓝字＝可改 </t>
    </r>
    <r>
      <rPr>
        <b val="true"/>
        <sz val="14"/>
        <color rgb="FF1F4E79"/>
        <rFont val="Cambria"/>
        <family val="0"/>
        <charset val="1"/>
      </rPr>
      <t xml:space="preserve">/ </t>
    </r>
    <r>
      <rPr>
        <b val="true"/>
        <sz val="14"/>
        <color rgb="FF1F4E79"/>
        <rFont val="Noto Sans SC"/>
        <family val="2"/>
        <charset val="134"/>
      </rPr>
      <t xml:space="preserve">黑字＝公式 </t>
    </r>
    <r>
      <rPr>
        <b val="true"/>
        <sz val="14"/>
        <color rgb="FF1F4E79"/>
        <rFont val="Cambria"/>
        <family val="0"/>
        <charset val="1"/>
      </rPr>
      <t xml:space="preserve">/ </t>
    </r>
    <r>
      <rPr>
        <b val="true"/>
        <sz val="14"/>
        <color rgb="FF1F4E79"/>
        <rFont val="Noto Sans SC"/>
        <family val="2"/>
        <charset val="134"/>
      </rPr>
      <t xml:space="preserve">黄底＝结果）</t>
    </r>
  </si>
  <si>
    <r>
      <rPr>
        <b val="true"/>
        <sz val="11"/>
        <color rgb="FF1F4E79"/>
        <rFont val="Noto Sans SC"/>
        <family val="2"/>
        <charset val="134"/>
      </rPr>
      <t xml:space="preserve">【</t>
    </r>
    <r>
      <rPr>
        <b val="true"/>
        <sz val="11"/>
        <color rgb="FF1F4E79"/>
        <rFont val="Cambria"/>
        <family val="0"/>
        <charset val="1"/>
      </rPr>
      <t xml:space="preserve">1</t>
    </r>
    <r>
      <rPr>
        <b val="true"/>
        <sz val="11"/>
        <color rgb="FF1F4E79"/>
        <rFont val="Noto Sans SC"/>
        <family val="2"/>
        <charset val="134"/>
      </rPr>
      <t xml:space="preserve">】基本参数</t>
    </r>
  </si>
  <si>
    <t xml:space="preserve">项目</t>
  </si>
  <si>
    <t xml:space="preserve">数值</t>
  </si>
  <si>
    <t xml:space="preserve">玩法</t>
  </si>
  <si>
    <r>
      <rPr>
        <sz val="11"/>
        <color rgb="FF0000FF"/>
        <rFont val="Cambria"/>
        <family val="0"/>
        <charset val="1"/>
      </rPr>
      <t xml:space="preserve">3*3 Line Slots</t>
    </r>
    <r>
      <rPr>
        <sz val="11"/>
        <color rgb="FF0000FF"/>
        <rFont val="Noto Sans SC"/>
        <family val="2"/>
        <charset val="134"/>
      </rPr>
      <t xml:space="preserve">（</t>
    </r>
    <r>
      <rPr>
        <sz val="11"/>
        <color rgb="FF0000FF"/>
        <rFont val="Cambria"/>
        <family val="0"/>
        <charset val="1"/>
      </rPr>
      <t xml:space="preserve">Lucky Streak 3</t>
    </r>
    <r>
      <rPr>
        <sz val="11"/>
        <color rgb="FF0000FF"/>
        <rFont val="Noto Sans SC"/>
        <family val="2"/>
        <charset val="134"/>
      </rPr>
      <t xml:space="preserve">）</t>
    </r>
  </si>
  <si>
    <r>
      <rPr>
        <sz val="11"/>
        <color theme="1"/>
        <rFont val="Calibri"/>
        <family val="2"/>
        <charset val="1"/>
      </rPr>
      <t xml:space="preserve">3 </t>
    </r>
    <r>
      <rPr>
        <sz val="11"/>
        <color theme="1"/>
        <rFont val="Noto Sans SC"/>
        <family val="2"/>
        <charset val="134"/>
      </rPr>
      <t xml:space="preserve">行 </t>
    </r>
    <r>
      <rPr>
        <sz val="11"/>
        <color theme="1"/>
        <rFont val="Calibri"/>
        <family val="2"/>
        <charset val="1"/>
      </rPr>
      <t xml:space="preserve">× 3 </t>
    </r>
    <r>
      <rPr>
        <sz val="11"/>
        <color theme="1"/>
        <rFont val="Noto Sans SC"/>
        <family val="2"/>
        <charset val="134"/>
      </rPr>
      <t xml:space="preserve">列</t>
    </r>
  </si>
  <si>
    <t xml:space="preserve">卷轴列数</t>
  </si>
  <si>
    <t xml:space="preserve">窗口行数</t>
  </si>
  <si>
    <r>
      <rPr>
        <sz val="11"/>
        <color theme="1"/>
        <rFont val="Noto Sans SC"/>
        <family val="2"/>
        <charset val="134"/>
      </rPr>
      <t xml:space="preserve">中奖线要在每列取 </t>
    </r>
    <r>
      <rPr>
        <sz val="11"/>
        <color theme="1"/>
        <rFont val="Calibri"/>
        <family val="2"/>
        <charset val="1"/>
      </rPr>
      <t xml:space="preserve">1 </t>
    </r>
    <r>
      <rPr>
        <sz val="11"/>
        <color theme="1"/>
        <rFont val="Noto Sans SC"/>
        <family val="2"/>
        <charset val="134"/>
      </rPr>
      <t xml:space="preserve">个位置</t>
    </r>
  </si>
  <si>
    <t xml:space="preserve">中奖线数</t>
  </si>
  <si>
    <r>
      <rPr>
        <sz val="11"/>
        <color theme="1"/>
        <rFont val="Calibri"/>
        <family val="2"/>
        <charset val="1"/>
      </rPr>
      <t xml:space="preserve">3 </t>
    </r>
    <r>
      <rPr>
        <sz val="11"/>
        <color theme="1"/>
        <rFont val="Noto Sans SC"/>
        <family val="2"/>
        <charset val="134"/>
      </rPr>
      <t xml:space="preserve">条横线 ＋ </t>
    </r>
    <r>
      <rPr>
        <sz val="11"/>
        <color theme="1"/>
        <rFont val="Calibri"/>
        <family val="2"/>
        <charset val="1"/>
      </rPr>
      <t xml:space="preserve">2 </t>
    </r>
    <r>
      <rPr>
        <sz val="11"/>
        <color theme="1"/>
        <rFont val="Noto Sans SC"/>
        <family val="2"/>
        <charset val="134"/>
      </rPr>
      <t xml:space="preserve">条对角线，见【</t>
    </r>
    <r>
      <rPr>
        <sz val="11"/>
        <color theme="1"/>
        <rFont val="Calibri"/>
        <family val="2"/>
        <charset val="1"/>
      </rPr>
      <t xml:space="preserve">5</t>
    </r>
    <r>
      <rPr>
        <sz val="11"/>
        <color theme="1"/>
        <rFont val="Noto Sans SC"/>
        <family val="2"/>
        <charset val="134"/>
      </rPr>
      <t xml:space="preserve">】</t>
    </r>
  </si>
  <si>
    <t xml:space="preserve">每列停位数</t>
  </si>
  <si>
    <r>
      <rPr>
        <sz val="11"/>
        <color theme="1"/>
        <rFont val="Noto Sans SC"/>
        <family val="2"/>
        <charset val="134"/>
      </rPr>
      <t xml:space="preserve">固定卷轴每列 </t>
    </r>
    <r>
      <rPr>
        <sz val="11"/>
        <color theme="1"/>
        <rFont val="Calibri"/>
        <family val="2"/>
        <charset val="1"/>
      </rPr>
      <t xml:space="preserve">30 </t>
    </r>
    <r>
      <rPr>
        <sz val="11"/>
        <color theme="1"/>
        <rFont val="Noto Sans SC"/>
        <family val="2"/>
        <charset val="134"/>
      </rPr>
      <t xml:space="preserve">个图标</t>
    </r>
  </si>
  <si>
    <t xml:space="preserve">卷轴类型</t>
  </si>
  <si>
    <t xml:space="preserve">固定卷轴</t>
  </si>
  <si>
    <t xml:space="preserve">总事件数</t>
  </si>
  <si>
    <r>
      <rPr>
        <sz val="11"/>
        <color theme="1"/>
        <rFont val="Noto Sans SC"/>
        <family val="2"/>
        <charset val="134"/>
      </rPr>
      <t xml:space="preserve">＝ </t>
    </r>
    <r>
      <rPr>
        <sz val="11"/>
        <color theme="1"/>
        <rFont val="Calibri"/>
        <family val="2"/>
        <charset val="1"/>
      </rPr>
      <t xml:space="preserve">30³ </t>
    </r>
    <r>
      <rPr>
        <sz val="11"/>
        <color theme="1"/>
        <rFont val="Noto Sans SC"/>
        <family val="2"/>
        <charset val="134"/>
      </rPr>
      <t xml:space="preserve">＝ </t>
    </r>
    <r>
      <rPr>
        <sz val="11"/>
        <color theme="1"/>
        <rFont val="Calibri"/>
        <family val="2"/>
        <charset val="1"/>
      </rPr>
      <t xml:space="preserve">27000</t>
    </r>
  </si>
  <si>
    <r>
      <rPr>
        <sz val="11"/>
        <color theme="1"/>
        <rFont val="Noto Sans SC"/>
        <family val="2"/>
        <charset val="134"/>
      </rPr>
      <t xml:space="preserve">单线下注（</t>
    </r>
    <r>
      <rPr>
        <sz val="11"/>
        <color theme="1"/>
        <rFont val="Calibri"/>
        <family val="2"/>
        <charset val="1"/>
      </rPr>
      <t xml:space="preserve">Line Bet</t>
    </r>
    <r>
      <rPr>
        <sz val="11"/>
        <color theme="1"/>
        <rFont val="Noto Sans SC"/>
        <family val="2"/>
        <charset val="134"/>
      </rPr>
      <t xml:space="preserve">）</t>
    </r>
  </si>
  <si>
    <r>
      <rPr>
        <sz val="11"/>
        <color theme="1"/>
        <rFont val="Noto Sans SC"/>
        <family val="2"/>
        <charset val="134"/>
      </rPr>
      <t xml:space="preserve">＝ €</t>
    </r>
    <r>
      <rPr>
        <sz val="11"/>
        <color theme="1"/>
        <rFont val="Calibri"/>
        <family val="2"/>
        <charset val="1"/>
      </rPr>
      <t xml:space="preserve">1</t>
    </r>
    <r>
      <rPr>
        <sz val="11"/>
        <color theme="1"/>
        <rFont val="Noto Sans SC"/>
        <family val="2"/>
        <charset val="134"/>
      </rPr>
      <t xml:space="preserve">；赔付表的 € 金额即为「倍 </t>
    </r>
    <r>
      <rPr>
        <sz val="11"/>
        <color theme="1"/>
        <rFont val="Calibri"/>
        <family val="2"/>
        <charset val="1"/>
      </rPr>
      <t xml:space="preserve">Line Bet</t>
    </r>
    <r>
      <rPr>
        <sz val="11"/>
        <color theme="1"/>
        <rFont val="Noto Sans SC"/>
        <family val="2"/>
        <charset val="134"/>
      </rPr>
      <t xml:space="preserve">」</t>
    </r>
  </si>
  <si>
    <r>
      <rPr>
        <sz val="11"/>
        <color theme="1"/>
        <rFont val="Noto Sans SC"/>
        <family val="2"/>
        <charset val="134"/>
      </rPr>
      <t xml:space="preserve">总注（</t>
    </r>
    <r>
      <rPr>
        <sz val="11"/>
        <color theme="1"/>
        <rFont val="Calibri"/>
        <family val="2"/>
        <charset val="1"/>
      </rPr>
      <t xml:space="preserve">Total Bet</t>
    </r>
    <r>
      <rPr>
        <sz val="11"/>
        <color theme="1"/>
        <rFont val="Noto Sans SC"/>
        <family val="2"/>
        <charset val="134"/>
      </rPr>
      <t xml:space="preserve">）</t>
    </r>
  </si>
  <si>
    <r>
      <rPr>
        <sz val="11"/>
        <color theme="1"/>
        <rFont val="Noto Sans SC"/>
        <family val="2"/>
        <charset val="134"/>
      </rPr>
      <t xml:space="preserve">＝ </t>
    </r>
    <r>
      <rPr>
        <sz val="11"/>
        <color theme="1"/>
        <rFont val="Calibri"/>
        <family val="2"/>
        <charset val="1"/>
      </rPr>
      <t xml:space="preserve">5 </t>
    </r>
    <r>
      <rPr>
        <sz val="11"/>
        <color theme="1"/>
        <rFont val="Noto Sans SC"/>
        <family val="2"/>
        <charset val="134"/>
      </rPr>
      <t xml:space="preserve">条线 </t>
    </r>
    <r>
      <rPr>
        <sz val="11"/>
        <color theme="1"/>
        <rFont val="Calibri"/>
        <family val="2"/>
        <charset val="1"/>
      </rPr>
      <t xml:space="preserve">× €1 </t>
    </r>
    <r>
      <rPr>
        <sz val="11"/>
        <color theme="1"/>
        <rFont val="Noto Sans SC"/>
        <family val="2"/>
        <charset val="134"/>
      </rPr>
      <t xml:space="preserve">＝ €</t>
    </r>
    <r>
      <rPr>
        <sz val="11"/>
        <color theme="1"/>
        <rFont val="Calibri"/>
        <family val="2"/>
        <charset val="1"/>
      </rPr>
      <t xml:space="preserve">5</t>
    </r>
  </si>
  <si>
    <r>
      <rPr>
        <b val="true"/>
        <sz val="11"/>
        <color rgb="FF1F4E79"/>
        <rFont val="Noto Sans SC"/>
        <family val="2"/>
        <charset val="134"/>
      </rPr>
      <t xml:space="preserve">【</t>
    </r>
    <r>
      <rPr>
        <b val="true"/>
        <sz val="11"/>
        <color rgb="FF1F4E79"/>
        <rFont val="Cambria"/>
        <family val="0"/>
        <charset val="1"/>
      </rPr>
      <t xml:space="preserve">2</t>
    </r>
    <r>
      <rPr>
        <b val="true"/>
        <sz val="11"/>
        <color rgb="FF1F4E79"/>
        <rFont val="Noto Sans SC"/>
        <family val="2"/>
        <charset val="134"/>
      </rPr>
      <t xml:space="preserve">】固定卷轴排列（</t>
    </r>
    <r>
      <rPr>
        <b val="true"/>
        <sz val="11"/>
        <color rgb="FF1F4E79"/>
        <rFont val="Cambria"/>
        <family val="0"/>
        <charset val="1"/>
      </rPr>
      <t xml:space="preserve">30 </t>
    </r>
    <r>
      <rPr>
        <b val="true"/>
        <sz val="11"/>
        <color rgb="FF1F4E79"/>
        <rFont val="Noto Sans SC"/>
        <family val="2"/>
        <charset val="134"/>
      </rPr>
      <t xml:space="preserve">停 </t>
    </r>
    <r>
      <rPr>
        <b val="true"/>
        <sz val="11"/>
        <color rgb="FF1F4E79"/>
        <rFont val="Cambria"/>
        <family val="0"/>
        <charset val="1"/>
      </rPr>
      <t xml:space="preserve">× 3 </t>
    </r>
    <r>
      <rPr>
        <b val="true"/>
        <sz val="11"/>
        <color rgb="FF1F4E79"/>
        <rFont val="Noto Sans SC"/>
        <family val="2"/>
        <charset val="134"/>
      </rPr>
      <t xml:space="preserve">列，按原文配图转录；蓝字可改）</t>
    </r>
  </si>
  <si>
    <t xml:space="preserve">停位</t>
  </si>
  <si>
    <r>
      <rPr>
        <b val="true"/>
        <sz val="11"/>
        <color rgb="FF1F4E79"/>
        <rFont val="Noto Sans SC"/>
        <family val="2"/>
        <charset val="134"/>
      </rPr>
      <t xml:space="preserve">列</t>
    </r>
    <r>
      <rPr>
        <b val="true"/>
        <sz val="11"/>
        <color rgb="FF1F4E79"/>
        <rFont val="Cambria"/>
        <family val="0"/>
        <charset val="1"/>
      </rPr>
      <t xml:space="preserve">1</t>
    </r>
  </si>
  <si>
    <r>
      <rPr>
        <b val="true"/>
        <sz val="11"/>
        <color rgb="FF1F4E79"/>
        <rFont val="Noto Sans SC"/>
        <family val="2"/>
        <charset val="134"/>
      </rPr>
      <t xml:space="preserve">列</t>
    </r>
    <r>
      <rPr>
        <b val="true"/>
        <sz val="11"/>
        <color rgb="FF1F4E79"/>
        <rFont val="Cambria"/>
        <family val="0"/>
        <charset val="1"/>
      </rPr>
      <t xml:space="preserve">2</t>
    </r>
  </si>
  <si>
    <r>
      <rPr>
        <b val="true"/>
        <sz val="11"/>
        <color rgb="FF1F4E79"/>
        <rFont val="Noto Sans SC"/>
        <family val="2"/>
        <charset val="134"/>
      </rPr>
      <t xml:space="preserve">列</t>
    </r>
    <r>
      <rPr>
        <b val="true"/>
        <sz val="11"/>
        <color rgb="FF1F4E79"/>
        <rFont val="Cambria"/>
        <family val="0"/>
        <charset val="1"/>
      </rPr>
      <t xml:space="preserve">3</t>
    </r>
  </si>
  <si>
    <t xml:space="preserve">蓝莓</t>
  </si>
  <si>
    <r>
      <rPr>
        <sz val="11"/>
        <color rgb="FF0000FF"/>
        <rFont val="Noto Sans SC"/>
        <family val="2"/>
        <charset val="134"/>
      </rPr>
      <t xml:space="preserve">对</t>
    </r>
    <r>
      <rPr>
        <sz val="11"/>
        <color rgb="FF0000FF"/>
        <rFont val="Cambria"/>
        <family val="0"/>
        <charset val="1"/>
      </rPr>
      <t xml:space="preserve">7</t>
    </r>
  </si>
  <si>
    <t xml:space="preserve">柠檬</t>
  </si>
  <si>
    <t xml:space="preserve">铃铛</t>
  </si>
  <si>
    <t xml:space="preserve">五角星</t>
  </si>
  <si>
    <t xml:space="preserve">樱桃</t>
  </si>
  <si>
    <t xml:space="preserve">Bar</t>
  </si>
  <si>
    <t xml:space="preserve">橄榄</t>
  </si>
  <si>
    <t xml:space="preserve">每列格数</t>
  </si>
  <si>
    <r>
      <rPr>
        <sz val="11"/>
        <color theme="1"/>
        <rFont val="Noto Sans SC"/>
        <family val="2"/>
        <charset val="134"/>
      </rPr>
      <t xml:space="preserve">应等于【</t>
    </r>
    <r>
      <rPr>
        <sz val="11"/>
        <color theme="1"/>
        <rFont val="Calibri"/>
        <family val="2"/>
        <charset val="1"/>
      </rPr>
      <t xml:space="preserve">1</t>
    </r>
    <r>
      <rPr>
        <sz val="11"/>
        <color theme="1"/>
        <rFont val="Noto Sans SC"/>
        <family val="2"/>
        <charset val="134"/>
      </rPr>
      <t xml:space="preserve">】每列停位数 </t>
    </r>
    <r>
      <rPr>
        <sz val="11"/>
        <color theme="1"/>
        <rFont val="Calibri"/>
        <family val="2"/>
        <charset val="1"/>
      </rPr>
      <t xml:space="preserve">30</t>
    </r>
  </si>
  <si>
    <r>
      <rPr>
        <b val="true"/>
        <sz val="11"/>
        <color rgb="FF1F4E79"/>
        <rFont val="Noto Sans SC"/>
        <family val="2"/>
        <charset val="134"/>
      </rPr>
      <t xml:space="preserve">【</t>
    </r>
    <r>
      <rPr>
        <b val="true"/>
        <sz val="11"/>
        <color rgb="FF1F4E79"/>
        <rFont val="Cambria"/>
        <family val="0"/>
        <charset val="1"/>
      </rPr>
      <t xml:space="preserve">3</t>
    </r>
    <r>
      <rPr>
        <b val="true"/>
        <sz val="11"/>
        <color rgb="FF1F4E79"/>
        <rFont val="Noto Sans SC"/>
        <family val="2"/>
        <charset val="134"/>
      </rPr>
      <t xml:space="preserve">】赔付表（按原文配图①转录；单位＝€ </t>
    </r>
    <r>
      <rPr>
        <b val="true"/>
        <sz val="11"/>
        <color rgb="FF1F4E79"/>
        <rFont val="Cambria"/>
        <family val="0"/>
        <charset val="1"/>
      </rPr>
      <t xml:space="preserve">/ </t>
    </r>
    <r>
      <rPr>
        <b val="true"/>
        <sz val="11"/>
        <color rgb="FF1F4E79"/>
        <rFont val="Noto Sans SC"/>
        <family val="2"/>
        <charset val="134"/>
      </rPr>
      <t xml:space="preserve">倍 </t>
    </r>
    <r>
      <rPr>
        <b val="true"/>
        <sz val="11"/>
        <color rgb="FF1F4E79"/>
        <rFont val="Cambria"/>
        <family val="0"/>
        <charset val="1"/>
      </rPr>
      <t xml:space="preserve">Line Bet</t>
    </r>
    <r>
      <rPr>
        <b val="true"/>
        <sz val="11"/>
        <color rgb="FF1F4E79"/>
        <rFont val="Noto Sans SC"/>
        <family val="2"/>
        <charset val="134"/>
      </rPr>
      <t xml:space="preserve">）</t>
    </r>
  </si>
  <si>
    <t xml:space="preserve">图标</t>
  </si>
  <si>
    <r>
      <rPr>
        <b val="true"/>
        <sz val="11"/>
        <color rgb="FF1F4E79"/>
        <rFont val="Cambria"/>
        <family val="0"/>
        <charset val="1"/>
      </rPr>
      <t xml:space="preserve">3 </t>
    </r>
    <r>
      <rPr>
        <b val="true"/>
        <sz val="11"/>
        <color rgb="FF1F4E79"/>
        <rFont val="Noto Sans SC"/>
        <family val="2"/>
        <charset val="134"/>
      </rPr>
      <t xml:space="preserve">连赔付</t>
    </r>
  </si>
  <si>
    <r>
      <rPr>
        <sz val="11"/>
        <color theme="1"/>
        <rFont val="Noto Sans SC"/>
        <family val="2"/>
        <charset val="134"/>
      </rPr>
      <t xml:space="preserve">对</t>
    </r>
    <r>
      <rPr>
        <sz val="11"/>
        <color theme="1"/>
        <rFont val="Calibri"/>
        <family val="2"/>
        <charset val="1"/>
      </rPr>
      <t xml:space="preserve">7</t>
    </r>
  </si>
  <si>
    <r>
      <rPr>
        <b val="true"/>
        <sz val="11"/>
        <rFont val="Cambria"/>
        <family val="0"/>
        <charset val="1"/>
      </rPr>
      <t xml:space="preserve">3*3 </t>
    </r>
    <r>
      <rPr>
        <b val="true"/>
        <sz val="11"/>
        <rFont val="Noto Sans SC"/>
        <family val="2"/>
        <charset val="134"/>
      </rPr>
      <t xml:space="preserve">只有「三列全中」一种中奖组合</t>
    </r>
  </si>
  <si>
    <r>
      <rPr>
        <b val="true"/>
        <sz val="11"/>
        <color rgb="FF1F4E79"/>
        <rFont val="Noto Sans SC"/>
        <family val="2"/>
        <charset val="134"/>
      </rPr>
      <t xml:space="preserve">【</t>
    </r>
    <r>
      <rPr>
        <b val="true"/>
        <sz val="11"/>
        <color rgb="FF1F4E79"/>
        <rFont val="Cambria"/>
        <family val="0"/>
        <charset val="1"/>
      </rPr>
      <t xml:space="preserve">4</t>
    </r>
    <r>
      <rPr>
        <b val="true"/>
        <sz val="11"/>
        <color rgb="FF1F4E79"/>
        <rFont val="Noto Sans SC"/>
        <family val="2"/>
        <charset val="134"/>
      </rPr>
      <t xml:space="preserve">】各图标中奖事件数与期望（复刻原文 </t>
    </r>
    <r>
      <rPr>
        <b val="true"/>
        <sz val="11"/>
        <color rgb="FF1F4E79"/>
        <rFont val="Cambria"/>
        <family val="0"/>
        <charset val="1"/>
      </rPr>
      <t xml:space="preserve">Excel</t>
    </r>
    <r>
      <rPr>
        <b val="true"/>
        <sz val="11"/>
        <color rgb="FF1F4E79"/>
        <rFont val="Noto Sans SC"/>
        <family val="2"/>
        <charset val="134"/>
      </rPr>
      <t xml:space="preserve">：</t>
    </r>
    <r>
      <rPr>
        <b val="true"/>
        <sz val="11"/>
        <color rgb="FF1F4E79"/>
        <rFont val="Cambria"/>
        <family val="0"/>
        <charset val="1"/>
      </rPr>
      <t xml:space="preserve">COUNTIF </t>
    </r>
    <r>
      <rPr>
        <b val="true"/>
        <sz val="11"/>
        <color rgb="FF1F4E79"/>
        <rFont val="Noto Sans SC"/>
        <family val="2"/>
        <charset val="134"/>
      </rPr>
      <t xml:space="preserve">计数 → 事件数 → 中奖率 → 单线期望）</t>
    </r>
  </si>
  <si>
    <t xml:space="preserve">中奖事件数</t>
  </si>
  <si>
    <t xml:space="preserve">中奖率</t>
  </si>
  <si>
    <t xml:space="preserve">赔付倍数</t>
  </si>
  <si>
    <t xml:space="preserve">单线期望</t>
  </si>
  <si>
    <r>
      <rPr>
        <b val="true"/>
        <sz val="11"/>
        <rFont val="Noto Sans SC"/>
        <family val="2"/>
        <charset val="134"/>
      </rPr>
      <t xml:space="preserve">合计 </t>
    </r>
    <r>
      <rPr>
        <b val="true"/>
        <sz val="11"/>
        <rFont val="Cambria"/>
        <family val="0"/>
        <charset val="1"/>
      </rPr>
      <t xml:space="preserve">RTP</t>
    </r>
  </si>
  <si>
    <t xml:space="preserve">—</t>
  </si>
  <si>
    <r>
      <rPr>
        <sz val="11"/>
        <color theme="1"/>
        <rFont val="Noto Sans SC"/>
        <family val="2"/>
        <charset val="134"/>
      </rPr>
      <t xml:space="preserve">原文公布 </t>
    </r>
    <r>
      <rPr>
        <sz val="11"/>
        <color theme="1"/>
        <rFont val="Calibri"/>
        <family val="2"/>
        <charset val="1"/>
      </rPr>
      <t xml:space="preserve">RTP</t>
    </r>
  </si>
  <si>
    <r>
      <rPr>
        <sz val="11"/>
        <color theme="1"/>
        <rFont val="Noto Sans SC"/>
        <family val="2"/>
        <charset val="134"/>
      </rPr>
      <t xml:space="preserve">原文：算得 </t>
    </r>
    <r>
      <rPr>
        <sz val="11"/>
        <color theme="1"/>
        <rFont val="Calibri"/>
        <family val="2"/>
        <charset val="1"/>
      </rPr>
      <t xml:space="preserve">96.82%</t>
    </r>
    <r>
      <rPr>
        <sz val="11"/>
        <color theme="1"/>
        <rFont val="Noto Sans SC"/>
        <family val="2"/>
        <charset val="134"/>
      </rPr>
      <t xml:space="preserve">，与官网公布的 </t>
    </r>
    <r>
      <rPr>
        <sz val="11"/>
        <color theme="1"/>
        <rFont val="Calibri"/>
        <family val="2"/>
        <charset val="1"/>
      </rPr>
      <t xml:space="preserve">96% </t>
    </r>
    <r>
      <rPr>
        <sz val="11"/>
        <color theme="1"/>
        <rFont val="Noto Sans SC"/>
        <family val="2"/>
        <charset val="134"/>
      </rPr>
      <t xml:space="preserve">接近</t>
    </r>
  </si>
  <si>
    <r>
      <rPr>
        <b val="true"/>
        <sz val="11"/>
        <color rgb="FF1F4E79"/>
        <rFont val="Noto Sans SC"/>
        <family val="2"/>
        <charset val="134"/>
      </rPr>
      <t xml:space="preserve">【</t>
    </r>
    <r>
      <rPr>
        <b val="true"/>
        <sz val="11"/>
        <color rgb="FF1F4E79"/>
        <rFont val="Cambria"/>
        <family val="0"/>
        <charset val="1"/>
      </rPr>
      <t xml:space="preserve">5</t>
    </r>
    <r>
      <rPr>
        <b val="true"/>
        <sz val="11"/>
        <color rgb="FF1F4E79"/>
        <rFont val="Noto Sans SC"/>
        <family val="2"/>
        <charset val="134"/>
      </rPr>
      <t xml:space="preserve">】中奖线表（</t>
    </r>
    <r>
      <rPr>
        <b val="true"/>
        <sz val="11"/>
        <color rgb="FF1F4E79"/>
        <rFont val="Cambria"/>
        <family val="0"/>
        <charset val="1"/>
      </rPr>
      <t xml:space="preserve">5 </t>
    </r>
    <r>
      <rPr>
        <b val="true"/>
        <sz val="11"/>
        <color rgb="FF1F4E79"/>
        <rFont val="Noto Sans SC"/>
        <family val="2"/>
        <charset val="134"/>
      </rPr>
      <t xml:space="preserve">条；行号＝该列取窗口第几行）</t>
    </r>
  </si>
  <si>
    <t xml:space="preserve">线号</t>
  </si>
  <si>
    <r>
      <rPr>
        <b val="true"/>
        <sz val="11"/>
        <color rgb="FF1F4E79"/>
        <rFont val="Noto Sans SC"/>
        <family val="2"/>
        <charset val="134"/>
      </rPr>
      <t xml:space="preserve">列</t>
    </r>
    <r>
      <rPr>
        <b val="true"/>
        <sz val="11"/>
        <color rgb="FF1F4E79"/>
        <rFont val="Cambria"/>
        <family val="0"/>
        <charset val="1"/>
      </rPr>
      <t xml:space="preserve">1</t>
    </r>
    <r>
      <rPr>
        <b val="true"/>
        <sz val="11"/>
        <color rgb="FF1F4E79"/>
        <rFont val="Noto Sans SC"/>
        <family val="2"/>
        <charset val="134"/>
      </rPr>
      <t xml:space="preserve">行</t>
    </r>
  </si>
  <si>
    <r>
      <rPr>
        <b val="true"/>
        <sz val="11"/>
        <color rgb="FF1F4E79"/>
        <rFont val="Noto Sans SC"/>
        <family val="2"/>
        <charset val="134"/>
      </rPr>
      <t xml:space="preserve">列</t>
    </r>
    <r>
      <rPr>
        <b val="true"/>
        <sz val="11"/>
        <color rgb="FF1F4E79"/>
        <rFont val="Cambria"/>
        <family val="0"/>
        <charset val="1"/>
      </rPr>
      <t xml:space="preserve">2</t>
    </r>
    <r>
      <rPr>
        <b val="true"/>
        <sz val="11"/>
        <color rgb="FF1F4E79"/>
        <rFont val="Noto Sans SC"/>
        <family val="2"/>
        <charset val="134"/>
      </rPr>
      <t xml:space="preserve">行</t>
    </r>
  </si>
  <si>
    <r>
      <rPr>
        <b val="true"/>
        <sz val="11"/>
        <color rgb="FF1F4E79"/>
        <rFont val="Noto Sans SC"/>
        <family val="2"/>
        <charset val="134"/>
      </rPr>
      <t xml:space="preserve">列</t>
    </r>
    <r>
      <rPr>
        <b val="true"/>
        <sz val="11"/>
        <color rgb="FF1F4E79"/>
        <rFont val="Cambria"/>
        <family val="0"/>
        <charset val="1"/>
      </rPr>
      <t xml:space="preserve">3</t>
    </r>
    <r>
      <rPr>
        <b val="true"/>
        <sz val="11"/>
        <color rgb="FF1F4E79"/>
        <rFont val="Noto Sans SC"/>
        <family val="2"/>
        <charset val="134"/>
      </rPr>
      <t xml:space="preserve">行</t>
    </r>
  </si>
  <si>
    <t xml:space="preserve">上横线</t>
  </si>
  <si>
    <t xml:space="preserve">中横线</t>
  </si>
  <si>
    <t xml:space="preserve">下横线</t>
  </si>
  <si>
    <t xml:space="preserve">对角线 ＼</t>
  </si>
  <si>
    <t xml:space="preserve">对角线 ／</t>
  </si>
  <si>
    <r>
      <rPr>
        <sz val="11"/>
        <color rgb="FF808080"/>
        <rFont val="Noto Sans SC"/>
        <family val="2"/>
        <charset val="134"/>
      </rPr>
      <t xml:space="preserve">口径说明：本例 </t>
    </r>
    <r>
      <rPr>
        <sz val="11"/>
        <color rgb="FF808080"/>
        <rFont val="Cambria"/>
        <family val="0"/>
        <charset val="1"/>
      </rPr>
      <t xml:space="preserve">5 </t>
    </r>
    <r>
      <rPr>
        <sz val="11"/>
        <color rgb="FF808080"/>
        <rFont val="Noto Sans SC"/>
        <family val="2"/>
        <charset val="134"/>
      </rPr>
      <t xml:space="preserve">条线的概率结构相同，故「单线期望之和」即整体 </t>
    </r>
    <r>
      <rPr>
        <sz val="11"/>
        <color rgb="FF808080"/>
        <rFont val="Cambria"/>
        <family val="0"/>
        <charset val="1"/>
      </rPr>
      <t xml:space="preserve">RTP</t>
    </r>
    <r>
      <rPr>
        <sz val="11"/>
        <color rgb="FF808080"/>
        <rFont val="Noto Sans SC"/>
        <family val="2"/>
        <charset val="134"/>
      </rPr>
      <t xml:space="preserve">；若各线结构不同，应分别算出每条线的期望再加总（原文：同理可得该图标在其他中奖线上的概率，相加即得期望之和）。</t>
    </r>
  </si>
  <si>
    <r>
      <rPr>
        <b val="true"/>
        <sz val="11"/>
        <color rgb="FF1F4E79"/>
        <rFont val="Noto Sans SC"/>
        <family val="2"/>
        <charset val="134"/>
      </rPr>
      <t xml:space="preserve">【</t>
    </r>
    <r>
      <rPr>
        <b val="true"/>
        <sz val="11"/>
        <color rgb="FF1F4E79"/>
        <rFont val="Cambria"/>
        <family val="0"/>
        <charset val="1"/>
      </rPr>
      <t xml:space="preserve">6</t>
    </r>
    <r>
      <rPr>
        <b val="true"/>
        <sz val="11"/>
        <color rgb="FF1F4E79"/>
        <rFont val="Noto Sans SC"/>
        <family val="2"/>
        <charset val="134"/>
      </rPr>
      <t xml:space="preserve">】固定卷轴 </t>
    </r>
    <r>
      <rPr>
        <b val="true"/>
        <sz val="11"/>
        <color rgb="FF1F4E79"/>
        <rFont val="Cambria"/>
        <family val="0"/>
        <charset val="1"/>
      </rPr>
      <t xml:space="preserve">vs </t>
    </r>
    <r>
      <rPr>
        <b val="true"/>
        <sz val="11"/>
        <color rgb="FF1F4E79"/>
        <rFont val="Noto Sans SC"/>
        <family val="2"/>
        <charset val="134"/>
      </rPr>
      <t xml:space="preserve">随机卷轴（原文的等价性证明）</t>
    </r>
  </si>
  <si>
    <t xml:space="preserve">方法</t>
  </si>
  <si>
    <t xml:space="preserve">公式</t>
  </si>
  <si>
    <t xml:space="preserve">固定卷轴（事件数法）</t>
  </si>
  <si>
    <t xml:space="preserve">(n1 × n2 × n3) / X³</t>
  </si>
  <si>
    <r>
      <rPr>
        <sz val="11"/>
        <color theme="1"/>
        <rFont val="Calibri"/>
        <family val="2"/>
        <charset val="1"/>
      </rPr>
      <t xml:space="preserve">n</t>
    </r>
    <r>
      <rPr>
        <sz val="11"/>
        <color theme="1"/>
        <rFont val="Noto Sans SC"/>
        <family val="2"/>
        <charset val="134"/>
      </rPr>
      <t xml:space="preserve">＝该图标在各列的个数，</t>
    </r>
    <r>
      <rPr>
        <sz val="11"/>
        <color theme="1"/>
        <rFont val="Calibri"/>
        <family val="2"/>
        <charset val="1"/>
      </rPr>
      <t xml:space="preserve">X</t>
    </r>
    <r>
      <rPr>
        <sz val="11"/>
        <color theme="1"/>
        <rFont val="Noto Sans SC"/>
        <family val="2"/>
        <charset val="134"/>
      </rPr>
      <t xml:space="preserve">＝每列图标总数</t>
    </r>
  </si>
  <si>
    <t xml:space="preserve">随机卷轴（概率法）</t>
  </si>
  <si>
    <t xml:space="preserve">(n1/X) × (n2/X) × (n3/X)</t>
  </si>
  <si>
    <t xml:space="preserve">分母拆开后即为各列的出现几率相乘 —— 两种方法等价</t>
  </si>
  <si>
    <t xml:space="preserve">差异</t>
  </si>
  <si>
    <t xml:space="preserve">只在「控制精细度」</t>
  </si>
  <si>
    <t xml:space="preserve">概率法只能整百分比地控；事件数法可以精确到单个停位</t>
  </si>
  <si>
    <r>
      <rPr>
        <b val="true"/>
        <sz val="11"/>
        <color rgb="FF1F4E79"/>
        <rFont val="Noto Sans SC"/>
        <family val="2"/>
        <charset val="134"/>
      </rPr>
      <t xml:space="preserve">【</t>
    </r>
    <r>
      <rPr>
        <b val="true"/>
        <sz val="11"/>
        <color rgb="FF1F4E79"/>
        <rFont val="Cambria"/>
        <family val="0"/>
        <charset val="1"/>
      </rPr>
      <t xml:space="preserve">7</t>
    </r>
    <r>
      <rPr>
        <b val="true"/>
        <sz val="11"/>
        <color rgb="FF1F4E79"/>
        <rFont val="Noto Sans SC"/>
        <family val="2"/>
        <charset val="134"/>
      </rPr>
      <t xml:space="preserve">】自检</t>
    </r>
  </si>
  <si>
    <t xml:space="preserve">检查项</t>
  </si>
  <si>
    <t xml:space="preserve">结果</t>
  </si>
  <si>
    <r>
      <rPr>
        <sz val="11"/>
        <color theme="1"/>
        <rFont val="Noto Sans SC"/>
        <family val="2"/>
        <charset val="134"/>
      </rPr>
      <t xml:space="preserve">每列格数一致且等于 </t>
    </r>
    <r>
      <rPr>
        <sz val="11"/>
        <color theme="1"/>
        <rFont val="Calibri"/>
        <family val="2"/>
        <charset val="1"/>
      </rPr>
      <t xml:space="preserve">30</t>
    </r>
  </si>
  <si>
    <t xml:space="preserve">各图标事件数之和 ≤ 总事件数（互斥性）</t>
  </si>
  <si>
    <t xml:space="preserve">同一中奖线上不可能同时三列都是两个不同图标</t>
  </si>
  <si>
    <t xml:space="preserve">中奖线数 ＝ 线表行数</t>
  </si>
  <si>
    <r>
      <rPr>
        <sz val="11"/>
        <color theme="1"/>
        <rFont val="Calibri"/>
        <family val="2"/>
        <charset val="1"/>
      </rPr>
      <t xml:space="preserve">RTP </t>
    </r>
    <r>
      <rPr>
        <sz val="11"/>
        <color theme="1"/>
        <rFont val="Noto Sans SC"/>
        <family val="2"/>
        <charset val="134"/>
      </rPr>
      <t xml:space="preserve">与原文一致（</t>
    </r>
    <r>
      <rPr>
        <sz val="11"/>
        <color theme="1"/>
        <rFont val="Calibri"/>
        <family val="2"/>
        <charset val="1"/>
      </rPr>
      <t xml:space="preserve">96.82%</t>
    </r>
    <r>
      <rPr>
        <sz val="11"/>
        <color theme="1"/>
        <rFont val="Noto Sans SC"/>
        <family val="2"/>
        <charset val="134"/>
      </rPr>
      <t xml:space="preserve">）</t>
    </r>
  </si>
  <si>
    <r>
      <rPr>
        <sz val="11"/>
        <color theme="1"/>
        <rFont val="Noto Sans SC"/>
        <family val="2"/>
        <charset val="134"/>
      </rPr>
      <t xml:space="preserve">本簿公式与原文⑤</t>
    </r>
    <r>
      <rPr>
        <sz val="11"/>
        <color theme="1"/>
        <rFont val="Calibri"/>
        <family val="2"/>
        <charset val="1"/>
      </rPr>
      <t xml:space="preserve">/</t>
    </r>
    <r>
      <rPr>
        <sz val="11"/>
        <color theme="1"/>
        <rFont val="Noto Sans SC"/>
        <family val="2"/>
        <charset val="134"/>
      </rPr>
      <t xml:space="preserve">计算表结果一致</t>
    </r>
  </si>
  <si>
    <t xml:space="preserve">说明：本页为按原文方法落地的配表实现；表内示例数值取自原文，原文未给的部分沿用同项目示例（蓝字可改）。</t>
  </si>
</sst>
</file>

<file path=xl/styles.xml><?xml version="1.0" encoding="utf-8"?>
<styleSheet xmlns="http://schemas.openxmlformats.org/spreadsheetml/2006/main">
  <numFmts count="6">
    <numFmt numFmtId="164" formatCode="General"/>
    <numFmt numFmtId="165" formatCode="#,##0"/>
    <numFmt numFmtId="166" formatCode="#,##0.00"/>
    <numFmt numFmtId="167" formatCode="0.0000%"/>
    <numFmt numFmtId="168" formatCode="0.0000"/>
    <numFmt numFmtId="169" formatCode="0.0000000000%"/>
  </numFmts>
  <fonts count="17">
    <font>
      <sz val="11"/>
      <color theme="1"/>
      <name val="Noto Sans SC"/>
      <family val="2"/>
      <charset val="134"/>
    </font>
    <font>
      <sz val="10"/>
      <name val="Arial"/>
      <family val="0"/>
      <charset val="134"/>
    </font>
    <font>
      <sz val="10"/>
      <name val="Arial"/>
      <family val="0"/>
      <charset val="134"/>
    </font>
    <font>
      <sz val="10"/>
      <name val="Arial"/>
      <family val="0"/>
      <charset val="134"/>
    </font>
    <font>
      <b val="true"/>
      <sz val="14"/>
      <color rgb="FF1F4E79"/>
      <name val="Noto Sans SC"/>
      <family val="2"/>
      <charset val="134"/>
    </font>
    <font>
      <b val="true"/>
      <sz val="14"/>
      <color rgb="FF1F4E79"/>
      <name val="Cambria"/>
      <family val="0"/>
      <charset val="1"/>
    </font>
    <font>
      <sz val="11"/>
      <color rgb="FF808080"/>
      <name val="Noto Sans SC"/>
      <family val="2"/>
      <charset val="134"/>
    </font>
    <font>
      <sz val="11"/>
      <color rgb="FF808080"/>
      <name val="Cambria"/>
      <family val="0"/>
      <charset val="1"/>
    </font>
    <font>
      <b val="true"/>
      <sz val="11"/>
      <name val="Noto Sans SC"/>
      <family val="2"/>
      <charset val="134"/>
    </font>
    <font>
      <sz val="11"/>
      <color theme="1"/>
      <name val="Calibri"/>
      <family val="2"/>
      <charset val="1"/>
    </font>
    <font>
      <b val="true"/>
      <sz val="11"/>
      <name val="Cambria"/>
      <family val="0"/>
      <charset val="1"/>
    </font>
    <font>
      <b val="true"/>
      <sz val="11"/>
      <color rgb="FF1F4E79"/>
      <name val="Noto Sans SC"/>
      <family val="2"/>
      <charset val="134"/>
    </font>
    <font>
      <b val="true"/>
      <sz val="11"/>
      <color rgb="FF1F4E79"/>
      <name val="Cambria"/>
      <family val="0"/>
      <charset val="1"/>
    </font>
    <font>
      <sz val="11"/>
      <color rgb="FF0000FF"/>
      <name val="Cambria"/>
      <family val="0"/>
      <charset val="1"/>
    </font>
    <font>
      <sz val="11"/>
      <color rgb="FF0000FF"/>
      <name val="Noto Sans SC"/>
      <family val="2"/>
      <charset val="134"/>
    </font>
    <font>
      <sz val="11"/>
      <color rgb="FF000000"/>
      <name val="Cambria"/>
      <family val="0"/>
      <charset val="1"/>
    </font>
    <font>
      <sz val="11"/>
      <color rgb="FF000000"/>
      <name val="Noto Sans SC"/>
      <family val="2"/>
      <charset val="134"/>
    </font>
  </fonts>
  <fills count="5">
    <fill>
      <patternFill patternType="none"/>
    </fill>
    <fill>
      <patternFill patternType="gray125"/>
    </fill>
    <fill>
      <patternFill patternType="solid">
        <fgColor rgb="FFB4C7E7"/>
        <bgColor rgb="FFCCCCFF"/>
      </patternFill>
    </fill>
    <fill>
      <patternFill patternType="solid">
        <fgColor rgb="FFDEEBF7"/>
        <bgColor rgb="FFCCFFFF"/>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11" fillId="2" borderId="0" xfId="0" applyFont="true" applyBorder="tru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11" fillId="3" borderId="0" xfId="0" applyFont="true" applyBorder="false" applyAlignment="true" applyProtection="true">
      <alignment horizontal="center" vertical="center"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5" fontId="15" fillId="0" borderId="0" xfId="0" applyFont="true" applyBorder="false" applyAlignment="true" applyProtection="true">
      <alignment horizontal="general" vertical="bottom" textRotation="0" wrapText="false" indent="0" shrinkToFit="false"/>
      <protection locked="true" hidden="false"/>
    </xf>
    <xf numFmtId="164" fontId="12" fillId="3" borderId="0" xfId="0" applyFont="true" applyBorder="false" applyAlignment="true" applyProtection="true">
      <alignment horizontal="center" vertical="center" textRotation="0" wrapText="false" indent="0" shrinkToFit="false"/>
      <protection locked="true" hidden="false"/>
    </xf>
    <xf numFmtId="166" fontId="13"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true" applyAlignment="true" applyProtection="true">
      <alignment horizontal="general" vertical="bottom" textRotation="0" wrapText="false" indent="0" shrinkToFit="false"/>
      <protection locked="true" hidden="false"/>
    </xf>
    <xf numFmtId="167" fontId="15" fillId="0" borderId="0" xfId="0" applyFont="true" applyBorder="false" applyAlignment="true" applyProtection="true">
      <alignment horizontal="general" vertical="bottom" textRotation="0" wrapText="false" indent="0" shrinkToFit="false"/>
      <protection locked="true" hidden="false"/>
    </xf>
    <xf numFmtId="166" fontId="15" fillId="0" borderId="0" xfId="0" applyFont="true" applyBorder="false" applyAlignment="true" applyProtection="true">
      <alignment horizontal="general" vertical="bottom" textRotation="0" wrapText="false" indent="0" shrinkToFit="false"/>
      <protection locked="true" hidden="false"/>
    </xf>
    <xf numFmtId="168" fontId="15"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8" fontId="10" fillId="4" borderId="0" xfId="0" applyFont="true" applyBorder="false" applyAlignment="true" applyProtection="true">
      <alignment horizontal="general" vertical="bottom" textRotation="0" wrapText="false" indent="0" shrinkToFit="false"/>
      <protection locked="true" hidden="false"/>
    </xf>
    <xf numFmtId="167" fontId="13"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top" textRotation="0" wrapText="tru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top" textRotation="0" indent="0" shrinkToFit="false"/>
      <protection locked="true" hidden="false"/>
    </xf>
    <xf numFmtId="164" fontId="9" fillId="0" borderId="0" xfId="0" applyFont="true" applyBorder="true" applyAlignment="true" applyProtection="true">
      <alignment horizontal="general" vertical="top" textRotation="0" indent="0" shrinkToFit="false"/>
      <protection locked="true" hidden="false"/>
    </xf>
    <xf numFmtId="164" fontId="0" fillId="0" borderId="0" xfId="0" applyFont="true" applyBorder="false" applyAlignment="true" applyProtection="true">
      <alignment horizontal="general" vertical="top" textRotation="0" indent="0" shrinkToFit="false"/>
      <protection locked="true" hidden="false"/>
    </xf>
    <xf numFmtId="164" fontId="0" fillId="0" borderId="0" xfId="0" applyFont="true" applyBorder="true" applyAlignment="true" applyProtection="true">
      <alignment horizontal="general" vertical="top" textRotation="0" indent="0" shrinkToFit="false"/>
      <protection locked="true" hidden="false"/>
    </xf>
    <xf numFmtId="164" fontId="8" fillId="0" borderId="0" xfId="0" applyFont="true" applyBorder="false" applyAlignment="true" applyProtection="true">
      <alignment horizontal="general" vertical="top" textRotation="0" indent="0" shrinkToFit="false"/>
      <protection locked="true" hidden="false"/>
    </xf>
    <xf numFmtId="0" fontId="9" fillId="0" borderId="0" xfId="0" applyFont="true" applyBorder="false" applyAlignment="true" applyProtection="true">
      <alignment horizontal="general" vertical="bottom" textRotation="0" wrapText="false" indent="0" shrinkToFit="false"/>
      <protection locked="true" hidden="false"/>
    </xf>
    <xf numFmtId="0" fontId="9" fillId="0" borderId="0" xfId="0" applyFont="true" applyBorder="true" applyAlignment="true" applyProtection="true">
      <alignment horizontal="general" vertical="bottom" textRotation="0" wrapText="false" indent="0" shrinkToFit="false"/>
      <protection locked="true" hidden="false"/>
    </xf>
    <xf numFmtId="0" fontId="12" fillId="3" borderId="0" xfId="0" applyFont="true" applyBorder="false" applyAlignment="true" applyProtection="true">
      <alignment horizontal="center" vertical="center" textRotation="0" wrapText="false" indent="0" shrinkToFit="false"/>
      <protection locked="true" hidden="false"/>
    </xf>
    <xf numFmtId="169" applyNumberFormat="1" fontId="15" fillId="0" borderId="0" xfId="0" applyFont="true" applyBorder="false" applyAlignment="true" applyProtection="true">
      <alignment horizontal="general" vertical="bottom" textRotation="0" wrapText="false" indent="0" shrinkToFit="false"/>
      <protection locked="true" hidden="false"/>
    </xf>
    <xf numFmtId="169" applyNumberFormat="1" fontId="13"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0" width="42.14"/>
  </cols>
  <sheetData>
    <row r="1" customFormat="false" ht="19" hidden="false" customHeight="false" outlineLevel="0" collapsed="false">
      <c r="A1" s="1" t="s">
        <v>0</v>
      </c>
    </row>
    <row r="3" customFormat="false" ht="15.5" hidden="false" customHeight="false" outlineLevel="0" collapsed="false">
      <c r="A3" s="2" t="s">
        <v>1</v>
      </c>
    </row>
    <row r="4" customFormat="false" ht="15.5" hidden="false" customHeight="false" outlineLevel="0" collapsed="false">
      <c r="A4" s="2" t="s">
        <v>2</v>
      </c>
    </row>
    <row r="5" customFormat="false" ht="15.5" hidden="false" customHeight="false" outlineLevel="0" collapsed="false">
      <c r="A5" s="3" t="s">
        <v>3</v>
      </c>
      <c r="B5" s="3"/>
      <c r="C5" s="3"/>
      <c r="D5" s="3"/>
    </row>
    <row r="6" customFormat="false" ht="15.5" hidden="false" customHeight="false" outlineLevel="0" collapsed="false">
      <c r="A6" s="3" t="s">
        <v>4</v>
      </c>
      <c r="B6" s="3"/>
      <c r="C6" s="3"/>
    </row>
    <row r="8" customFormat="false" ht="15" hidden="false" customHeight="false" outlineLevel="0" collapsed="false">
      <c r="A8" s="4" t="s">
        <v>5</v>
      </c>
    </row>
    <row r="9" customFormat="false" ht="29" hidden="false" customHeight="false" outlineLevel="0" collapsed="false">
      <c r="A9" s="32" t="s">
        <v>6</v>
      </c>
    </row>
    <row r="10" customFormat="false" ht="29" hidden="false" customHeight="false" outlineLevel="0" collapsed="false">
      <c r="A10" s="32" t="s">
        <v>7</v>
      </c>
    </row>
    <row r="11" customFormat="false" ht="15" hidden="false" customHeight="false" outlineLevel="0" collapsed="false">
      <c r="A11" s="5"/>
    </row>
    <row r="12" customFormat="false" ht="15" hidden="false" customHeight="false" outlineLevel="0" collapsed="false">
      <c r="A12" s="4" t="s">
        <v>8</v>
      </c>
    </row>
    <row r="13" customFormat="false" ht="15" hidden="false" customHeight="1" outlineLevel="0" collapsed="false">
      <c r="A13" s="33" t="s">
        <v>9</v>
      </c>
      <c r="B13" s="6"/>
      <c r="C13" s="6"/>
    </row>
    <row r="14" customFormat="false" ht="42" hidden="false" customHeight="false" outlineLevel="0" collapsed="false">
      <c r="A14" s="32" t="s">
        <v>10</v>
      </c>
    </row>
    <row r="15" customFormat="false" ht="15" hidden="false" customHeight="1" outlineLevel="0" collapsed="false">
      <c r="A15" s="33" t="s">
        <v>11</v>
      </c>
      <c r="B15" s="6"/>
      <c r="C15" s="6"/>
    </row>
    <row r="16" customFormat="false" ht="15" hidden="false" customHeight="false" outlineLevel="0" collapsed="false">
      <c r="A16" s="5"/>
    </row>
    <row r="17" customFormat="false" ht="15" hidden="false" customHeight="false" outlineLevel="0" collapsed="false">
      <c r="A17" s="4" t="s">
        <v>12</v>
      </c>
    </row>
    <row r="18" customFormat="false" ht="30" hidden="false" customHeight="false" outlineLevel="0" collapsed="false">
      <c r="A18" s="32" t="s">
        <v>13</v>
      </c>
    </row>
    <row r="19" customFormat="false" ht="30" hidden="false" customHeight="false" outlineLevel="0" collapsed="false">
      <c r="A19" s="32" t="s">
        <v>14</v>
      </c>
    </row>
    <row r="20" customFormat="false" ht="29" hidden="false" customHeight="false" outlineLevel="0" collapsed="false">
      <c r="A20" s="32" t="s">
        <v>15</v>
      </c>
    </row>
    <row r="21" customFormat="false" ht="30" hidden="false" customHeight="false" outlineLevel="0" collapsed="false">
      <c r="A21" s="34" t="s">
        <v>16</v>
      </c>
    </row>
    <row r="22" customFormat="false" ht="30" hidden="false" customHeight="false" outlineLevel="0" collapsed="false">
      <c r="A22" s="32" t="s">
        <v>17</v>
      </c>
    </row>
    <row r="23" customFormat="false" ht="30" hidden="false" customHeight="false" outlineLevel="0" collapsed="false">
      <c r="A23" s="34" t="s">
        <v>18</v>
      </c>
    </row>
    <row r="24" customFormat="false" ht="30" hidden="false" customHeight="false" outlineLevel="0" collapsed="false">
      <c r="A24" s="32" t="s">
        <v>19</v>
      </c>
    </row>
    <row r="26" customFormat="false" ht="15" hidden="false" customHeight="false" outlineLevel="0" collapsed="false">
      <c r="A26" s="4" t="s">
        <v>20</v>
      </c>
    </row>
    <row r="27" customFormat="false" ht="15" hidden="false" customHeight="false" outlineLevel="0" collapsed="false">
      <c r="A27" s="7"/>
    </row>
    <row r="28" customFormat="false" ht="16" hidden="false" customHeight="false" outlineLevel="0" collapsed="false">
      <c r="A28" s="7" t="s">
        <v>21</v>
      </c>
    </row>
    <row r="29" customFormat="false" ht="15" hidden="false" customHeight="false" outlineLevel="0" collapsed="false">
      <c r="A29" s="7"/>
    </row>
    <row r="30" customFormat="false" ht="16" hidden="false" customHeight="false" outlineLevel="0" collapsed="false">
      <c r="A30" s="7" t="s">
        <v>22</v>
      </c>
    </row>
    <row r="31" customFormat="false" ht="16" hidden="false" customHeight="false" outlineLevel="0" collapsed="false">
      <c r="A31" s="7" t="s">
        <v>23</v>
      </c>
    </row>
    <row r="32" customFormat="false" ht="28" hidden="false" customHeight="false" outlineLevel="0" collapsed="false">
      <c r="A32" s="34" t="s">
        <v>24</v>
      </c>
    </row>
    <row r="33" customFormat="false" ht="16" hidden="false" customHeight="false" outlineLevel="0" collapsed="false">
      <c r="A33" s="5" t="s">
        <v>25</v>
      </c>
    </row>
    <row r="34" customFormat="false" ht="28" hidden="false" customHeight="false" outlineLevel="0" collapsed="false">
      <c r="A34" s="34" t="s">
        <v>26</v>
      </c>
    </row>
    <row r="35" customFormat="false" ht="30" hidden="false" customHeight="false" outlineLevel="0" collapsed="false">
      <c r="A35" s="34" t="s">
        <v>27</v>
      </c>
    </row>
    <row r="36" customFormat="false" ht="15" hidden="false" customHeight="false" outlineLevel="0" collapsed="false">
      <c r="A36" s="7" t="s">
        <v>28</v>
      </c>
    </row>
    <row r="37" customFormat="false" ht="16" hidden="false" customHeight="false" outlineLevel="0" collapsed="false">
      <c r="A37" s="7" t="s">
        <v>29</v>
      </c>
    </row>
    <row r="38" customFormat="false" ht="16" hidden="false" customHeight="false" outlineLevel="0" collapsed="false">
      <c r="A38" s="7" t="s">
        <v>30</v>
      </c>
    </row>
    <row r="39" customFormat="false" ht="16" hidden="false" customHeight="false" outlineLevel="0" collapsed="false">
      <c r="A39" s="5" t="s">
        <v>31</v>
      </c>
    </row>
    <row r="40" customFormat="false" ht="28" hidden="false" customHeight="false" outlineLevel="0" collapsed="false">
      <c r="A40" s="34" t="s">
        <v>32</v>
      </c>
    </row>
    <row r="41" customFormat="false" ht="15" hidden="false" customHeight="false" outlineLevel="0" collapsed="false">
      <c r="A41" s="7" t="s">
        <v>33</v>
      </c>
    </row>
    <row r="42" customFormat="false" ht="15" hidden="false" customHeight="false" outlineLevel="0" collapsed="false">
      <c r="A42" s="7"/>
    </row>
    <row r="43" customFormat="false" ht="16" hidden="false" customHeight="false" outlineLevel="0" collapsed="false">
      <c r="A43" s="7" t="s">
        <v>34</v>
      </c>
    </row>
    <row r="44" customFormat="false" ht="15" hidden="false" customHeight="false" outlineLevel="0" collapsed="false">
      <c r="A44" s="7"/>
    </row>
    <row r="45" customFormat="false" ht="15" hidden="false" customHeight="false" outlineLevel="0" collapsed="false">
      <c r="A45" s="7" t="s">
        <v>35</v>
      </c>
    </row>
    <row r="46" customFormat="false" ht="15" hidden="false" customHeight="false" outlineLevel="0" collapsed="false">
      <c r="A46" s="7"/>
    </row>
    <row r="47" customFormat="false" ht="16" hidden="false" customHeight="false" outlineLevel="0" collapsed="false">
      <c r="A47" s="7" t="s">
        <v>36</v>
      </c>
    </row>
    <row r="48" customFormat="false" ht="15" hidden="false" customHeight="false" outlineLevel="0" collapsed="false">
      <c r="A48" s="7"/>
    </row>
    <row r="49" customFormat="false" ht="15" hidden="false" customHeight="false" outlineLevel="0" collapsed="false">
      <c r="A49" s="7" t="s">
        <v>37</v>
      </c>
    </row>
    <row r="50" customFormat="false" ht="15" hidden="false" customHeight="false" outlineLevel="0" collapsed="false">
      <c r="A50" s="7"/>
    </row>
    <row r="51" customFormat="false" ht="16" hidden="false" customHeight="false" outlineLevel="0" collapsed="false">
      <c r="A51" s="7" t="s">
        <v>38</v>
      </c>
    </row>
    <row r="52" customFormat="false" ht="15" hidden="false" customHeight="false" outlineLevel="0" collapsed="false">
      <c r="A52" s="7"/>
    </row>
    <row r="53" customFormat="false" ht="15" hidden="false" customHeight="false" outlineLevel="0" collapsed="false">
      <c r="A53" s="7" t="s">
        <v>39</v>
      </c>
    </row>
    <row r="54" customFormat="false" ht="15" hidden="false" customHeight="false" outlineLevel="0" collapsed="false">
      <c r="A54" s="7" t="s">
        <v>40</v>
      </c>
    </row>
    <row r="55" customFormat="false" ht="30" hidden="false" customHeight="false" outlineLevel="0" collapsed="false">
      <c r="A55" s="34" t="s">
        <v>41</v>
      </c>
    </row>
    <row r="56" customFormat="false" ht="28" hidden="false" customHeight="false" outlineLevel="0" collapsed="false">
      <c r="A56" s="34" t="s">
        <v>42</v>
      </c>
    </row>
    <row r="57" customFormat="false" ht="29" hidden="false" customHeight="false" outlineLevel="0" collapsed="false">
      <c r="A57" s="34" t="s">
        <v>43</v>
      </c>
    </row>
    <row r="58" customFormat="false" ht="15" hidden="false" customHeight="false" outlineLevel="0" collapsed="false">
      <c r="A58" s="7"/>
    </row>
    <row r="59" customFormat="false" ht="16" hidden="false" customHeight="false" outlineLevel="0" collapsed="false">
      <c r="A59" s="7" t="s">
        <v>44</v>
      </c>
    </row>
    <row r="60" customFormat="false" ht="15" hidden="false" customHeight="false" outlineLevel="0" collapsed="false">
      <c r="A60" s="7"/>
    </row>
    <row r="61" customFormat="false" ht="29" hidden="false" customHeight="false" outlineLevel="0" collapsed="false">
      <c r="A61" s="34" t="s">
        <v>45</v>
      </c>
    </row>
    <row r="62" customFormat="false" ht="15" hidden="false" customHeight="false" outlineLevel="0" collapsed="false">
      <c r="A62" s="7"/>
    </row>
    <row r="63" customFormat="false" ht="16" hidden="false" customHeight="false" outlineLevel="0" collapsed="false">
      <c r="A63" s="7" t="s">
        <v>46</v>
      </c>
    </row>
    <row r="64" customFormat="false" ht="15" hidden="false" customHeight="false" outlineLevel="0" collapsed="false">
      <c r="A64" s="7"/>
    </row>
    <row r="65" customFormat="false" ht="16" hidden="false" customHeight="false" outlineLevel="0" collapsed="false">
      <c r="A65" s="7" t="s">
        <v>47</v>
      </c>
    </row>
    <row r="66" customFormat="false" ht="16" hidden="false" customHeight="false" outlineLevel="0" collapsed="false">
      <c r="A66" s="34" t="s">
        <v>48</v>
      </c>
    </row>
    <row r="67" customFormat="false" ht="30" hidden="false" customHeight="false" outlineLevel="0" collapsed="false">
      <c r="A67" s="34" t="s">
        <v>49</v>
      </c>
    </row>
    <row r="68" customFormat="false" ht="29" hidden="false" customHeight="false" outlineLevel="0" collapsed="false">
      <c r="A68" s="34" t="s">
        <v>50</v>
      </c>
    </row>
    <row r="69" customFormat="false" ht="29" hidden="false" customHeight="false" outlineLevel="0" collapsed="false">
      <c r="A69" s="34" t="s">
        <v>51</v>
      </c>
    </row>
    <row r="70" customFormat="false" ht="30" hidden="false" customHeight="false" outlineLevel="0" collapsed="false">
      <c r="A70" s="34" t="s">
        <v>52</v>
      </c>
    </row>
    <row r="71" customFormat="false" ht="29" hidden="false" customHeight="false" outlineLevel="0" collapsed="false">
      <c r="A71" s="34" t="s">
        <v>53</v>
      </c>
    </row>
    <row r="72" customFormat="false" ht="16" hidden="false" customHeight="false" outlineLevel="0" collapsed="false">
      <c r="A72" s="7" t="s">
        <v>54</v>
      </c>
    </row>
    <row r="73" customFormat="false" ht="29" hidden="false" customHeight="false" outlineLevel="0" collapsed="false">
      <c r="A73" s="34" t="s">
        <v>55</v>
      </c>
    </row>
    <row r="74" customFormat="false" ht="15" hidden="false" customHeight="false" outlineLevel="0" collapsed="false">
      <c r="A74" s="7"/>
    </row>
    <row r="75" customFormat="false" ht="16" hidden="false" customHeight="false" outlineLevel="0" collapsed="false">
      <c r="A75" s="7" t="s">
        <v>56</v>
      </c>
    </row>
    <row r="76" customFormat="false" ht="15" hidden="false" customHeight="false" outlineLevel="0" collapsed="false">
      <c r="A76" s="7"/>
    </row>
    <row r="77" customFormat="false" ht="28" hidden="false" customHeight="false" outlineLevel="0" collapsed="false">
      <c r="A77" s="34" t="s">
        <v>57</v>
      </c>
    </row>
    <row r="78" customFormat="false" ht="15" hidden="false" customHeight="false" outlineLevel="0" collapsed="false">
      <c r="A78" s="7"/>
    </row>
    <row r="79" customFormat="false" ht="16" hidden="false" customHeight="false" outlineLevel="0" collapsed="false">
      <c r="A79" s="7" t="s">
        <v>58</v>
      </c>
    </row>
    <row r="80" customFormat="false" ht="15" hidden="false" customHeight="false" outlineLevel="0" collapsed="false">
      <c r="A80" s="7"/>
    </row>
    <row r="81" customFormat="false" ht="16" hidden="false" customHeight="false" outlineLevel="0" collapsed="false">
      <c r="A81" s="34" t="s">
        <v>59</v>
      </c>
    </row>
    <row r="82" customFormat="false" ht="15" hidden="false" customHeight="false" outlineLevel="0" collapsed="false">
      <c r="A82" s="7"/>
    </row>
    <row r="83" customFormat="false" ht="16" hidden="false" customHeight="false" outlineLevel="0" collapsed="false">
      <c r="A83" s="7" t="s">
        <v>60</v>
      </c>
    </row>
    <row r="84" customFormat="false" ht="15" hidden="false" customHeight="false" outlineLevel="0" collapsed="false">
      <c r="A84" s="7"/>
    </row>
    <row r="85" customFormat="false" ht="29" hidden="false" customHeight="false" outlineLevel="0" collapsed="false">
      <c r="A85" s="34" t="s">
        <v>61</v>
      </c>
    </row>
    <row r="86" customFormat="false" ht="29" hidden="false" customHeight="false" outlineLevel="0" collapsed="false">
      <c r="A86" s="34" t="s">
        <v>62</v>
      </c>
    </row>
    <row r="87" customFormat="false" ht="30" hidden="false" customHeight="false" outlineLevel="0" collapsed="false">
      <c r="A87" s="34" t="s">
        <v>63</v>
      </c>
    </row>
    <row r="88" customFormat="false" ht="30" hidden="false" customHeight="false" outlineLevel="0" collapsed="false">
      <c r="A88" s="34" t="s">
        <v>64</v>
      </c>
    </row>
    <row r="89" customFormat="false" ht="15" hidden="false" customHeight="1" outlineLevel="0" collapsed="false">
      <c r="A89" s="35" t="s">
        <v>65</v>
      </c>
      <c r="B89" s="8"/>
      <c r="C89" s="8"/>
      <c r="D89" s="8"/>
      <c r="E89" s="8"/>
      <c r="F89" s="8"/>
      <c r="G89" s="8"/>
      <c r="H89" s="8"/>
    </row>
    <row r="90" customFormat="false" ht="15" hidden="false" customHeight="false" outlineLevel="0" collapsed="false">
      <c r="A90" s="7" t="s">
        <v>66</v>
      </c>
    </row>
    <row r="91" customFormat="false" ht="29" hidden="false" customHeight="false" outlineLevel="0" collapsed="false">
      <c r="A91" s="34" t="s">
        <v>67</v>
      </c>
    </row>
    <row r="92" customFormat="false" ht="28" hidden="false" customHeight="false" outlineLevel="0" collapsed="false">
      <c r="A92" s="34" t="s">
        <v>68</v>
      </c>
    </row>
    <row r="93" customFormat="false" ht="15" hidden="false" customHeight="false" outlineLevel="0" collapsed="false">
      <c r="A93" s="7" t="s">
        <v>69</v>
      </c>
    </row>
    <row r="94" customFormat="false" ht="16" hidden="false" customHeight="false" outlineLevel="0" collapsed="false">
      <c r="A94" s="7" t="s">
        <v>70</v>
      </c>
    </row>
    <row r="95" customFormat="false" ht="15" hidden="false" customHeight="false" outlineLevel="0" collapsed="false">
      <c r="A95" s="7" t="s">
        <v>71</v>
      </c>
    </row>
    <row r="96" customFormat="false" ht="15" hidden="false" customHeight="false" outlineLevel="0" collapsed="false">
      <c r="A96" s="7" t="s">
        <v>72</v>
      </c>
    </row>
    <row r="97" customFormat="false" ht="16" hidden="false" customHeight="false" outlineLevel="0" collapsed="false">
      <c r="A97" s="7" t="s">
        <v>73</v>
      </c>
    </row>
    <row r="98" customFormat="false" ht="15" hidden="false" customHeight="false" outlineLevel="0" collapsed="false">
      <c r="A98" s="7" t="s">
        <v>74</v>
      </c>
    </row>
    <row r="99" customFormat="false" ht="16" hidden="false" customHeight="false" outlineLevel="0" collapsed="false">
      <c r="A99" s="34" t="s">
        <v>75</v>
      </c>
    </row>
    <row r="100" customFormat="false" ht="16" hidden="false" customHeight="false" outlineLevel="0" collapsed="false">
      <c r="A100" s="7" t="s">
        <v>76</v>
      </c>
    </row>
    <row r="101" customFormat="false" ht="27.5" hidden="false" customHeight="false" outlineLevel="0" collapsed="false">
      <c r="A101" s="34" t="s">
        <v>77</v>
      </c>
    </row>
    <row r="102" customFormat="false" ht="16" hidden="false" customHeight="false" outlineLevel="0" collapsed="false">
      <c r="A102" s="7" t="s">
        <v>78</v>
      </c>
    </row>
    <row r="103" customFormat="false" ht="30" hidden="false" customHeight="false" outlineLevel="0" collapsed="false">
      <c r="A103" s="34" t="s">
        <v>79</v>
      </c>
    </row>
    <row r="104" customFormat="false" ht="28" hidden="false" customHeight="false" outlineLevel="0" collapsed="false">
      <c r="A104" s="34" t="s">
        <v>80</v>
      </c>
    </row>
    <row r="105" customFormat="false" ht="30" hidden="false" customHeight="false" outlineLevel="0" collapsed="false">
      <c r="A105" s="34" t="s">
        <v>81</v>
      </c>
    </row>
    <row r="106" customFormat="false" ht="30" hidden="false" customHeight="false" outlineLevel="0" collapsed="false">
      <c r="A106" s="34" t="s">
        <v>82</v>
      </c>
    </row>
    <row r="107" customFormat="false" ht="28" hidden="false" customHeight="false" outlineLevel="0" collapsed="false">
      <c r="A107" s="34" t="s">
        <v>83</v>
      </c>
    </row>
    <row r="108" customFormat="false" ht="16" hidden="false" customHeight="false" outlineLevel="0" collapsed="false">
      <c r="A108" s="7" t="s">
        <v>84</v>
      </c>
    </row>
    <row r="109" customFormat="false" ht="15" hidden="false" customHeight="false" outlineLevel="0" collapsed="false">
      <c r="A109" s="7" t="s">
        <v>85</v>
      </c>
    </row>
    <row r="110" customFormat="false" ht="15" hidden="false" customHeight="false" outlineLevel="0" collapsed="false">
      <c r="A110" s="7"/>
    </row>
    <row r="111" customFormat="false" ht="16" hidden="false" customHeight="false" outlineLevel="0" collapsed="false">
      <c r="A111" s="7" t="s">
        <v>86</v>
      </c>
    </row>
    <row r="112" customFormat="false" ht="15" hidden="false" customHeight="false" outlineLevel="0" collapsed="false">
      <c r="A112" s="7"/>
    </row>
    <row r="113" customFormat="false" ht="41" hidden="false" customHeight="false" outlineLevel="0" collapsed="false">
      <c r="A113" s="34" t="s">
        <v>87</v>
      </c>
    </row>
    <row r="114" customFormat="false" ht="15" hidden="false" customHeight="false" outlineLevel="0" collapsed="false">
      <c r="A114" s="7"/>
    </row>
    <row r="115" customFormat="false" ht="16" hidden="false" customHeight="false" outlineLevel="0" collapsed="false">
      <c r="A115" s="7" t="s">
        <v>88</v>
      </c>
    </row>
    <row r="116" customFormat="false" ht="15" hidden="false" customHeight="false" outlineLevel="0" collapsed="false">
      <c r="A116" s="7"/>
    </row>
    <row r="117" customFormat="false" ht="28" hidden="false" customHeight="false" outlineLevel="0" collapsed="false">
      <c r="A117" s="34" t="s">
        <v>89</v>
      </c>
    </row>
    <row r="118" customFormat="false" ht="28" hidden="false" customHeight="false" outlineLevel="0" collapsed="false">
      <c r="A118" s="34" t="s">
        <v>90</v>
      </c>
    </row>
    <row r="120" customFormat="false" ht="29" hidden="false" customHeight="false" outlineLevel="0" collapsed="false">
      <c r="A120" s="36" t="s">
        <v>91</v>
      </c>
    </row>
    <row r="121" customFormat="false" ht="15.5" hidden="false" customHeight="false" outlineLevel="0" collapsed="false">
      <c r="A121" s="2" t="s">
        <v>92</v>
      </c>
    </row>
    <row r="122" customFormat="false" ht="15.5" hidden="false" customHeight="false" outlineLevel="0" collapsed="false">
      <c r="A122" s="2" t="s">
        <v>93</v>
      </c>
    </row>
    <row r="123" customFormat="false" ht="15.5" hidden="false" customHeight="false" outlineLevel="0" collapsed="false">
      <c r="A123" s="2" t="s">
        <v>94</v>
      </c>
    </row>
    <row r="124" customFormat="false" ht="15.5" hidden="false" customHeight="false" outlineLevel="0" collapsed="false">
      <c r="A124" s="2" t="s">
        <v>95</v>
      </c>
    </row>
    <row r="125" customFormat="false" ht="15.5" hidden="false" customHeight="false" outlineLevel="0" collapsed="false">
      <c r="A125" s="2" t="s">
        <v>96</v>
      </c>
    </row>
    <row r="126" customFormat="false" ht="15.5" hidden="false" customHeight="false" outlineLevel="0" collapsed="false">
      <c r="A126" s="2" t="s">
        <v>97</v>
      </c>
    </row>
    <row r="127" customFormat="false" ht="15.5" hidden="false" customHeight="false" outlineLevel="0" collapsed="false">
      <c r="A127" s="2" t="s">
        <v>98</v>
      </c>
    </row>
    <row r="128" customFormat="false" ht="15.5" hidden="false" customHeight="false" outlineLevel="0" collapsed="false">
      <c r="A128" s="2" t="s">
        <v>99</v>
      </c>
    </row>
    <row r="129" customFormat="false" ht="15.5" hidden="false" customHeight="false" outlineLevel="0" collapsed="false">
      <c r="A129" s="2" t="s">
        <v>100</v>
      </c>
    </row>
    <row r="130" customFormat="false" ht="15.5" hidden="false" customHeight="false" outlineLevel="0" collapsed="false">
      <c r="A130" s="2" t="s">
        <v>101</v>
      </c>
    </row>
    <row r="131" customFormat="false" ht="15.5" hidden="false" customHeight="false" outlineLevel="0" collapsed="false">
      <c r="A131" s="2" t="s">
        <v>102</v>
      </c>
    </row>
    <row r="133" customFormat="false" ht="15" hidden="false" customHeight="false" outlineLevel="0" collapsed="false">
      <c r="A133" s="4" t="s">
        <v>103</v>
      </c>
    </row>
    <row r="134" customFormat="false" ht="30" hidden="false" customHeight="false" outlineLevel="0" collapsed="false">
      <c r="A134" s="34" t="s">
        <v>104</v>
      </c>
    </row>
    <row r="135" customFormat="false" ht="28" hidden="false" customHeight="false" outlineLevel="0" collapsed="false">
      <c r="A135" s="34" t="s">
        <v>105</v>
      </c>
    </row>
    <row r="136" customFormat="false" ht="15" hidden="false" customHeight="false" outlineLevel="0" collapsed="false">
      <c r="A136" s="7"/>
    </row>
    <row r="137" customFormat="false" ht="15" hidden="false" customHeight="false" outlineLevel="0" collapsed="false">
      <c r="A137" s="4" t="s">
        <v>106</v>
      </c>
    </row>
    <row r="138" customFormat="false" ht="28" hidden="false" customHeight="false" outlineLevel="0" collapsed="false">
      <c r="A138" s="34" t="s">
        <v>107</v>
      </c>
    </row>
    <row r="139" customFormat="false" ht="29" hidden="false" customHeight="false" outlineLevel="0" collapsed="false">
      <c r="A139" s="34" t="s">
        <v>108</v>
      </c>
    </row>
    <row r="141" customFormat="false" ht="15.5" hidden="false" customHeight="false" outlineLevel="0" collapsed="false">
      <c r="A141" s="9" t="s">
        <v>109</v>
      </c>
    </row>
  </sheetData>
  <mergeCells count="5">
    <mergeCell ref="A5:L5"/>
    <mergeCell ref="A6:J6"/>
    <mergeCell ref="A13:I13"/>
    <mergeCell ref="A15:J15"/>
    <mergeCell ref="A89:Q8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M161" evalError="1" twoDigitTextYear="1" numberStoredAsText="1" formula="1" formulaRange="1" unlockedFormula="1" emptyCellReference="1" listDataValidation="1" calculatedColum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10" width="27.31"/>
    <col collapsed="false" customWidth="true" hidden="false" outlineLevel="0" max="7" min="2" style="10" width="14.56"/>
    <col collapsed="false" customWidth="true" hidden="false" outlineLevel="0" max="8" min="8" style="10" width="49.13"/>
  </cols>
  <sheetData>
    <row r="1" customFormat="false" ht="19" hidden="false" customHeight="false" outlineLevel="0" collapsed="false">
      <c r="A1" s="11" t="s">
        <v>110</v>
      </c>
      <c r="B1" s="11"/>
      <c r="C1" s="11"/>
      <c r="D1" s="11"/>
      <c r="E1" s="11"/>
      <c r="F1" s="11"/>
      <c r="G1" s="11"/>
      <c r="H1" s="11"/>
    </row>
    <row r="3" customFormat="false" ht="15.5" hidden="false" customHeight="false" outlineLevel="0" collapsed="false">
      <c r="A3" s="12" t="s">
        <v>111</v>
      </c>
      <c r="B3" s="12"/>
      <c r="C3" s="12"/>
      <c r="D3" s="13"/>
      <c r="E3" s="13"/>
      <c r="F3" s="13"/>
      <c r="G3" s="13"/>
      <c r="H3" s="13"/>
    </row>
    <row r="4" customFormat="false" ht="15" hidden="false" customHeight="false" outlineLevel="0" collapsed="false">
      <c r="A4" s="14" t="s">
        <v>112</v>
      </c>
      <c r="B4" s="14" t="s">
        <v>113</v>
      </c>
      <c r="C4" s="14" t="s">
        <v>106</v>
      </c>
    </row>
    <row r="5" customFormat="false" ht="16" hidden="false" customHeight="false" outlineLevel="0" collapsed="false">
      <c r="A5" s="10" t="s">
        <v>114</v>
      </c>
      <c r="B5" s="15" t="s">
        <v>115</v>
      </c>
      <c r="C5" s="37">
        <v>3</v>
      </c>
    </row>
    <row r="6" customFormat="false" ht="15" hidden="false" customHeight="false" outlineLevel="0" collapsed="false">
      <c r="A6" s="10" t="s">
        <v>117</v>
      </c>
      <c r="B6" s="15" t="n">
        <v>3</v>
      </c>
    </row>
    <row r="7" customFormat="false" ht="16" hidden="false" customHeight="false" outlineLevel="0" collapsed="false">
      <c r="A7" s="10" t="s">
        <v>118</v>
      </c>
      <c r="B7" s="15" t="n">
        <v>3</v>
      </c>
      <c r="C7" s="17" t="s">
        <v>119</v>
      </c>
      <c r="D7" s="17"/>
      <c r="E7" s="17"/>
    </row>
    <row r="8" customFormat="false" ht="16" hidden="false" customHeight="false" outlineLevel="0" collapsed="false">
      <c r="A8" s="10" t="s">
        <v>120</v>
      </c>
      <c r="B8" s="15" t="n">
        <v>5</v>
      </c>
      <c r="C8" s="38">
        <v>3</v>
      </c>
      <c r="D8" s="18"/>
      <c r="E8" s="18"/>
    </row>
    <row r="9" customFormat="false" ht="16" hidden="false" customHeight="false" outlineLevel="0" collapsed="false">
      <c r="A9" s="10" t="s">
        <v>122</v>
      </c>
      <c r="B9" s="15" t="n">
        <v>30</v>
      </c>
      <c r="C9" s="17" t="s">
        <v>123</v>
      </c>
      <c r="D9" s="17"/>
    </row>
    <row r="10" customFormat="false" ht="15" hidden="false" customHeight="false" outlineLevel="0" collapsed="false">
      <c r="A10" s="10" t="s">
        <v>124</v>
      </c>
      <c r="B10" s="19" t="s">
        <v>125</v>
      </c>
    </row>
    <row r="11" customFormat="false" ht="16" hidden="false" customHeight="false" outlineLevel="0" collapsed="false">
      <c r="A11" s="10" t="s">
        <v>126</v>
      </c>
      <c r="B11" s="20" t="n">
        <f aca="false">B9^B6</f>
        <v>27000</v>
      </c>
      <c r="C11" s="17" t="s">
        <v>127</v>
      </c>
      <c r="D11" s="17"/>
    </row>
    <row r="12" customFormat="false" ht="16" hidden="false" customHeight="false" outlineLevel="0" collapsed="false">
      <c r="A12" s="10" t="s">
        <v>128</v>
      </c>
      <c r="B12" s="15" t="n">
        <v>1</v>
      </c>
      <c r="C12" s="17" t="s">
        <v>129</v>
      </c>
      <c r="D12" s="17"/>
      <c r="E12" s="17"/>
      <c r="F12" s="17"/>
    </row>
    <row r="13" customFormat="false" ht="16" hidden="false" customHeight="false" outlineLevel="0" collapsed="false">
      <c r="A13" s="10" t="s">
        <v>130</v>
      </c>
      <c r="B13" s="20" t="n">
        <f aca="false">B12*B8</f>
        <v>5</v>
      </c>
      <c r="C13" s="17" t="s">
        <v>131</v>
      </c>
      <c r="D13" s="17"/>
    </row>
    <row r="15" customFormat="false" ht="15.5" hidden="false" customHeight="false" outlineLevel="0" collapsed="false">
      <c r="A15" s="12" t="s">
        <v>132</v>
      </c>
      <c r="B15" s="12"/>
      <c r="C15" s="12"/>
      <c r="D15" s="12"/>
      <c r="E15" s="12"/>
      <c r="F15" s="13"/>
      <c r="G15" s="13"/>
      <c r="H15" s="13"/>
    </row>
    <row r="16" customFormat="false" ht="15.5" hidden="false" customHeight="false" outlineLevel="0" collapsed="false">
      <c r="A16" s="14" t="s">
        <v>133</v>
      </c>
      <c r="B16" s="14" t="s">
        <v>134</v>
      </c>
      <c r="C16" s="14" t="s">
        <v>135</v>
      </c>
      <c r="D16" s="14" t="s">
        <v>136</v>
      </c>
      <c r="E16" s="14"/>
    </row>
    <row r="17" customFormat="false" ht="15.5" hidden="false" customHeight="false" outlineLevel="0" collapsed="false">
      <c r="A17" s="10" t="n">
        <v>1</v>
      </c>
      <c r="B17" s="19" t="s">
        <v>137</v>
      </c>
      <c r="C17" s="19" t="s">
        <v>138</v>
      </c>
      <c r="D17" s="19" t="s">
        <v>139</v>
      </c>
    </row>
    <row r="18" customFormat="false" ht="15" hidden="false" customHeight="false" outlineLevel="0" collapsed="false">
      <c r="A18" s="10" t="n">
        <v>2</v>
      </c>
      <c r="B18" s="19" t="s">
        <v>140</v>
      </c>
      <c r="C18" s="19" t="s">
        <v>141</v>
      </c>
      <c r="D18" s="19" t="s">
        <v>141</v>
      </c>
    </row>
    <row r="19" customFormat="false" ht="15" hidden="false" customHeight="false" outlineLevel="0" collapsed="false">
      <c r="A19" s="10" t="n">
        <v>3</v>
      </c>
      <c r="B19" s="19" t="s">
        <v>142</v>
      </c>
      <c r="C19" s="15" t="s">
        <v>143</v>
      </c>
      <c r="D19" s="19" t="s">
        <v>141</v>
      </c>
    </row>
    <row r="20" customFormat="false" ht="15" hidden="false" customHeight="false" outlineLevel="0" collapsed="false">
      <c r="A20" s="10" t="n">
        <v>4</v>
      </c>
      <c r="B20" s="19" t="s">
        <v>140</v>
      </c>
      <c r="C20" s="19" t="s">
        <v>137</v>
      </c>
      <c r="D20" s="19" t="s">
        <v>141</v>
      </c>
    </row>
    <row r="21" customFormat="false" ht="15.5" hidden="false" customHeight="false" outlineLevel="0" collapsed="false">
      <c r="A21" s="10" t="n">
        <v>5</v>
      </c>
      <c r="B21" s="19" t="s">
        <v>138</v>
      </c>
      <c r="C21" s="19" t="s">
        <v>139</v>
      </c>
      <c r="D21" s="19" t="s">
        <v>142</v>
      </c>
    </row>
    <row r="22" customFormat="false" ht="15.5" hidden="false" customHeight="false" outlineLevel="0" collapsed="false">
      <c r="A22" s="10" t="n">
        <v>6</v>
      </c>
      <c r="B22" s="15" t="s">
        <v>143</v>
      </c>
      <c r="C22" s="19" t="s">
        <v>138</v>
      </c>
      <c r="D22" s="19" t="s">
        <v>139</v>
      </c>
    </row>
    <row r="23" customFormat="false" ht="15.5" hidden="false" customHeight="false" outlineLevel="0" collapsed="false">
      <c r="A23" s="10" t="n">
        <v>7</v>
      </c>
      <c r="B23" s="19" t="s">
        <v>138</v>
      </c>
      <c r="C23" s="19" t="s">
        <v>138</v>
      </c>
      <c r="D23" s="19" t="s">
        <v>138</v>
      </c>
    </row>
    <row r="24" customFormat="false" ht="15" hidden="false" customHeight="false" outlineLevel="0" collapsed="false">
      <c r="A24" s="10" t="n">
        <v>8</v>
      </c>
      <c r="B24" s="19" t="s">
        <v>144</v>
      </c>
      <c r="C24" s="19" t="s">
        <v>142</v>
      </c>
      <c r="D24" s="19" t="s">
        <v>142</v>
      </c>
    </row>
    <row r="25" customFormat="false" ht="15.5" hidden="false" customHeight="false" outlineLevel="0" collapsed="false">
      <c r="A25" s="10" t="n">
        <v>9</v>
      </c>
      <c r="B25" s="15" t="s">
        <v>143</v>
      </c>
      <c r="C25" s="19" t="s">
        <v>144</v>
      </c>
      <c r="D25" s="19" t="s">
        <v>138</v>
      </c>
    </row>
    <row r="26" customFormat="false" ht="15" hidden="false" customHeight="false" outlineLevel="0" collapsed="false">
      <c r="A26" s="10" t="n">
        <v>10</v>
      </c>
      <c r="B26" s="19" t="s">
        <v>139</v>
      </c>
      <c r="C26" s="15" t="s">
        <v>143</v>
      </c>
      <c r="D26" s="19" t="s">
        <v>141</v>
      </c>
    </row>
    <row r="27" customFormat="false" ht="15" hidden="false" customHeight="false" outlineLevel="0" collapsed="false">
      <c r="A27" s="10" t="n">
        <v>11</v>
      </c>
      <c r="B27" s="19" t="s">
        <v>141</v>
      </c>
      <c r="C27" s="19" t="s">
        <v>140</v>
      </c>
      <c r="D27" s="19" t="s">
        <v>141</v>
      </c>
    </row>
    <row r="28" customFormat="false" ht="15.5" hidden="false" customHeight="false" outlineLevel="0" collapsed="false">
      <c r="A28" s="10" t="n">
        <v>12</v>
      </c>
      <c r="B28" s="19" t="s">
        <v>137</v>
      </c>
      <c r="C28" s="19" t="s">
        <v>138</v>
      </c>
      <c r="D28" s="15" t="s">
        <v>143</v>
      </c>
    </row>
    <row r="29" customFormat="false" ht="15" hidden="false" customHeight="false" outlineLevel="0" collapsed="false">
      <c r="A29" s="10" t="n">
        <v>13</v>
      </c>
      <c r="B29" s="19" t="s">
        <v>142</v>
      </c>
      <c r="C29" s="19" t="s">
        <v>137</v>
      </c>
      <c r="D29" s="19" t="s">
        <v>140</v>
      </c>
    </row>
    <row r="30" customFormat="false" ht="15" hidden="false" customHeight="false" outlineLevel="0" collapsed="false">
      <c r="A30" s="10" t="n">
        <v>14</v>
      </c>
      <c r="B30" s="19" t="s">
        <v>140</v>
      </c>
      <c r="C30" s="19" t="s">
        <v>144</v>
      </c>
      <c r="D30" s="19" t="s">
        <v>144</v>
      </c>
    </row>
    <row r="31" customFormat="false" ht="15.5" hidden="false" customHeight="false" outlineLevel="0" collapsed="false">
      <c r="A31" s="10" t="n">
        <v>15</v>
      </c>
      <c r="B31" s="19" t="s">
        <v>142</v>
      </c>
      <c r="C31" s="19" t="s">
        <v>142</v>
      </c>
      <c r="D31" s="19" t="s">
        <v>138</v>
      </c>
    </row>
    <row r="32" customFormat="false" ht="15" hidden="false" customHeight="false" outlineLevel="0" collapsed="false">
      <c r="A32" s="10" t="n">
        <v>16</v>
      </c>
      <c r="B32" s="19" t="s">
        <v>141</v>
      </c>
      <c r="C32" s="19" t="s">
        <v>137</v>
      </c>
      <c r="D32" s="19" t="s">
        <v>140</v>
      </c>
    </row>
    <row r="33" customFormat="false" ht="15" hidden="false" customHeight="false" outlineLevel="0" collapsed="false">
      <c r="A33" s="10" t="n">
        <v>17</v>
      </c>
      <c r="B33" s="19" t="s">
        <v>141</v>
      </c>
      <c r="C33" s="15" t="s">
        <v>143</v>
      </c>
      <c r="D33" s="19" t="s">
        <v>137</v>
      </c>
    </row>
    <row r="34" customFormat="false" ht="15.5" hidden="false" customHeight="false" outlineLevel="0" collapsed="false">
      <c r="A34" s="10" t="n">
        <v>18</v>
      </c>
      <c r="B34" s="19" t="s">
        <v>141</v>
      </c>
      <c r="C34" s="19" t="s">
        <v>141</v>
      </c>
      <c r="D34" s="19" t="s">
        <v>138</v>
      </c>
    </row>
    <row r="35" customFormat="false" ht="15" hidden="false" customHeight="false" outlineLevel="0" collapsed="false">
      <c r="A35" s="10" t="n">
        <v>19</v>
      </c>
      <c r="B35" s="19" t="s">
        <v>140</v>
      </c>
      <c r="C35" s="19" t="s">
        <v>140</v>
      </c>
      <c r="D35" s="19" t="s">
        <v>137</v>
      </c>
    </row>
    <row r="36" customFormat="false" ht="15.5" hidden="false" customHeight="false" outlineLevel="0" collapsed="false">
      <c r="A36" s="10" t="n">
        <v>20</v>
      </c>
      <c r="B36" s="19" t="s">
        <v>138</v>
      </c>
      <c r="C36" s="19" t="s">
        <v>140</v>
      </c>
      <c r="D36" s="15" t="s">
        <v>143</v>
      </c>
    </row>
    <row r="37" customFormat="false" ht="15" hidden="false" customHeight="false" outlineLevel="0" collapsed="false">
      <c r="A37" s="10" t="n">
        <v>21</v>
      </c>
      <c r="B37" s="19" t="s">
        <v>139</v>
      </c>
      <c r="C37" s="19" t="s">
        <v>139</v>
      </c>
      <c r="D37" s="19" t="s">
        <v>140</v>
      </c>
    </row>
    <row r="38" customFormat="false" ht="15" hidden="false" customHeight="false" outlineLevel="0" collapsed="false">
      <c r="A38" s="10" t="n">
        <v>22</v>
      </c>
      <c r="B38" s="19" t="s">
        <v>141</v>
      </c>
      <c r="C38" s="19" t="s">
        <v>144</v>
      </c>
      <c r="D38" s="15" t="s">
        <v>143</v>
      </c>
    </row>
    <row r="39" customFormat="false" ht="15" hidden="false" customHeight="false" outlineLevel="0" collapsed="false">
      <c r="A39" s="10" t="n">
        <v>23</v>
      </c>
      <c r="B39" s="19" t="s">
        <v>144</v>
      </c>
      <c r="C39" s="19" t="s">
        <v>140</v>
      </c>
      <c r="D39" s="19" t="s">
        <v>139</v>
      </c>
    </row>
    <row r="40" customFormat="false" ht="15.5" hidden="false" customHeight="false" outlineLevel="0" collapsed="false">
      <c r="A40" s="10" t="n">
        <v>24</v>
      </c>
      <c r="B40" s="19" t="s">
        <v>138</v>
      </c>
      <c r="C40" s="19" t="s">
        <v>141</v>
      </c>
      <c r="D40" s="19" t="s">
        <v>140</v>
      </c>
    </row>
    <row r="41" customFormat="false" ht="15.5" hidden="false" customHeight="false" outlineLevel="0" collapsed="false">
      <c r="A41" s="10" t="n">
        <v>25</v>
      </c>
      <c r="B41" s="19" t="s">
        <v>140</v>
      </c>
      <c r="C41" s="19" t="s">
        <v>141</v>
      </c>
      <c r="D41" s="19" t="s">
        <v>138</v>
      </c>
    </row>
    <row r="42" customFormat="false" ht="15" hidden="false" customHeight="false" outlineLevel="0" collapsed="false">
      <c r="A42" s="10" t="n">
        <v>26</v>
      </c>
      <c r="B42" s="19" t="s">
        <v>137</v>
      </c>
      <c r="C42" s="19" t="s">
        <v>142</v>
      </c>
      <c r="D42" s="19" t="s">
        <v>142</v>
      </c>
    </row>
    <row r="43" customFormat="false" ht="15.5" hidden="false" customHeight="false" outlineLevel="0" collapsed="false">
      <c r="A43" s="10" t="n">
        <v>27</v>
      </c>
      <c r="B43" s="19" t="s">
        <v>139</v>
      </c>
      <c r="C43" s="19" t="s">
        <v>138</v>
      </c>
      <c r="D43" s="19" t="s">
        <v>144</v>
      </c>
    </row>
    <row r="44" customFormat="false" ht="15.5" hidden="false" customHeight="false" outlineLevel="0" collapsed="false">
      <c r="A44" s="10" t="n">
        <v>28</v>
      </c>
      <c r="B44" s="19" t="s">
        <v>138</v>
      </c>
      <c r="C44" s="19" t="s">
        <v>139</v>
      </c>
      <c r="D44" s="19" t="s">
        <v>137</v>
      </c>
    </row>
    <row r="45" customFormat="false" ht="15" hidden="false" customHeight="false" outlineLevel="0" collapsed="false">
      <c r="A45" s="10" t="n">
        <v>29</v>
      </c>
      <c r="B45" s="19" t="s">
        <v>144</v>
      </c>
      <c r="C45" s="19" t="s">
        <v>140</v>
      </c>
      <c r="D45" s="19" t="s">
        <v>144</v>
      </c>
    </row>
    <row r="46" customFormat="false" ht="15" hidden="false" customHeight="false" outlineLevel="0" collapsed="false">
      <c r="A46" s="10" t="n">
        <v>30</v>
      </c>
      <c r="B46" s="15" t="s">
        <v>143</v>
      </c>
      <c r="C46" s="19" t="s">
        <v>141</v>
      </c>
      <c r="D46" s="19" t="s">
        <v>140</v>
      </c>
    </row>
    <row r="47" customFormat="false" ht="16" hidden="false" customHeight="false" outlineLevel="0" collapsed="false">
      <c r="A47" s="10" t="s">
        <v>145</v>
      </c>
      <c r="B47" s="20" t="n">
        <f aca="false">COUNTA(B17:B46)</f>
        <v>30</v>
      </c>
      <c r="C47" s="20" t="n">
        <f aca="false">COUNTA(C17:C46)</f>
        <v>30</v>
      </c>
      <c r="D47" s="20" t="n">
        <f aca="false">COUNTA(D17:D46)</f>
        <v>30</v>
      </c>
      <c r="E47" s="17" t="s">
        <v>146</v>
      </c>
      <c r="F47" s="17"/>
      <c r="G47" s="17"/>
    </row>
    <row r="49" customFormat="false" ht="15.5" hidden="false" customHeight="false" outlineLevel="0" collapsed="false">
      <c r="A49" s="12" t="s">
        <v>147</v>
      </c>
      <c r="B49" s="12"/>
      <c r="C49" s="12"/>
      <c r="D49" s="13"/>
      <c r="E49" s="13"/>
      <c r="F49" s="13"/>
      <c r="G49" s="13"/>
      <c r="H49" s="13"/>
    </row>
    <row r="50" customFormat="false" ht="15.5" hidden="false" customHeight="false" outlineLevel="0" collapsed="false">
      <c r="A50" s="14" t="s">
        <v>148</v>
      </c>
      <c r="B50" s="39">
        <v>3</v>
      </c>
      <c r="C50" s="14" t="s">
        <v>106</v>
      </c>
      <c r="D50" s="14"/>
      <c r="E50" s="14"/>
      <c r="F50" s="14"/>
      <c r="G50" s="14"/>
      <c r="H50" s="14"/>
    </row>
    <row r="51" customFormat="false" ht="16" hidden="false" customHeight="false" outlineLevel="0" collapsed="false">
      <c r="A51" s="10" t="s">
        <v>150</v>
      </c>
      <c r="B51" s="22" t="n">
        <v>150</v>
      </c>
      <c r="C51" s="23" t="s">
        <v>151</v>
      </c>
      <c r="D51" s="23"/>
      <c r="E51" s="23"/>
    </row>
    <row r="52" customFormat="false" ht="15.5" hidden="false" customHeight="false" outlineLevel="0" collapsed="false">
      <c r="A52" s="10" t="s">
        <v>141</v>
      </c>
      <c r="B52" s="22" t="n">
        <v>40</v>
      </c>
      <c r="C52" s="23" t="s">
        <v>151</v>
      </c>
      <c r="D52" s="23"/>
      <c r="E52" s="23"/>
    </row>
    <row r="53" customFormat="false" ht="15.5" hidden="false" customHeight="false" outlineLevel="0" collapsed="false">
      <c r="A53" s="10" t="s">
        <v>140</v>
      </c>
      <c r="B53" s="22" t="n">
        <v>12</v>
      </c>
      <c r="C53" s="23" t="s">
        <v>151</v>
      </c>
      <c r="D53" s="23"/>
      <c r="E53" s="23"/>
    </row>
    <row r="54" customFormat="false" ht="15.5" hidden="false" customHeight="false" outlineLevel="0" collapsed="false">
      <c r="A54" s="10" t="s">
        <v>137</v>
      </c>
      <c r="B54" s="22" t="n">
        <v>8</v>
      </c>
      <c r="C54" s="23" t="s">
        <v>151</v>
      </c>
      <c r="D54" s="23"/>
      <c r="E54" s="23"/>
    </row>
    <row r="55" customFormat="false" ht="15.5" hidden="false" customHeight="false" outlineLevel="0" collapsed="false">
      <c r="A55" s="10" t="s">
        <v>139</v>
      </c>
      <c r="B55" s="22" t="n">
        <v>8</v>
      </c>
      <c r="C55" s="23" t="s">
        <v>151</v>
      </c>
      <c r="D55" s="23"/>
      <c r="E55" s="23"/>
    </row>
    <row r="56" customFormat="false" ht="15.5" hidden="false" customHeight="false" outlineLevel="0" collapsed="false">
      <c r="A56" s="10" t="s">
        <v>142</v>
      </c>
      <c r="B56" s="22" t="n">
        <v>8</v>
      </c>
      <c r="C56" s="23" t="s">
        <v>151</v>
      </c>
      <c r="D56" s="23"/>
      <c r="E56" s="23"/>
    </row>
    <row r="57" customFormat="false" ht="15.5" hidden="false" customHeight="false" outlineLevel="0" collapsed="false">
      <c r="A57" s="10" t="s">
        <v>144</v>
      </c>
      <c r="B57" s="22" t="n">
        <v>8</v>
      </c>
      <c r="C57" s="23" t="s">
        <v>151</v>
      </c>
      <c r="D57" s="23"/>
      <c r="E57" s="23"/>
    </row>
    <row r="58" customFormat="false" ht="15.5" hidden="false" customHeight="false" outlineLevel="0" collapsed="false">
      <c r="A58" s="16" t="s">
        <v>143</v>
      </c>
      <c r="B58" s="22" t="n">
        <v>1</v>
      </c>
      <c r="C58" s="23" t="s">
        <v>151</v>
      </c>
      <c r="D58" s="23"/>
      <c r="E58" s="23"/>
    </row>
    <row r="60" customFormat="false" ht="15.5" hidden="false" customHeight="false" outlineLevel="0" collapsed="false">
      <c r="A60" s="12" t="s">
        <v>152</v>
      </c>
      <c r="B60" s="12"/>
      <c r="C60" s="12"/>
      <c r="D60" s="12"/>
      <c r="E60" s="12"/>
      <c r="F60" s="12"/>
      <c r="G60" s="13"/>
      <c r="H60" s="13"/>
    </row>
    <row r="61" customFormat="false" ht="15.5" hidden="false" customHeight="false" outlineLevel="0" collapsed="false">
      <c r="A61" s="14" t="s">
        <v>148</v>
      </c>
      <c r="B61" s="14" t="s">
        <v>134</v>
      </c>
      <c r="C61" s="14" t="s">
        <v>135</v>
      </c>
      <c r="D61" s="14" t="s">
        <v>136</v>
      </c>
      <c r="E61" s="14" t="s">
        <v>153</v>
      </c>
      <c r="F61" s="14" t="s">
        <v>154</v>
      </c>
      <c r="G61" s="14" t="s">
        <v>155</v>
      </c>
      <c r="H61" s="14" t="s">
        <v>156</v>
      </c>
    </row>
    <row r="62" customFormat="false" ht="16" hidden="false" customHeight="false" outlineLevel="0" collapsed="false">
      <c r="A62" s="10" t="s">
        <v>150</v>
      </c>
      <c r="B62" s="20" t="n">
        <f aca="false">COUNTIF(B17:B46,"对7")</f>
        <v>5</v>
      </c>
      <c r="C62" s="20" t="n">
        <f aca="false">COUNTIF(C17:C46,"对7")</f>
        <v>5</v>
      </c>
      <c r="D62" s="20" t="n">
        <f aca="false">COUNTIF(D17:D46,"对7")</f>
        <v>5</v>
      </c>
      <c r="E62" s="20" t="n">
        <f aca="false">B62*C62*D62</f>
        <v>125</v>
      </c>
      <c r="F62" s="40" t="n">
        <f aca="false">E62/$B$11</f>
        <v>0.00462962962962963</v>
      </c>
      <c r="G62" s="25" t="n">
        <f aca="false">B51</f>
        <v>150</v>
      </c>
      <c r="H62" s="26" t="n">
        <f aca="false">F62*G62</f>
        <v>0.694444444444444</v>
      </c>
    </row>
    <row r="63" customFormat="false" ht="15" hidden="false" customHeight="false" outlineLevel="0" collapsed="false">
      <c r="A63" s="10" t="s">
        <v>141</v>
      </c>
      <c r="B63" s="20" t="n">
        <f aca="false">COUNTIF(B17:B46,"五角星")</f>
        <v>5</v>
      </c>
      <c r="C63" s="20" t="n">
        <f aca="false">COUNTIF(C17:C46,"五角星")</f>
        <v>5</v>
      </c>
      <c r="D63" s="20" t="n">
        <f aca="false">COUNTIF(D17:D46,"五角星")</f>
        <v>5</v>
      </c>
      <c r="E63" s="20" t="n">
        <f aca="false">B63*C63*D63</f>
        <v>125</v>
      </c>
      <c r="F63" s="40" t="n">
        <f aca="false">E63/$B$11</f>
        <v>0.00462962962962963</v>
      </c>
      <c r="G63" s="25" t="n">
        <f aca="false">B52</f>
        <v>40</v>
      </c>
      <c r="H63" s="26" t="n">
        <f aca="false">F63*G63</f>
        <v>0.185185185185185</v>
      </c>
    </row>
    <row r="64" customFormat="false" ht="15" hidden="false" customHeight="false" outlineLevel="0" collapsed="false">
      <c r="A64" s="10" t="s">
        <v>140</v>
      </c>
      <c r="B64" s="20" t="n">
        <f aca="false">COUNTIF(B17:B46,"铃铛")</f>
        <v>5</v>
      </c>
      <c r="C64" s="20" t="n">
        <f aca="false">COUNTIF(C17:C46,"铃铛")</f>
        <v>5</v>
      </c>
      <c r="D64" s="20" t="n">
        <f aca="false">COUNTIF(D17:D46,"铃铛")</f>
        <v>5</v>
      </c>
      <c r="E64" s="20" t="n">
        <f aca="false">B64*C64*D64</f>
        <v>125</v>
      </c>
      <c r="F64" s="40" t="n">
        <f aca="false">E64/$B$11</f>
        <v>0.00462962962962963</v>
      </c>
      <c r="G64" s="25" t="n">
        <f aca="false">B53</f>
        <v>12</v>
      </c>
      <c r="H64" s="26" t="n">
        <f aca="false">F64*G64</f>
        <v>0.0555555555555556</v>
      </c>
    </row>
    <row r="65" customFormat="false" ht="15" hidden="false" customHeight="false" outlineLevel="0" collapsed="false">
      <c r="A65" s="10" t="s">
        <v>137</v>
      </c>
      <c r="B65" s="20" t="n">
        <f aca="false">COUNTIF(B17:B46,"蓝莓")</f>
        <v>3</v>
      </c>
      <c r="C65" s="20" t="n">
        <f aca="false">COUNTIF(C17:C46,"蓝莓")</f>
        <v>3</v>
      </c>
      <c r="D65" s="20" t="n">
        <f aca="false">COUNTIF(D17:D46,"蓝莓")</f>
        <v>3</v>
      </c>
      <c r="E65" s="20" t="n">
        <f aca="false">B65*C65*D65</f>
        <v>27</v>
      </c>
      <c r="F65" s="40" t="n">
        <f aca="false">E65/$B$11</f>
        <v>0.001</v>
      </c>
      <c r="G65" s="25" t="n">
        <f aca="false">B54</f>
        <v>8</v>
      </c>
      <c r="H65" s="26" t="n">
        <f aca="false">F65*G65</f>
        <v>0.008</v>
      </c>
    </row>
    <row r="66" customFormat="false" ht="15" hidden="false" customHeight="false" outlineLevel="0" collapsed="false">
      <c r="A66" s="10" t="s">
        <v>139</v>
      </c>
      <c r="B66" s="20" t="n">
        <f aca="false">COUNTIF(B17:B46,"柠檬")</f>
        <v>3</v>
      </c>
      <c r="C66" s="20" t="n">
        <f aca="false">COUNTIF(C17:C46,"柠檬")</f>
        <v>3</v>
      </c>
      <c r="D66" s="20" t="n">
        <f aca="false">COUNTIF(D17:D46,"柠檬")</f>
        <v>3</v>
      </c>
      <c r="E66" s="20" t="n">
        <f aca="false">B66*C66*D66</f>
        <v>27</v>
      </c>
      <c r="F66" s="40" t="n">
        <f aca="false">E66/$B$11</f>
        <v>0.001</v>
      </c>
      <c r="G66" s="25" t="n">
        <f aca="false">B55</f>
        <v>8</v>
      </c>
      <c r="H66" s="26" t="n">
        <f aca="false">F66*G66</f>
        <v>0.008</v>
      </c>
    </row>
    <row r="67" customFormat="false" ht="15" hidden="false" customHeight="false" outlineLevel="0" collapsed="false">
      <c r="A67" s="10" t="s">
        <v>142</v>
      </c>
      <c r="B67" s="20" t="n">
        <f aca="false">COUNTIF(B17:B46,"樱桃")</f>
        <v>3</v>
      </c>
      <c r="C67" s="20" t="n">
        <f aca="false">COUNTIF(C17:C46,"樱桃")</f>
        <v>3</v>
      </c>
      <c r="D67" s="20" t="n">
        <f aca="false">COUNTIF(D17:D46,"樱桃")</f>
        <v>3</v>
      </c>
      <c r="E67" s="20" t="n">
        <f aca="false">B67*C67*D67</f>
        <v>27</v>
      </c>
      <c r="F67" s="40" t="n">
        <f aca="false">E67/$B$11</f>
        <v>0.001</v>
      </c>
      <c r="G67" s="25" t="n">
        <f aca="false">B56</f>
        <v>8</v>
      </c>
      <c r="H67" s="26" t="n">
        <f aca="false">F67*G67</f>
        <v>0.008</v>
      </c>
    </row>
    <row r="68" customFormat="false" ht="15" hidden="false" customHeight="false" outlineLevel="0" collapsed="false">
      <c r="A68" s="10" t="s">
        <v>144</v>
      </c>
      <c r="B68" s="20" t="n">
        <f aca="false">COUNTIF(B17:B46,"橄榄")</f>
        <v>3</v>
      </c>
      <c r="C68" s="20" t="n">
        <f aca="false">COUNTIF(C17:C46,"橄榄")</f>
        <v>3</v>
      </c>
      <c r="D68" s="20" t="n">
        <f aca="false">COUNTIF(D17:D46,"橄榄")</f>
        <v>3</v>
      </c>
      <c r="E68" s="20" t="n">
        <f aca="false">B68*C68*D68</f>
        <v>27</v>
      </c>
      <c r="F68" s="40" t="n">
        <f aca="false">E68/$B$11</f>
        <v>0.001</v>
      </c>
      <c r="G68" s="25" t="n">
        <f aca="false">B57</f>
        <v>8</v>
      </c>
      <c r="H68" s="26" t="n">
        <f aca="false">F68*G68</f>
        <v>0.008</v>
      </c>
    </row>
    <row r="69" customFormat="false" ht="15" hidden="false" customHeight="false" outlineLevel="0" collapsed="false">
      <c r="A69" s="16" t="s">
        <v>143</v>
      </c>
      <c r="B69" s="20" t="n">
        <f aca="false">COUNTIF(B17:B46,"Bar")</f>
        <v>3</v>
      </c>
      <c r="C69" s="20" t="n">
        <f aca="false">COUNTIF(C17:C46,"Bar")</f>
        <v>3</v>
      </c>
      <c r="D69" s="20" t="n">
        <f aca="false">COUNTIF(D17:D46,"Bar")</f>
        <v>3</v>
      </c>
      <c r="E69" s="20" t="n">
        <f aca="false">B69*C69*D69</f>
        <v>27</v>
      </c>
      <c r="F69" s="40" t="n">
        <f aca="false">E69/$B$11</f>
        <v>0.001</v>
      </c>
      <c r="G69" s="25" t="n">
        <f aca="false">B58</f>
        <v>1</v>
      </c>
      <c r="H69" s="26" t="n">
        <f aca="false">F69*G69</f>
        <v>0.001</v>
      </c>
    </row>
    <row r="70" customFormat="false" ht="15.5" hidden="false" customHeight="false" outlineLevel="0" collapsed="false">
      <c r="A70" s="27" t="s">
        <v>157</v>
      </c>
      <c r="B70" s="10" t="s">
        <v>158</v>
      </c>
      <c r="C70" s="10" t="s">
        <v>158</v>
      </c>
      <c r="D70" s="10" t="s">
        <v>158</v>
      </c>
      <c r="E70" s="20" t="n">
        <f aca="false">SUM(E62:E69)</f>
        <v>510</v>
      </c>
      <c r="H70" s="28" t="n">
        <f aca="false">SUM(H62:H69)</f>
        <v>0.968185185185185</v>
      </c>
    </row>
    <row r="71" customFormat="false" ht="16" hidden="false" customHeight="false" outlineLevel="0" collapsed="false">
      <c r="A71" s="10" t="s">
        <v>159</v>
      </c>
      <c r="B71" s="29" t="n">
        <v>0.9682</v>
      </c>
      <c r="C71" s="17" t="s">
        <v>160</v>
      </c>
      <c r="D71" s="17"/>
      <c r="E71" s="17"/>
      <c r="F71" s="17"/>
      <c r="H71" s="26" t="n">
        <f aca="false">H70-B71</f>
        <v>-1.48148148148008E-005</v>
      </c>
    </row>
    <row r="73" customFormat="false" ht="15.5" hidden="false" customHeight="false" outlineLevel="0" collapsed="false">
      <c r="A73" s="12" t="s">
        <v>161</v>
      </c>
      <c r="B73" s="12"/>
      <c r="C73" s="12"/>
      <c r="D73" s="12"/>
      <c r="E73" s="12"/>
      <c r="F73" s="13"/>
      <c r="G73" s="13"/>
      <c r="H73" s="13"/>
    </row>
    <row r="74" customFormat="false" ht="15.5" hidden="false" customHeight="false" outlineLevel="0" collapsed="false">
      <c r="A74" s="14" t="s">
        <v>162</v>
      </c>
      <c r="B74" s="14" t="s">
        <v>163</v>
      </c>
      <c r="C74" s="14" t="s">
        <v>164</v>
      </c>
      <c r="D74" s="14" t="s">
        <v>165</v>
      </c>
      <c r="E74" s="14" t="s">
        <v>106</v>
      </c>
    </row>
    <row r="75" customFormat="false" ht="15" hidden="false" customHeight="false" outlineLevel="0" collapsed="false">
      <c r="A75" s="10" t="n">
        <v>1</v>
      </c>
      <c r="B75" s="15" t="n">
        <v>1</v>
      </c>
      <c r="C75" s="15" t="n">
        <v>1</v>
      </c>
      <c r="D75" s="15" t="n">
        <v>1</v>
      </c>
      <c r="E75" s="10" t="s">
        <v>166</v>
      </c>
    </row>
    <row r="76" customFormat="false" ht="15" hidden="false" customHeight="false" outlineLevel="0" collapsed="false">
      <c r="A76" s="10" t="n">
        <v>2</v>
      </c>
      <c r="B76" s="15" t="n">
        <v>2</v>
      </c>
      <c r="C76" s="15" t="n">
        <v>2</v>
      </c>
      <c r="D76" s="15" t="n">
        <v>2</v>
      </c>
      <c r="E76" s="10" t="s">
        <v>167</v>
      </c>
    </row>
    <row r="77" customFormat="false" ht="15" hidden="false" customHeight="false" outlineLevel="0" collapsed="false">
      <c r="A77" s="10" t="n">
        <v>3</v>
      </c>
      <c r="B77" s="15" t="n">
        <v>3</v>
      </c>
      <c r="C77" s="15" t="n">
        <v>3</v>
      </c>
      <c r="D77" s="15" t="n">
        <v>3</v>
      </c>
      <c r="E77" s="10" t="s">
        <v>168</v>
      </c>
    </row>
    <row r="78" customFormat="false" ht="15" hidden="false" customHeight="false" outlineLevel="0" collapsed="false">
      <c r="A78" s="10" t="n">
        <v>4</v>
      </c>
      <c r="B78" s="15" t="n">
        <v>1</v>
      </c>
      <c r="C78" s="15" t="n">
        <v>2</v>
      </c>
      <c r="D78" s="15" t="n">
        <v>3</v>
      </c>
      <c r="E78" s="10" t="s">
        <v>169</v>
      </c>
    </row>
    <row r="79" customFormat="false" ht="15" hidden="false" customHeight="false" outlineLevel="0" collapsed="false">
      <c r="A79" s="10" t="n">
        <v>5</v>
      </c>
      <c r="B79" s="15" t="n">
        <v>3</v>
      </c>
      <c r="C79" s="15" t="n">
        <v>2</v>
      </c>
      <c r="D79" s="15" t="n">
        <v>1</v>
      </c>
      <c r="E79" s="10" t="s">
        <v>170</v>
      </c>
    </row>
    <row r="81" customFormat="false" ht="15.5" hidden="false" customHeight="true" outlineLevel="0" collapsed="false">
      <c r="A81" s="30" t="s">
        <v>171</v>
      </c>
      <c r="B81" s="30"/>
      <c r="C81" s="30"/>
      <c r="D81" s="30"/>
      <c r="E81" s="30"/>
      <c r="F81" s="30"/>
      <c r="G81" s="30"/>
      <c r="H81" s="30"/>
      <c r="I81" s="30"/>
      <c r="J81" s="30"/>
      <c r="K81" s="30"/>
    </row>
    <row r="83" customFormat="false" ht="15.5" hidden="false" customHeight="false" outlineLevel="0" collapsed="false">
      <c r="A83" s="12" t="s">
        <v>172</v>
      </c>
      <c r="B83" s="12"/>
      <c r="C83" s="12"/>
      <c r="D83" s="13"/>
      <c r="E83" s="13"/>
      <c r="F83" s="13"/>
      <c r="G83" s="13"/>
      <c r="H83" s="13"/>
    </row>
    <row r="84" customFormat="false" ht="15" hidden="false" customHeight="false" outlineLevel="0" collapsed="false">
      <c r="A84" s="14" t="s">
        <v>173</v>
      </c>
      <c r="B84" s="14" t="s">
        <v>174</v>
      </c>
      <c r="C84" s="14" t="s">
        <v>106</v>
      </c>
    </row>
    <row r="85" customFormat="false" ht="16" hidden="false" customHeight="false" outlineLevel="0" collapsed="false">
      <c r="A85" s="10" t="s">
        <v>175</v>
      </c>
      <c r="B85" s="16" t="s">
        <v>176</v>
      </c>
      <c r="C85" s="18" t="s">
        <v>177</v>
      </c>
      <c r="D85" s="18"/>
      <c r="E85" s="18"/>
      <c r="F85" s="18"/>
    </row>
    <row r="86" customFormat="false" ht="15" hidden="false" customHeight="false" outlineLevel="0" collapsed="false">
      <c r="A86" s="10" t="s">
        <v>178</v>
      </c>
      <c r="B86" s="16" t="s">
        <v>179</v>
      </c>
      <c r="C86" s="17" t="s">
        <v>180</v>
      </c>
      <c r="D86" s="17"/>
      <c r="E86" s="17"/>
      <c r="F86" s="17"/>
      <c r="G86" s="17"/>
    </row>
    <row r="87" customFormat="false" ht="15" hidden="false" customHeight="false" outlineLevel="0" collapsed="false">
      <c r="A87" s="10" t="s">
        <v>181</v>
      </c>
      <c r="B87" s="10" t="s">
        <v>182</v>
      </c>
      <c r="C87" s="17" t="s">
        <v>183</v>
      </c>
      <c r="D87" s="17"/>
      <c r="E87" s="17"/>
      <c r="F87" s="17"/>
      <c r="G87" s="17"/>
    </row>
    <row r="89" customFormat="false" ht="15.5" hidden="false" customHeight="false" outlineLevel="0" collapsed="false">
      <c r="A89" s="12" t="s">
        <v>184</v>
      </c>
      <c r="B89" s="12"/>
      <c r="C89" s="12"/>
      <c r="D89" s="13"/>
      <c r="E89" s="13"/>
      <c r="F89" s="13"/>
      <c r="G89" s="13"/>
      <c r="H89" s="13"/>
    </row>
    <row r="90" customFormat="false" ht="15" hidden="false" customHeight="false" outlineLevel="0" collapsed="false">
      <c r="A90" s="14" t="s">
        <v>185</v>
      </c>
      <c r="B90" s="14" t="s">
        <v>186</v>
      </c>
      <c r="C90" s="14" t="s">
        <v>106</v>
      </c>
    </row>
    <row r="91" customFormat="false" ht="16" hidden="false" customHeight="false" outlineLevel="0" collapsed="false">
      <c r="A91" s="10" t="s">
        <v>187</v>
      </c>
      <c r="B91" s="31" t="str">
        <f aca="false">IF(AND(B47=C47,C47=D47,B47=$B$9),"✓","✗")</f>
        <v>✓</v>
      </c>
    </row>
    <row r="92" customFormat="false" ht="15" hidden="false" customHeight="false" outlineLevel="0" collapsed="false">
      <c r="A92" s="10" t="s">
        <v>188</v>
      </c>
      <c r="B92" s="31" t="str">
        <f aca="false">IF(SUM(E62:E69)&lt;=$B$11,"✓","✗")</f>
        <v>✓</v>
      </c>
      <c r="C92" s="17" t="s">
        <v>189</v>
      </c>
      <c r="D92" s="17"/>
      <c r="E92" s="17"/>
      <c r="F92" s="17"/>
    </row>
    <row r="93" customFormat="false" ht="15" hidden="false" customHeight="false" outlineLevel="0" collapsed="false">
      <c r="A93" s="10" t="s">
        <v>190</v>
      </c>
      <c r="B93" s="31" t="str">
        <f aca="false">IF(B8=COUNTA($A$75:$A$79),"✓","✗")</f>
        <v>✓</v>
      </c>
    </row>
    <row r="94" customFormat="false" ht="16" hidden="false" customHeight="false" outlineLevel="0" collapsed="false">
      <c r="A94" s="16" t="s">
        <v>191</v>
      </c>
      <c r="B94" s="31" t="str">
        <f aca="false">IF(ABS(H70-B71)&lt;0.00005,"✓","✗")</f>
        <v>✓</v>
      </c>
      <c r="C94" s="17" t="s">
        <v>192</v>
      </c>
      <c r="D94" s="17"/>
      <c r="E94" s="17"/>
    </row>
    <row r="96" customFormat="false" ht="15" hidden="false" customHeight="true" outlineLevel="0" collapsed="false">
      <c r="A96" s="30" t="s">
        <v>193</v>
      </c>
      <c r="B96" s="30"/>
      <c r="C96" s="30"/>
      <c r="D96" s="30"/>
      <c r="E96" s="30"/>
      <c r="F96" s="30"/>
      <c r="G96" s="30"/>
      <c r="H96" s="30"/>
    </row>
  </sheetData>
  <mergeCells count="31">
    <mergeCell ref="A1:H1"/>
    <mergeCell ref="A3:C3"/>
    <mergeCell ref="C7:E7"/>
    <mergeCell ref="C8:E8"/>
    <mergeCell ref="C9:D9"/>
    <mergeCell ref="C11:D11"/>
    <mergeCell ref="C12:F12"/>
    <mergeCell ref="C13:D13"/>
    <mergeCell ref="A15:E15"/>
    <mergeCell ref="E47:G47"/>
    <mergeCell ref="A49:C49"/>
    <mergeCell ref="C51:E51"/>
    <mergeCell ref="C52:E52"/>
    <mergeCell ref="C53:E53"/>
    <mergeCell ref="C54:E54"/>
    <mergeCell ref="C55:E55"/>
    <mergeCell ref="C56:E56"/>
    <mergeCell ref="C57:E57"/>
    <mergeCell ref="C58:E58"/>
    <mergeCell ref="A60:F60"/>
    <mergeCell ref="C71:F71"/>
    <mergeCell ref="A73:E73"/>
    <mergeCell ref="A81:K81"/>
    <mergeCell ref="A83:C83"/>
    <mergeCell ref="C85:F85"/>
    <mergeCell ref="C86:G86"/>
    <mergeCell ref="C87:G87"/>
    <mergeCell ref="A89:C89"/>
    <mergeCell ref="C92:F92"/>
    <mergeCell ref="C94:E94"/>
    <mergeCell ref="A96:H9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P116" evalError="1" twoDigitTextYear="1" numberStoredAsText="1" formula="1" formulaRange="1" unlockedFormula="1" emptyCellReference="1" listDataValidation="1" calculatedColumn="1"/>
  </ignoredErrors>
</worksheet>
</file>

<file path=docProps/app.xml><?xml version="1.0" encoding="utf-8"?>
<Properties xmlns="http://schemas.openxmlformats.org/officeDocument/2006/extended-properties" xmlns:vt="http://schemas.openxmlformats.org/officeDocument/2006/docPropsVTypes">
  <Template/>
  <TotalTime>0</TotalTime>
  <Application>LibreOffice/26.2.2.2$Windows_X86_64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2026-09-29T15:06:25Z</dcterms:created>
  <dc:creator>openpyxl</dc:creator>
  <dc:description/>
  <dc:language>zh-CN</dc:language>
  <cp:lastModifiedBy/>
  <dcterms:modified xsi:type="dcterms:W3CDTF">2026-09-29T15:06:25Z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