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<sst xmlns="http://schemas.openxmlformats.org/spreadsheetml/2006/main" count="159" uniqueCount="144">
  <si>
    <r>
      <rPr>
        <b val="true"/>
        <sz val="14"/>
        <color rgb="FF1F4E79"/>
        <rFont val="Noto Sans SC"/>
        <family val="2"/>
        <charset val="134"/>
      </rPr>
      <t xml:space="preserve">从零开始学</t>
    </r>
    <r>
      <rPr>
        <b val="true"/>
        <sz val="14"/>
        <color rgb="FF1F4E79"/>
        <rFont val="Cambria"/>
        <family val="0"/>
        <charset val="1"/>
      </rPr>
      <t xml:space="preserve">Slots 14 —— </t>
    </r>
    <r>
      <rPr>
        <b val="true"/>
        <sz val="14"/>
        <color rgb="FF1F4E79"/>
        <rFont val="Noto Sans SC"/>
        <family val="2"/>
        <charset val="134"/>
      </rPr>
      <t xml:space="preserve">数值篇：</t>
    </r>
    <r>
      <rPr>
        <b val="true"/>
        <sz val="14"/>
        <color rgb="FF1F4E79"/>
        <rFont val="Cambria"/>
        <family val="0"/>
        <charset val="1"/>
      </rPr>
      <t xml:space="preserve">Hold &amp; Spin</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</si>
  <si>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Hold &amp; Spin</t>
    </r>
    <r>
      <rPr>
        <sz val="11"/>
        <color rgb="FF808080"/>
        <rFont val="Noto Sans SC"/>
        <family val="2"/>
        <charset val="134"/>
      </rPr>
      <t xml:space="preserve">》  </t>
    </r>
    <r>
      <rPr>
        <sz val="11"/>
        <color rgb="FF808080"/>
        <rFont val="Cambria"/>
        <family val="0"/>
        <charset val="1"/>
      </rPr>
      <t xml:space="preserve">https://zhuanlan.zhihu.com/p/624678060</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</si>
  <si>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</si>
  <si>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</si>
  <si>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</si>
  <si>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配表说明：本篇的口径（</t>
    </r>
    <r>
      <rPr>
        <sz val="11"/>
        <color rgb="FF808080"/>
        <rFont val="Cambria"/>
        <family val="0"/>
        <charset val="1"/>
      </rPr>
      <t xml:space="preserve">3*5</t>
    </r>
    <r>
      <rPr>
        <sz val="11"/>
        <color rgb="FF808080"/>
        <rFont val="Noto Sans SC"/>
        <family val="2"/>
        <charset val="134"/>
      </rPr>
      <t xml:space="preserve">、图标出现几率 </t>
    </r>
    <r>
      <rPr>
        <sz val="11"/>
        <color rgb="FF808080"/>
        <rFont val="Cambria"/>
        <family val="0"/>
        <charset val="1"/>
      </rPr>
      <t xml:space="preserve">5%</t>
    </r>
    <r>
      <rPr>
        <sz val="11"/>
        <color rgb="FF808080"/>
        <rFont val="Noto Sans SC"/>
        <family val="2"/>
        <charset val="134"/>
      </rPr>
      <t xml:space="preserve">、</t>
    </r>
    <r>
      <rPr>
        <sz val="11"/>
        <color rgb="FF808080"/>
        <rFont val="Cambria"/>
        <family val="0"/>
        <charset val="1"/>
      </rPr>
      <t xml:space="preserve">BINOM.DIST </t>
    </r>
    <r>
      <rPr>
        <sz val="11"/>
        <color rgb="FF808080"/>
        <rFont val="Noto Sans SC"/>
        <family val="2"/>
        <charset val="134"/>
      </rPr>
      <t xml:space="preserve">首轮分布、窗口剩余格数 ＝ </t>
    </r>
    <r>
      <rPr>
        <sz val="11"/>
        <color rgb="FF808080"/>
        <rFont val="Cambria"/>
        <family val="0"/>
        <charset val="1"/>
      </rPr>
      <t xml:space="preserve">15−</t>
    </r>
    <r>
      <rPr>
        <sz val="11"/>
        <color rgb="FF808080"/>
        <rFont val="Noto Sans SC"/>
        <family val="2"/>
        <charset val="134"/>
      </rPr>
      <t xml:space="preserve">已固定、</t>
    </r>
    <r>
      <rPr>
        <sz val="11"/>
        <color rgb="FF808080"/>
        <rFont val="Cambria"/>
        <family val="0"/>
        <charset val="1"/>
      </rPr>
      <t xml:space="preserve">MMULT </t>
    </r>
    <r>
      <rPr>
        <sz val="11"/>
        <color rgb="FF808080"/>
        <rFont val="Noto Sans SC"/>
        <family val="2"/>
        <charset val="134"/>
      </rPr>
      <t xml:space="preserve">矩阵递推、最后叠加数值期望与免费摇补满的无穷级数）全部取自原文；</t>
    </r>
  </si>
  <si>
    <r>
      <rPr>
        <sz val="11"/>
        <color rgb="FF808080"/>
        <rFont val="Noto Sans SC"/>
        <family val="2"/>
        <charset val="134"/>
      </rPr>
      <t xml:space="preserve">原文的分布表</t>
    </r>
    <r>
      <rPr>
        <sz val="11"/>
        <color rgb="FF808080"/>
        <rFont val="Cambria"/>
        <family val="0"/>
        <charset val="1"/>
      </rPr>
      <t xml:space="preserve">/</t>
    </r>
    <r>
      <rPr>
        <sz val="11"/>
        <color rgb="FF808080"/>
        <rFont val="Noto Sans SC"/>
        <family val="2"/>
        <charset val="134"/>
      </rPr>
      <t xml:space="preserve">矩阵表在配图中，本表用 </t>
    </r>
    <r>
      <rPr>
        <sz val="11"/>
        <color rgb="FF808080"/>
        <rFont val="Cambria"/>
        <family val="0"/>
        <charset val="1"/>
      </rPr>
      <t xml:space="preserve">BINOM.DIST </t>
    </r>
    <r>
      <rPr>
        <sz val="11"/>
        <color rgb="FF808080"/>
        <rFont val="Noto Sans SC"/>
        <family val="2"/>
        <charset val="134"/>
      </rPr>
      <t xml:space="preserve">直接算出同一套分布，并给出与矩阵法等价的期望闭式做互验。</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</si>
  <si>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</si>
  <si>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</si>
  <si>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</si>
  <si>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</si>
  <si>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images/slots/624678060-NN.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</si>
  <si>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</si>
  <si>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</si>
  <si>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</si>
  <si>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示例：</t>
    </r>
    <r>
      <rPr>
        <sz val="11"/>
        <color theme="1"/>
        <rFont val="Calibri"/>
        <family val="2"/>
        <charset val="1"/>
      </rPr>
      <t xml:space="preserve">3*5</t>
    </r>
    <r>
      <rPr>
        <sz val="11"/>
        <color theme="1"/>
        <rFont val="Noto Sans SC"/>
        <family val="2"/>
        <charset val="134"/>
      </rPr>
      <t xml:space="preserve">（</t>
    </r>
    <r>
      <rPr>
        <sz val="11"/>
        <color theme="1"/>
        <rFont val="Calibri"/>
        <family val="2"/>
        <charset val="1"/>
      </rPr>
      <t xml:space="preserve">15 </t>
    </r>
    <r>
      <rPr>
        <sz val="11"/>
        <color theme="1"/>
        <rFont val="Noto Sans SC"/>
        <family val="2"/>
        <charset val="134"/>
      </rPr>
      <t xml:space="preserve">格）窗口，图标出现几率 </t>
    </r>
    <r>
      <rPr>
        <sz val="11"/>
        <color theme="1"/>
        <rFont val="Calibri"/>
        <family val="2"/>
        <charset val="1"/>
      </rPr>
      <t xml:space="preserve">5%</t>
    </r>
    <r>
      <rPr>
        <sz val="11"/>
        <color theme="1"/>
        <rFont val="Noto Sans SC"/>
        <family val="2"/>
        <charset val="134"/>
      </rPr>
      <t xml:space="preserve">；固定卷轴 </t>
    </r>
    <r>
      <rPr>
        <sz val="11"/>
        <color theme="1"/>
        <rFont val="Calibri"/>
        <family val="2"/>
        <charset val="1"/>
      </rPr>
      <t xml:space="preserve">/ </t>
    </r>
    <r>
      <rPr>
        <sz val="11"/>
        <color theme="1"/>
        <rFont val="Noto Sans SC"/>
        <family val="2"/>
        <charset val="134"/>
      </rPr>
      <t xml:space="preserve">随机卷轴实现效果一致，关键是「跳出卷轴、固定部分图标在摇奖区上」。</t>
    </r>
  </si>
  <si>
    <r>
      <rPr>
        <sz val="11"/>
        <color theme="1"/>
        <rFont val="Calibri"/>
        <family val="2"/>
        <charset val="1"/>
      </rPr>
      <t xml:space="preserve">· </t>
    </r>
    <r>
      <rPr>
        <sz val="11"/>
        <color theme="1"/>
        <rFont val="Noto Sans SC"/>
        <family val="2"/>
        <charset val="134"/>
      </rPr>
      <t xml:space="preserve">原文说明：这里不区分不同面额的图标几率——因为只要先算出「图标个数的期望」，再乘「各面额出现的数值期望」即可。</t>
    </r>
  </si>
  <si>
    <r>
      <rPr>
        <sz val="11"/>
        <color theme="1"/>
        <rFont val="Calibri"/>
        <family val="2"/>
        <charset val="1"/>
      </rPr>
      <t xml:space="preserve">· </t>
    </r>
    <r>
      <rPr>
        <sz val="11"/>
        <color theme="1"/>
        <rFont val="Noto Sans SC"/>
        <family val="2"/>
        <charset val="134"/>
      </rPr>
      <t xml:space="preserve">第一步（首轮分布）：用 </t>
    </r>
    <r>
      <rPr>
        <sz val="11"/>
        <color theme="1"/>
        <rFont val="Calibri"/>
        <family val="2"/>
        <charset val="1"/>
      </rPr>
      <t xml:space="preserve">BINOM.DIST(</t>
    </r>
    <r>
      <rPr>
        <sz val="11"/>
        <color theme="1"/>
        <rFont val="Noto Sans SC"/>
        <family val="2"/>
        <charset val="134"/>
      </rPr>
      <t xml:space="preserve">摇出个数</t>
    </r>
    <r>
      <rPr>
        <sz val="11"/>
        <color theme="1"/>
        <rFont val="Calibri"/>
        <family val="2"/>
        <charset val="1"/>
      </rPr>
      <t xml:space="preserve">, </t>
    </r>
    <r>
      <rPr>
        <sz val="11"/>
        <color theme="1"/>
        <rFont val="Noto Sans SC"/>
        <family val="2"/>
        <charset val="134"/>
      </rPr>
      <t xml:space="preserve">窗口格数</t>
    </r>
    <r>
      <rPr>
        <sz val="11"/>
        <color theme="1"/>
        <rFont val="Calibri"/>
        <family val="2"/>
        <charset val="1"/>
      </rPr>
      <t xml:space="preserve">, </t>
    </r>
    <r>
      <rPr>
        <sz val="11"/>
        <color theme="1"/>
        <rFont val="Noto Sans SC"/>
        <family val="2"/>
        <charset val="134"/>
      </rPr>
      <t xml:space="preserve">图标出现几率</t>
    </r>
    <r>
      <rPr>
        <sz val="11"/>
        <color theme="1"/>
        <rFont val="Calibri"/>
        <family val="2"/>
        <charset val="1"/>
      </rPr>
      <t xml:space="preserve">, FALSE) </t>
    </r>
    <r>
      <rPr>
        <sz val="11"/>
        <color theme="1"/>
        <rFont val="Noto Sans SC"/>
        <family val="2"/>
        <charset val="134"/>
      </rPr>
      <t xml:space="preserve">得到「首次摇奖后出现各图标个数的概率分布」。</t>
    </r>
  </si>
  <si>
    <r>
      <rPr>
        <sz val="11"/>
        <color theme="1"/>
        <rFont val="Calibri"/>
        <family val="2"/>
        <charset val="1"/>
      </rPr>
      <t xml:space="preserve">· </t>
    </r>
    <r>
      <rPr>
        <sz val="11"/>
        <color theme="1"/>
        <rFont val="Noto Sans SC"/>
        <family val="2"/>
        <charset val="134"/>
      </rPr>
      <t xml:space="preserve">第二步（剩余格数）：场上已固定 </t>
    </r>
    <r>
      <rPr>
        <sz val="11"/>
        <color theme="1"/>
        <rFont val="Calibri"/>
        <family val="2"/>
        <charset val="1"/>
      </rPr>
      <t xml:space="preserve">m </t>
    </r>
    <r>
      <rPr>
        <sz val="11"/>
        <color theme="1"/>
        <rFont val="Noto Sans SC"/>
        <family val="2"/>
        <charset val="134"/>
      </rPr>
      <t xml:space="preserve">个图标时，窗口可用格数变成 </t>
    </r>
    <r>
      <rPr>
        <sz val="11"/>
        <color theme="1"/>
        <rFont val="Calibri"/>
        <family val="2"/>
        <charset val="1"/>
      </rPr>
      <t xml:space="preserve">15 − m → </t>
    </r>
    <r>
      <rPr>
        <sz val="11"/>
        <color theme="1"/>
        <rFont val="Noto Sans SC"/>
        <family val="2"/>
        <charset val="134"/>
      </rPr>
      <t xml:space="preserve">本轮抽到 </t>
    </r>
    <r>
      <rPr>
        <sz val="11"/>
        <color theme="1"/>
        <rFont val="Calibri"/>
        <family val="2"/>
        <charset val="1"/>
      </rPr>
      <t xml:space="preserve">k </t>
    </r>
    <r>
      <rPr>
        <sz val="11"/>
        <color theme="1"/>
        <rFont val="Noto Sans SC"/>
        <family val="2"/>
        <charset val="134"/>
      </rPr>
      <t xml:space="preserve">个的几率 ＝ </t>
    </r>
    <r>
      <rPr>
        <sz val="11"/>
        <color theme="1"/>
        <rFont val="Calibri"/>
        <family val="2"/>
        <charset val="1"/>
      </rPr>
      <t xml:space="preserve">BINOM.DIST(k, 15−m, 5%, FALSE)</t>
    </r>
    <r>
      <rPr>
        <sz val="11"/>
        <color theme="1"/>
        <rFont val="Noto Sans SC"/>
        <family val="2"/>
        <charset val="134"/>
      </rPr>
      <t xml:space="preserve">；</t>
    </r>
  </si>
  <si>
    <r>
      <rPr>
        <sz val="11"/>
        <color theme="1"/>
        <rFont val="Noto Sans SC"/>
        <family val="2"/>
        <charset val="134"/>
      </rPr>
      <t xml:space="preserve">  不存在的概率用 </t>
    </r>
    <r>
      <rPr>
        <sz val="11"/>
        <color theme="1"/>
        <rFont val="Calibri"/>
        <family val="2"/>
        <charset val="1"/>
      </rPr>
      <t xml:space="preserve">IFERROR </t>
    </r>
    <r>
      <rPr>
        <sz val="11"/>
        <color theme="1"/>
        <rFont val="Noto Sans SC"/>
        <family val="2"/>
        <charset val="134"/>
      </rPr>
      <t xml:space="preserve">置空，便于后续引用。</t>
    </r>
  </si>
  <si>
    <r>
      <rPr>
        <sz val="11"/>
        <color theme="1"/>
        <rFont val="Calibri"/>
        <family val="2"/>
        <charset val="1"/>
      </rPr>
      <t xml:space="preserve">· </t>
    </r>
    <r>
      <rPr>
        <sz val="11"/>
        <color theme="1"/>
        <rFont val="Noto Sans SC"/>
        <family val="2"/>
        <charset val="134"/>
      </rPr>
      <t xml:space="preserve">第三步（多轮 </t>
    </r>
    <r>
      <rPr>
        <sz val="11"/>
        <color theme="1"/>
        <rFont val="Calibri"/>
        <family val="2"/>
        <charset val="1"/>
      </rPr>
      <t xml:space="preserve">/ </t>
    </r>
    <r>
      <rPr>
        <sz val="11"/>
        <color theme="1"/>
        <rFont val="Noto Sans SC"/>
        <family val="2"/>
        <charset val="134"/>
      </rPr>
      <t xml:space="preserve">马尔科夫链）：从第二局起受上一局结果影响。原文用 </t>
    </r>
    <r>
      <rPr>
        <sz val="11"/>
        <color theme="1"/>
        <rFont val="Calibri"/>
        <family val="2"/>
        <charset val="1"/>
      </rPr>
      <t xml:space="preserve">MMULT</t>
    </r>
    <r>
      <rPr>
        <sz val="11"/>
        <color theme="1"/>
        <rFont val="Noto Sans SC"/>
        <family val="2"/>
        <charset val="134"/>
      </rPr>
      <t xml:space="preserve">：</t>
    </r>
  </si>
  <si>
    <r>
      <rPr>
        <sz val="11"/>
        <color theme="1"/>
        <rFont val="Noto Sans SC"/>
        <family val="2"/>
        <charset val="134"/>
      </rPr>
      <t xml:space="preserve">  【开始时 </t>
    </r>
    <r>
      <rPr>
        <sz val="11"/>
        <color theme="1"/>
        <rFont val="Calibri"/>
        <family val="2"/>
        <charset val="1"/>
      </rPr>
      <t xml:space="preserve">0~N </t>
    </r>
    <r>
      <rPr>
        <sz val="11"/>
        <color theme="1"/>
        <rFont val="Noto Sans SC"/>
        <family val="2"/>
        <charset val="134"/>
      </rPr>
      <t xml:space="preserve">个、结束时有 </t>
    </r>
    <r>
      <rPr>
        <sz val="11"/>
        <color theme="1"/>
        <rFont val="Calibri"/>
        <family val="2"/>
        <charset val="1"/>
      </rPr>
      <t xml:space="preserve">N </t>
    </r>
    <r>
      <rPr>
        <sz val="11"/>
        <color theme="1"/>
        <rFont val="Noto Sans SC"/>
        <family val="2"/>
        <charset val="134"/>
      </rPr>
      <t xml:space="preserve">个固定】的转移矩阵 </t>
    </r>
    <r>
      <rPr>
        <sz val="11"/>
        <color theme="1"/>
        <rFont val="Calibri"/>
        <family val="2"/>
        <charset val="1"/>
      </rPr>
      <t xml:space="preserve">× </t>
    </r>
    <r>
      <rPr>
        <sz val="11"/>
        <color theme="1"/>
        <rFont val="Noto Sans SC"/>
        <family val="2"/>
        <charset val="134"/>
      </rPr>
      <t xml:space="preserve">【上一轮结束时有 </t>
    </r>
    <r>
      <rPr>
        <sz val="11"/>
        <color theme="1"/>
        <rFont val="Calibri"/>
        <family val="2"/>
        <charset val="1"/>
      </rPr>
      <t xml:space="preserve">N </t>
    </r>
    <r>
      <rPr>
        <sz val="11"/>
        <color theme="1"/>
        <rFont val="Noto Sans SC"/>
        <family val="2"/>
        <charset val="134"/>
      </rPr>
      <t xml:space="preserve">个】的几率矩阵 → 得到本轮 </t>
    </r>
    <r>
      <rPr>
        <sz val="11"/>
        <color theme="1"/>
        <rFont val="Calibri"/>
        <family val="2"/>
        <charset val="1"/>
      </rPr>
      <t xml:space="preserve">N </t>
    </r>
    <r>
      <rPr>
        <sz val="11"/>
        <color theme="1"/>
        <rFont val="Noto Sans SC"/>
        <family val="2"/>
        <charset val="134"/>
      </rPr>
      <t xml:space="preserve">个固定图标的几率；</t>
    </r>
  </si>
  <si>
    <r>
      <rPr>
        <sz val="11"/>
        <color theme="1"/>
        <rFont val="Noto Sans SC"/>
        <family val="2"/>
        <charset val="134"/>
      </rPr>
      <t xml:space="preserve">  矩阵元素由 </t>
    </r>
    <r>
      <rPr>
        <sz val="11"/>
        <color theme="1"/>
        <rFont val="Calibri"/>
        <family val="2"/>
        <charset val="1"/>
      </rPr>
      <t xml:space="preserve">OFFSET </t>
    </r>
    <r>
      <rPr>
        <sz val="11"/>
        <color theme="1"/>
        <rFont val="Noto Sans SC"/>
        <family val="2"/>
        <charset val="134"/>
      </rPr>
      <t xml:space="preserve">引用与前一列满足初始条件的概率之和得出；逐轮推进即可得到任意局、任意固定个数的几率，求和得期望。</t>
    </r>
  </si>
  <si>
    <r>
      <rPr>
        <sz val="11"/>
        <color theme="1"/>
        <rFont val="Calibri"/>
        <family val="2"/>
        <charset val="1"/>
      </rPr>
      <t xml:space="preserve">· </t>
    </r>
    <r>
      <rPr>
        <sz val="11"/>
        <color theme="1"/>
        <rFont val="Noto Sans SC"/>
        <family val="2"/>
        <charset val="134"/>
      </rPr>
      <t xml:space="preserve">第四步（赔付额期望）：把「固定图标上的不同数值的期望」叠加进去，即得指定轮次的赔付额期望；</t>
    </r>
  </si>
  <si>
    <r>
      <rPr>
        <sz val="11"/>
        <color theme="1"/>
        <rFont val="Noto Sans SC"/>
        <family val="2"/>
        <charset val="134"/>
      </rPr>
      <t xml:space="preserve">  再考虑「抽到目标图标把免费摇次数补满」的无穷级数，就得到 </t>
    </r>
    <r>
      <rPr>
        <sz val="11"/>
        <color theme="1"/>
        <rFont val="Calibri"/>
        <family val="2"/>
        <charset val="1"/>
      </rPr>
      <t xml:space="preserve">Hold &amp; Spin </t>
    </r>
    <r>
      <rPr>
        <sz val="11"/>
        <color theme="1"/>
        <rFont val="Noto Sans SC"/>
        <family val="2"/>
        <charset val="134"/>
      </rPr>
      <t xml:space="preserve">特殊模式的 </t>
    </r>
    <r>
      <rPr>
        <sz val="11"/>
        <color theme="1"/>
        <rFont val="Calibri"/>
        <family val="2"/>
        <charset val="1"/>
      </rPr>
      <t xml:space="preserve">RTP</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</si>
  <si>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本表给出与矩阵法等价的闭式：期望固定个数 </t>
    </r>
    <r>
      <rPr>
        <sz val="11"/>
        <color theme="1"/>
        <rFont val="Calibri"/>
        <family val="2"/>
        <charset val="1"/>
      </rPr>
      <t xml:space="preserve">m_t </t>
    </r>
    <r>
      <rPr>
        <sz val="11"/>
        <color theme="1"/>
        <rFont val="Noto Sans SC"/>
        <family val="2"/>
        <charset val="134"/>
      </rPr>
      <t xml:space="preserve">＝ </t>
    </r>
    <r>
      <rPr>
        <sz val="11"/>
        <color theme="1"/>
        <rFont val="Calibri"/>
        <family val="2"/>
        <charset val="1"/>
      </rPr>
      <t xml:space="preserve">15 − 15(1−p)^t</t>
    </r>
    <r>
      <rPr>
        <sz val="11"/>
        <color theme="1"/>
        <rFont val="Noto Sans SC"/>
        <family val="2"/>
        <charset val="134"/>
      </rPr>
      <t xml:space="preserve">（递推 </t>
    </r>
    <r>
      <rPr>
        <sz val="11"/>
        <color theme="1"/>
        <rFont val="Calibri"/>
        <family val="2"/>
        <charset val="1"/>
      </rPr>
      <t xml:space="preserve">m_{t+1} </t>
    </r>
    <r>
      <rPr>
        <sz val="11"/>
        <color theme="1"/>
        <rFont val="Noto Sans SC"/>
        <family val="2"/>
        <charset val="134"/>
      </rPr>
      <t xml:space="preserve">＝ </t>
    </r>
    <r>
      <rPr>
        <sz val="11"/>
        <color theme="1"/>
        <rFont val="Calibri"/>
        <family val="2"/>
        <charset val="1"/>
      </rPr>
      <t xml:space="preserve">m_t </t>
    </r>
    <r>
      <rPr>
        <sz val="11"/>
        <color theme="1"/>
        <rFont val="Noto Sans SC"/>
        <family val="2"/>
        <charset val="134"/>
      </rPr>
      <t xml:space="preserve">＋ </t>
    </r>
    <r>
      <rPr>
        <sz val="11"/>
        <color theme="1"/>
        <rFont val="Calibri"/>
        <family val="2"/>
        <charset val="1"/>
      </rPr>
      <t xml:space="preserve">(15−m_t)·p </t>
    </r>
    <r>
      <rPr>
        <sz val="11"/>
        <color theme="1"/>
        <rFont val="Noto Sans SC"/>
        <family val="2"/>
        <charset val="134"/>
      </rPr>
      <t xml:space="preserve">逐轮验证）。</t>
    </r>
  </si>
  <si>
    <t xml:space="preserve">原文整理（全文，按原文小标题分段）</t>
  </si>
  <si>
    <r>
      <rPr>
        <sz val="11"/>
        <color theme="1"/>
        <rFont val="Noto Sans SC"/>
        <family val="2"/>
        <charset val="134"/>
      </rPr>
      <t xml:space="preserve">对</t>
    </r>
    <r>
      <rPr>
        <sz val="11"/>
        <color theme="1"/>
        <rFont val="Calibri"/>
        <family val="2"/>
        <charset val="1"/>
      </rPr>
      <t xml:space="preserve">Hold &amp; Spin Feature</t>
    </r>
    <r>
      <rPr>
        <sz val="11"/>
        <color theme="1"/>
        <rFont val="Noto Sans SC"/>
        <family val="2"/>
        <charset val="134"/>
      </rPr>
      <t xml:space="preserve">还不太了解的话可以查看上篇</t>
    </r>
    <r>
      <rPr>
        <sz val="11"/>
        <color theme="1"/>
        <rFont val="Calibri"/>
        <family val="2"/>
        <charset val="1"/>
      </rPr>
      <t xml:space="preserve">Feature</t>
    </r>
    <r>
      <rPr>
        <sz val="11"/>
        <color theme="1"/>
        <rFont val="Noto Sans SC"/>
        <family val="2"/>
        <charset val="134"/>
      </rPr>
      <t xml:space="preserve">介绍</t>
    </r>
  </si>
  <si>
    <r>
      <rPr>
        <sz val="11"/>
        <color theme="1"/>
        <rFont val="Calibri"/>
        <family val="2"/>
        <charset val="1"/>
      </rPr>
      <t xml:space="preserve">ASlot</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基础篇——</t>
    </r>
    <r>
      <rPr>
        <sz val="11"/>
        <color theme="1"/>
        <rFont val="Calibri"/>
        <family val="2"/>
        <charset val="1"/>
      </rPr>
      <t xml:space="preserve">Hold &amp; Spin</t>
    </r>
  </si>
  <si>
    <t xml:space="preserve">本篇主要介绍相关数值的计算</t>
  </si>
  <si>
    <r>
      <rPr>
        <sz val="11"/>
        <color theme="1"/>
        <rFont val="Noto Sans SC"/>
        <family val="2"/>
        <charset val="134"/>
      </rPr>
      <t xml:space="preserve">首先从卷轴上看，</t>
    </r>
    <r>
      <rPr>
        <sz val="11"/>
        <color theme="1"/>
        <rFont val="Calibri"/>
        <family val="2"/>
        <charset val="1"/>
      </rPr>
      <t xml:space="preserve">Hold &amp; Spin</t>
    </r>
    <r>
      <rPr>
        <sz val="11"/>
        <color theme="1"/>
        <rFont val="Noto Sans SC"/>
        <family val="2"/>
        <charset val="134"/>
      </rPr>
      <t xml:space="preserve">使用固定卷轴还是随机卷轴实现效果都一致</t>
    </r>
  </si>
  <si>
    <t xml:space="preserve">需要跳出卷轴，固定部分图标在摇奖区域上</t>
  </si>
  <si>
    <r>
      <rPr>
        <sz val="11"/>
        <color theme="1"/>
        <rFont val="Noto Sans SC"/>
        <family val="2"/>
        <charset val="134"/>
      </rPr>
      <t xml:space="preserve">卷轴尺寸：</t>
    </r>
    <r>
      <rPr>
        <sz val="11"/>
        <color theme="1"/>
        <rFont val="Calibri"/>
        <family val="2"/>
        <charset val="1"/>
      </rPr>
      <t xml:space="preserve">3*5</t>
    </r>
  </si>
  <si>
    <r>
      <rPr>
        <sz val="11"/>
        <color theme="1"/>
        <rFont val="Noto Sans SC"/>
        <family val="2"/>
        <charset val="134"/>
      </rPr>
      <t xml:space="preserve">图标出现几率：</t>
    </r>
    <r>
      <rPr>
        <sz val="11"/>
        <color theme="1"/>
        <rFont val="Calibri"/>
        <family val="2"/>
        <charset val="1"/>
      </rPr>
      <t xml:space="preserve">5%</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</si>
  <si>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624678060-01.png</t>
    </r>
  </si>
  <si>
    <t xml:space="preserve">这里会发现没有对不同数值的图标设置不同几率</t>
  </si>
  <si>
    <t xml:space="preserve">因为当存在多种数值时，只要计算得出期望后在依据各数值出现的几率计算数值期望即可</t>
  </si>
  <si>
    <t xml:space="preserve">计算概率时先将这不省去</t>
  </si>
  <si>
    <t xml:space="preserve">首先依据图标出现的几率计算得出首次摇奖后出现各图标个数的概率分布</t>
  </si>
  <si>
    <r>
      <rPr>
        <sz val="11"/>
        <color theme="1"/>
        <rFont val="Noto Sans SC"/>
        <family val="2"/>
        <charset val="134"/>
      </rPr>
      <t xml:space="preserve">这里使用</t>
    </r>
    <r>
      <rPr>
        <sz val="11"/>
        <color theme="1"/>
        <rFont val="Calibri"/>
        <family val="2"/>
        <charset val="1"/>
      </rPr>
      <t xml:space="preserve">BINOM.DIST</t>
    </r>
    <r>
      <rPr>
        <sz val="11"/>
        <color theme="1"/>
        <rFont val="Noto Sans SC"/>
        <family val="2"/>
        <charset val="134"/>
      </rPr>
      <t xml:space="preserve">函数带入【图标出现几率】、【窗口上的图标个数】和【摇奖得到的图标个数】即可</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</si>
  <si>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624678060-02.png</t>
    </r>
  </si>
  <si>
    <t xml:space="preserve">表中首列代表本次摇奖摇出的图标个数</t>
  </si>
  <si>
    <r>
      <rPr>
        <sz val="11"/>
        <color theme="1"/>
        <rFont val="Noto Sans SC"/>
        <family val="2"/>
        <charset val="134"/>
      </rPr>
      <t xml:space="preserve">第二列首行的 “</t>
    </r>
    <r>
      <rPr>
        <sz val="11"/>
        <color theme="1"/>
        <rFont val="Calibri"/>
        <family val="2"/>
        <charset val="1"/>
      </rPr>
      <t xml:space="preserve">0” </t>
    </r>
    <r>
      <rPr>
        <sz val="11"/>
        <color theme="1"/>
        <rFont val="Noto Sans SC"/>
        <family val="2"/>
        <charset val="134"/>
      </rPr>
      <t xml:space="preserve">代表当前场上已经固定的图标个数</t>
    </r>
  </si>
  <si>
    <t xml:space="preserve">当场上已经存在部分固定图标时，可以理解【窗口上的图标个数】减少了已经固定的图标个数</t>
  </si>
  <si>
    <r>
      <rPr>
        <sz val="11"/>
        <color theme="1"/>
        <rFont val="Noto Sans SC"/>
        <family val="2"/>
        <charset val="134"/>
      </rPr>
      <t xml:space="preserve">按照这一逻辑可以计算得出窗口上固定</t>
    </r>
    <r>
      <rPr>
        <sz val="11"/>
        <color theme="1"/>
        <rFont val="Calibri"/>
        <family val="2"/>
        <charset val="1"/>
      </rPr>
      <t xml:space="preserve">1~15</t>
    </r>
    <r>
      <rPr>
        <sz val="11"/>
        <color theme="1"/>
        <rFont val="Noto Sans SC"/>
        <family val="2"/>
        <charset val="134"/>
      </rPr>
      <t xml:space="preserve">个图标时对应的几率</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</si>
  <si>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624678060-03.jpg</t>
    </r>
  </si>
  <si>
    <r>
      <rPr>
        <sz val="11"/>
        <color theme="1"/>
        <rFont val="Noto Sans SC"/>
        <family val="2"/>
        <charset val="134"/>
      </rPr>
      <t xml:space="preserve">这里需要运用到 </t>
    </r>
    <r>
      <rPr>
        <sz val="11"/>
        <color theme="1"/>
        <rFont val="Calibri"/>
        <family val="2"/>
        <charset val="1"/>
      </rPr>
      <t xml:space="preserve">IFERROR </t>
    </r>
    <r>
      <rPr>
        <sz val="11"/>
        <color theme="1"/>
        <rFont val="Noto Sans SC"/>
        <family val="2"/>
        <charset val="134"/>
      </rPr>
      <t xml:space="preserve">函数，将不存在的概率都设置为空，为后续计算做准备</t>
    </r>
  </si>
  <si>
    <t xml:space="preserve">得到上表后就可以依据场上固定的图表数量查看本次抽取到的图标个数期望了</t>
  </si>
  <si>
    <t xml:space="preserve">但是每次抽取到的图标个数并不固定，因此此时需要使用到马尔科夫链</t>
  </si>
  <si>
    <t xml:space="preserve">因为马尔科夫链的概念比较复杂，这里就不详细介绍了，支付搜索“马尔科夫链”就能找到科普教程</t>
  </si>
  <si>
    <r>
      <rPr>
        <sz val="11"/>
        <color theme="1"/>
        <rFont val="Noto Sans SC"/>
        <family val="2"/>
        <charset val="134"/>
      </rPr>
      <t xml:space="preserve">这里主要介绍其在</t>
    </r>
    <r>
      <rPr>
        <sz val="11"/>
        <color theme="1"/>
        <rFont val="Calibri"/>
        <family val="2"/>
        <charset val="1"/>
      </rPr>
      <t xml:space="preserve">Hold &amp; Spin</t>
    </r>
    <r>
      <rPr>
        <sz val="11"/>
        <color theme="1"/>
        <rFont val="Noto Sans SC"/>
        <family val="2"/>
        <charset val="134"/>
      </rPr>
      <t xml:space="preserve">数值计算中的作用</t>
    </r>
  </si>
  <si>
    <t xml:space="preserve">首轮摇奖，场上还没有固定图标，或者固定图标个数已知</t>
  </si>
  <si>
    <t xml:space="preserve">但不论是哪种，都可以直接从上表中查询到合适数据代入下表，得到首轮抽奖中不同个数图标的概率分布</t>
  </si>
  <si>
    <r>
      <rPr>
        <sz val="11"/>
        <color theme="1"/>
        <rFont val="Noto Sans SC"/>
        <family val="2"/>
        <charset val="134"/>
      </rPr>
      <t xml:space="preserve">这里以触发</t>
    </r>
    <r>
      <rPr>
        <sz val="11"/>
        <color theme="1"/>
        <rFont val="Calibri"/>
        <family val="2"/>
        <charset val="1"/>
      </rPr>
      <t xml:space="preserve">Hold &amp; Spin</t>
    </r>
    <r>
      <rPr>
        <sz val="11"/>
        <color theme="1"/>
        <rFont val="Noto Sans SC"/>
        <family val="2"/>
        <charset val="134"/>
      </rPr>
      <t xml:space="preserve">时没有固定图标为例</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</si>
  <si>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624678060-04.png</t>
    </r>
  </si>
  <si>
    <t xml:space="preserve">这里的首列代表抽取到固定图标的个数</t>
  </si>
  <si>
    <t xml:space="preserve">第二列首行代表游戏局数，其下方的内容为该游戏局数对应抽取到各图标个数的概率</t>
  </si>
  <si>
    <t xml:space="preserve">从第二局摇奖开始，就会受到上一局摇奖结果的影响</t>
  </si>
  <si>
    <r>
      <rPr>
        <sz val="11"/>
        <color theme="1"/>
        <rFont val="Noto Sans SC"/>
        <family val="2"/>
        <charset val="134"/>
      </rPr>
      <t xml:space="preserve">这里使用</t>
    </r>
    <r>
      <rPr>
        <sz val="11"/>
        <color theme="1"/>
        <rFont val="Calibri"/>
        <family val="2"/>
        <charset val="1"/>
      </rPr>
      <t xml:space="preserve">MMULT</t>
    </r>
    <r>
      <rPr>
        <sz val="11"/>
        <color theme="1"/>
        <rFont val="Noto Sans SC"/>
        <family val="2"/>
        <charset val="134"/>
      </rPr>
      <t xml:space="preserve">函数计算【开始时出现</t>
    </r>
    <r>
      <rPr>
        <sz val="11"/>
        <color theme="1"/>
        <rFont val="Calibri"/>
        <family val="2"/>
        <charset val="1"/>
      </rPr>
      <t xml:space="preserve">0~N</t>
    </r>
    <r>
      <rPr>
        <sz val="11"/>
        <color theme="1"/>
        <rFont val="Noto Sans SC"/>
        <family val="2"/>
        <charset val="134"/>
      </rPr>
      <t xml:space="preserve">各固定图标并且在结束时有</t>
    </r>
    <r>
      <rPr>
        <sz val="11"/>
        <color theme="1"/>
        <rFont val="Calibri"/>
        <family val="2"/>
        <charset val="1"/>
      </rPr>
      <t xml:space="preserve">N</t>
    </r>
    <r>
      <rPr>
        <sz val="11"/>
        <color theme="1"/>
        <rFont val="Noto Sans SC"/>
        <family val="2"/>
        <charset val="134"/>
      </rPr>
      <t xml:space="preserve">个固定图标的几率】矩阵 乘上【上一轮结束时有</t>
    </r>
    <r>
      <rPr>
        <sz val="11"/>
        <color theme="1"/>
        <rFont val="Calibri"/>
        <family val="2"/>
        <charset val="1"/>
      </rPr>
      <t xml:space="preserve">N</t>
    </r>
    <r>
      <rPr>
        <sz val="11"/>
        <color theme="1"/>
        <rFont val="Noto Sans SC"/>
        <family val="2"/>
        <charset val="134"/>
      </rPr>
      <t xml:space="preserve">个图标的几率】矩阵 得到该轮得到</t>
    </r>
    <r>
      <rPr>
        <sz val="11"/>
        <color theme="1"/>
        <rFont val="Calibri"/>
        <family val="2"/>
        <charset val="1"/>
      </rPr>
      <t xml:space="preserve">N</t>
    </r>
    <r>
      <rPr>
        <sz val="11"/>
        <color theme="1"/>
        <rFont val="Noto Sans SC"/>
        <family val="2"/>
        <charset val="134"/>
      </rPr>
      <t xml:space="preserve">个固定图标的几率</t>
    </r>
  </si>
  <si>
    <r>
      <rPr>
        <sz val="11"/>
        <color theme="1"/>
        <rFont val="Calibri"/>
        <family val="2"/>
        <charset val="1"/>
      </rPr>
      <t xml:space="preserve">--</t>
    </r>
    <r>
      <rPr>
        <sz val="11"/>
        <color theme="1"/>
        <rFont val="Noto Sans SC"/>
        <family val="2"/>
        <charset val="134"/>
      </rPr>
      <t xml:space="preserve">矩阵的值分别由</t>
    </r>
    <r>
      <rPr>
        <sz val="11"/>
        <color theme="1"/>
        <rFont val="Calibri"/>
        <family val="2"/>
        <charset val="1"/>
      </rPr>
      <t xml:space="preserve">OFFSET</t>
    </r>
    <r>
      <rPr>
        <sz val="11"/>
        <color theme="1"/>
        <rFont val="Noto Sans SC"/>
        <family val="2"/>
        <charset val="134"/>
      </rPr>
      <t xml:space="preserve">函数函数引用和前一列满足初始条件的概率之和得出</t>
    </r>
  </si>
  <si>
    <t xml:space="preserve">以此类推可以计算得出任意局得到任意固定图标个数的几率</t>
  </si>
  <si>
    <t xml:space="preserve">将其求和就能得到图标个数的期望</t>
  </si>
  <si>
    <t xml:space="preserve">再把固定图标上出现不同数值的期望考虑上去，就可以得到指定轮次赔付额的期望</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</si>
  <si>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624678060-05.jpg</t>
    </r>
  </si>
  <si>
    <r>
      <rPr>
        <sz val="11"/>
        <color theme="1"/>
        <rFont val="Calibri"/>
        <family val="2"/>
        <charset val="1"/>
      </rPr>
      <t xml:space="preserve">Hold &amp; Spin</t>
    </r>
    <r>
      <rPr>
        <sz val="11"/>
        <color theme="1"/>
        <rFont val="Noto Sans SC"/>
        <family val="2"/>
        <charset val="134"/>
      </rPr>
      <t xml:space="preserve">作为</t>
    </r>
    <r>
      <rPr>
        <sz val="11"/>
        <color theme="1"/>
        <rFont val="Calibri"/>
        <family val="2"/>
        <charset val="1"/>
      </rPr>
      <t xml:space="preserve">Feature</t>
    </r>
    <r>
      <rPr>
        <sz val="11"/>
        <color theme="1"/>
        <rFont val="Noto Sans SC"/>
        <family val="2"/>
        <charset val="134"/>
      </rPr>
      <t xml:space="preserve">计算起来的确更复杂，可以依据本文介绍的内容尝试看是否可以计算得到你设计的</t>
    </r>
    <r>
      <rPr>
        <sz val="11"/>
        <color theme="1"/>
        <rFont val="Calibri"/>
        <family val="2"/>
        <charset val="1"/>
      </rPr>
      <t xml:space="preserve">Hold &amp; Spin</t>
    </r>
    <r>
      <rPr>
        <sz val="11"/>
        <color theme="1"/>
        <rFont val="Noto Sans SC"/>
        <family val="2"/>
        <charset val="134"/>
      </rPr>
      <t xml:space="preserve">特殊模式</t>
    </r>
    <r>
      <rPr>
        <sz val="11"/>
        <color theme="1"/>
        <rFont val="Calibri"/>
        <family val="2"/>
        <charset val="1"/>
      </rPr>
      <t xml:space="preserve">RTP</t>
    </r>
  </si>
  <si>
    <t xml:space="preserve">如果算不出来的话，找开发或者自己制作模拟数据工具也一样可以得到期望</t>
  </si>
  <si>
    <r>
      <rPr>
        <b val="true"/>
        <sz val="11"/>
        <rFont val="Noto Sans SC"/>
        <family val="2"/>
        <charset val="134"/>
      </rPr>
      <t xml:space="preserve">原文配图清单（共 </t>
    </r>
    <r>
      <rPr>
        <b val="true"/>
        <sz val="11"/>
        <rFont val="Cambria"/>
        <family val="0"/>
        <charset val="1"/>
      </rPr>
      <t xml:space="preserve">5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</si>
  <si>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624678060-01.png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</si>
  <si>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624678060-02.png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</si>
  <si>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624678060-03.jpg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</si>
  <si>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624678060-04.png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</si>
  <si>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624678060-05.jpg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</si>
  <si>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</si>
  <si>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</si>
  <si>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</si>
  <si>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</si>
  <si>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</si>
  <si>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</si>
  <si>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Hold &amp; Spin</t>
    </r>
    <r>
      <rPr>
        <sz val="11"/>
        <color rgb="FF808080"/>
        <rFont val="Noto Sans SC"/>
        <family val="2"/>
        <charset val="134"/>
      </rPr>
      <t xml:space="preserve">》</t>
    </r>
    <r>
      <rPr>
        <sz val="11"/>
        <color rgb="FF808080"/>
        <rFont val="Cambria"/>
        <family val="0"/>
        <charset val="1"/>
      </rPr>
      <t xml:space="preserve">, https://zhuanlan.zhihu.com/p/624678060</t>
    </r>
  </si>
  <si>
    <r>
      <rPr>
        <b val="true"/>
        <sz val="14"/>
        <color rgb="FF1F4E79"/>
        <rFont val="Noto Sans SC"/>
        <family val="2"/>
        <charset val="134"/>
      </rPr>
      <t xml:space="preserve">数值篇 </t>
    </r>
    <r>
      <rPr>
        <b val="true"/>
        <sz val="14"/>
        <color rgb="FF1F4E79"/>
        <rFont val="Cambria"/>
        <family val="0"/>
        <charset val="1"/>
      </rPr>
      <t xml:space="preserve">· Hold &amp; Spin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</si>
  <si>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</si>
  <si>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</si>
  <si>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</si>
  <si>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窗口</t>
  </si>
  <si>
    <r>
      <rPr>
        <sz val="11"/>
        <color rgb="FF0000FF"/>
        <rFont val="Cambria"/>
        <family val="0"/>
        <charset val="1"/>
      </rPr>
      <t xml:space="preserve">3*5</t>
    </r>
    <r>
      <rPr>
        <sz val="11"/>
        <color rgb="FF0000FF"/>
        <rFont val="Noto Sans SC"/>
        <family val="2"/>
        <charset val="134"/>
      </rPr>
      <t xml:space="preserve">（每列 </t>
    </r>
    <r>
      <rPr>
        <sz val="11"/>
        <color rgb="FF0000FF"/>
        <rFont val="Cambria"/>
        <family val="0"/>
        <charset val="1"/>
      </rPr>
      <t xml:space="preserve">5 </t>
    </r>
    <r>
      <rPr>
        <sz val="11"/>
        <color rgb="FF0000FF"/>
        <rFont val="Noto Sans SC"/>
        <family val="2"/>
        <charset val="134"/>
      </rPr>
      <t xml:space="preserve">格）</t>
    </r>
  </si>
  <si>
    <t xml:space="preserve">窗口总格数</t>
  </si>
  <si>
    <r>
      <rPr>
        <sz val="11"/>
        <color theme="1"/>
        <rFont val="Noto Sans SC"/>
        <family val="2"/>
        <charset val="134"/>
      </rPr>
      <t xml:space="preserve">＝ </t>
    </r>
    <r>
      <rPr>
        <sz val="11"/>
        <color theme="1"/>
        <rFont val="Calibri"/>
        <family val="2"/>
        <charset val="1"/>
      </rPr>
      <t xml:space="preserve">15</t>
    </r>
  </si>
  <si>
    <t xml:space="preserve">图标出现几率（每格）</t>
  </si>
  <si>
    <r>
      <rPr>
        <sz val="11"/>
        <color theme="1"/>
        <rFont val="Noto Sans SC"/>
        <family val="2"/>
        <charset val="134"/>
      </rPr>
      <t xml:space="preserve">原文：</t>
    </r>
    <r>
      <rPr>
        <sz val="11"/>
        <color theme="1"/>
        <rFont val="Calibri"/>
        <family val="2"/>
        <charset val="1"/>
      </rPr>
      <t xml:space="preserve">5%</t>
    </r>
  </si>
  <si>
    <t xml:space="preserve">卷轴类型</t>
  </si>
  <si>
    <r>
      <rPr>
        <sz val="11"/>
        <color rgb="FF0000FF"/>
        <rFont val="Noto Sans SC"/>
        <family val="2"/>
        <charset val="134"/>
      </rPr>
      <t xml:space="preserve">固定 </t>
    </r>
    <r>
      <rPr>
        <sz val="11"/>
        <color rgb="FF0000FF"/>
        <rFont val="Cambria"/>
        <family val="0"/>
        <charset val="1"/>
      </rPr>
      <t xml:space="preserve">/ </t>
    </r>
    <r>
      <rPr>
        <sz val="11"/>
        <color rgb="FF0000FF"/>
        <rFont val="Noto Sans SC"/>
        <family val="2"/>
        <charset val="134"/>
      </rPr>
      <t xml:space="preserve">随机均可</t>
    </r>
  </si>
  <si>
    <t xml:space="preserve">实现效果一致</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</si>
  <si>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】第一步：首轮「摇出 </t>
    </r>
    <r>
      <rPr>
        <b val="true"/>
        <sz val="11"/>
        <color rgb="FF1F4E79"/>
        <rFont val="Cambria"/>
        <family val="0"/>
        <charset val="1"/>
      </rPr>
      <t xml:space="preserve">k </t>
    </r>
    <r>
      <rPr>
        <b val="true"/>
        <sz val="11"/>
        <color rgb="FF1F4E79"/>
        <rFont val="Noto Sans SC"/>
        <family val="2"/>
        <charset val="134"/>
      </rPr>
      <t xml:space="preserve">个固定图标」的概率分布（</t>
    </r>
    <r>
      <rPr>
        <b val="true"/>
        <sz val="11"/>
        <color rgb="FF1F4E79"/>
        <rFont val="Cambria"/>
        <family val="0"/>
        <charset val="1"/>
      </rPr>
      <t xml:space="preserve">BINOM.DIST</t>
    </r>
    <r>
      <rPr>
        <b val="true"/>
        <sz val="11"/>
        <color rgb="FF1F4E79"/>
        <rFont val="Noto Sans SC"/>
        <family val="2"/>
        <charset val="134"/>
      </rPr>
      <t xml:space="preserve">）</t>
    </r>
  </si>
  <si>
    <r>
      <rPr>
        <b val="true"/>
        <sz val="11"/>
        <color rgb="FF1F4E79"/>
        <rFont val="Noto Sans SC"/>
        <family val="2"/>
        <charset val="134"/>
      </rPr>
      <t xml:space="preserve">摇出个数 </t>
    </r>
    <r>
      <rPr>
        <b val="true"/>
        <sz val="11"/>
        <color rgb="FF1F4E79"/>
        <rFont val="Cambria"/>
        <family val="0"/>
        <charset val="1"/>
      </rPr>
      <t xml:space="preserve">k</t>
    </r>
  </si>
  <si>
    <t xml:space="preserve">该个数几率</t>
  </si>
  <si>
    <t xml:space="preserve">累计几率</t>
  </si>
  <si>
    <r>
      <rPr>
        <b val="true"/>
        <sz val="11"/>
        <color rgb="FF1F4E79"/>
        <rFont val="Cambria"/>
        <family val="0"/>
        <charset val="1"/>
      </rPr>
      <t xml:space="preserve">k × </t>
    </r>
    <r>
      <rPr>
        <b val="true"/>
        <sz val="11"/>
        <color rgb="FF1F4E79"/>
        <rFont val="Noto Sans SC"/>
        <family val="2"/>
        <charset val="134"/>
      </rPr>
      <t xml:space="preserve">几率</t>
    </r>
  </si>
  <si>
    <r>
      <rPr>
        <sz val="11"/>
        <color rgb="FF808080"/>
        <rFont val="Noto Sans SC"/>
        <family val="2"/>
        <charset val="134"/>
      </rPr>
      <t xml:space="preserve">后 </t>
    </r>
    <r>
      <rPr>
        <sz val="11"/>
        <color rgb="FF808080"/>
        <rFont val="Cambria"/>
        <family val="0"/>
        <charset val="1"/>
      </rPr>
      <t xml:space="preserve">8 </t>
    </r>
    <r>
      <rPr>
        <sz val="11"/>
        <color rgb="FF808080"/>
        <rFont val="Noto Sans SC"/>
        <family val="2"/>
        <charset val="134"/>
      </rPr>
      <t xml:space="preserve">行（</t>
    </r>
    <r>
      <rPr>
        <sz val="11"/>
        <color rgb="FF808080"/>
        <rFont val="Cambria"/>
        <family val="0"/>
        <charset val="1"/>
      </rPr>
      <t xml:space="preserve">k </t>
    </r>
    <r>
      <rPr>
        <sz val="11"/>
        <color rgb="FF808080"/>
        <rFont val="Noto Sans SC"/>
        <family val="2"/>
        <charset val="134"/>
      </rPr>
      <t xml:space="preserve">＝ </t>
    </r>
    <r>
      <rPr>
        <sz val="11"/>
        <color rgb="FF808080"/>
        <rFont val="Cambria"/>
        <family val="0"/>
        <charset val="1"/>
      </rPr>
      <t xml:space="preserve">7~15</t>
    </r>
    <r>
      <rPr>
        <sz val="11"/>
        <color rgb="FF808080"/>
        <rFont val="Noto Sans SC"/>
        <family val="2"/>
        <charset val="134"/>
      </rPr>
      <t xml:space="preserve">）几率已极小，可照同样公式下拉；本表先列 </t>
    </r>
    <r>
      <rPr>
        <sz val="11"/>
        <color rgb="FF808080"/>
        <rFont val="Cambria"/>
        <family val="0"/>
        <charset val="1"/>
      </rPr>
      <t xml:space="preserve">k </t>
    </r>
    <r>
      <rPr>
        <sz val="11"/>
        <color rgb="FF808080"/>
        <rFont val="Noto Sans SC"/>
        <family val="2"/>
        <charset val="134"/>
      </rPr>
      <t xml:space="preserve">＝ </t>
    </r>
    <r>
      <rPr>
        <sz val="11"/>
        <color rgb="FF808080"/>
        <rFont val="Cambria"/>
        <family val="0"/>
        <charset val="1"/>
      </rPr>
      <t xml:space="preserve">0~7 </t>
    </r>
    <r>
      <rPr>
        <sz val="11"/>
        <color rgb="FF808080"/>
        <rFont val="Noto Sans SC"/>
        <family val="2"/>
        <charset val="134"/>
      </rPr>
      <t xml:space="preserve">便于对照。</t>
    </r>
  </si>
  <si>
    <t xml:space="preserve">首轮期望固定个数</t>
  </si>
  <si>
    <r>
      <rPr>
        <sz val="11"/>
        <color theme="1"/>
        <rFont val="Noto Sans SC"/>
        <family val="2"/>
        <charset val="134"/>
      </rPr>
      <t xml:space="preserve">＝ </t>
    </r>
    <r>
      <rPr>
        <sz val="11"/>
        <color theme="1"/>
        <rFont val="Calibri"/>
        <family val="2"/>
        <charset val="1"/>
      </rPr>
      <t xml:space="preserve">15 × 5% </t>
    </r>
    <r>
      <rPr>
        <sz val="11"/>
        <color theme="1"/>
        <rFont val="Noto Sans SC"/>
        <family val="2"/>
        <charset val="134"/>
      </rPr>
      <t xml:space="preserve">＝ </t>
    </r>
    <r>
      <rPr>
        <sz val="11"/>
        <color theme="1"/>
        <rFont val="Calibri"/>
        <family val="2"/>
        <charset val="1"/>
      </rPr>
      <t xml:space="preserve">0.75</t>
    </r>
  </si>
  <si>
    <t xml:space="preserve">等价闭式校验</t>
  </si>
  <si>
    <r>
      <rPr>
        <sz val="11"/>
        <color theme="1"/>
        <rFont val="Noto Sans SC"/>
        <family val="2"/>
        <charset val="134"/>
      </rPr>
      <t xml:space="preserve">二项分布期望 ＝ </t>
    </r>
    <r>
      <rPr>
        <sz val="11"/>
        <color theme="1"/>
        <rFont val="Calibri"/>
        <family val="2"/>
        <charset val="1"/>
      </rPr>
      <t xml:space="preserve">n·p</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</si>
  <si>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】第二步：场上已固定 </t>
    </r>
    <r>
      <rPr>
        <b val="true"/>
        <sz val="11"/>
        <color rgb="FF1F4E79"/>
        <rFont val="Cambria"/>
        <family val="0"/>
        <charset val="1"/>
      </rPr>
      <t xml:space="preserve">m </t>
    </r>
    <r>
      <rPr>
        <b val="true"/>
        <sz val="11"/>
        <color rgb="FF1F4E79"/>
        <rFont val="Noto Sans SC"/>
        <family val="2"/>
        <charset val="134"/>
      </rPr>
      <t xml:space="preserve">个时，本轮抽到 </t>
    </r>
    <r>
      <rPr>
        <b val="true"/>
        <sz val="11"/>
        <color rgb="FF1F4E79"/>
        <rFont val="Cambria"/>
        <family val="0"/>
        <charset val="1"/>
      </rPr>
      <t xml:space="preserve">k </t>
    </r>
    <r>
      <rPr>
        <b val="true"/>
        <sz val="11"/>
        <color rgb="FF1F4E79"/>
        <rFont val="Noto Sans SC"/>
        <family val="2"/>
        <charset val="134"/>
      </rPr>
      <t xml:space="preserve">个的几率（窗口剩余 </t>
    </r>
    <r>
      <rPr>
        <b val="true"/>
        <sz val="11"/>
        <color rgb="FF1F4E79"/>
        <rFont val="Cambria"/>
        <family val="0"/>
        <charset val="1"/>
      </rPr>
      <t xml:space="preserve">15−m </t>
    </r>
    <r>
      <rPr>
        <b val="true"/>
        <sz val="11"/>
        <color rgb="FF1F4E79"/>
        <rFont val="Noto Sans SC"/>
        <family val="2"/>
        <charset val="134"/>
      </rPr>
      <t xml:space="preserve">格）</t>
    </r>
  </si>
  <si>
    <r>
      <rPr>
        <b val="true"/>
        <sz val="11"/>
        <color rgb="FF1F4E79"/>
        <rFont val="Noto Sans SC"/>
        <family val="2"/>
        <charset val="134"/>
      </rPr>
      <t xml:space="preserve">已固定 </t>
    </r>
    <r>
      <rPr>
        <b val="true"/>
        <sz val="11"/>
        <color rgb="FF1F4E79"/>
        <rFont val="Cambria"/>
        <family val="0"/>
        <charset val="1"/>
      </rPr>
      <t xml:space="preserve">m</t>
    </r>
  </si>
  <si>
    <t xml:space="preserve">剩余格数</t>
  </si>
  <si>
    <r>
      <rPr>
        <b val="true"/>
        <sz val="11"/>
        <color rgb="FF1F4E79"/>
        <rFont val="Cambria"/>
        <family val="0"/>
        <charset val="1"/>
      </rPr>
      <t xml:space="preserve">k</t>
    </r>
    <r>
      <rPr>
        <b val="true"/>
        <sz val="11"/>
        <color rgb="FF1F4E79"/>
        <rFont val="Noto Sans SC"/>
        <family val="2"/>
        <charset val="134"/>
      </rPr>
      <t xml:space="preserve">＝</t>
    </r>
    <r>
      <rPr>
        <b val="true"/>
        <sz val="11"/>
        <color rgb="FF1F4E79"/>
        <rFont val="Cambria"/>
        <family val="0"/>
        <charset val="1"/>
      </rPr>
      <t xml:space="preserve">0</t>
    </r>
  </si>
  <si>
    <r>
      <rPr>
        <b val="true"/>
        <sz val="11"/>
        <color rgb="FF1F4E79"/>
        <rFont val="Cambria"/>
        <family val="0"/>
        <charset val="1"/>
      </rPr>
      <t xml:space="preserve">k</t>
    </r>
    <r>
      <rPr>
        <b val="true"/>
        <sz val="11"/>
        <color rgb="FF1F4E79"/>
        <rFont val="Noto Sans SC"/>
        <family val="2"/>
        <charset val="134"/>
      </rPr>
      <t xml:space="preserve">＝</t>
    </r>
    <r>
      <rPr>
        <b val="true"/>
        <sz val="11"/>
        <color rgb="FF1F4E79"/>
        <rFont val="Cambria"/>
        <family val="0"/>
        <charset val="1"/>
      </rPr>
      <t xml:space="preserve">1</t>
    </r>
  </si>
  <si>
    <r>
      <rPr>
        <b val="true"/>
        <sz val="11"/>
        <color rgb="FF1F4E79"/>
        <rFont val="Cambria"/>
        <family val="0"/>
        <charset val="1"/>
      </rPr>
      <t xml:space="preserve">k</t>
    </r>
    <r>
      <rPr>
        <b val="true"/>
        <sz val="11"/>
        <color rgb="FF1F4E79"/>
        <rFont val="Noto Sans SC"/>
        <family val="2"/>
        <charset val="134"/>
      </rPr>
      <t xml:space="preserve">＝</t>
    </r>
    <r>
      <rPr>
        <b val="true"/>
        <sz val="11"/>
        <color rgb="FF1F4E79"/>
        <rFont val="Cambria"/>
        <family val="0"/>
        <charset val="1"/>
      </rPr>
      <t xml:space="preserve">2</t>
    </r>
  </si>
  <si>
    <r>
      <rPr>
        <b val="true"/>
        <sz val="11"/>
        <color rgb="FF1F4E79"/>
        <rFont val="Cambria"/>
        <family val="0"/>
        <charset val="1"/>
      </rPr>
      <t xml:space="preserve">k</t>
    </r>
    <r>
      <rPr>
        <b val="true"/>
        <sz val="11"/>
        <color rgb="FF1F4E79"/>
        <rFont val="Noto Sans SC"/>
        <family val="2"/>
        <charset val="134"/>
      </rPr>
      <t xml:space="preserve">＝</t>
    </r>
    <r>
      <rPr>
        <b val="true"/>
        <sz val="11"/>
        <color rgb="FF1F4E79"/>
        <rFont val="Cambria"/>
        <family val="0"/>
        <charset val="1"/>
      </rPr>
      <t xml:space="preserve">3</t>
    </r>
  </si>
  <si>
    <r>
      <rPr>
        <b val="true"/>
        <sz val="11"/>
        <color rgb="FF1F4E79"/>
        <rFont val="Cambria"/>
        <family val="0"/>
        <charset val="1"/>
      </rPr>
      <t xml:space="preserve">k</t>
    </r>
    <r>
      <rPr>
        <b val="true"/>
        <sz val="11"/>
        <color rgb="FF1F4E79"/>
        <rFont val="Noto Sans SC"/>
        <family val="2"/>
        <charset val="134"/>
      </rPr>
      <t xml:space="preserve">＝</t>
    </r>
    <r>
      <rPr>
        <b val="true"/>
        <sz val="11"/>
        <color rgb="FF1F4E79"/>
        <rFont val="Cambria"/>
        <family val="0"/>
        <charset val="1"/>
      </rPr>
      <t xml:space="preserve">4</t>
    </r>
  </si>
  <si>
    <t xml:space="preserve">剩余格数越小，抽中的几率越低（这就是「几率不恒定」）</t>
  </si>
  <si>
    <r>
      <rPr>
        <sz val="11"/>
        <color rgb="FF808080"/>
        <rFont val="Noto Sans SC"/>
        <family val="2"/>
        <charset val="134"/>
      </rPr>
      <t xml:space="preserve">原文口径：窗口上的图标个数 ＝ </t>
    </r>
    <r>
      <rPr>
        <sz val="11"/>
        <color rgb="FF808080"/>
        <rFont val="Cambria"/>
        <family val="0"/>
        <charset val="1"/>
      </rPr>
      <t xml:space="preserve">15 − </t>
    </r>
    <r>
      <rPr>
        <sz val="11"/>
        <color rgb="FF808080"/>
        <rFont val="Noto Sans SC"/>
        <family val="2"/>
        <charset val="134"/>
      </rPr>
      <t xml:space="preserve">已固定个数；不存在的概率用 </t>
    </r>
    <r>
      <rPr>
        <sz val="11"/>
        <color rgb="FF808080"/>
        <rFont val="Cambria"/>
        <family val="0"/>
        <charset val="1"/>
      </rPr>
      <t xml:space="preserve">IFERROR/</t>
    </r>
    <r>
      <rPr>
        <sz val="11"/>
        <color rgb="FF808080"/>
        <rFont val="Noto Sans SC"/>
        <family val="2"/>
        <charset val="134"/>
      </rPr>
      <t xml:space="preserve">判断置空。这张表就是马尔科夫链的转移矩阵核心（</t>
    </r>
    <r>
      <rPr>
        <sz val="11"/>
        <color rgb="FF808080"/>
        <rFont val="Cambria"/>
        <family val="0"/>
        <charset val="1"/>
      </rPr>
      <t xml:space="preserve">m → m</t>
    </r>
    <r>
      <rPr>
        <sz val="11"/>
        <color rgb="FF808080"/>
        <rFont val="Noto Sans SC"/>
        <family val="2"/>
        <charset val="134"/>
      </rPr>
      <t xml:space="preserve">＋</t>
    </r>
    <r>
      <rPr>
        <sz val="11"/>
        <color rgb="FF808080"/>
        <rFont val="Cambria"/>
        <family val="0"/>
        <charset val="1"/>
      </rPr>
      <t xml:space="preserve">k</t>
    </r>
    <r>
      <rPr>
        <sz val="11"/>
        <color rgb="FF808080"/>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</si>
  <si>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】第三步：多轮期望（原文 </t>
    </r>
    <r>
      <rPr>
        <b val="true"/>
        <sz val="11"/>
        <color rgb="FF1F4E79"/>
        <rFont val="Cambria"/>
        <family val="0"/>
        <charset val="1"/>
      </rPr>
      <t xml:space="preserve">MMULT </t>
    </r>
    <r>
      <rPr>
        <b val="true"/>
        <sz val="11"/>
        <color rgb="FF1F4E79"/>
        <rFont val="Noto Sans SC"/>
        <family val="2"/>
        <charset val="134"/>
      </rPr>
      <t xml:space="preserve">矩阵法 ↔ 本表闭式</t>
    </r>
    <r>
      <rPr>
        <b val="true"/>
        <sz val="11"/>
        <color rgb="FF1F4E79"/>
        <rFont val="Cambria"/>
        <family val="0"/>
        <charset val="1"/>
      </rPr>
      <t xml:space="preserve">/</t>
    </r>
    <r>
      <rPr>
        <b val="true"/>
        <sz val="11"/>
        <color rgb="FF1F4E79"/>
        <rFont val="Noto Sans SC"/>
        <family val="2"/>
        <charset val="134"/>
      </rPr>
      <t xml:space="preserve">递推）</t>
    </r>
  </si>
  <si>
    <r>
      <rPr>
        <b val="true"/>
        <sz val="11"/>
        <color rgb="FF1F4E79"/>
        <rFont val="Noto Sans SC"/>
        <family val="2"/>
        <charset val="134"/>
      </rPr>
      <t xml:space="preserve">局数 </t>
    </r>
    <r>
      <rPr>
        <b val="true"/>
        <sz val="11"/>
        <color rgb="FF1F4E79"/>
        <rFont val="Cambria"/>
        <family val="0"/>
        <charset val="1"/>
      </rPr>
      <t xml:space="preserve">t</t>
    </r>
  </si>
  <si>
    <t xml:space="preserve">期望固定个数（递推）</t>
  </si>
  <si>
    <t xml:space="preserve">期望固定个数（闭式）</t>
  </si>
  <si>
    <t xml:space="preserve">两者之差</t>
  </si>
  <si>
    <t xml:space="preserve">起始：场上没有固定图标</t>
  </si>
  <si>
    <r>
      <rPr>
        <sz val="11"/>
        <color theme="1"/>
        <rFont val="Noto Sans SC"/>
        <family val="2"/>
        <charset val="134"/>
      </rPr>
      <t xml:space="preserve">第 </t>
    </r>
    <r>
      <rPr>
        <sz val="11"/>
        <color theme="1"/>
        <rFont val="Calibri"/>
        <family val="2"/>
        <charset val="1"/>
      </rPr>
      <t xml:space="preserve">1 </t>
    </r>
    <r>
      <rPr>
        <sz val="11"/>
        <color theme="1"/>
        <rFont val="Noto Sans SC"/>
        <family val="2"/>
        <charset val="134"/>
      </rPr>
      <t xml:space="preserve">局期望 ＝ </t>
    </r>
    <r>
      <rPr>
        <sz val="11"/>
        <color theme="1"/>
        <rFont val="Calibri"/>
        <family val="2"/>
        <charset val="1"/>
      </rPr>
      <t xml:space="preserve">15×5% </t>
    </r>
    <r>
      <rPr>
        <sz val="11"/>
        <color theme="1"/>
        <rFont val="Noto Sans SC"/>
        <family val="2"/>
        <charset val="134"/>
      </rPr>
      <t xml:space="preserve">＝ </t>
    </r>
    <r>
      <rPr>
        <sz val="11"/>
        <color theme="1"/>
        <rFont val="Calibri"/>
        <family val="2"/>
        <charset val="1"/>
      </rPr>
      <t xml:space="preserve">0.75</t>
    </r>
  </si>
  <si>
    <r>
      <rPr>
        <sz val="11"/>
        <color rgb="FF808080"/>
        <rFont val="Noto Sans SC"/>
        <family val="2"/>
        <charset val="134"/>
      </rPr>
      <t xml:space="preserve">递推 </t>
    </r>
    <r>
      <rPr>
        <sz val="11"/>
        <color rgb="FF808080"/>
        <rFont val="Cambria"/>
        <family val="0"/>
        <charset val="1"/>
      </rPr>
      <t xml:space="preserve">m_t </t>
    </r>
    <r>
      <rPr>
        <sz val="11"/>
        <color rgb="FF808080"/>
        <rFont val="Noto Sans SC"/>
        <family val="2"/>
        <charset val="134"/>
      </rPr>
      <t xml:space="preserve">＝ </t>
    </r>
    <r>
      <rPr>
        <sz val="11"/>
        <color rgb="FF808080"/>
        <rFont val="Cambria"/>
        <family val="0"/>
        <charset val="1"/>
      </rPr>
      <t xml:space="preserve">m_{t-1} </t>
    </r>
    <r>
      <rPr>
        <sz val="11"/>
        <color rgb="FF808080"/>
        <rFont val="Noto Sans SC"/>
        <family val="2"/>
        <charset val="134"/>
      </rPr>
      <t xml:space="preserve">＋ </t>
    </r>
    <r>
      <rPr>
        <sz val="11"/>
        <color rgb="FF808080"/>
        <rFont val="Cambria"/>
        <family val="0"/>
        <charset val="1"/>
      </rPr>
      <t xml:space="preserve">(15 − m_{t-1})·p</t>
    </r>
    <r>
      <rPr>
        <sz val="11"/>
        <color rgb="FF808080"/>
        <rFont val="Noto Sans SC"/>
        <family val="2"/>
        <charset val="134"/>
      </rPr>
      <t xml:space="preserve">（等价于矩阵法求出的期望）；闭式 </t>
    </r>
    <r>
      <rPr>
        <sz val="11"/>
        <color rgb="FF808080"/>
        <rFont val="Cambria"/>
        <family val="0"/>
        <charset val="1"/>
      </rPr>
      <t xml:space="preserve">m_t </t>
    </r>
    <r>
      <rPr>
        <sz val="11"/>
        <color rgb="FF808080"/>
        <rFont val="Noto Sans SC"/>
        <family val="2"/>
        <charset val="134"/>
      </rPr>
      <t xml:space="preserve">＝ </t>
    </r>
    <r>
      <rPr>
        <sz val="11"/>
        <color rgb="FF808080"/>
        <rFont val="Cambria"/>
        <family val="0"/>
        <charset val="1"/>
      </rPr>
      <t xml:space="preserve">15 − 15(1−p)^t</t>
    </r>
    <r>
      <rPr>
        <sz val="11"/>
        <color rgb="FF808080"/>
        <rFont val="Noto Sans SC"/>
        <family val="2"/>
        <charset val="134"/>
      </rPr>
      <t xml:space="preserve">。矩阵法的优势是能同时给出「任意局、任意固定个数」的完整分布，本表用期望列做交叉验证。</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</si>
  <si>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】第四步：赔付额期望（叠加图标数值期望）</t>
    </r>
  </si>
  <si>
    <r>
      <rPr>
        <sz val="11"/>
        <color theme="1"/>
        <rFont val="Calibri"/>
        <family val="2"/>
        <charset val="1"/>
      </rPr>
      <t xml:space="preserve">Hold </t>
    </r>
    <r>
      <rPr>
        <sz val="11"/>
        <color theme="1"/>
        <rFont val="Noto Sans SC"/>
        <family val="2"/>
        <charset val="134"/>
      </rPr>
      <t xml:space="preserve">图标数值期望（各面额加权）</t>
    </r>
  </si>
  <si>
    <t xml:space="preserve">原文：先算个数期望，再乘各面额的数值期望</t>
  </si>
  <si>
    <t xml:space="preserve">计算基数（每注额）</t>
  </si>
  <si>
    <t xml:space="preserve">按项目口径可改</t>
  </si>
  <si>
    <t xml:space="preserve">取第几局的固定个数期望</t>
  </si>
  <si>
    <r>
      <rPr>
        <sz val="11"/>
        <color theme="1"/>
        <rFont val="Noto Sans SC"/>
        <family val="2"/>
        <charset val="134"/>
      </rPr>
      <t xml:space="preserve">默认取第 </t>
    </r>
    <r>
      <rPr>
        <sz val="11"/>
        <color theme="1"/>
        <rFont val="Calibri"/>
        <family val="2"/>
        <charset val="1"/>
      </rPr>
      <t xml:space="preserve">5 </t>
    </r>
    <r>
      <rPr>
        <sz val="11"/>
        <color theme="1"/>
        <rFont val="Noto Sans SC"/>
        <family val="2"/>
        <charset val="134"/>
      </rPr>
      <t xml:space="preserve">局；改这个数字即可</t>
    </r>
  </si>
  <si>
    <t xml:space="preserve">该轮赔付额期望</t>
  </si>
  <si>
    <r>
      <rPr>
        <sz val="11"/>
        <color theme="1"/>
        <rFont val="Noto Sans SC"/>
        <family val="2"/>
        <charset val="134"/>
      </rPr>
      <t xml:space="preserve">＝ 该局期望固定个数 </t>
    </r>
    <r>
      <rPr>
        <sz val="11"/>
        <color theme="1"/>
        <rFont val="Calibri"/>
        <family val="2"/>
        <charset val="1"/>
      </rPr>
      <t xml:space="preserve">× </t>
    </r>
    <r>
      <rPr>
        <sz val="11"/>
        <color theme="1"/>
        <rFont val="Noto Sans SC"/>
        <family val="2"/>
        <charset val="134"/>
      </rPr>
      <t xml:space="preserve">图标数值期望 </t>
    </r>
    <r>
      <rPr>
        <sz val="11"/>
        <color theme="1"/>
        <rFont val="Calibri"/>
        <family val="2"/>
        <charset val="1"/>
      </rPr>
      <t xml:space="preserve">× </t>
    </r>
    <r>
      <rPr>
        <sz val="11"/>
        <color theme="1"/>
        <rFont val="Noto Sans SC"/>
        <family val="2"/>
        <charset val="134"/>
      </rPr>
      <t xml:space="preserve">计算基数</t>
    </r>
  </si>
  <si>
    <r>
      <rPr>
        <sz val="11"/>
        <color rgb="FF808080"/>
        <rFont val="Noto Sans SC"/>
        <family val="2"/>
        <charset val="134"/>
      </rPr>
      <t xml:space="preserve">再加上「抽到目标图标把免费摇次数补满」的无穷级数（次数期望 ＝ 基础次数 </t>
    </r>
    <r>
      <rPr>
        <sz val="11"/>
        <color rgb="FF808080"/>
        <rFont val="Cambria"/>
        <family val="0"/>
        <charset val="1"/>
      </rPr>
      <t xml:space="preserve">÷ (1 − </t>
    </r>
    <r>
      <rPr>
        <sz val="11"/>
        <color rgb="FF808080"/>
        <rFont val="Noto Sans SC"/>
        <family val="2"/>
        <charset val="134"/>
      </rPr>
      <t xml:space="preserve">单次补充期望</t>
    </r>
    <r>
      <rPr>
        <sz val="11"/>
        <color rgb="FF808080"/>
        <rFont val="Cambria"/>
        <family val="0"/>
        <charset val="1"/>
      </rPr>
      <t xml:space="preserve">)</t>
    </r>
    <r>
      <rPr>
        <sz val="11"/>
        <color rgb="FF808080"/>
        <rFont val="Noto Sans SC"/>
        <family val="2"/>
        <charset val="134"/>
      </rPr>
      <t xml:space="preserve">），即可得到 </t>
    </r>
    <r>
      <rPr>
        <sz val="11"/>
        <color rgb="FF808080"/>
        <rFont val="Cambria"/>
        <family val="0"/>
        <charset val="1"/>
      </rPr>
      <t xml:space="preserve">Hold &amp; Spin </t>
    </r>
    <r>
      <rPr>
        <sz val="11"/>
        <color rgb="FF808080"/>
        <rFont val="Noto Sans SC"/>
        <family val="2"/>
        <charset val="134"/>
      </rPr>
      <t xml:space="preserve">特殊模式的 </t>
    </r>
    <r>
      <rPr>
        <sz val="11"/>
        <color rgb="FF808080"/>
        <rFont val="Cambria"/>
        <family val="0"/>
        <charset val="1"/>
      </rPr>
      <t xml:space="preserve">RTP</t>
    </r>
    <r>
      <rPr>
        <sz val="11"/>
        <color rgb="FF808080"/>
        <rFont val="Noto Sans SC"/>
        <family val="2"/>
        <charset val="134"/>
      </rPr>
      <t xml:space="preserve">；原文建议这类模型最终用模拟器复核。</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</si>
  <si>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</si>
  <si>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</si>
  <si>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</si>
  <si>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窗口格数 ＝ </t>
    </r>
    <r>
      <rPr>
        <sz val="11"/>
        <color theme="1"/>
        <rFont val="Calibri"/>
        <family val="2"/>
        <charset val="1"/>
      </rPr>
      <t xml:space="preserve">15</t>
    </r>
  </si>
  <si>
    <t xml:space="preserve">3 × 5</t>
  </si>
  <si>
    <r>
      <rPr>
        <sz val="11"/>
        <color theme="1"/>
        <rFont val="Noto Sans SC"/>
        <family val="2"/>
        <charset val="134"/>
      </rPr>
      <t xml:space="preserve">前 </t>
    </r>
    <r>
      <rPr>
        <sz val="11"/>
        <color theme="1"/>
        <rFont val="Calibri"/>
        <family val="2"/>
        <charset val="1"/>
      </rPr>
      <t xml:space="preserve">8 </t>
    </r>
    <r>
      <rPr>
        <sz val="11"/>
        <color theme="1"/>
        <rFont val="Noto Sans SC"/>
        <family val="2"/>
        <charset val="134"/>
      </rPr>
      <t xml:space="preserve">行 ＋ </t>
    </r>
    <r>
      <rPr>
        <sz val="11"/>
        <color theme="1"/>
        <rFont val="Calibri"/>
        <family val="2"/>
        <charset val="1"/>
      </rPr>
      <t xml:space="preserve">k≥8 </t>
    </r>
    <r>
      <rPr>
        <sz val="11"/>
        <color theme="1"/>
        <rFont val="Noto Sans SC"/>
        <family val="2"/>
        <charset val="134"/>
      </rPr>
      <t xml:space="preserve">的累计 ＝ </t>
    </r>
    <r>
      <rPr>
        <sz val="11"/>
        <color theme="1"/>
        <rFont val="Calibri"/>
        <family val="2"/>
        <charset val="1"/>
      </rPr>
      <t xml:space="preserve">100%</t>
    </r>
  </si>
  <si>
    <r>
      <rPr>
        <sz val="11"/>
        <color theme="1"/>
        <rFont val="Noto Sans SC"/>
        <family val="2"/>
        <charset val="134"/>
      </rPr>
      <t xml:space="preserve">二项分布合计恒为 </t>
    </r>
    <r>
      <rPr>
        <sz val="11"/>
        <color theme="1"/>
        <rFont val="Calibri"/>
        <family val="2"/>
        <charset val="1"/>
      </rPr>
      <t xml:space="preserve">1</t>
    </r>
  </si>
  <si>
    <r>
      <rPr>
        <sz val="11"/>
        <color theme="1"/>
        <rFont val="Noto Sans SC"/>
        <family val="2"/>
        <charset val="134"/>
      </rPr>
      <t xml:space="preserve">首轮期望 ＝ </t>
    </r>
    <r>
      <rPr>
        <sz val="11"/>
        <color theme="1"/>
        <rFont val="Calibri"/>
        <family val="2"/>
        <charset val="1"/>
      </rPr>
      <t xml:space="preserve">15 × 5% </t>
    </r>
    <r>
      <rPr>
        <sz val="11"/>
        <color theme="1"/>
        <rFont val="Noto Sans SC"/>
        <family val="2"/>
        <charset val="134"/>
      </rPr>
      <t xml:space="preserve">＝ </t>
    </r>
    <r>
      <rPr>
        <sz val="11"/>
        <color theme="1"/>
        <rFont val="Calibri"/>
        <family val="2"/>
        <charset val="1"/>
      </rPr>
      <t xml:space="preserve">0.75</t>
    </r>
  </si>
  <si>
    <t xml:space="preserve">n·p</t>
  </si>
  <si>
    <r>
      <rPr>
        <sz val="11"/>
        <color theme="1"/>
        <rFont val="Noto Sans SC"/>
        <family val="2"/>
        <charset val="134"/>
      </rPr>
      <t xml:space="preserve">递推与闭式一致（</t>
    </r>
    <r>
      <rPr>
        <sz val="11"/>
        <color theme="1"/>
        <rFont val="Calibri"/>
        <family val="2"/>
        <charset val="1"/>
      </rPr>
      <t xml:space="preserve">10 </t>
    </r>
    <r>
      <rPr>
        <sz val="11"/>
        <color theme="1"/>
        <rFont val="Noto Sans SC"/>
        <family val="2"/>
        <charset val="134"/>
      </rPr>
      <t xml:space="preserve">局最大差 ＜ </t>
    </r>
    <r>
      <rPr>
        <sz val="11"/>
        <color theme="1"/>
        <rFont val="Calibri"/>
        <family val="2"/>
        <charset val="1"/>
      </rPr>
      <t xml:space="preserve">1e-6</t>
    </r>
    <r>
      <rPr>
        <sz val="11"/>
        <color theme="1"/>
        <rFont val="Noto Sans SC"/>
        <family val="2"/>
        <charset val="134"/>
      </rPr>
      <t xml:space="preserve">）</t>
    </r>
  </si>
  <si>
    <r>
      <rPr>
        <sz val="11"/>
        <color theme="1"/>
        <rFont val="Noto Sans SC"/>
        <family val="2"/>
        <charset val="134"/>
      </rPr>
      <t xml:space="preserve">【</t>
    </r>
    <r>
      <rPr>
        <sz val="11"/>
        <color theme="1"/>
        <rFont val="Calibri"/>
        <family val="2"/>
        <charset val="1"/>
      </rPr>
      <t xml:space="preserve">4</t>
    </r>
    <r>
      <rPr>
        <sz val="11"/>
        <color theme="1"/>
        <rFont val="Noto Sans SC"/>
        <family val="2"/>
        <charset val="134"/>
      </rPr>
      <t xml:space="preserve">】</t>
    </r>
  </si>
  <si>
    <r>
      <rPr>
        <sz val="11"/>
        <color theme="1"/>
        <rFont val="Noto Sans SC"/>
        <family val="2"/>
        <charset val="134"/>
      </rPr>
      <t xml:space="preserve">剩余格数 ＝ </t>
    </r>
    <r>
      <rPr>
        <sz val="11"/>
        <color theme="1"/>
        <rFont val="Calibri"/>
        <family val="2"/>
        <charset val="1"/>
      </rPr>
      <t xml:space="preserve">15 − </t>
    </r>
    <r>
      <rPr>
        <sz val="11"/>
        <color theme="1"/>
        <rFont val="Noto Sans SC"/>
        <family val="2"/>
        <charset val="134"/>
      </rPr>
      <t xml:space="preserve">已固定个数</t>
    </r>
  </si>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</sst>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
    <numFmt numFmtId="166" formatCode="0.00%"/>
    <numFmt numFmtId="167" formatCode="0.0000%"/>
    <numFmt numFmtId="168" formatCode="0.000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4">
    <fill>
      <patternFill patternType="none"/>
    </fill>
    <fill>
      <patternFill patternType="gray125"/>
    </fill>
    <fill>
      <patternFill patternType="solid">
        <fgColor rgb="FFB4C7E7"/>
        <bgColor rgb="FFCCCCFF"/>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8"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169" applyNumberFormat="1" fontId="13" fillId="0" borderId="0" xfId="0" applyFont="true" applyBorder="fals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row>
    <row r="8" customFormat="false" ht="15.5" hidden="false" customHeight="false" outlineLevel="0" collapsed="false">
      <c r="A8" s="2" t="s">
        <v>6</v>
      </c>
    </row>
    <row r="10" customFormat="false" ht="15" hidden="false" customHeight="false" outlineLevel="0" collapsed="false">
      <c r="A10" s="4" t="s">
        <v>7</v>
      </c>
    </row>
    <row r="11" customFormat="false" ht="29" hidden="false" customHeight="false" outlineLevel="0" collapsed="false">
      <c r="A11" s="29" t="s">
        <v>8</v>
      </c>
    </row>
    <row r="12" customFormat="false" ht="29" hidden="false" customHeight="false" outlineLevel="0" collapsed="false">
      <c r="A12" s="29" t="s">
        <v>9</v>
      </c>
    </row>
    <row r="13" customFormat="false" ht="15" hidden="false" customHeight="false" outlineLevel="0" collapsed="false">
      <c r="A13" s="5"/>
    </row>
    <row r="14" customFormat="false" ht="15" hidden="false" customHeight="false" outlineLevel="0" collapsed="false">
      <c r="A14" s="4" t="s">
        <v>10</v>
      </c>
    </row>
    <row r="15" customFormat="false" ht="15" hidden="false" customHeight="1" outlineLevel="0" collapsed="false">
      <c r="A15" s="30" t="s">
        <v>11</v>
      </c>
      <c r="B15" s="6"/>
      <c r="C15" s="6"/>
    </row>
    <row r="16" customFormat="false" ht="42" hidden="false" customHeight="false" outlineLevel="0" collapsed="false">
      <c r="A16" s="29" t="s">
        <v>12</v>
      </c>
    </row>
    <row r="17" customFormat="false" ht="15" hidden="false" customHeight="1" outlineLevel="0" collapsed="false">
      <c r="A17" s="30" t="s">
        <v>13</v>
      </c>
      <c r="B17" s="6"/>
      <c r="C17" s="6"/>
    </row>
    <row r="18" customFormat="false" ht="15" hidden="false" customHeight="false" outlineLevel="0" collapsed="false">
      <c r="A18" s="5"/>
    </row>
    <row r="19" customFormat="false" ht="15" hidden="false" customHeight="false" outlineLevel="0" collapsed="false">
      <c r="A19" s="4" t="s">
        <v>14</v>
      </c>
    </row>
    <row r="20" customFormat="false" ht="15" hidden="false" customHeight="1" outlineLevel="0" collapsed="false">
      <c r="A20" s="30" t="s">
        <v>15</v>
      </c>
      <c r="B20" s="6"/>
      <c r="C20" s="6"/>
    </row>
    <row r="21" customFormat="false" ht="15" hidden="false" customHeight="1" outlineLevel="0" collapsed="false">
      <c r="A21" s="30" t="s">
        <v>16</v>
      </c>
      <c r="B21" s="6"/>
      <c r="C21" s="6"/>
    </row>
    <row r="22" customFormat="false" ht="15" hidden="false" customHeight="1" outlineLevel="0" collapsed="false">
      <c r="A22" s="30" t="s">
        <v>17</v>
      </c>
      <c r="B22" s="6"/>
      <c r="C22" s="6"/>
      <c r="D22" s="6"/>
    </row>
    <row r="23" customFormat="false" ht="15" hidden="false" customHeight="1" outlineLevel="0" collapsed="false">
      <c r="A23" s="30" t="s">
        <v>18</v>
      </c>
      <c r="B23" s="6"/>
      <c r="C23" s="6"/>
      <c r="D23" s="6"/>
    </row>
    <row r="24" customFormat="false" ht="16" hidden="false" customHeight="false" outlineLevel="0" collapsed="false">
      <c r="A24" s="31" t="s">
        <v>19</v>
      </c>
    </row>
    <row r="25" customFormat="false" ht="30" hidden="false" customHeight="false" outlineLevel="0" collapsed="false">
      <c r="A25" s="29" t="s">
        <v>20</v>
      </c>
    </row>
    <row r="26" customFormat="false" ht="15" hidden="false" customHeight="1" outlineLevel="0" collapsed="false">
      <c r="A26" s="32" t="s">
        <v>21</v>
      </c>
      <c r="B26" s="8"/>
      <c r="C26" s="8"/>
    </row>
    <row r="27" customFormat="false" ht="15" hidden="false" customHeight="1" outlineLevel="0" collapsed="false">
      <c r="A27" s="32" t="s">
        <v>22</v>
      </c>
      <c r="B27" s="8"/>
      <c r="C27" s="8"/>
    </row>
    <row r="28" customFormat="false" ht="42" hidden="false" customHeight="false" outlineLevel="0" collapsed="false">
      <c r="A28" s="29" t="s">
        <v>23</v>
      </c>
    </row>
    <row r="29" customFormat="false" ht="29" hidden="false" customHeight="false" outlineLevel="0" collapsed="false">
      <c r="A29" s="31" t="s">
        <v>24</v>
      </c>
    </row>
    <row r="30" customFormat="false" ht="15" hidden="false" customHeight="1" outlineLevel="0" collapsed="false">
      <c r="A30" s="30" t="s">
        <v>25</v>
      </c>
      <c r="B30" s="6"/>
      <c r="C30" s="6"/>
    </row>
    <row r="32" customFormat="false" ht="15" hidden="false" customHeight="false" outlineLevel="0" collapsed="false">
      <c r="A32" s="4" t="s">
        <v>26</v>
      </c>
    </row>
    <row r="33" customFormat="false" ht="15" hidden="false" customHeight="false" outlineLevel="0" collapsed="false">
      <c r="A33" s="7"/>
    </row>
    <row r="34" customFormat="false" ht="30" hidden="false" customHeight="false" outlineLevel="0" collapsed="false">
      <c r="A34" s="31" t="s">
        <v>27</v>
      </c>
    </row>
    <row r="35" customFormat="false" ht="16" hidden="false" customHeight="false" outlineLevel="0" collapsed="false">
      <c r="A35" s="5" t="s">
        <v>28</v>
      </c>
    </row>
    <row r="36" customFormat="false" ht="15" hidden="false" customHeight="false" outlineLevel="0" collapsed="false">
      <c r="A36" s="7" t="s">
        <v>29</v>
      </c>
    </row>
    <row r="37" customFormat="false" ht="29" hidden="false" customHeight="false" outlineLevel="0" collapsed="false">
      <c r="A37" s="31" t="s">
        <v>30</v>
      </c>
    </row>
    <row r="38" customFormat="false" ht="15" hidden="false" customHeight="false" outlineLevel="0" collapsed="false">
      <c r="A38" s="7" t="s">
        <v>31</v>
      </c>
    </row>
    <row r="39" customFormat="false" ht="16" hidden="false" customHeight="false" outlineLevel="0" collapsed="false">
      <c r="A39" s="7" t="s">
        <v>32</v>
      </c>
    </row>
    <row r="40" customFormat="false" ht="16" hidden="false" customHeight="false" outlineLevel="0" collapsed="false">
      <c r="A40" s="7" t="s">
        <v>33</v>
      </c>
    </row>
    <row r="41" customFormat="false" ht="15" hidden="false" customHeight="false" outlineLevel="0" collapsed="false">
      <c r="A41" s="7"/>
    </row>
    <row r="42" customFormat="false" ht="16" hidden="false" customHeight="false" outlineLevel="0" collapsed="false">
      <c r="A42" s="7" t="s">
        <v>34</v>
      </c>
    </row>
    <row r="43" customFormat="false" ht="15" hidden="false" customHeight="false" outlineLevel="0" collapsed="false">
      <c r="A43" s="7"/>
    </row>
    <row r="44" customFormat="false" ht="15" hidden="false" customHeight="false" outlineLevel="0" collapsed="false">
      <c r="A44" s="31" t="s">
        <v>35</v>
      </c>
    </row>
    <row r="45" customFormat="false" ht="28" hidden="false" customHeight="false" outlineLevel="0" collapsed="false">
      <c r="A45" s="31" t="s">
        <v>36</v>
      </c>
    </row>
    <row r="46" customFormat="false" ht="15" hidden="false" customHeight="false" outlineLevel="0" collapsed="false">
      <c r="A46" s="7" t="s">
        <v>37</v>
      </c>
    </row>
    <row r="47" customFormat="false" ht="28" hidden="false" customHeight="false" outlineLevel="0" collapsed="false">
      <c r="A47" s="31" t="s">
        <v>38</v>
      </c>
    </row>
    <row r="48" customFormat="false" ht="42" hidden="false" customHeight="false" outlineLevel="0" collapsed="false">
      <c r="A48" s="31" t="s">
        <v>39</v>
      </c>
    </row>
    <row r="49" customFormat="false" ht="15" hidden="false" customHeight="false" outlineLevel="0" collapsed="false">
      <c r="A49" s="7"/>
    </row>
    <row r="50" customFormat="false" ht="16" hidden="false" customHeight="false" outlineLevel="0" collapsed="false">
      <c r="A50" s="7" t="s">
        <v>40</v>
      </c>
    </row>
    <row r="51" customFormat="false" ht="15" hidden="false" customHeight="false" outlineLevel="0" collapsed="false">
      <c r="A51" s="7"/>
    </row>
    <row r="52" customFormat="false" ht="15" hidden="false" customHeight="false" outlineLevel="0" collapsed="false">
      <c r="A52" s="7" t="s">
        <v>41</v>
      </c>
    </row>
    <row r="53" customFormat="false" ht="29" hidden="false" customHeight="false" outlineLevel="0" collapsed="false">
      <c r="A53" s="31" t="s">
        <v>42</v>
      </c>
    </row>
    <row r="54" customFormat="false" ht="28" hidden="false" customHeight="false" outlineLevel="0" collapsed="false">
      <c r="A54" s="31" t="s">
        <v>43</v>
      </c>
    </row>
    <row r="55" customFormat="false" ht="29" hidden="false" customHeight="false" outlineLevel="0" collapsed="false">
      <c r="A55" s="31" t="s">
        <v>44</v>
      </c>
    </row>
    <row r="56" customFormat="false" ht="15" hidden="false" customHeight="false" outlineLevel="0" collapsed="false">
      <c r="A56" s="7"/>
    </row>
    <row r="57" customFormat="false" ht="16" hidden="false" customHeight="false" outlineLevel="0" collapsed="false">
      <c r="A57" s="7" t="s">
        <v>45</v>
      </c>
    </row>
    <row r="58" customFormat="false" ht="15" hidden="false" customHeight="false" outlineLevel="0" collapsed="false">
      <c r="A58" s="7"/>
    </row>
    <row r="59" customFormat="false" ht="29" hidden="false" customHeight="false" outlineLevel="0" collapsed="false">
      <c r="A59" s="31" t="s">
        <v>46</v>
      </c>
    </row>
    <row r="60" customFormat="false" ht="28" hidden="false" customHeight="false" outlineLevel="0" collapsed="false">
      <c r="A60" s="31" t="s">
        <v>47</v>
      </c>
    </row>
    <row r="61" customFormat="false" ht="28" hidden="false" customHeight="false" outlineLevel="0" collapsed="false">
      <c r="A61" s="31" t="s">
        <v>48</v>
      </c>
    </row>
    <row r="62" customFormat="false" ht="28" hidden="false" customHeight="false" outlineLevel="0" collapsed="false">
      <c r="A62" s="31" t="s">
        <v>49</v>
      </c>
    </row>
    <row r="63" customFormat="false" ht="16" hidden="false" customHeight="false" outlineLevel="0" collapsed="false">
      <c r="A63" s="31" t="s">
        <v>50</v>
      </c>
    </row>
    <row r="64" customFormat="false" ht="28" hidden="false" customHeight="false" outlineLevel="0" collapsed="false">
      <c r="A64" s="31" t="s">
        <v>51</v>
      </c>
    </row>
    <row r="65" customFormat="false" ht="41" hidden="false" customHeight="false" outlineLevel="0" collapsed="false">
      <c r="A65" s="31" t="s">
        <v>52</v>
      </c>
    </row>
    <row r="66" customFormat="false" ht="16" hidden="false" customHeight="false" outlineLevel="0" collapsed="false">
      <c r="A66" s="7" t="s">
        <v>53</v>
      </c>
    </row>
    <row r="67" customFormat="false" ht="15" hidden="false" customHeight="false" outlineLevel="0" collapsed="false">
      <c r="A67" s="7"/>
    </row>
    <row r="68" customFormat="false" ht="16" hidden="false" customHeight="false" outlineLevel="0" collapsed="false">
      <c r="A68" s="7" t="s">
        <v>54</v>
      </c>
    </row>
    <row r="69" customFormat="false" ht="15" hidden="false" customHeight="false" outlineLevel="0" collapsed="false">
      <c r="A69" s="7"/>
    </row>
    <row r="70" customFormat="false" ht="15" hidden="false" customHeight="false" outlineLevel="0" collapsed="false">
      <c r="A70" s="7" t="s">
        <v>55</v>
      </c>
    </row>
    <row r="71" customFormat="false" ht="28" hidden="false" customHeight="false" outlineLevel="0" collapsed="false">
      <c r="A71" s="31" t="s">
        <v>56</v>
      </c>
    </row>
    <row r="72" customFormat="false" ht="28" hidden="false" customHeight="false" outlineLevel="0" collapsed="false">
      <c r="A72" s="31" t="s">
        <v>57</v>
      </c>
    </row>
    <row r="73" customFormat="false" ht="15" hidden="false" customHeight="1" outlineLevel="0" collapsed="false">
      <c r="A73" s="32" t="s">
        <v>58</v>
      </c>
      <c r="B73" s="8"/>
      <c r="C73" s="8"/>
      <c r="D73" s="8"/>
      <c r="E73" s="8"/>
      <c r="F73" s="8"/>
    </row>
    <row r="74" customFormat="false" ht="29" hidden="false" customHeight="false" outlineLevel="0" collapsed="false">
      <c r="A74" s="29" t="s">
        <v>59</v>
      </c>
    </row>
    <row r="75" customFormat="false" ht="28" hidden="false" customHeight="false" outlineLevel="0" collapsed="false">
      <c r="A75" s="31" t="s">
        <v>60</v>
      </c>
    </row>
    <row r="76" customFormat="false" ht="15" hidden="false" customHeight="false" outlineLevel="0" collapsed="false">
      <c r="A76" s="7" t="s">
        <v>61</v>
      </c>
    </row>
    <row r="77" customFormat="false" ht="28" hidden="false" customHeight="false" outlineLevel="0" collapsed="false">
      <c r="A77" s="31" t="s">
        <v>62</v>
      </c>
    </row>
    <row r="78" customFormat="false" ht="15" hidden="false" customHeight="false" outlineLevel="0" collapsed="false">
      <c r="A78" s="7"/>
    </row>
    <row r="79" customFormat="false" ht="16" hidden="false" customHeight="false" outlineLevel="0" collapsed="false">
      <c r="A79" s="7" t="s">
        <v>63</v>
      </c>
    </row>
    <row r="80" customFormat="false" ht="15" hidden="false" customHeight="false" outlineLevel="0" collapsed="false">
      <c r="A80" s="7"/>
    </row>
    <row r="81" customFormat="false" ht="15" hidden="false" customHeight="1" outlineLevel="0" collapsed="false">
      <c r="A81" s="30" t="s">
        <v>64</v>
      </c>
      <c r="B81" s="6"/>
      <c r="C81" s="6"/>
    </row>
    <row r="82" customFormat="false" ht="28" hidden="false" customHeight="false" outlineLevel="0" collapsed="false">
      <c r="A82" s="31" t="s">
        <v>65</v>
      </c>
    </row>
    <row r="84" customFormat="false" ht="15.5" hidden="false" customHeight="false" outlineLevel="0" collapsed="false">
      <c r="A84" s="33" t="s">
        <v>66</v>
      </c>
    </row>
    <row r="85" customFormat="false" ht="15.5" hidden="false" customHeight="false" outlineLevel="0" collapsed="false">
      <c r="A85" s="2" t="s">
        <v>67</v>
      </c>
    </row>
    <row r="86" customFormat="false" ht="15.5" hidden="false" customHeight="false" outlineLevel="0" collapsed="false">
      <c r="A86" s="2" t="s">
        <v>68</v>
      </c>
    </row>
    <row r="87" customFormat="false" ht="15.5" hidden="false" customHeight="false" outlineLevel="0" collapsed="false">
      <c r="A87" s="2" t="s">
        <v>69</v>
      </c>
    </row>
    <row r="88" customFormat="false" ht="15.5" hidden="false" customHeight="false" outlineLevel="0" collapsed="false">
      <c r="A88" s="2" t="s">
        <v>70</v>
      </c>
    </row>
    <row r="89" customFormat="false" ht="15.5" hidden="false" customHeight="false" outlineLevel="0" collapsed="false">
      <c r="A89" s="2" t="s">
        <v>71</v>
      </c>
    </row>
    <row r="91" customFormat="false" ht="15" hidden="false" customHeight="false" outlineLevel="0" collapsed="false">
      <c r="A91" s="4" t="s">
        <v>72</v>
      </c>
    </row>
    <row r="92" customFormat="false" ht="30" hidden="false" customHeight="false" outlineLevel="0" collapsed="false">
      <c r="A92" s="31" t="s">
        <v>73</v>
      </c>
    </row>
    <row r="93" customFormat="false" ht="28" hidden="false" customHeight="false" outlineLevel="0" collapsed="false">
      <c r="A93" s="31" t="s">
        <v>74</v>
      </c>
    </row>
    <row r="94" customFormat="false" ht="15" hidden="false" customHeight="false" outlineLevel="0" collapsed="false">
      <c r="A94" s="7"/>
    </row>
    <row r="95" customFormat="false" ht="15" hidden="false" customHeight="false" outlineLevel="0" collapsed="false">
      <c r="A95" s="4" t="s">
        <v>75</v>
      </c>
    </row>
    <row r="96" customFormat="false" ht="28" hidden="false" customHeight="false" outlineLevel="0" collapsed="false">
      <c r="A96" s="31" t="s">
        <v>76</v>
      </c>
    </row>
    <row r="97" customFormat="false" ht="29" hidden="false" customHeight="false" outlineLevel="0" collapsed="false">
      <c r="A97" s="31" t="s">
        <v>77</v>
      </c>
    </row>
    <row r="99" customFormat="false" ht="15.5" hidden="false" customHeight="false" outlineLevel="0" collapsed="false">
      <c r="A99" s="9" t="s">
        <v>78</v>
      </c>
    </row>
  </sheetData>
  <mergeCells count="14">
    <mergeCell ref="A5:L5"/>
    <mergeCell ref="A6:J6"/>
    <mergeCell ref="A7:P7"/>
    <mergeCell ref="A15:I15"/>
    <mergeCell ref="A17:J17"/>
    <mergeCell ref="A20:K20"/>
    <mergeCell ref="A21:J21"/>
    <mergeCell ref="A22:K22"/>
    <mergeCell ref="A23:K23"/>
    <mergeCell ref="A26:J26"/>
    <mergeCell ref="A27:J27"/>
    <mergeCell ref="A30:J30"/>
    <mergeCell ref="A73:O73"/>
    <mergeCell ref="A81:J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L119"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79</v>
      </c>
      <c r="B1" s="11"/>
      <c r="C1" s="11"/>
      <c r="D1" s="11"/>
      <c r="E1" s="11"/>
      <c r="F1" s="11"/>
      <c r="G1" s="11"/>
      <c r="H1" s="11"/>
    </row>
    <row r="3" customFormat="false" ht="15.5" hidden="false" customHeight="false" outlineLevel="0" collapsed="false">
      <c r="A3" s="12" t="s">
        <v>80</v>
      </c>
      <c r="B3" s="12"/>
      <c r="C3" s="12"/>
      <c r="D3" s="13"/>
      <c r="E3" s="13"/>
      <c r="F3" s="13"/>
      <c r="G3" s="13"/>
      <c r="H3" s="13"/>
    </row>
    <row r="4" customFormat="false" ht="15" hidden="false" customHeight="false" outlineLevel="0" collapsed="false">
      <c r="A4" s="14" t="s">
        <v>81</v>
      </c>
      <c r="B4" s="14" t="s">
        <v>82</v>
      </c>
      <c r="C4" s="14" t="s">
        <v>75</v>
      </c>
      <c r="D4" s="14"/>
      <c r="E4" s="14"/>
      <c r="F4" s="14"/>
      <c r="G4" s="14"/>
      <c r="H4" s="14"/>
    </row>
    <row r="5" customFormat="false" ht="15.5" hidden="false" customHeight="false" outlineLevel="0" collapsed="false">
      <c r="A5" s="10" t="s">
        <v>83</v>
      </c>
      <c r="B5" s="15" t="s">
        <v>84</v>
      </c>
      <c r="C5" s="15"/>
    </row>
    <row r="6" customFormat="false" ht="16" hidden="false" customHeight="false" outlineLevel="0" collapsed="false">
      <c r="A6" s="10" t="s">
        <v>85</v>
      </c>
      <c r="B6" s="16" t="n">
        <f aca="false">3*5</f>
        <v>15</v>
      </c>
      <c r="C6" s="10" t="s">
        <v>86</v>
      </c>
    </row>
    <row r="7" customFormat="false" ht="16" hidden="false" customHeight="false" outlineLevel="0" collapsed="false">
      <c r="A7" s="10" t="s">
        <v>87</v>
      </c>
      <c r="B7" s="17" t="n">
        <v>0.05</v>
      </c>
      <c r="C7" s="10" t="s">
        <v>88</v>
      </c>
    </row>
    <row r="8" customFormat="false" ht="15.5" hidden="false" customHeight="false" outlineLevel="0" collapsed="false">
      <c r="A8" s="10" t="s">
        <v>89</v>
      </c>
      <c r="B8" s="18" t="s">
        <v>90</v>
      </c>
      <c r="C8" s="10" t="s">
        <v>91</v>
      </c>
    </row>
    <row r="10" customFormat="false" ht="15.5" hidden="false" customHeight="false" outlineLevel="0" collapsed="false">
      <c r="A10" s="12" t="s">
        <v>92</v>
      </c>
      <c r="B10" s="12"/>
      <c r="C10" s="12"/>
      <c r="D10" s="12"/>
      <c r="E10" s="13"/>
      <c r="F10" s="13"/>
      <c r="G10" s="13"/>
      <c r="H10" s="13"/>
    </row>
    <row r="11" customFormat="false" ht="15.5" hidden="false" customHeight="false" outlineLevel="0" collapsed="false">
      <c r="A11" s="14" t="s">
        <v>93</v>
      </c>
      <c r="B11" s="14" t="s">
        <v>94</v>
      </c>
      <c r="C11" s="14" t="s">
        <v>95</v>
      </c>
      <c r="D11" s="19" t="s">
        <v>96</v>
      </c>
    </row>
    <row r="12" customFormat="false" ht="15" hidden="false" customHeight="false" outlineLevel="0" collapsed="false">
      <c r="A12" s="10" t="n">
        <v>0</v>
      </c>
      <c r="B12" s="35" t="n">
        <f aca="false">BINOMDIST(A12,$B$6,$B$7,FALSE())</f>
        <v>0.463291230159753</v>
      </c>
      <c r="C12" s="35" t="n">
        <f aca="false">SUM($B$12:B12)</f>
        <v>0.463291230159753</v>
      </c>
      <c r="D12" s="21" t="n">
        <f aca="false">A12*B12</f>
        <v>0</v>
      </c>
    </row>
    <row r="13" customFormat="false" ht="15" hidden="false" customHeight="false" outlineLevel="0" collapsed="false">
      <c r="A13" s="10" t="n">
        <v>1</v>
      </c>
      <c r="B13" s="35" t="n">
        <f aca="false">BINOMDIST(A13,$B$6,$B$7,FALSE())</f>
        <v>0.365756234336647</v>
      </c>
      <c r="C13" s="35" t="n">
        <f aca="false">SUM($B$12:B13)</f>
        <v>0.8290474644964</v>
      </c>
      <c r="D13" s="21" t="n">
        <f aca="false">A13*B13</f>
        <v>0.365756234336647</v>
      </c>
    </row>
    <row r="14" customFormat="false" ht="15" hidden="false" customHeight="false" outlineLevel="0" collapsed="false">
      <c r="A14" s="10" t="n">
        <v>2</v>
      </c>
      <c r="B14" s="35" t="n">
        <f aca="false">BINOMDIST(A14,$B$6,$B$7,FALSE())</f>
        <v>0.13475229686087</v>
      </c>
      <c r="C14" s="35" t="n">
        <f aca="false">SUM($B$12:B14)</f>
        <v>0.96379976135727</v>
      </c>
      <c r="D14" s="21" t="n">
        <f aca="false">A14*B14</f>
        <v>0.26950459372174</v>
      </c>
    </row>
    <row r="15" customFormat="false" ht="15" hidden="false" customHeight="false" outlineLevel="0" collapsed="false">
      <c r="A15" s="10" t="n">
        <v>3</v>
      </c>
      <c r="B15" s="35" t="n">
        <f aca="false">BINOMDIST(A15,$B$6,$B$7,FALSE())</f>
        <v>0.0307329799858125</v>
      </c>
      <c r="C15" s="35" t="n">
        <f aca="false">SUM($B$12:B15)</f>
        <v>0.994532741343083</v>
      </c>
      <c r="D15" s="21" t="n">
        <f aca="false">A15*B15</f>
        <v>0.0921989399574374</v>
      </c>
    </row>
    <row r="16" customFormat="false" ht="15" hidden="false" customHeight="false" outlineLevel="0" collapsed="false">
      <c r="A16" s="10" t="n">
        <v>4</v>
      </c>
      <c r="B16" s="35" t="n">
        <f aca="false">BINOMDIST(A16,$B$6,$B$7,FALSE())</f>
        <v>0.00485257578723355</v>
      </c>
      <c r="C16" s="35" t="n">
        <f aca="false">SUM($B$12:B16)</f>
        <v>0.999385317130316</v>
      </c>
      <c r="D16" s="21" t="n">
        <f aca="false">A16*B16</f>
        <v>0.0194103031489342</v>
      </c>
    </row>
    <row r="17" customFormat="false" ht="15" hidden="false" customHeight="false" outlineLevel="0" collapsed="false">
      <c r="A17" s="10" t="n">
        <v>5</v>
      </c>
      <c r="B17" s="35" t="n">
        <f aca="false">BINOMDIST(A17,$B$6,$B$7,FALSE())</f>
        <v>0.000561877196416516</v>
      </c>
      <c r="C17" s="35" t="n">
        <f aca="false">SUM($B$12:B17)</f>
        <v>0.999947194326733</v>
      </c>
      <c r="D17" s="21" t="n">
        <f aca="false">A17*B17</f>
        <v>0.00280938598208258</v>
      </c>
    </row>
    <row r="18" customFormat="false" ht="15" hidden="false" customHeight="false" outlineLevel="0" collapsed="false">
      <c r="A18" s="10" t="n">
        <v>6</v>
      </c>
      <c r="B18" s="35" t="n">
        <f aca="false">BINOMDIST(A18,$B$6,$B$7,FALSE())</f>
        <v>4.92874733698699E-005</v>
      </c>
      <c r="C18" s="35" t="n">
        <f aca="false">SUM($B$12:B18)</f>
        <v>0.999996481800103</v>
      </c>
      <c r="D18" s="21" t="n">
        <f aca="false">A18*B18</f>
        <v>0.000295724840219219</v>
      </c>
    </row>
    <row r="19" customFormat="false" ht="15" hidden="false" customHeight="false" outlineLevel="0" collapsed="false">
      <c r="A19" s="10" t="n">
        <v>7</v>
      </c>
      <c r="B19" s="35" t="n">
        <f aca="false">BINOMDIST(A19,$B$6,$B$7,FALSE())</f>
        <v>3.33524255886337E-006</v>
      </c>
      <c r="C19" s="35" t="n">
        <f aca="false">SUM($B$12:B19)</f>
        <v>0.999999817042662</v>
      </c>
      <c r="D19" s="21" t="n">
        <f aca="false">A19*B19</f>
        <v>2.33466979120436E-005</v>
      </c>
    </row>
    <row r="20" customFormat="false" ht="15.5" hidden="false" customHeight="true" outlineLevel="0" collapsed="false">
      <c r="A20" s="22" t="s">
        <v>97</v>
      </c>
      <c r="B20" s="22"/>
      <c r="C20" s="22"/>
      <c r="D20" s="22"/>
      <c r="E20" s="22"/>
      <c r="F20" s="22"/>
    </row>
    <row r="22" customFormat="false" ht="15" hidden="false" customHeight="false" outlineLevel="0" collapsed="false">
      <c r="A22" s="14" t="s">
        <v>81</v>
      </c>
      <c r="B22" s="14" t="s">
        <v>82</v>
      </c>
      <c r="C22" s="14" t="s">
        <v>75</v>
      </c>
      <c r="D22" s="14"/>
      <c r="E22" s="14"/>
      <c r="F22" s="14"/>
      <c r="G22" s="14"/>
      <c r="H22" s="14"/>
    </row>
    <row r="23" customFormat="false" ht="16" hidden="false" customHeight="false" outlineLevel="0" collapsed="false">
      <c r="A23" s="23" t="s">
        <v>98</v>
      </c>
      <c r="B23" s="21" t="n">
        <f aca="false">SUM(D12:D19)</f>
        <v>0.749998528684973</v>
      </c>
      <c r="C23" s="24" t="s">
        <v>99</v>
      </c>
      <c r="D23" s="24"/>
    </row>
    <row r="24" customFormat="false" ht="16" hidden="false" customHeight="false" outlineLevel="0" collapsed="false">
      <c r="A24" s="10" t="s">
        <v>100</v>
      </c>
      <c r="B24" s="21" t="n">
        <f aca="false">$B$6*$B$7</f>
        <v>0.75</v>
      </c>
      <c r="C24" s="24" t="s">
        <v>101</v>
      </c>
      <c r="D24" s="24"/>
    </row>
    <row r="26" customFormat="false" ht="15.5" hidden="false" customHeight="false" outlineLevel="0" collapsed="false">
      <c r="A26" s="12" t="s">
        <v>102</v>
      </c>
      <c r="B26" s="12"/>
      <c r="C26" s="12"/>
      <c r="D26" s="12"/>
      <c r="E26" s="12"/>
      <c r="F26" s="12"/>
      <c r="G26" s="13"/>
      <c r="H26" s="13"/>
    </row>
    <row r="27" customFormat="false" ht="15.5" hidden="false" customHeight="false" outlineLevel="0" collapsed="false">
      <c r="A27" s="14" t="s">
        <v>103</v>
      </c>
      <c r="B27" s="14" t="s">
        <v>104</v>
      </c>
      <c r="C27" s="19" t="s">
        <v>105</v>
      </c>
      <c r="D27" s="19" t="s">
        <v>106</v>
      </c>
      <c r="E27" s="19" t="s">
        <v>107</v>
      </c>
      <c r="F27" s="19" t="s">
        <v>108</v>
      </c>
      <c r="G27" s="19" t="s">
        <v>109</v>
      </c>
      <c r="H27" s="14" t="s">
        <v>75</v>
      </c>
    </row>
    <row r="28" customFormat="false" ht="15" hidden="false" customHeight="false" outlineLevel="0" collapsed="false">
      <c r="A28" s="10" t="n">
        <v>0</v>
      </c>
      <c r="B28" s="16" t="n">
        <f aca="false">$B$6-A28</f>
        <v>15</v>
      </c>
      <c r="C28" s="35" t="n">
        <f aca="false">IF($B28&lt;0,0,BINOMDIST(0,$B28,$B$7,FALSE()))</f>
        <v>0.463291230159753</v>
      </c>
      <c r="D28" s="35" t="n">
        <f aca="false">IF($B28&lt;1,0,BINOMDIST(1,$B28,$B$7,FALSE()))</f>
        <v>0.365756234336647</v>
      </c>
      <c r="E28" s="35" t="n">
        <f aca="false">IF($B28&lt;2,0,BINOMDIST(2,$B28,$B$7,FALSE()))</f>
        <v>0.13475229686087</v>
      </c>
      <c r="F28" s="35" t="n">
        <f aca="false">IF($B28&lt;3,0,BINOMDIST(3,$B28,$B$7,FALSE()))</f>
        <v>0.0307329799858125</v>
      </c>
      <c r="G28" s="35" t="n">
        <f aca="false">IF($B28&lt;4,0,BINOMDIST(4,$B28,$B$7,FALSE()))</f>
        <v>0.00485257578723355</v>
      </c>
      <c r="H28" s="24" t="s">
        <v>110</v>
      </c>
      <c r="I28" s="24"/>
    </row>
    <row r="29" customFormat="false" ht="15" hidden="false" customHeight="false" outlineLevel="0" collapsed="false">
      <c r="A29" s="10" t="n">
        <v>5</v>
      </c>
      <c r="B29" s="16" t="n">
        <f aca="false">$B$6-A29</f>
        <v>10</v>
      </c>
      <c r="C29" s="35" t="n">
        <f aca="false">IF($B29&lt;0,0,BINOMDIST(0,$B29,$B$7,FALSE()))</f>
        <v>0.598736939238379</v>
      </c>
      <c r="D29" s="35" t="n">
        <f aca="false">IF($B29&lt;1,0,BINOMDIST(1,$B29,$B$7,FALSE()))</f>
        <v>0.315124704862305</v>
      </c>
      <c r="E29" s="35" t="n">
        <f aca="false">IF($B29&lt;2,0,BINOMDIST(2,$B29,$B$7,FALSE()))</f>
        <v>0.0746347985200195</v>
      </c>
      <c r="F29" s="35" t="n">
        <f aca="false">IF($B29&lt;3,0,BINOMDIST(3,$B29,$B$7,FALSE()))</f>
        <v>0.0104750594414062</v>
      </c>
      <c r="G29" s="35" t="n">
        <f aca="false">IF($B29&lt;4,0,BINOMDIST(4,$B29,$B$7,FALSE()))</f>
        <v>0.000964808106445312</v>
      </c>
      <c r="H29" s="24" t="s">
        <v>110</v>
      </c>
      <c r="I29" s="24"/>
    </row>
    <row r="30" customFormat="false" ht="15" hidden="false" customHeight="false" outlineLevel="0" collapsed="false">
      <c r="A30" s="10" t="n">
        <v>10</v>
      </c>
      <c r="B30" s="16" t="n">
        <f aca="false">$B$6-A30</f>
        <v>5</v>
      </c>
      <c r="C30" s="35" t="n">
        <f aca="false">IF($B30&lt;0,0,BINOMDIST(0,$B30,$B$7,FALSE()))</f>
        <v>0.7737809375</v>
      </c>
      <c r="D30" s="35" t="n">
        <f aca="false">IF($B30&lt;1,0,BINOMDIST(1,$B30,$B$7,FALSE()))</f>
        <v>0.2036265625</v>
      </c>
      <c r="E30" s="35" t="n">
        <f aca="false">IF($B30&lt;2,0,BINOMDIST(2,$B30,$B$7,FALSE()))</f>
        <v>0.021434375</v>
      </c>
      <c r="F30" s="35" t="n">
        <f aca="false">IF($B30&lt;3,0,BINOMDIST(3,$B30,$B$7,FALSE()))</f>
        <v>0.001128125</v>
      </c>
      <c r="G30" s="35" t="n">
        <f aca="false">IF($B30&lt;4,0,BINOMDIST(4,$B30,$B$7,FALSE()))</f>
        <v>2.96875E-005</v>
      </c>
      <c r="H30" s="24" t="s">
        <v>110</v>
      </c>
      <c r="I30" s="24"/>
    </row>
    <row r="31" customFormat="false" ht="15" hidden="false" customHeight="false" outlineLevel="0" collapsed="false">
      <c r="A31" s="10" t="n">
        <v>12</v>
      </c>
      <c r="B31" s="16" t="n">
        <f aca="false">$B$6-A31</f>
        <v>3</v>
      </c>
      <c r="C31" s="35" t="n">
        <f aca="false">IF($B31&lt;0,0,BINOMDIST(0,$B31,$B$7,FALSE()))</f>
        <v>0.857375</v>
      </c>
      <c r="D31" s="35" t="n">
        <f aca="false">IF($B31&lt;1,0,BINOMDIST(1,$B31,$B$7,FALSE()))</f>
        <v>0.135375</v>
      </c>
      <c r="E31" s="35" t="n">
        <f aca="false">IF($B31&lt;2,0,BINOMDIST(2,$B31,$B$7,FALSE()))</f>
        <v>0.007125</v>
      </c>
      <c r="F31" s="35" t="n">
        <f aca="false">IF($B31&lt;3,0,BINOMDIST(3,$B31,$B$7,FALSE()))</f>
        <v>0.000125</v>
      </c>
      <c r="G31" s="35" t="n">
        <f aca="false">IF($B31&lt;4,0,BINOMDIST(4,$B31,$B$7,FALSE()))</f>
        <v>0</v>
      </c>
      <c r="H31" s="24" t="s">
        <v>110</v>
      </c>
      <c r="I31" s="24"/>
    </row>
    <row r="32" customFormat="false" ht="15" hidden="false" customHeight="false" outlineLevel="0" collapsed="false">
      <c r="A32" s="10" t="n">
        <v>14</v>
      </c>
      <c r="B32" s="16" t="n">
        <f aca="false">$B$6-A32</f>
        <v>1</v>
      </c>
      <c r="C32" s="35" t="n">
        <f aca="false">IF($B32&lt;0,0,BINOMDIST(0,$B32,$B$7,FALSE()))</f>
        <v>0.95</v>
      </c>
      <c r="D32" s="35" t="n">
        <f aca="false">IF($B32&lt;1,0,BINOMDIST(1,$B32,$B$7,FALSE()))</f>
        <v>0.05</v>
      </c>
      <c r="E32" s="35" t="n">
        <f aca="false">IF($B32&lt;2,0,BINOMDIST(2,$B32,$B$7,FALSE()))</f>
        <v>0</v>
      </c>
      <c r="F32" s="35" t="n">
        <f aca="false">IF($B32&lt;3,0,BINOMDIST(3,$B32,$B$7,FALSE()))</f>
        <v>0</v>
      </c>
      <c r="G32" s="35" t="n">
        <f aca="false">IF($B32&lt;4,0,BINOMDIST(4,$B32,$B$7,FALSE()))</f>
        <v>0</v>
      </c>
      <c r="H32" s="24" t="s">
        <v>110</v>
      </c>
      <c r="I32" s="24"/>
    </row>
    <row r="33" customFormat="false" ht="15" hidden="false" customHeight="false" outlineLevel="0" collapsed="false">
      <c r="A33" s="10" t="n">
        <v>15</v>
      </c>
      <c r="B33" s="16" t="n">
        <f aca="false">$B$6-A33</f>
        <v>0</v>
      </c>
      <c r="C33" s="35" t="n">
        <f aca="false">IF($B33&lt;0,0,BINOMDIST(0,$B33,$B$7,FALSE()))</f>
        <v>1</v>
      </c>
      <c r="D33" s="35" t="n">
        <f aca="false">IF($B33&lt;1,0,BINOMDIST(1,$B33,$B$7,FALSE()))</f>
        <v>0</v>
      </c>
      <c r="E33" s="35" t="n">
        <f aca="false">IF($B33&lt;2,0,BINOMDIST(2,$B33,$B$7,FALSE()))</f>
        <v>0</v>
      </c>
      <c r="F33" s="35" t="n">
        <f aca="false">IF($B33&lt;3,0,BINOMDIST(3,$B33,$B$7,FALSE()))</f>
        <v>0</v>
      </c>
      <c r="G33" s="35" t="n">
        <f aca="false">IF($B33&lt;4,0,BINOMDIST(4,$B33,$B$7,FALSE()))</f>
        <v>0</v>
      </c>
      <c r="H33" s="24" t="s">
        <v>110</v>
      </c>
      <c r="I33" s="24"/>
    </row>
    <row r="34" customFormat="false" ht="15.5" hidden="false" customHeight="true" outlineLevel="0" collapsed="false">
      <c r="A34" s="22" t="s">
        <v>111</v>
      </c>
      <c r="B34" s="22"/>
      <c r="C34" s="22"/>
      <c r="D34" s="22"/>
      <c r="E34" s="22"/>
      <c r="F34" s="22"/>
      <c r="G34" s="22"/>
      <c r="H34" s="22"/>
    </row>
    <row r="36" customFormat="false" ht="15.5" hidden="false" customHeight="false" outlineLevel="0" collapsed="false">
      <c r="A36" s="12" t="s">
        <v>112</v>
      </c>
      <c r="B36" s="12"/>
      <c r="C36" s="12"/>
      <c r="D36" s="12"/>
      <c r="E36" s="12"/>
      <c r="F36" s="13"/>
      <c r="G36" s="13"/>
      <c r="H36" s="13"/>
    </row>
    <row r="37" customFormat="false" ht="15.5" hidden="false" customHeight="false" outlineLevel="0" collapsed="false">
      <c r="A37" s="14" t="s">
        <v>113</v>
      </c>
      <c r="B37" s="14" t="s">
        <v>114</v>
      </c>
      <c r="C37" s="14" t="s">
        <v>115</v>
      </c>
      <c r="D37" s="14" t="s">
        <v>116</v>
      </c>
      <c r="E37" s="14" t="s">
        <v>75</v>
      </c>
    </row>
    <row r="38" customFormat="false" ht="15" hidden="false" customHeight="false" outlineLevel="0" collapsed="false">
      <c r="A38" s="10" t="n">
        <v>0</v>
      </c>
      <c r="B38" s="25" t="n">
        <v>0</v>
      </c>
      <c r="C38" s="21" t="n">
        <f aca="false">0</f>
        <v>0</v>
      </c>
      <c r="D38" s="21" t="n">
        <f aca="false">ABS(B38-C38)</f>
        <v>0</v>
      </c>
      <c r="E38" s="24" t="s">
        <v>117</v>
      </c>
      <c r="F38" s="24"/>
    </row>
    <row r="39" customFormat="false" ht="16" hidden="false" customHeight="false" outlineLevel="0" collapsed="false">
      <c r="A39" s="10" t="n">
        <v>1</v>
      </c>
      <c r="B39" s="21" t="n">
        <f aca="false">$B$38+($B$6-$B$38)*$B$7</f>
        <v>0.75</v>
      </c>
      <c r="C39" s="21" t="n">
        <f aca="false">$B$6*(1-(1-$B$7)^A39)</f>
        <v>0.750000000000001</v>
      </c>
      <c r="D39" s="21" t="n">
        <f aca="false">ABS(B39-C39)</f>
        <v>0</v>
      </c>
      <c r="E39" s="24" t="s">
        <v>118</v>
      </c>
      <c r="F39" s="24"/>
      <c r="G39" s="24"/>
    </row>
    <row r="40" customFormat="false" ht="15" hidden="false" customHeight="false" outlineLevel="0" collapsed="false">
      <c r="A40" s="10" t="n">
        <v>2</v>
      </c>
      <c r="B40" s="21" t="n">
        <f aca="false">$B$39+($B$6-$B$39)*$B$7</f>
        <v>1.4625</v>
      </c>
      <c r="C40" s="21" t="n">
        <f aca="false">$B$6*(1-(1-$B$7)^A40)</f>
        <v>1.4625</v>
      </c>
      <c r="D40" s="21" t="n">
        <f aca="false">ABS(B40-C40)</f>
        <v>0</v>
      </c>
    </row>
    <row r="41" customFormat="false" ht="15" hidden="false" customHeight="false" outlineLevel="0" collapsed="false">
      <c r="A41" s="10" t="n">
        <v>3</v>
      </c>
      <c r="B41" s="21" t="n">
        <f aca="false">$B$40+($B$6-$B$40)*$B$7</f>
        <v>2.139375</v>
      </c>
      <c r="C41" s="21" t="n">
        <f aca="false">$B$6*(1-(1-$B$7)^A41)</f>
        <v>2.139375</v>
      </c>
      <c r="D41" s="21" t="n">
        <f aca="false">ABS(B41-C41)</f>
        <v>0</v>
      </c>
    </row>
    <row r="42" customFormat="false" ht="15" hidden="false" customHeight="false" outlineLevel="0" collapsed="false">
      <c r="A42" s="10" t="n">
        <v>4</v>
      </c>
      <c r="B42" s="21" t="n">
        <f aca="false">$B$41+($B$6-$B$41)*$B$7</f>
        <v>2.78240625</v>
      </c>
      <c r="C42" s="21" t="n">
        <f aca="false">$B$6*(1-(1-$B$7)^A42)</f>
        <v>2.78240625</v>
      </c>
      <c r="D42" s="21" t="n">
        <f aca="false">ABS(B42-C42)</f>
        <v>0</v>
      </c>
    </row>
    <row r="43" customFormat="false" ht="15" hidden="false" customHeight="false" outlineLevel="0" collapsed="false">
      <c r="A43" s="10" t="n">
        <v>5</v>
      </c>
      <c r="B43" s="21" t="n">
        <f aca="false">$B$42+($B$6-$B$42)*$B$7</f>
        <v>3.3932859375</v>
      </c>
      <c r="C43" s="21" t="n">
        <f aca="false">$B$6*(1-(1-$B$7)^A43)</f>
        <v>3.3932859375</v>
      </c>
      <c r="D43" s="21" t="n">
        <f aca="false">ABS(B43-C43)</f>
        <v>0</v>
      </c>
    </row>
    <row r="44" customFormat="false" ht="15" hidden="false" customHeight="false" outlineLevel="0" collapsed="false">
      <c r="A44" s="10" t="n">
        <v>6</v>
      </c>
      <c r="B44" s="21" t="n">
        <f aca="false">$B$43+($B$6-$B$43)*$B$7</f>
        <v>3.973621640625</v>
      </c>
      <c r="C44" s="21" t="n">
        <f aca="false">$B$6*(1-(1-$B$7)^A44)</f>
        <v>3.973621640625</v>
      </c>
      <c r="D44" s="21" t="n">
        <f aca="false">ABS(B44-C44)</f>
        <v>0</v>
      </c>
    </row>
    <row r="45" customFormat="false" ht="15" hidden="false" customHeight="false" outlineLevel="0" collapsed="false">
      <c r="A45" s="10" t="n">
        <v>7</v>
      </c>
      <c r="B45" s="21" t="n">
        <f aca="false">$B$44+($B$6-$B$44)*$B$7</f>
        <v>4.52494055859375</v>
      </c>
      <c r="C45" s="21" t="n">
        <f aca="false">$B$6*(1-(1-$B$7)^A45)</f>
        <v>4.52494055859375</v>
      </c>
      <c r="D45" s="21" t="n">
        <f aca="false">ABS(B45-C45)</f>
        <v>0</v>
      </c>
    </row>
    <row r="46" customFormat="false" ht="15" hidden="false" customHeight="false" outlineLevel="0" collapsed="false">
      <c r="A46" s="10" t="n">
        <v>8</v>
      </c>
      <c r="B46" s="21" t="n">
        <f aca="false">$B$45+($B$6-$B$45)*$B$7</f>
        <v>5.04869353066406</v>
      </c>
      <c r="C46" s="21" t="n">
        <f aca="false">$B$6*(1-(1-$B$7)^A46)</f>
        <v>5.04869353066407</v>
      </c>
      <c r="D46" s="21" t="n">
        <f aca="false">ABS(B46-C46)</f>
        <v>0</v>
      </c>
    </row>
    <row r="47" customFormat="false" ht="15" hidden="false" customHeight="false" outlineLevel="0" collapsed="false">
      <c r="A47" s="10" t="n">
        <v>9</v>
      </c>
      <c r="B47" s="21" t="n">
        <f aca="false">$B$46+($B$6-$B$46)*$B$7</f>
        <v>5.54625885413086</v>
      </c>
      <c r="C47" s="21" t="n">
        <f aca="false">$B$6*(1-(1-$B$7)^A47)</f>
        <v>5.54625885413086</v>
      </c>
      <c r="D47" s="21" t="n">
        <f aca="false">ABS(B47-C47)</f>
        <v>0</v>
      </c>
    </row>
    <row r="48" customFormat="false" ht="15" hidden="false" customHeight="false" outlineLevel="0" collapsed="false">
      <c r="A48" s="10" t="n">
        <v>10</v>
      </c>
      <c r="B48" s="21" t="n">
        <f aca="false">$B$47+($B$6-$B$47)*$B$7</f>
        <v>6.01894591142432</v>
      </c>
      <c r="C48" s="21" t="n">
        <f aca="false">$B$6*(1-(1-$B$7)^A48)</f>
        <v>6.01894591142432</v>
      </c>
      <c r="D48" s="21" t="n">
        <f aca="false">ABS(B48-C48)</f>
        <v>0</v>
      </c>
    </row>
    <row r="49" customFormat="false" ht="15.5" hidden="false" customHeight="true" outlineLevel="0" collapsed="false">
      <c r="A49" s="22" t="s">
        <v>119</v>
      </c>
      <c r="B49" s="22"/>
      <c r="C49" s="22"/>
      <c r="D49" s="22"/>
      <c r="E49" s="22"/>
      <c r="F49" s="22"/>
      <c r="G49" s="22"/>
      <c r="H49" s="22"/>
      <c r="I49" s="22"/>
      <c r="J49" s="22"/>
      <c r="K49" s="22"/>
    </row>
    <row r="51" customFormat="false" ht="15.5" hidden="false" customHeight="false" outlineLevel="0" collapsed="false">
      <c r="A51" s="12" t="s">
        <v>120</v>
      </c>
      <c r="B51" s="12"/>
      <c r="C51" s="12"/>
      <c r="D51" s="13"/>
      <c r="E51" s="13"/>
      <c r="F51" s="13"/>
      <c r="G51" s="13"/>
      <c r="H51" s="13"/>
    </row>
    <row r="52" customFormat="false" ht="15" hidden="false" customHeight="false" outlineLevel="0" collapsed="false">
      <c r="A52" s="14" t="s">
        <v>81</v>
      </c>
      <c r="B52" s="14" t="s">
        <v>82</v>
      </c>
      <c r="C52" s="14" t="s">
        <v>75</v>
      </c>
      <c r="D52" s="14"/>
      <c r="E52" s="14"/>
      <c r="F52" s="14"/>
      <c r="G52" s="14"/>
      <c r="H52" s="14"/>
    </row>
    <row r="53" customFormat="false" ht="16" hidden="false" customHeight="false" outlineLevel="0" collapsed="false">
      <c r="A53" s="26" t="s">
        <v>121</v>
      </c>
      <c r="B53" s="25" t="n">
        <v>2</v>
      </c>
      <c r="C53" s="24" t="s">
        <v>122</v>
      </c>
      <c r="D53" s="24"/>
      <c r="E53" s="24"/>
      <c r="F53" s="24"/>
    </row>
    <row r="54" customFormat="false" ht="15" hidden="false" customHeight="false" outlineLevel="0" collapsed="false">
      <c r="A54" s="10" t="s">
        <v>123</v>
      </c>
      <c r="B54" s="25" t="n">
        <v>1</v>
      </c>
      <c r="C54" s="24" t="s">
        <v>124</v>
      </c>
      <c r="D54" s="24"/>
    </row>
    <row r="55" customFormat="false" ht="16" hidden="false" customHeight="false" outlineLevel="0" collapsed="false">
      <c r="A55" s="10" t="s">
        <v>125</v>
      </c>
      <c r="B55" s="27" t="n">
        <v>5</v>
      </c>
      <c r="C55" s="24" t="s">
        <v>126</v>
      </c>
      <c r="D55" s="24"/>
      <c r="E55" s="24"/>
    </row>
    <row r="56" customFormat="false" ht="16" hidden="false" customHeight="false" outlineLevel="0" collapsed="false">
      <c r="A56" s="23" t="s">
        <v>127</v>
      </c>
      <c r="B56" s="21" t="n">
        <f aca="false">INDEX($B$39:$B$48,$B$55)*$B$53*$B$54</f>
        <v>6.786571875</v>
      </c>
      <c r="C56" s="24" t="s">
        <v>128</v>
      </c>
      <c r="D56" s="24"/>
      <c r="E56" s="24"/>
      <c r="F56" s="24"/>
    </row>
    <row r="57" customFormat="false" ht="15.5" hidden="false" customHeight="true" outlineLevel="0" collapsed="false">
      <c r="A57" s="22" t="s">
        <v>129</v>
      </c>
      <c r="B57" s="22"/>
      <c r="C57" s="22"/>
      <c r="D57" s="22"/>
      <c r="E57" s="22"/>
      <c r="F57" s="22"/>
      <c r="G57" s="22"/>
      <c r="H57" s="22"/>
      <c r="I57" s="22"/>
      <c r="J57" s="22"/>
    </row>
    <row r="59" customFormat="false" ht="15.5" hidden="false" customHeight="false" outlineLevel="0" collapsed="false">
      <c r="A59" s="12" t="s">
        <v>130</v>
      </c>
      <c r="B59" s="12"/>
      <c r="C59" s="12"/>
      <c r="D59" s="13"/>
      <c r="E59" s="13"/>
      <c r="F59" s="13"/>
      <c r="G59" s="13"/>
      <c r="H59" s="13"/>
    </row>
    <row r="60" customFormat="false" ht="15" hidden="false" customHeight="false" outlineLevel="0" collapsed="false">
      <c r="A60" s="14" t="s">
        <v>131</v>
      </c>
      <c r="B60" s="14" t="s">
        <v>132</v>
      </c>
      <c r="C60" s="14" t="s">
        <v>75</v>
      </c>
      <c r="D60" s="14"/>
      <c r="E60" s="14"/>
      <c r="F60" s="14"/>
      <c r="G60" s="14"/>
      <c r="H60" s="14"/>
    </row>
    <row r="61" customFormat="false" ht="16" hidden="false" customHeight="false" outlineLevel="0" collapsed="false">
      <c r="A61" s="10" t="s">
        <v>133</v>
      </c>
      <c r="B61" s="28" t="str">
        <f aca="false">IF(B6=15,"✓","✗")</f>
        <v>✓</v>
      </c>
      <c r="C61" s="26" t="s">
        <v>134</v>
      </c>
    </row>
    <row r="62" customFormat="false" ht="16" hidden="false" customHeight="false" outlineLevel="0" collapsed="false">
      <c r="A62" s="10" t="s">
        <v>135</v>
      </c>
      <c r="B62" s="28" t="str">
        <f aca="false">IF(ABS(SUM($B$12:$B$19)+(1-BINOMDIST(7,$B$6,$B$7,TRUE()))-1)&lt;0.0001,"✓","✗")</f>
        <v>✓</v>
      </c>
      <c r="C62" s="24" t="s">
        <v>136</v>
      </c>
      <c r="D62" s="24"/>
    </row>
    <row r="63" customFormat="false" ht="16" hidden="false" customHeight="false" outlineLevel="0" collapsed="false">
      <c r="A63" s="10" t="s">
        <v>137</v>
      </c>
      <c r="B63" s="28" t="str">
        <f aca="false">IF(ABS(B23-0.75)&lt;0.0001,"✓","✗")</f>
        <v>✓</v>
      </c>
      <c r="C63" s="26" t="s">
        <v>138</v>
      </c>
    </row>
    <row r="64" customFormat="false" ht="16" hidden="false" customHeight="false" outlineLevel="0" collapsed="false">
      <c r="A64" s="10" t="s">
        <v>139</v>
      </c>
      <c r="B64" s="28" t="str">
        <f aca="false">IF(MAX(D39:D48)&lt;0.000001,"✓","✗")</f>
        <v>✓</v>
      </c>
      <c r="C64" s="10" t="s">
        <v>140</v>
      </c>
    </row>
    <row r="65" customFormat="false" ht="16" hidden="false" customHeight="false" outlineLevel="0" collapsed="false">
      <c r="A65" s="10" t="s">
        <v>141</v>
      </c>
      <c r="B65" s="28" t="str">
        <f aca="false">IF(B28=$B$6-A28,"✓","✗")</f>
        <v>✓</v>
      </c>
      <c r="C65" s="10" t="s">
        <v>142</v>
      </c>
    </row>
    <row r="67" customFormat="false" ht="15" hidden="false" customHeight="true" outlineLevel="0" collapsed="false">
      <c r="A67" s="22" t="s">
        <v>143</v>
      </c>
      <c r="B67" s="22"/>
      <c r="C67" s="22"/>
      <c r="D67" s="22"/>
      <c r="E67" s="22"/>
      <c r="F67" s="22"/>
      <c r="G67" s="22"/>
      <c r="H67" s="22"/>
    </row>
  </sheetData>
  <mergeCells count="28">
    <mergeCell ref="A1:H1"/>
    <mergeCell ref="A3:C3"/>
    <mergeCell ref="B5:C5"/>
    <mergeCell ref="A10:D10"/>
    <mergeCell ref="A20:F20"/>
    <mergeCell ref="C23:D23"/>
    <mergeCell ref="C24:D24"/>
    <mergeCell ref="A26:F26"/>
    <mergeCell ref="H28:I28"/>
    <mergeCell ref="H29:I29"/>
    <mergeCell ref="H30:I30"/>
    <mergeCell ref="H31:I31"/>
    <mergeCell ref="H32:I32"/>
    <mergeCell ref="H33:I33"/>
    <mergeCell ref="A34:H34"/>
    <mergeCell ref="A36:E36"/>
    <mergeCell ref="E38:F38"/>
    <mergeCell ref="E39:G39"/>
    <mergeCell ref="A49:K49"/>
    <mergeCell ref="A51:C51"/>
    <mergeCell ref="C53:F53"/>
    <mergeCell ref="C54:D54"/>
    <mergeCell ref="C55:E55"/>
    <mergeCell ref="C56:F56"/>
    <mergeCell ref="A57:J57"/>
    <mergeCell ref="A59:C59"/>
    <mergeCell ref="C62:D62"/>
    <mergeCell ref="A67:H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P87"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