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<sst xmlns="http://schemas.openxmlformats.org/spreadsheetml/2006/main" count="138" uniqueCount="143">
  <si>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19 —— </t>
    </r>
    <r>
      <rPr>
        <b val="true"/>
        <sz val="14"/>
        <color rgb="FF1F4E79"/>
        <rFont val="Noto Sans SC"/>
        <family val="2"/>
        <charset val="134"/>
      </rPr>
      <t xml:space="preserve">番外篇：用</t>
    </r>
    <r>
      <rPr>
        <b val="true"/>
        <sz val="14"/>
        <color rgb="FF1F4E79"/>
        <rFont val="Cambria"/>
        <family val="0"/>
        <charset val="1"/>
      </rPr>
      <t xml:space="preserve">VB</t>
    </r>
    <r>
      <rPr>
        <b val="true"/>
        <sz val="14"/>
        <color rgb="FF1F4E79"/>
        <rFont val="Noto Sans SC"/>
        <family val="2"/>
        <charset val="134"/>
      </rPr>
      <t xml:space="preserve">模拟</t>
    </r>
    <r>
      <rPr>
        <b val="true"/>
        <sz val="14"/>
        <color rgb="FF1F4E79"/>
        <rFont val="Cambria"/>
        <family val="0"/>
        <charset val="1"/>
      </rPr>
      <t xml:space="preserve">1x3 Slots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</si>
  <si>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番外篇——用</t>
    </r>
    <r>
      <rPr>
        <sz val="11"/>
        <color rgb="FF808080"/>
        <rFont val="Cambria"/>
        <family val="0"/>
        <charset val="1"/>
      </rPr>
      <t xml:space="preserve">VB</t>
    </r>
    <r>
      <rPr>
        <sz val="11"/>
        <color rgb="FF808080"/>
        <rFont val="Noto Sans SC"/>
        <family val="2"/>
        <charset val="134"/>
      </rPr>
      <t xml:space="preserve">模拟</t>
    </r>
    <r>
      <rPr>
        <sz val="11"/>
        <color rgb="FF808080"/>
        <rFont val="Cambria"/>
        <family val="0"/>
        <charset val="1"/>
      </rPr>
      <t xml:space="preserve">1*3 Slots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https://zhuanlan.zhihu.com/p/626633039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</si>
  <si>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</si>
  <si>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</si>
  <si>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</si>
  <si>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配表说明：本篇是「跑数据」的方法篇，原文的卷轴图见 </t>
    </r>
    <r>
      <rPr>
        <sz val="11"/>
        <color rgb="FF808080"/>
        <rFont val="Cambria"/>
        <family val="0"/>
        <charset val="1"/>
      </rPr>
      <t xml:space="preserve">12 </t>
    </r>
    <r>
      <rPr>
        <sz val="11"/>
        <color rgb="FF808080"/>
        <rFont val="Noto Sans SC"/>
        <family val="2"/>
        <charset val="134"/>
      </rPr>
      <t xml:space="preserve">篇配表（</t>
    </r>
    <r>
      <rPr>
        <sz val="11"/>
        <color rgb="FF808080"/>
        <rFont val="Cambria"/>
        <family val="0"/>
        <charset val="1"/>
      </rPr>
      <t xml:space="preserve">1*3 </t>
    </r>
    <r>
      <rPr>
        <sz val="11"/>
        <color rgb="FF808080"/>
        <rFont val="Noto Sans SC"/>
        <family val="2"/>
        <charset val="134"/>
      </rPr>
      <t xml:space="preserve">固定卷轴）。【</t>
    </r>
    <r>
      <rPr>
        <sz val="11"/>
        <color rgb="FF808080"/>
        <rFont val="Cambria"/>
        <family val="0"/>
        <charset val="1"/>
      </rPr>
      <t xml:space="preserve">4</t>
    </r>
    <r>
      <rPr>
        <sz val="11"/>
        <color rgb="FF808080"/>
        <rFont val="Noto Sans SC"/>
        <family val="2"/>
        <charset val="134"/>
      </rPr>
      <t xml:space="preserve">】的标准差是示意值，用来演示「标准误 ∝ </t>
    </r>
    <r>
      <rPr>
        <sz val="11"/>
        <color rgb="FF808080"/>
        <rFont val="Cambria"/>
        <family val="0"/>
        <charset val="1"/>
      </rPr>
      <t xml:space="preserve">1/√n</t>
    </r>
    <r>
      <rPr>
        <sz val="11"/>
        <color rgb="FF808080"/>
        <rFont val="Noto Sans SC"/>
        <family val="2"/>
        <charset val="134"/>
      </rPr>
      <t xml:space="preserve">」这一判断样本量的方法。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</si>
  <si>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</si>
  <si>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</si>
  <si>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</si>
  <si>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</si>
  <si>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images/slots/626633039-NN.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</si>
  <si>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</si>
  <si>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</si>
  <si>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</si>
  <si>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什么时候需要 </t>
    </r>
    <r>
      <rPr>
        <sz val="11"/>
        <color theme="1"/>
        <rFont val="Calibri"/>
        <family val="2"/>
        <charset val="1"/>
      </rPr>
      <t xml:space="preserve">Simulation</t>
    </r>
    <r>
      <rPr>
        <sz val="11"/>
        <color theme="1"/>
        <rFont val="Noto Sans SC"/>
        <family val="2"/>
        <charset val="134"/>
      </rPr>
      <t xml:space="preserve">（跑数据）：① 想用另一套算法验算同一个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</si>
  <si>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② 带 </t>
    </r>
    <r>
      <rPr>
        <sz val="11"/>
        <color theme="1"/>
        <rFont val="Calibri"/>
        <family val="2"/>
        <charset val="1"/>
      </rPr>
      <t xml:space="preserve">Cascading </t>
    </r>
    <r>
      <rPr>
        <sz val="11"/>
        <color theme="1"/>
        <rFont val="Noto Sans SC"/>
        <family val="2"/>
        <charset val="134"/>
      </rPr>
      <t xml:space="preserve">等 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、无法用常规概率公式算出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的玩法——这两类情况都可以用模拟解决。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</si>
  <si>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模拟＝按机制写程序、模拟实际摇奖，用实践得到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的近似值：上手难、泛用性强，</t>
    </r>
  </si>
  <si>
    <t xml:space="preserve">  对机制复杂或难以用概率表述的产品尤其有效。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</si>
  <si>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本例用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篇（</t>
    </r>
    <r>
      <rPr>
        <sz val="11"/>
        <color theme="1"/>
        <rFont val="Calibri"/>
        <family val="2"/>
        <charset val="1"/>
      </rPr>
      <t xml:space="preserve">1*3 </t>
    </r>
    <r>
      <rPr>
        <sz val="11"/>
        <color theme="1"/>
        <rFont val="Noto Sans SC"/>
        <family val="2"/>
        <charset val="134"/>
      </rPr>
      <t xml:space="preserve">固定卷轴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）的卷轴：三个黑图标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倍、三个白图标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倍，</t>
    </r>
  </si>
  <si>
    <r>
      <rPr>
        <sz val="11"/>
        <color theme="1"/>
        <rFont val="Noto Sans SC"/>
        <family val="2"/>
        <charset val="134"/>
      </rPr>
      <t xml:space="preserve">  理论 </t>
    </r>
    <r>
      <rPr>
        <sz val="11"/>
        <color theme="1"/>
        <rFont val="Calibri"/>
        <family val="2"/>
        <charset val="1"/>
      </rPr>
      <t xml:space="preserve">RTP 0.9600</t>
    </r>
    <r>
      <rPr>
        <sz val="11"/>
        <color theme="1"/>
        <rFont val="Noto Sans SC"/>
        <family val="2"/>
        <charset val="134"/>
      </rPr>
      <t xml:space="preserve">；原文 </t>
    </r>
    <r>
      <rPr>
        <sz val="11"/>
        <color theme="1"/>
        <rFont val="Calibri"/>
        <family val="2"/>
        <charset val="1"/>
      </rPr>
      <t xml:space="preserve">VB </t>
    </r>
    <r>
      <rPr>
        <sz val="11"/>
        <color theme="1"/>
        <rFont val="Noto Sans SC"/>
        <family val="2"/>
        <charset val="134"/>
      </rPr>
      <t xml:space="preserve">模拟结果随局数增加逐渐收敛到 </t>
    </r>
    <r>
      <rPr>
        <sz val="11"/>
        <color theme="1"/>
        <rFont val="Calibri"/>
        <family val="2"/>
        <charset val="1"/>
      </rPr>
      <t xml:space="preserve">0.96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</si>
  <si>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基本可确认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在 </t>
    </r>
    <r>
      <rPr>
        <sz val="11"/>
        <color theme="1"/>
        <rFont val="Calibri"/>
        <family val="2"/>
        <charset val="1"/>
      </rPr>
      <t xml:space="preserve">0.95~0.9927 </t>
    </r>
    <r>
      <rPr>
        <sz val="11"/>
        <color theme="1"/>
        <rFont val="Noto Sans SC"/>
        <family val="2"/>
        <charset val="134"/>
      </rPr>
      <t xml:space="preserve">之间波动、期望约 </t>
    </r>
    <r>
      <rPr>
        <sz val="11"/>
        <color theme="1"/>
        <rFont val="Calibri"/>
        <family val="2"/>
        <charset val="1"/>
      </rPr>
      <t xml:space="preserve">0.9639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</si>
  <si>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基本步骤（与搭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数值体系类似）：给固定卷轴各位置编号 → 随机抽取决定落在卷轴上的图标</t>
    </r>
  </si>
  <si>
    <r>
      <rPr>
        <sz val="11"/>
        <color theme="1"/>
        <rFont val="Noto Sans SC"/>
        <family val="2"/>
        <charset val="134"/>
      </rPr>
      <t xml:space="preserve">  → 转成图标名称（便于检查）→ 按本局结果结算并累加到累积奖励 → 增加统计变量 → 输出模拟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</si>
  <si>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VB </t>
    </r>
    <r>
      <rPr>
        <sz val="11"/>
        <color theme="1"/>
        <rFont val="Noto Sans SC"/>
        <family val="2"/>
        <charset val="134"/>
      </rPr>
      <t xml:space="preserve">注意点：</t>
    </r>
    <r>
      <rPr>
        <sz val="11"/>
        <color theme="1"/>
        <rFont val="Calibri"/>
        <family val="2"/>
        <charset val="1"/>
      </rPr>
      <t xml:space="preserve">Rnd </t>
    </r>
    <r>
      <rPr>
        <sz val="11"/>
        <color theme="1"/>
        <rFont val="Noto Sans SC"/>
        <family val="2"/>
        <charset val="134"/>
      </rPr>
      <t xml:space="preserve">只能取 </t>
    </r>
    <r>
      <rPr>
        <sz val="11"/>
        <color theme="1"/>
        <rFont val="Calibri"/>
        <family val="2"/>
        <charset val="1"/>
      </rPr>
      <t xml:space="preserve">[0,1)</t>
    </r>
    <r>
      <rPr>
        <sz val="11"/>
        <color theme="1"/>
        <rFont val="Noto Sans SC"/>
        <family val="2"/>
        <charset val="134"/>
      </rPr>
      <t xml:space="preserve">，所以「随机取值时要加上首项数值」，否则取不到卷轴最后的位置。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</si>
  <si>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</si>
  <si>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之前有提到使用不同的算法计算同一个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用于验算的方法</t>
    </r>
  </si>
  <si>
    <r>
      <rPr>
        <sz val="11"/>
        <color theme="1"/>
        <rFont val="Noto Sans SC"/>
        <family val="2"/>
        <charset val="134"/>
      </rPr>
      <t xml:space="preserve">也提到了带有例如</t>
    </r>
    <r>
      <rPr>
        <sz val="11"/>
        <color theme="1"/>
        <rFont val="Calibri"/>
        <family val="2"/>
        <charset val="1"/>
      </rPr>
      <t xml:space="preserve">cascading</t>
    </r>
    <r>
      <rPr>
        <sz val="11"/>
        <color theme="1"/>
        <rFont val="Noto Sans SC"/>
        <family val="2"/>
        <charset val="134"/>
      </rPr>
      <t xml:space="preserve">等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无法使用常规的概率计算得到</t>
    </r>
    <r>
      <rPr>
        <sz val="11"/>
        <color theme="1"/>
        <rFont val="Calibri"/>
        <family val="2"/>
        <charset val="1"/>
      </rPr>
      <t xml:space="preserve">RTP</t>
    </r>
  </si>
  <si>
    <t xml:space="preserve">这两种情况都有一个通用的解决办法</t>
  </si>
  <si>
    <r>
      <rPr>
        <sz val="11"/>
        <color theme="1"/>
        <rFont val="Noto Sans SC"/>
        <family val="2"/>
        <charset val="134"/>
      </rPr>
      <t xml:space="preserve">这个办法就是</t>
    </r>
    <r>
      <rPr>
        <sz val="11"/>
        <color theme="1"/>
        <rFont val="Calibri"/>
        <family val="2"/>
        <charset val="1"/>
      </rPr>
      <t xml:space="preserve">Simulation</t>
    </r>
    <r>
      <rPr>
        <sz val="11"/>
        <color theme="1"/>
        <rFont val="Noto Sans SC"/>
        <family val="2"/>
        <charset val="134"/>
      </rPr>
      <t xml:space="preserve">，也就是模拟数据</t>
    </r>
  </si>
  <si>
    <r>
      <rPr>
        <sz val="11"/>
        <color theme="1"/>
        <rFont val="Noto Sans SC"/>
        <family val="2"/>
        <charset val="134"/>
      </rPr>
      <t xml:space="preserve">模拟数据是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策划中常用的方法</t>
    </r>
  </si>
  <si>
    <r>
      <rPr>
        <sz val="11"/>
        <color theme="1"/>
        <rFont val="Noto Sans SC"/>
        <family val="2"/>
        <charset val="134"/>
      </rPr>
      <t xml:space="preserve">开发或策划需要依据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的机制编写对应的程序语言，模拟实际摇奖</t>
    </r>
  </si>
  <si>
    <r>
      <rPr>
        <sz val="11"/>
        <color theme="1"/>
        <rFont val="Noto Sans SC"/>
        <family val="2"/>
        <charset val="134"/>
      </rPr>
      <t xml:space="preserve">用实践的方式得到</t>
    </r>
    <r>
      <rPr>
        <sz val="11"/>
        <color theme="1"/>
        <rFont val="Calibri"/>
        <family val="2"/>
        <charset val="1"/>
      </rPr>
      <t xml:space="preserve">Slots RTP</t>
    </r>
    <r>
      <rPr>
        <sz val="11"/>
        <color theme="1"/>
        <rFont val="Noto Sans SC"/>
        <family val="2"/>
        <charset val="134"/>
      </rPr>
      <t xml:space="preserve">的近似值</t>
    </r>
  </si>
  <si>
    <t xml:space="preserve">这种方法的上手难度比较高，但是泛用性比较强</t>
  </si>
  <si>
    <r>
      <rPr>
        <sz val="11"/>
        <color theme="1"/>
        <rFont val="Noto Sans SC"/>
        <family val="2"/>
        <charset val="134"/>
      </rPr>
      <t xml:space="preserve">特别是对一些机制复杂或机制难以用概率表述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产品有更好的效果</t>
    </r>
  </si>
  <si>
    <t xml:space="preserve">因此，本篇会从最基础的跑数据方法开始，分享一些跑数据的经验</t>
  </si>
  <si>
    <r>
      <rPr>
        <sz val="11"/>
        <color theme="1"/>
        <rFont val="Noto Sans SC"/>
        <family val="2"/>
        <charset val="134"/>
      </rPr>
      <t xml:space="preserve">以</t>
    </r>
    <r>
      <rPr>
        <sz val="11"/>
        <color theme="1"/>
        <rFont val="Calibri"/>
        <family val="2"/>
        <charset val="1"/>
      </rPr>
      <t xml:space="preserve">https://zhuanlan.zhihu.com/p/623746693 </t>
    </r>
    <r>
      <rPr>
        <sz val="11"/>
        <color theme="1"/>
        <rFont val="Noto Sans SC"/>
        <family val="2"/>
        <charset val="134"/>
      </rPr>
      <t xml:space="preserve">中分享过的</t>
    </r>
    <r>
      <rPr>
        <sz val="11"/>
        <color theme="1"/>
        <rFont val="Calibri"/>
        <family val="2"/>
        <charset val="1"/>
      </rPr>
      <t xml:space="preserve">1*3 </t>
    </r>
    <r>
      <rPr>
        <sz val="11"/>
        <color theme="1"/>
        <rFont val="Noto Sans SC"/>
        <family val="2"/>
        <charset val="134"/>
      </rPr>
      <t xml:space="preserve">固定卷轴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为例，其卷轴分布如下：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</si>
  <si>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626633039-01.png</t>
    </r>
  </si>
  <si>
    <r>
      <rPr>
        <sz val="11"/>
        <color theme="1"/>
        <rFont val="Noto Sans SC"/>
        <family val="2"/>
        <charset val="134"/>
      </rPr>
      <t xml:space="preserve">当出现三个黑图标时获得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倍赔付</t>
    </r>
  </si>
  <si>
    <r>
      <rPr>
        <sz val="11"/>
        <color theme="1"/>
        <rFont val="Noto Sans SC"/>
        <family val="2"/>
        <charset val="134"/>
      </rPr>
      <t xml:space="preserve">当出现三个白图标时获得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SC"/>
        <family val="2"/>
        <charset val="134"/>
      </rPr>
      <t xml:space="preserve">倍赔付</t>
    </r>
  </si>
  <si>
    <r>
      <rPr>
        <sz val="11"/>
        <color theme="1"/>
        <rFont val="Noto Sans SC"/>
        <family val="2"/>
        <charset val="134"/>
      </rPr>
      <t xml:space="preserve">根据上次的计算，该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为</t>
    </r>
    <r>
      <rPr>
        <sz val="11"/>
        <color theme="1"/>
        <rFont val="Calibri"/>
        <family val="2"/>
        <charset val="1"/>
      </rPr>
      <t xml:space="preserve">0.9600</t>
    </r>
  </si>
  <si>
    <r>
      <rPr>
        <sz val="11"/>
        <color theme="1"/>
        <rFont val="Noto Sans SC"/>
        <family val="2"/>
        <charset val="134"/>
      </rPr>
      <t xml:space="preserve">先放上使用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模拟得到的数据：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</si>
  <si>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626633039-02.jpg</t>
    </r>
  </si>
  <si>
    <r>
      <rPr>
        <sz val="11"/>
        <color theme="1"/>
        <rFont val="Noto Sans SC"/>
        <family val="2"/>
        <charset val="134"/>
      </rPr>
      <t xml:space="preserve">从图中不难看出，随着游戏的进行，模拟得到的数据也越来越接近</t>
    </r>
    <r>
      <rPr>
        <sz val="11"/>
        <color theme="1"/>
        <rFont val="Calibri"/>
        <family val="2"/>
        <charset val="1"/>
      </rPr>
      <t xml:space="preserve">0.96</t>
    </r>
  </si>
  <si>
    <r>
      <rPr>
        <sz val="11"/>
        <color theme="1"/>
        <rFont val="Noto Sans SC"/>
        <family val="2"/>
        <charset val="134"/>
      </rPr>
      <t xml:space="preserve">基本可以确认该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在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SC"/>
        <family val="2"/>
        <charset val="134"/>
      </rPr>
      <t xml:space="preserve">到</t>
    </r>
    <r>
      <rPr>
        <sz val="11"/>
        <color theme="1"/>
        <rFont val="Calibri"/>
        <family val="2"/>
        <charset val="1"/>
      </rPr>
      <t xml:space="preserve">0.9927</t>
    </r>
    <r>
      <rPr>
        <sz val="11"/>
        <color theme="1"/>
        <rFont val="Noto Sans SC"/>
        <family val="2"/>
        <charset val="134"/>
      </rPr>
      <t xml:space="preserve">之间波动，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期望值为</t>
    </r>
    <r>
      <rPr>
        <sz val="11"/>
        <color theme="1"/>
        <rFont val="Calibri"/>
        <family val="2"/>
        <charset val="1"/>
      </rPr>
      <t xml:space="preserve">0.9639</t>
    </r>
    <r>
      <rPr>
        <sz val="11"/>
        <color theme="1"/>
        <rFont val="Noto Sans SC"/>
        <family val="2"/>
        <charset val="134"/>
      </rPr>
      <t xml:space="preserve">左右</t>
    </r>
  </si>
  <si>
    <r>
      <rPr>
        <sz val="11"/>
        <color theme="1"/>
        <rFont val="Calibri"/>
        <family val="2"/>
        <charset val="1"/>
      </rPr>
      <t xml:space="preserve">PS.</t>
    </r>
    <r>
      <rPr>
        <sz val="11"/>
        <color theme="1"/>
        <rFont val="Noto Sans SC"/>
        <family val="2"/>
        <charset val="134"/>
      </rPr>
      <t xml:space="preserve">这里使用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作为数值模拟工具主要是因为我对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更熟一些，如果能够使用</t>
    </r>
    <r>
      <rPr>
        <sz val="11"/>
        <color theme="1"/>
        <rFont val="Calibri"/>
        <family val="2"/>
        <charset val="1"/>
      </rPr>
      <t xml:space="preserve">C#</t>
    </r>
    <r>
      <rPr>
        <sz val="11"/>
        <color theme="1"/>
        <rFont val="Noto Sans SC"/>
        <family val="2"/>
        <charset val="134"/>
      </rPr>
      <t xml:space="preserve">来做的话当然更好</t>
    </r>
  </si>
  <si>
    <r>
      <rPr>
        <sz val="11"/>
        <color theme="1"/>
        <rFont val="Noto Sans SC"/>
        <family val="2"/>
        <charset val="134"/>
      </rPr>
      <t xml:space="preserve">基本步骤和设置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的步骤相对比较类似</t>
    </r>
  </si>
  <si>
    <t xml:space="preserve">因为这里使用的是固定卷轴，因此可以直接给卷轴各位置编号</t>
  </si>
  <si>
    <t xml:space="preserve">用随机抽取的方式决定最终落在卷轴上的是哪个图标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</si>
  <si>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626633039-03.png</t>
    </r>
  </si>
  <si>
    <r>
      <rPr>
        <sz val="11"/>
        <color theme="1"/>
        <rFont val="Noto Sans SC"/>
        <family val="2"/>
        <charset val="134"/>
      </rPr>
      <t xml:space="preserve">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中使用随机取值时不要忘记在随机数上加上首项的数值</t>
    </r>
  </si>
  <si>
    <r>
      <rPr>
        <sz val="11"/>
        <color theme="1"/>
        <rFont val="Noto Sans SC"/>
        <family val="2"/>
        <charset val="134"/>
      </rPr>
      <t xml:space="preserve">因为</t>
    </r>
    <r>
      <rPr>
        <sz val="11"/>
        <color theme="1"/>
        <rFont val="Calibri"/>
        <family val="2"/>
        <charset val="1"/>
      </rPr>
      <t xml:space="preserve">Rnd</t>
    </r>
    <r>
      <rPr>
        <sz val="11"/>
        <color theme="1"/>
        <rFont val="Noto Sans SC"/>
        <family val="2"/>
        <charset val="134"/>
      </rPr>
      <t xml:space="preserve">函数在这里只能取到</t>
    </r>
    <r>
      <rPr>
        <sz val="11"/>
        <color theme="1"/>
        <rFont val="Calibri"/>
        <family val="2"/>
        <charset val="1"/>
      </rPr>
      <t xml:space="preserve">[0,1)</t>
    </r>
    <r>
      <rPr>
        <sz val="11"/>
        <color theme="1"/>
        <rFont val="Noto Sans SC"/>
        <family val="2"/>
        <charset val="134"/>
      </rPr>
      <t xml:space="preserve">的数字，因此需要加上首项，这样才能随机到卷轴上的所有数字</t>
    </r>
  </si>
  <si>
    <t xml:space="preserve">得到随机数之后，转化成对应的图标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</si>
  <si>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626633039-04.jpg</t>
    </r>
  </si>
  <si>
    <t xml:space="preserve">这一步也可以跳过，但是为了方便检查的时候查看每局的结果，所以添加了从编号转变成图标名称的一步</t>
  </si>
  <si>
    <t xml:space="preserve">再依据本轮的结果进行结算，并增加对应的奖励到累积奖励中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</si>
  <si>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626633039-05.jpg</t>
    </r>
  </si>
  <si>
    <r>
      <rPr>
        <sz val="11"/>
        <color theme="1"/>
        <rFont val="Noto Sans SC"/>
        <family val="2"/>
        <charset val="134"/>
      </rPr>
      <t xml:space="preserve">这里需要计算累积奖励，方便之后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的计算</t>
    </r>
  </si>
  <si>
    <r>
      <rPr>
        <sz val="11"/>
        <color theme="1"/>
        <rFont val="Noto Sans SC"/>
        <family val="2"/>
        <charset val="134"/>
      </rPr>
      <t xml:space="preserve">最后在增加部分统计变量，输出后就可以得到该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的模拟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</si>
  <si>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626633039-06.jpg</t>
    </r>
  </si>
  <si>
    <t xml:space="preserve">这一步依据你的实际需求设置统计项目即可</t>
  </si>
  <si>
    <t xml:space="preserve">因为我也不是专业的程序，平时实际跑数据也都有开发同学帮忙</t>
  </si>
  <si>
    <t xml:space="preserve">这里的模拟作为休闲项目分享给大家</t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</si>
  <si>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</si>
  <si>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626633039-01.png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</si>
  <si>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</si>
  <si>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626633039-03.png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</si>
  <si>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</si>
  <si>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</si>
  <si>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626633039-06.jpg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</si>
  <si>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</si>
  <si>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</si>
  <si>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</si>
  <si>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</si>
  <si>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</si>
  <si>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</si>
  <si>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番外篇——用</t>
    </r>
    <r>
      <rPr>
        <sz val="11"/>
        <color rgb="FF808080"/>
        <rFont val="Cambria"/>
        <family val="0"/>
        <charset val="1"/>
      </rPr>
      <t xml:space="preserve">VB</t>
    </r>
    <r>
      <rPr>
        <sz val="11"/>
        <color rgb="FF808080"/>
        <rFont val="Noto Sans SC"/>
        <family val="2"/>
        <charset val="134"/>
      </rPr>
      <t xml:space="preserve">模拟</t>
    </r>
    <r>
      <rPr>
        <sz val="11"/>
        <color rgb="FF808080"/>
        <rFont val="Cambria"/>
        <family val="0"/>
        <charset val="1"/>
      </rPr>
      <t xml:space="preserve">1*3 Slots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https://zhuanlan.zhihu.com/p/626633039</t>
    </r>
  </si>
  <si>
    <r>
      <rPr>
        <b val="true"/>
        <sz val="14"/>
        <color rgb="FF1F4E79"/>
        <rFont val="Noto Sans SC"/>
        <family val="2"/>
        <charset val="134"/>
      </rPr>
      <t xml:space="preserve">番外篇 </t>
    </r>
    <r>
      <rPr>
        <b val="true"/>
        <sz val="14"/>
        <color rgb="FF1F4E79"/>
        <rFont val="Cambria"/>
        <family val="0"/>
        <charset val="1"/>
      </rPr>
      <t xml:space="preserve">· </t>
    </r>
    <r>
      <rPr>
        <b val="true"/>
        <sz val="14"/>
        <color rgb="FF1F4E79"/>
        <rFont val="Noto Sans SC"/>
        <family val="2"/>
        <charset val="134"/>
      </rPr>
      <t xml:space="preserve">用</t>
    </r>
    <r>
      <rPr>
        <b val="true"/>
        <sz val="14"/>
        <color rgb="FF1F4E79"/>
        <rFont val="Cambria"/>
        <family val="0"/>
        <charset val="1"/>
      </rPr>
      <t xml:space="preserve">VB</t>
    </r>
    <r>
      <rPr>
        <b val="true"/>
        <sz val="14"/>
        <color rgb="FF1F4E79"/>
        <rFont val="Noto Sans SC"/>
        <family val="2"/>
        <charset val="134"/>
      </rPr>
      <t xml:space="preserve">模拟</t>
    </r>
    <r>
      <rPr>
        <b val="true"/>
        <sz val="14"/>
        <color rgb="FF1F4E79"/>
        <rFont val="Cambria"/>
        <family val="0"/>
        <charset val="1"/>
      </rPr>
      <t xml:space="preserve">1x3 Slots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</si>
  <si>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】为什么需要跑数据（模拟的适用场景）</t>
    </r>
  </si>
  <si>
    <t xml:space="preserve">场景</t>
  </si>
  <si>
    <t xml:space="preserve">多算法验算</t>
  </si>
  <si>
    <r>
      <rPr>
        <sz val="11"/>
        <color theme="1"/>
        <rFont val="Noto Sans SC"/>
        <family val="2"/>
        <charset val="134"/>
      </rPr>
      <t xml:space="preserve">同一个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用两种算法各算一遍，互相验证（配表算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SC"/>
        <family val="2"/>
        <charset val="134"/>
      </rPr>
      <t xml:space="preserve">模拟跑）</t>
    </r>
  </si>
  <si>
    <r>
      <rPr>
        <sz val="11"/>
        <color theme="1"/>
        <rFont val="Noto Sans SC"/>
        <family val="2"/>
        <charset val="134"/>
      </rPr>
      <t xml:space="preserve">机理复杂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无法概率化</t>
    </r>
  </si>
  <si>
    <r>
      <rPr>
        <sz val="11"/>
        <color theme="1"/>
        <rFont val="Noto Sans SC"/>
        <family val="2"/>
        <charset val="134"/>
      </rPr>
      <t xml:space="preserve">如 </t>
    </r>
    <r>
      <rPr>
        <sz val="11"/>
        <color theme="1"/>
        <rFont val="Calibri"/>
        <family val="2"/>
        <charset val="1"/>
      </rPr>
      <t xml:space="preserve">Cascading </t>
    </r>
    <r>
      <rPr>
        <sz val="11"/>
        <color theme="1"/>
        <rFont val="Noto Sans SC"/>
        <family val="2"/>
        <charset val="134"/>
      </rPr>
      <t xml:space="preserve">消除、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Hold &amp; Spin </t>
    </r>
    <r>
      <rPr>
        <sz val="11"/>
        <color theme="1"/>
        <rFont val="Noto Sans SC"/>
        <family val="2"/>
        <charset val="134"/>
      </rPr>
      <t xml:space="preserve">等状态演化类玩法，公式算不准</t>
    </r>
  </si>
  <si>
    <t xml:space="preserve">优势</t>
  </si>
  <si>
    <t xml:space="preserve">泛用性强，只要能把机制写成程序就能跑</t>
  </si>
  <si>
    <t xml:space="preserve">代价</t>
  </si>
  <si>
    <t xml:space="preserve">上手难度高；局数不够则波动大，需要足够的样本量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</si>
  <si>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】本例设定（沿用 </t>
    </r>
    <r>
      <rPr>
        <b val="true"/>
        <sz val="11"/>
        <color rgb="FF1F4E79"/>
        <rFont val="Cambria"/>
        <family val="0"/>
        <charset val="1"/>
      </rPr>
      <t xml:space="preserve">12 </t>
    </r>
    <r>
      <rPr>
        <b val="true"/>
        <sz val="11"/>
        <color rgb="FF1F4E79"/>
        <rFont val="Noto Sans SC"/>
        <family val="2"/>
        <charset val="134"/>
      </rPr>
      <t xml:space="preserve">篇的 </t>
    </r>
    <r>
      <rPr>
        <b val="true"/>
        <sz val="11"/>
        <color rgb="FF1F4E79"/>
        <rFont val="Cambria"/>
        <family val="0"/>
        <charset val="1"/>
      </rPr>
      <t xml:space="preserve">1*3 </t>
    </r>
    <r>
      <rPr>
        <b val="true"/>
        <sz val="11"/>
        <color rgb="FF1F4E79"/>
        <rFont val="Noto Sans SC"/>
        <family val="2"/>
        <charset val="134"/>
      </rPr>
      <t xml:space="preserve">固定卷轴 </t>
    </r>
    <r>
      <rPr>
        <b val="true"/>
        <sz val="11"/>
        <color rgb="FF1F4E79"/>
        <rFont val="Cambria"/>
        <family val="0"/>
        <charset val="1"/>
      </rPr>
      <t xml:space="preserve">Line Slots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</si>
  <si>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项目</t>
  </si>
  <si>
    <t xml:space="preserve">数值</t>
  </si>
  <si>
    <r>
      <rPr>
        <sz val="11"/>
        <color theme="1"/>
        <rFont val="Noto Sans SC"/>
        <family val="2"/>
        <charset val="134"/>
      </rPr>
      <t xml:space="preserve">列数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行数</t>
    </r>
  </si>
  <si>
    <t xml:space="preserve">1 × 3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</si>
  <si>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列，一条中奖线</t>
    </r>
  </si>
  <si>
    <t xml:space="preserve">卷轴类型</t>
  </si>
  <si>
    <t xml:space="preserve">固定卷轴</t>
  </si>
  <si>
    <t xml:space="preserve">每列停位数固定，可给各位置编号</t>
  </si>
  <si>
    <t xml:space="preserve">中奖组合</t>
  </si>
  <si>
    <r>
      <rPr>
        <sz val="11"/>
        <color rgb="FF0000FF"/>
        <rFont val="Noto Sans SC"/>
        <family val="2"/>
        <charset val="134"/>
      </rPr>
      <t xml:space="preserve">黑</t>
    </r>
    <r>
      <rPr>
        <sz val="11"/>
        <color rgb="FF0000FF"/>
        <rFont val="Cambria"/>
        <family val="0"/>
        <charset val="1"/>
      </rPr>
      <t xml:space="preserve">×3 → 2 </t>
    </r>
    <r>
      <rPr>
        <sz val="11"/>
        <color rgb="FF0000FF"/>
        <rFont val="Noto Sans SC"/>
        <family val="2"/>
        <charset val="134"/>
      </rPr>
      <t xml:space="preserve">倍；白</t>
    </r>
    <r>
      <rPr>
        <sz val="11"/>
        <color rgb="FF0000FF"/>
        <rFont val="Cambria"/>
        <family val="0"/>
        <charset val="1"/>
      </rPr>
      <t xml:space="preserve">×3 → 12 </t>
    </r>
    <r>
      <rPr>
        <sz val="11"/>
        <color rgb="FF0000FF"/>
        <rFont val="Noto Sans SC"/>
        <family val="2"/>
        <charset val="134"/>
      </rPr>
      <t xml:space="preserve">倍</t>
    </r>
  </si>
  <si>
    <r>
      <rPr>
        <sz val="11"/>
        <color theme="1"/>
        <rFont val="Noto Sans SC"/>
        <family val="2"/>
        <charset val="134"/>
      </rPr>
      <t xml:space="preserve">原文：三个黑图标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倍、三个白图标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倍</t>
    </r>
  </si>
  <si>
    <r>
      <rPr>
        <sz val="11"/>
        <color theme="1"/>
        <rFont val="Noto Sans SC"/>
        <family val="2"/>
        <charset val="134"/>
      </rPr>
      <t xml:space="preserve">理论 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</si>
  <si>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原文：该 </t>
    </r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为 </t>
    </r>
    <r>
      <rPr>
        <sz val="11"/>
        <color theme="1"/>
        <rFont val="Calibri"/>
        <family val="2"/>
        <charset val="1"/>
      </rPr>
      <t xml:space="preserve">0.9600</t>
    </r>
  </si>
  <si>
    <r>
      <rPr>
        <sz val="11"/>
        <color theme="1"/>
        <rFont val="Noto Sans SC"/>
        <family val="2"/>
        <charset val="134"/>
      </rPr>
      <t xml:space="preserve">模拟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（原文）</t>
    </r>
  </si>
  <si>
    <r>
      <rPr>
        <sz val="11"/>
        <color theme="1"/>
        <rFont val="Noto Sans SC"/>
        <family val="2"/>
        <charset val="134"/>
      </rPr>
      <t xml:space="preserve">随局数增加收敛到 </t>
    </r>
    <r>
      <rPr>
        <sz val="11"/>
        <color theme="1"/>
        <rFont val="Calibri"/>
        <family val="2"/>
        <charset val="1"/>
      </rPr>
      <t xml:space="preserve">0.96 </t>
    </r>
    <r>
      <rPr>
        <sz val="11"/>
        <color theme="1"/>
        <rFont val="Noto Sans SC"/>
        <family val="2"/>
        <charset val="134"/>
      </rPr>
      <t xml:space="preserve">附近</t>
    </r>
  </si>
  <si>
    <t xml:space="preserve">模拟波动区间（原文）</t>
  </si>
  <si>
    <t xml:space="preserve">0.95 ~ 0.9927</t>
  </si>
  <si>
    <t xml:space="preserve">小样本时的正常波动</t>
  </si>
  <si>
    <t xml:space="preserve">理论值与模拟值之差</t>
  </si>
  <si>
    <r>
      <rPr>
        <sz val="11"/>
        <color theme="1"/>
        <rFont val="Noto Sans SC"/>
        <family val="2"/>
        <charset val="134"/>
      </rPr>
      <t xml:space="preserve">差越小说明样本越足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代码与配表越一致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</si>
  <si>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】模拟流程（原文步骤）</t>
    </r>
  </si>
  <si>
    <t xml:space="preserve">步骤</t>
  </si>
  <si>
    <t xml:space="preserve">做什么</t>
  </si>
  <si>
    <t xml:space="preserve">注意点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</si>
  <si>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卷轴编号</t>
    </r>
  </si>
  <si>
    <t xml:space="preserve">把固定卷轴各位置按顺序编号</t>
  </si>
  <si>
    <t xml:space="preserve">固定卷轴才能直接编号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</si>
  <si>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随机抽取</t>
    </r>
  </si>
  <si>
    <t xml:space="preserve">用随机数决定落在卷轴上的是哪个位置（图标）</t>
  </si>
  <si>
    <r>
      <rPr>
        <sz val="11"/>
        <color theme="1"/>
        <rFont val="Calibri"/>
        <family val="2"/>
        <charset val="1"/>
      </rPr>
      <t xml:space="preserve">VB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Rnd ∈ [0,1)</t>
    </r>
    <r>
      <rPr>
        <sz val="11"/>
        <color theme="1"/>
        <rFont val="Noto Sans SC"/>
        <family val="2"/>
        <charset val="134"/>
      </rPr>
      <t xml:space="preserve">，必须「加上首项」才能覆盖全部位置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</si>
  <si>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编号转图标</t>
    </r>
  </si>
  <si>
    <t xml:space="preserve">把编号映射成图标名称</t>
  </si>
  <si>
    <t xml:space="preserve">可省略，但保留便于逐局检查结果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</si>
  <si>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结算累加</t>
    </r>
  </si>
  <si>
    <t xml:space="preserve">按本局结果判定中奖并累加到累积奖励</t>
  </si>
  <si>
    <r>
      <rPr>
        <sz val="11"/>
        <color theme="1"/>
        <rFont val="Noto Sans SC"/>
        <family val="2"/>
        <charset val="134"/>
      </rPr>
      <t xml:space="preserve">累积奖励是后面算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的分子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</si>
  <si>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统计输出</t>
    </r>
  </si>
  <si>
    <r>
      <rPr>
        <sz val="11"/>
        <color theme="1"/>
        <rFont val="Noto Sans SC"/>
        <family val="2"/>
        <charset val="134"/>
      </rPr>
      <t xml:space="preserve">增加统计变量并输出 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</si>
  <si>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统计项按需求设置（如各图标中奖次数、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触发次数）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</si>
  <si>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】模拟精度与样本量（示意，用于判断跑多少局才够）</t>
    </r>
  </si>
  <si>
    <t xml:space="preserve">模拟局数</t>
  </si>
  <si>
    <t xml:space="preserve">标准差（示意）</t>
  </si>
  <si>
    <r>
      <rPr>
        <b val="true"/>
        <sz val="11"/>
        <color rgb="FF1F4E79"/>
        <rFont val="Noto Sans SC"/>
        <family val="2"/>
        <charset val="134"/>
      </rPr>
      <t xml:space="preserve">标准误 ＝ 标准差 </t>
    </r>
    <r>
      <rPr>
        <b val="true"/>
        <sz val="11"/>
        <color rgb="FF1F4E79"/>
        <rFont val="Cambria"/>
        <family val="0"/>
        <charset val="1"/>
      </rPr>
      <t xml:space="preserve">÷ √</t>
    </r>
    <r>
      <rPr>
        <b val="true"/>
        <sz val="11"/>
        <color rgb="FF1F4E79"/>
        <rFont val="Noto Sans SC"/>
        <family val="2"/>
        <charset val="134"/>
      </rPr>
      <t xml:space="preserve">局数</t>
    </r>
  </si>
  <si>
    <r>
      <rPr>
        <b val="true"/>
        <sz val="11"/>
        <color rgb="FF1F4E79"/>
        <rFont val="Cambria"/>
        <family val="0"/>
        <charset val="1"/>
      </rPr>
      <t xml:space="preserve">95% </t>
    </r>
    <r>
      <rPr>
        <b val="true"/>
        <sz val="11"/>
        <color rgb="FF1F4E79"/>
        <rFont val="Noto Sans SC"/>
        <family val="2"/>
        <charset val="134"/>
      </rPr>
      <t xml:space="preserve">置信区间半宽（≈</t>
    </r>
    <r>
      <rPr>
        <b val="true"/>
        <sz val="11"/>
        <color rgb="FF1F4E79"/>
        <rFont val="Cambria"/>
        <family val="0"/>
        <charset val="1"/>
      </rPr>
      <t xml:space="preserve">2×</t>
    </r>
    <r>
      <rPr>
        <b val="true"/>
        <sz val="11"/>
        <color rgb="FF1F4E79"/>
        <rFont val="Noto Sans SC"/>
        <family val="2"/>
        <charset val="134"/>
      </rPr>
      <t xml:space="preserve">标准误）</t>
    </r>
  </si>
  <si>
    <r>
      <rPr>
        <sz val="11"/>
        <color rgb="FF808080"/>
        <rFont val="Noto Sans SC"/>
        <family val="2"/>
        <charset val="134"/>
      </rPr>
      <t xml:space="preserve">标准差是示意值（蓝字可改）：局数每 </t>
    </r>
    <r>
      <rPr>
        <sz val="11"/>
        <color rgb="FF808080"/>
        <rFont val="Cambria"/>
        <family val="0"/>
        <charset val="1"/>
      </rPr>
      <t xml:space="preserve">×100</t>
    </r>
    <r>
      <rPr>
        <sz val="11"/>
        <color rgb="FF808080"/>
        <rFont val="Noto Sans SC"/>
        <family val="2"/>
        <charset val="134"/>
      </rPr>
      <t xml:space="preserve">，标准误缩到 </t>
    </r>
    <r>
      <rPr>
        <sz val="11"/>
        <color rgb="FF808080"/>
        <rFont val="Cambria"/>
        <family val="0"/>
        <charset val="1"/>
      </rPr>
      <t xml:space="preserve">1/10 —— </t>
    </r>
    <r>
      <rPr>
        <sz val="11"/>
        <color rgb="FF808080"/>
        <rFont val="Noto Sans SC"/>
        <family val="2"/>
        <charset val="134"/>
      </rPr>
      <t xml:space="preserve">所以要把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跑准，局数通常要上百万级；这也是原文说「</t>
    </r>
    <r>
      <rPr>
        <sz val="11"/>
        <color rgb="FF808080"/>
        <rFont val="Cambria"/>
        <family val="0"/>
        <charset val="1"/>
      </rPr>
      <t xml:space="preserve">VB </t>
    </r>
    <r>
      <rPr>
        <sz val="11"/>
        <color rgb="FF808080"/>
        <rFont val="Noto Sans SC"/>
        <family val="2"/>
        <charset val="134"/>
      </rPr>
      <t xml:space="preserve">只作休闲分享、实际要开发帮忙」的原因。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</si>
  <si>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</si>
  <si>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</si>
  <si>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</si>
  <si>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理论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0.9600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</si>
  <si>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篇结论</t>
    </r>
  </si>
  <si>
    <r>
      <rPr>
        <sz val="11"/>
        <color theme="1"/>
        <rFont val="Noto Sans SC"/>
        <family val="2"/>
        <charset val="134"/>
      </rPr>
      <t xml:space="preserve">模拟与理论之差 ＝ </t>
    </r>
    <r>
      <rPr>
        <sz val="11"/>
        <color theme="1"/>
        <rFont val="Calibri"/>
        <family val="2"/>
        <charset val="1"/>
      </rPr>
      <t xml:space="preserve">0.0039</t>
    </r>
    <r>
      <rPr>
        <sz val="11"/>
        <color theme="1"/>
        <rFont val="Noto Sans SC"/>
        <family val="2"/>
        <charset val="134"/>
      </rPr>
      <t xml:space="preserve">（原文）</t>
    </r>
  </si>
  <si>
    <t xml:space="preserve">0.9639 − 0.9600</t>
  </si>
  <si>
    <t xml:space="preserve">标准误随局数递减</t>
  </si>
  <si>
    <t xml:space="preserve">样本越大越准</t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</si>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</sst>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00%"/>
    <numFmt numFmtId="167" formatCode="0.0000"/>
    <numFmt numFmtId="168" formatCode="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</row>
    <row r="9" customFormat="false" ht="15" hidden="false" customHeight="false" outlineLevel="0" collapsed="false">
      <c r="A9" s="4" t="s">
        <v>6</v>
      </c>
    </row>
    <row r="10" customFormat="false" ht="29" hidden="false" customHeight="false" outlineLevel="0" collapsed="false">
      <c r="A10" s="28" t="s">
        <v>7</v>
      </c>
    </row>
    <row r="11" customFormat="false" ht="29" hidden="false" customHeight="false" outlineLevel="0" collapsed="false">
      <c r="A11" s="28" t="s">
        <v>8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4" t="s">
        <v>9</v>
      </c>
    </row>
    <row r="14" customFormat="false" ht="15" hidden="false" customHeight="1" outlineLevel="0" collapsed="false">
      <c r="A14" s="29" t="s">
        <v>10</v>
      </c>
      <c r="B14" s="6"/>
      <c r="C14" s="6"/>
    </row>
    <row r="15" customFormat="false" ht="42" hidden="false" customHeight="false" outlineLevel="0" collapsed="false">
      <c r="A15" s="28" t="s">
        <v>11</v>
      </c>
    </row>
    <row r="16" customFormat="false" ht="15" hidden="false" customHeight="1" outlineLevel="0" collapsed="false">
      <c r="A16" s="29" t="s">
        <v>12</v>
      </c>
      <c r="B16" s="6"/>
      <c r="C16" s="6"/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4" t="s">
        <v>13</v>
      </c>
    </row>
    <row r="19" customFormat="false" ht="30" hidden="false" customHeight="false" outlineLevel="0" collapsed="false">
      <c r="A19" s="28" t="s">
        <v>14</v>
      </c>
    </row>
    <row r="20" customFormat="false" ht="30" hidden="false" customHeight="false" outlineLevel="0" collapsed="false">
      <c r="A20" s="30" t="s">
        <v>15</v>
      </c>
    </row>
    <row r="21" customFormat="false" ht="30" hidden="false" customHeight="false" outlineLevel="0" collapsed="false">
      <c r="A21" s="28" t="s">
        <v>16</v>
      </c>
    </row>
    <row r="22" customFormat="false" ht="15" hidden="false" customHeight="false" outlineLevel="0" collapsed="false">
      <c r="A22" s="30" t="s">
        <v>17</v>
      </c>
    </row>
    <row r="23" customFormat="false" ht="30" hidden="false" customHeight="false" outlineLevel="0" collapsed="false">
      <c r="A23" s="28" t="s">
        <v>18</v>
      </c>
    </row>
    <row r="24" customFormat="false" ht="30" hidden="false" customHeight="false" outlineLevel="0" collapsed="false">
      <c r="A24" s="30" t="s">
        <v>19</v>
      </c>
    </row>
    <row r="25" customFormat="false" ht="30" hidden="false" customHeight="false" outlineLevel="0" collapsed="false">
      <c r="A25" s="30" t="s">
        <v>20</v>
      </c>
    </row>
    <row r="26" customFormat="false" ht="29" hidden="false" customHeight="false" outlineLevel="0" collapsed="false">
      <c r="A26" s="28" t="s">
        <v>21</v>
      </c>
    </row>
    <row r="27" customFormat="false" ht="29" hidden="false" customHeight="false" outlineLevel="0" collapsed="false">
      <c r="A27" s="30" t="s">
        <v>22</v>
      </c>
    </row>
    <row r="28" customFormat="false" ht="29" hidden="false" customHeight="false" outlineLevel="0" collapsed="false">
      <c r="A28" s="28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7"/>
    </row>
    <row r="32" customFormat="false" ht="29" hidden="false" customHeight="false" outlineLevel="0" collapsed="false">
      <c r="A32" s="30" t="s">
        <v>25</v>
      </c>
    </row>
    <row r="33" customFormat="false" ht="30" hidden="false" customHeight="false" outlineLevel="0" collapsed="false">
      <c r="A33" s="30" t="s">
        <v>26</v>
      </c>
    </row>
    <row r="34" customFormat="false" ht="15" hidden="false" customHeight="false" outlineLevel="0" collapsed="false">
      <c r="A34" s="7" t="s">
        <v>27</v>
      </c>
    </row>
    <row r="35" customFormat="false" ht="16" hidden="false" customHeight="false" outlineLevel="0" collapsed="false">
      <c r="A35" s="7" t="s">
        <v>28</v>
      </c>
    </row>
    <row r="36" customFormat="false" ht="16" hidden="false" customHeight="false" outlineLevel="0" collapsed="false">
      <c r="A36" s="7" t="s">
        <v>29</v>
      </c>
    </row>
    <row r="37" customFormat="false" ht="29" hidden="false" customHeight="false" outlineLevel="0" collapsed="false">
      <c r="A37" s="30" t="s">
        <v>30</v>
      </c>
    </row>
    <row r="38" customFormat="false" ht="16" hidden="false" customHeight="false" outlineLevel="0" collapsed="false">
      <c r="A38" s="7" t="s">
        <v>31</v>
      </c>
    </row>
    <row r="39" customFormat="false" ht="15" hidden="false" customHeight="false" outlineLevel="0" collapsed="false">
      <c r="A39" s="30" t="s">
        <v>32</v>
      </c>
    </row>
    <row r="40" customFormat="false" ht="29" hidden="false" customHeight="false" outlineLevel="0" collapsed="false">
      <c r="A40" s="30" t="s">
        <v>33</v>
      </c>
    </row>
    <row r="41" customFormat="false" ht="28" hidden="false" customHeight="false" outlineLevel="0" collapsed="false">
      <c r="A41" s="30" t="s">
        <v>34</v>
      </c>
    </row>
    <row r="42" customFormat="false" ht="30" hidden="false" customHeight="false" outlineLevel="0" collapsed="false">
      <c r="A42" s="30" t="s">
        <v>35</v>
      </c>
    </row>
    <row r="43" customFormat="false" ht="15" hidden="false" customHeight="false" outlineLevel="0" collapsed="false">
      <c r="A43" s="7"/>
    </row>
    <row r="44" customFormat="false" ht="16" hidden="false" customHeight="false" outlineLevel="0" collapsed="false">
      <c r="A44" s="7" t="s">
        <v>36</v>
      </c>
    </row>
    <row r="45" customFormat="false" ht="15" hidden="false" customHeight="false" outlineLevel="0" collapsed="false">
      <c r="A45" s="7"/>
    </row>
    <row r="46" customFormat="false" ht="16" hidden="false" customHeight="false" outlineLevel="0" collapsed="false">
      <c r="A46" s="7" t="s">
        <v>37</v>
      </c>
    </row>
    <row r="47" customFormat="false" ht="16" hidden="false" customHeight="false" outlineLevel="0" collapsed="false">
      <c r="A47" s="7" t="s">
        <v>38</v>
      </c>
    </row>
    <row r="48" customFormat="false" ht="16" hidden="false" customHeight="false" outlineLevel="0" collapsed="false">
      <c r="A48" s="7" t="s">
        <v>39</v>
      </c>
    </row>
    <row r="49" customFormat="false" ht="16" hidden="false" customHeight="false" outlineLevel="0" collapsed="false">
      <c r="A49" s="7" t="s">
        <v>40</v>
      </c>
    </row>
    <row r="50" customFormat="false" ht="15" hidden="false" customHeight="false" outlineLevel="0" collapsed="false">
      <c r="A50" s="7"/>
    </row>
    <row r="51" customFormat="false" ht="16" hidden="false" customHeight="false" outlineLevel="0" collapsed="false">
      <c r="A51" s="7" t="s">
        <v>41</v>
      </c>
    </row>
    <row r="52" customFormat="false" ht="15" hidden="false" customHeight="false" outlineLevel="0" collapsed="false">
      <c r="A52" s="7"/>
    </row>
    <row r="53" customFormat="false" ht="29" hidden="false" customHeight="false" outlineLevel="0" collapsed="false">
      <c r="A53" s="30" t="s">
        <v>42</v>
      </c>
    </row>
    <row r="54" customFormat="false" ht="30" hidden="false" customHeight="false" outlineLevel="0" collapsed="false">
      <c r="A54" s="30" t="s">
        <v>43</v>
      </c>
    </row>
    <row r="55" customFormat="false" ht="30" hidden="false" customHeight="false" outlineLevel="0" collapsed="false">
      <c r="A55" s="28" t="s">
        <v>44</v>
      </c>
    </row>
    <row r="56" customFormat="false" ht="16" hidden="false" customHeight="false" outlineLevel="0" collapsed="false">
      <c r="A56" s="7" t="s">
        <v>45</v>
      </c>
    </row>
    <row r="57" customFormat="false" ht="28" hidden="false" customHeight="false" outlineLevel="0" collapsed="false">
      <c r="A57" s="30" t="s">
        <v>46</v>
      </c>
    </row>
    <row r="58" customFormat="false" ht="28" hidden="false" customHeight="false" outlineLevel="0" collapsed="false">
      <c r="A58" s="30" t="s">
        <v>47</v>
      </c>
    </row>
    <row r="59" customFormat="false" ht="15" hidden="false" customHeight="false" outlineLevel="0" collapsed="false">
      <c r="A59" s="7"/>
    </row>
    <row r="60" customFormat="false" ht="16" hidden="false" customHeight="false" outlineLevel="0" collapsed="false">
      <c r="A60" s="7" t="s">
        <v>48</v>
      </c>
    </row>
    <row r="61" customFormat="false" ht="15" hidden="false" customHeight="false" outlineLevel="0" collapsed="false">
      <c r="A61" s="7"/>
    </row>
    <row r="62" customFormat="false" ht="29" hidden="false" customHeight="false" outlineLevel="0" collapsed="false">
      <c r="A62" s="30" t="s">
        <v>49</v>
      </c>
    </row>
    <row r="63" customFormat="false" ht="29" hidden="false" customHeight="false" outlineLevel="0" collapsed="false">
      <c r="A63" s="30" t="s">
        <v>50</v>
      </c>
    </row>
    <row r="64" customFormat="false" ht="15" hidden="false" customHeight="false" outlineLevel="0" collapsed="false">
      <c r="A64" s="7" t="s">
        <v>51</v>
      </c>
    </row>
    <row r="65" customFormat="false" ht="15" hidden="false" customHeight="false" outlineLevel="0" collapsed="false">
      <c r="A65" s="7"/>
    </row>
    <row r="66" customFormat="false" ht="16" hidden="false" customHeight="false" outlineLevel="0" collapsed="false">
      <c r="A66" s="7" t="s">
        <v>52</v>
      </c>
    </row>
    <row r="67" customFormat="false" ht="15" hidden="false" customHeight="false" outlineLevel="0" collapsed="false">
      <c r="A67" s="7"/>
    </row>
    <row r="68" customFormat="false" ht="41" hidden="false" customHeight="false" outlineLevel="0" collapsed="false">
      <c r="A68" s="30" t="s">
        <v>53</v>
      </c>
    </row>
    <row r="69" customFormat="false" ht="28" hidden="false" customHeight="false" outlineLevel="0" collapsed="false">
      <c r="A69" s="30" t="s">
        <v>54</v>
      </c>
    </row>
    <row r="70" customFormat="false" ht="15" hidden="false" customHeight="false" outlineLevel="0" collapsed="false">
      <c r="A70" s="7"/>
    </row>
    <row r="71" customFormat="false" ht="16" hidden="false" customHeight="false" outlineLevel="0" collapsed="false">
      <c r="A71" s="7" t="s">
        <v>55</v>
      </c>
    </row>
    <row r="72" customFormat="false" ht="15" hidden="false" customHeight="false" outlineLevel="0" collapsed="false">
      <c r="A72" s="7"/>
    </row>
    <row r="73" customFormat="false" ht="16" hidden="false" customHeight="false" outlineLevel="0" collapsed="false">
      <c r="A73" s="7" t="s">
        <v>56</v>
      </c>
    </row>
    <row r="74" customFormat="false" ht="30" hidden="false" customHeight="false" outlineLevel="0" collapsed="false">
      <c r="A74" s="30" t="s">
        <v>57</v>
      </c>
    </row>
    <row r="75" customFormat="false" ht="15" hidden="false" customHeight="false" outlineLevel="0" collapsed="false">
      <c r="A75" s="7"/>
    </row>
    <row r="76" customFormat="false" ht="16" hidden="false" customHeight="false" outlineLevel="0" collapsed="false">
      <c r="A76" s="7" t="s">
        <v>58</v>
      </c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 t="s">
        <v>59</v>
      </c>
    </row>
    <row r="79" customFormat="false" ht="28" hidden="false" customHeight="false" outlineLevel="0" collapsed="false">
      <c r="A79" s="30" t="s">
        <v>60</v>
      </c>
    </row>
    <row r="80" customFormat="false" ht="15" hidden="false" customHeight="false" outlineLevel="0" collapsed="false">
      <c r="A80" s="7" t="s">
        <v>61</v>
      </c>
    </row>
    <row r="82" customFormat="false" ht="15.5" hidden="false" customHeight="false" outlineLevel="0" collapsed="false">
      <c r="A82" s="31" t="s">
        <v>62</v>
      </c>
    </row>
    <row r="83" customFormat="false" ht="15.5" hidden="false" customHeight="false" outlineLevel="0" collapsed="false">
      <c r="A83" s="2" t="s">
        <v>63</v>
      </c>
    </row>
    <row r="84" customFormat="false" ht="15.5" hidden="false" customHeight="false" outlineLevel="0" collapsed="false">
      <c r="A84" s="2" t="s">
        <v>64</v>
      </c>
    </row>
    <row r="85" customFormat="false" ht="15.5" hidden="false" customHeight="false" outlineLevel="0" collapsed="false">
      <c r="A85" s="2" t="s">
        <v>65</v>
      </c>
    </row>
    <row r="86" customFormat="false" ht="15.5" hidden="false" customHeight="false" outlineLevel="0" collapsed="false">
      <c r="A86" s="2" t="s">
        <v>66</v>
      </c>
    </row>
    <row r="87" customFormat="false" ht="15.5" hidden="false" customHeight="false" outlineLevel="0" collapsed="false">
      <c r="A87" s="2" t="s">
        <v>67</v>
      </c>
    </row>
    <row r="88" customFormat="false" ht="15.5" hidden="false" customHeight="false" outlineLevel="0" collapsed="false">
      <c r="A88" s="2" t="s">
        <v>68</v>
      </c>
    </row>
    <row r="90" customFormat="false" ht="15" hidden="false" customHeight="false" outlineLevel="0" collapsed="false">
      <c r="A90" s="4" t="s">
        <v>69</v>
      </c>
    </row>
    <row r="91" customFormat="false" ht="30" hidden="false" customHeight="false" outlineLevel="0" collapsed="false">
      <c r="A91" s="30" t="s">
        <v>70</v>
      </c>
    </row>
    <row r="92" customFormat="false" ht="28" hidden="false" customHeight="false" outlineLevel="0" collapsed="false">
      <c r="A92" s="30" t="s">
        <v>71</v>
      </c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4" t="s">
        <v>72</v>
      </c>
    </row>
    <row r="95" customFormat="false" ht="28" hidden="false" customHeight="false" outlineLevel="0" collapsed="false">
      <c r="A95" s="30" t="s">
        <v>73</v>
      </c>
    </row>
    <row r="96" customFormat="false" ht="29" hidden="false" customHeight="false" outlineLevel="0" collapsed="false">
      <c r="A96" s="30" t="s">
        <v>74</v>
      </c>
    </row>
    <row r="98" customFormat="false" ht="15.5" hidden="false" customHeight="false" outlineLevel="0" collapsed="false">
      <c r="A98" s="8" t="s">
        <v>75</v>
      </c>
    </row>
  </sheetData>
  <mergeCells count="5">
    <mergeCell ref="A5:L5"/>
    <mergeCell ref="A6:J6"/>
    <mergeCell ref="A7:N7"/>
    <mergeCell ref="A14:I1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K118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76</v>
      </c>
      <c r="B1" s="10"/>
      <c r="C1" s="10"/>
      <c r="D1" s="10"/>
    </row>
    <row r="3" customFormat="false" ht="15.5" hidden="false" customHeight="false" outlineLevel="0" collapsed="false">
      <c r="A3" s="11" t="s">
        <v>77</v>
      </c>
      <c r="B3" s="11"/>
      <c r="C3" s="11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78</v>
      </c>
      <c r="B4" s="13" t="s">
        <v>72</v>
      </c>
      <c r="C4" s="13"/>
    </row>
    <row r="5" customFormat="false" ht="16" hidden="false" customHeight="false" outlineLevel="0" collapsed="false">
      <c r="A5" s="9" t="s">
        <v>79</v>
      </c>
      <c r="B5" s="14" t="s">
        <v>80</v>
      </c>
      <c r="C5" s="14"/>
      <c r="D5" s="14"/>
      <c r="E5" s="14"/>
      <c r="F5" s="14"/>
      <c r="G5" s="14"/>
    </row>
    <row r="6" customFormat="false" ht="16" hidden="false" customHeight="false" outlineLevel="0" collapsed="false">
      <c r="A6" s="9" t="s">
        <v>81</v>
      </c>
      <c r="B6" s="14" t="s">
        <v>82</v>
      </c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9" t="s">
        <v>83</v>
      </c>
      <c r="B7" s="14" t="s">
        <v>84</v>
      </c>
      <c r="C7" s="14"/>
      <c r="D7" s="14"/>
      <c r="E7" s="14"/>
    </row>
    <row r="8" customFormat="false" ht="15" hidden="false" customHeight="false" outlineLevel="0" collapsed="false">
      <c r="A8" s="9" t="s">
        <v>85</v>
      </c>
      <c r="B8" s="14" t="s">
        <v>86</v>
      </c>
      <c r="C8" s="14"/>
      <c r="D8" s="14"/>
      <c r="E8" s="14"/>
    </row>
    <row r="10" customFormat="false" ht="15.5" hidden="false" customHeight="false" outlineLevel="0" collapsed="false">
      <c r="A10" s="11" t="s">
        <v>87</v>
      </c>
      <c r="B10" s="11"/>
      <c r="C10" s="11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3" t="s">
        <v>88</v>
      </c>
      <c r="B11" s="13" t="s">
        <v>89</v>
      </c>
      <c r="C11" s="13" t="s">
        <v>72</v>
      </c>
      <c r="D11" s="13"/>
      <c r="E11" s="13"/>
      <c r="F11" s="13"/>
      <c r="G11" s="13"/>
      <c r="H11" s="13"/>
    </row>
    <row r="12" customFormat="false" ht="16" hidden="false" customHeight="false" outlineLevel="0" collapsed="false">
      <c r="A12" s="9" t="s">
        <v>90</v>
      </c>
      <c r="B12" s="15" t="s">
        <v>91</v>
      </c>
      <c r="C12" s="32">
        <v>1</v>
      </c>
      <c r="D12" s="16"/>
    </row>
    <row r="13" customFormat="false" ht="15" hidden="false" customHeight="false" outlineLevel="0" collapsed="false">
      <c r="A13" s="9" t="s">
        <v>93</v>
      </c>
      <c r="B13" s="17" t="s">
        <v>94</v>
      </c>
      <c r="C13" s="14" t="s">
        <v>95</v>
      </c>
      <c r="D13" s="14"/>
      <c r="E13" s="14"/>
    </row>
    <row r="14" customFormat="false" ht="16" hidden="false" customHeight="false" outlineLevel="0" collapsed="false">
      <c r="A14" s="9" t="s">
        <v>96</v>
      </c>
      <c r="B14" s="17" t="s">
        <v>97</v>
      </c>
      <c r="C14" s="14" t="s">
        <v>98</v>
      </c>
      <c r="D14" s="14"/>
      <c r="E14" s="14"/>
      <c r="F14" s="14"/>
    </row>
    <row r="15" customFormat="false" ht="16" hidden="false" customHeight="false" outlineLevel="0" collapsed="false">
      <c r="A15" s="9" t="s">
        <v>99</v>
      </c>
      <c r="B15" s="18" t="n">
        <v>0.96</v>
      </c>
      <c r="C15" s="14" t="s">
        <v>100</v>
      </c>
      <c r="D15" s="14"/>
      <c r="E15" s="14"/>
    </row>
    <row r="16" customFormat="false" ht="16" hidden="false" customHeight="false" outlineLevel="0" collapsed="false">
      <c r="A16" s="9" t="s">
        <v>101</v>
      </c>
      <c r="B16" s="19" t="n">
        <v>0.9639</v>
      </c>
      <c r="C16" s="14" t="s">
        <v>102</v>
      </c>
      <c r="D16" s="14"/>
      <c r="E16" s="14"/>
    </row>
    <row r="17" customFormat="false" ht="15" hidden="false" customHeight="false" outlineLevel="0" collapsed="false">
      <c r="A17" s="9" t="s">
        <v>103</v>
      </c>
      <c r="B17" s="15" t="s">
        <v>104</v>
      </c>
      <c r="C17" s="14" t="s">
        <v>105</v>
      </c>
      <c r="D17" s="14"/>
    </row>
    <row r="18" customFormat="false" ht="16" hidden="false" customHeight="false" outlineLevel="0" collapsed="false">
      <c r="A18" s="20" t="s">
        <v>106</v>
      </c>
      <c r="B18" s="21" t="n">
        <f aca="false">B16-B15</f>
        <v>0.00390000000000001</v>
      </c>
      <c r="C18" s="14" t="s">
        <v>107</v>
      </c>
      <c r="D18" s="14"/>
      <c r="E18" s="14"/>
      <c r="F18" s="14"/>
    </row>
    <row r="20" customFormat="false" ht="15.5" hidden="false" customHeight="false" outlineLevel="0" collapsed="false">
      <c r="A20" s="11" t="s">
        <v>108</v>
      </c>
      <c r="B20" s="11"/>
      <c r="C20" s="11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3" t="s">
        <v>109</v>
      </c>
      <c r="B21" s="13" t="s">
        <v>110</v>
      </c>
      <c r="C21" s="13" t="s">
        <v>111</v>
      </c>
      <c r="D21" s="13"/>
    </row>
    <row r="22" customFormat="false" ht="16" hidden="false" customHeight="false" outlineLevel="0" collapsed="false">
      <c r="A22" s="33">
        <v>1</v>
      </c>
      <c r="B22" s="9" t="s">
        <v>113</v>
      </c>
      <c r="C22" s="14" t="s">
        <v>114</v>
      </c>
      <c r="D22" s="14"/>
    </row>
    <row r="23" customFormat="false" ht="16" hidden="false" customHeight="false" outlineLevel="0" collapsed="false">
      <c r="A23" s="33">
        <v>2</v>
      </c>
      <c r="B23" s="9" t="s">
        <v>116</v>
      </c>
      <c r="C23" s="16" t="s">
        <v>117</v>
      </c>
      <c r="D23" s="16"/>
      <c r="E23" s="16"/>
      <c r="F23" s="16"/>
      <c r="G23" s="16"/>
    </row>
    <row r="24" customFormat="false" ht="16" hidden="false" customHeight="false" outlineLevel="0" collapsed="false">
      <c r="A24" s="33">
        <v>3</v>
      </c>
      <c r="B24" s="9" t="s">
        <v>119</v>
      </c>
      <c r="C24" s="14" t="s">
        <v>120</v>
      </c>
      <c r="D24" s="14"/>
      <c r="E24" s="14"/>
    </row>
    <row r="25" customFormat="false" ht="16" hidden="false" customHeight="false" outlineLevel="0" collapsed="false">
      <c r="A25" s="33">
        <v>4</v>
      </c>
      <c r="B25" s="9" t="s">
        <v>122</v>
      </c>
      <c r="C25" s="14" t="s">
        <v>123</v>
      </c>
      <c r="D25" s="14"/>
      <c r="E25" s="14"/>
    </row>
    <row r="26" customFormat="false" ht="16" hidden="false" customHeight="false" outlineLevel="0" collapsed="false">
      <c r="A26" s="33">
        <v>5</v>
      </c>
      <c r="B26" s="9" t="s">
        <v>125</v>
      </c>
      <c r="C26" s="14" t="s">
        <v>126</v>
      </c>
      <c r="D26" s="14"/>
      <c r="E26" s="14"/>
      <c r="F26" s="14"/>
      <c r="G26" s="14"/>
    </row>
    <row r="28" customFormat="false" ht="15.5" hidden="false" customHeight="false" outlineLevel="0" collapsed="false">
      <c r="A28" s="11" t="s">
        <v>127</v>
      </c>
      <c r="B28" s="11"/>
      <c r="C28" s="11"/>
      <c r="D28" s="11"/>
      <c r="E28" s="12"/>
      <c r="F28" s="12"/>
      <c r="G28" s="12"/>
      <c r="H28" s="12"/>
    </row>
    <row r="29" customFormat="false" ht="15.5" hidden="false" customHeight="false" outlineLevel="0" collapsed="false">
      <c r="A29" s="13" t="s">
        <v>128</v>
      </c>
      <c r="B29" s="13" t="s">
        <v>129</v>
      </c>
      <c r="C29" s="13" t="s">
        <v>130</v>
      </c>
      <c r="D29" s="34">
        <v>0.95</v>
      </c>
      <c r="E29" s="23"/>
      <c r="F29" s="23"/>
    </row>
    <row r="30" customFormat="false" ht="15" hidden="false" customHeight="false" outlineLevel="0" collapsed="false">
      <c r="A30" s="9" t="n">
        <v>1000</v>
      </c>
      <c r="B30" s="24" t="n">
        <v>0.05</v>
      </c>
      <c r="C30" s="25" t="n">
        <f aca="false">B30/SQRT(A30)</f>
        <v>0.00158113883008419</v>
      </c>
      <c r="D30" s="25" t="n">
        <f aca="false">2*C30</f>
        <v>0.00316227766016838</v>
      </c>
    </row>
    <row r="31" customFormat="false" ht="15" hidden="false" customHeight="false" outlineLevel="0" collapsed="false">
      <c r="A31" s="9" t="n">
        <v>10000</v>
      </c>
      <c r="B31" s="24" t="n">
        <v>0.05</v>
      </c>
      <c r="C31" s="25" t="n">
        <f aca="false">B31/SQRT(A31)</f>
        <v>0.0005</v>
      </c>
      <c r="D31" s="25" t="n">
        <f aca="false">2*C31</f>
        <v>0.001</v>
      </c>
    </row>
    <row r="32" customFormat="false" ht="15" hidden="false" customHeight="false" outlineLevel="0" collapsed="false">
      <c r="A32" s="9" t="n">
        <v>100000</v>
      </c>
      <c r="B32" s="24" t="n">
        <v>0.05</v>
      </c>
      <c r="C32" s="25" t="n">
        <f aca="false">B32/SQRT(A32)</f>
        <v>0.000158113883008419</v>
      </c>
      <c r="D32" s="25" t="n">
        <f aca="false">2*C32</f>
        <v>0.000316227766016838</v>
      </c>
    </row>
    <row r="33" customFormat="false" ht="15" hidden="false" customHeight="false" outlineLevel="0" collapsed="false">
      <c r="A33" s="9" t="n">
        <v>1000000</v>
      </c>
      <c r="B33" s="24" t="n">
        <v>0.05</v>
      </c>
      <c r="C33" s="25" t="n">
        <f aca="false">B33/SQRT(A33)</f>
        <v>5E-005</v>
      </c>
      <c r="D33" s="25" t="n">
        <f aca="false">2*C33</f>
        <v>0.0001</v>
      </c>
    </row>
    <row r="34" customFormat="false" ht="15.5" hidden="false" customHeight="true" outlineLevel="0" collapsed="false">
      <c r="A34" s="26" t="s">
        <v>132</v>
      </c>
      <c r="B34" s="26"/>
      <c r="C34" s="26"/>
      <c r="D34" s="26"/>
      <c r="E34" s="26"/>
      <c r="F34" s="26"/>
      <c r="G34" s="26"/>
      <c r="H34" s="26"/>
      <c r="I34" s="26"/>
    </row>
    <row r="36" customFormat="false" ht="15.5" hidden="false" customHeight="false" outlineLevel="0" collapsed="false">
      <c r="A36" s="11" t="s">
        <v>133</v>
      </c>
      <c r="B36" s="11"/>
      <c r="C36" s="11"/>
      <c r="D36" s="12"/>
      <c r="E36" s="12"/>
      <c r="F36" s="12"/>
      <c r="G36" s="12"/>
      <c r="H36" s="12"/>
    </row>
    <row r="37" customFormat="false" ht="15" hidden="false" customHeight="false" outlineLevel="0" collapsed="false">
      <c r="A37" s="13" t="s">
        <v>134</v>
      </c>
      <c r="B37" s="13" t="s">
        <v>135</v>
      </c>
      <c r="C37" s="13" t="s">
        <v>72</v>
      </c>
      <c r="D37" s="13"/>
      <c r="E37" s="13"/>
      <c r="F37" s="13"/>
      <c r="G37" s="13"/>
      <c r="H37" s="13"/>
    </row>
    <row r="38" customFormat="false" ht="16" hidden="false" customHeight="false" outlineLevel="0" collapsed="false">
      <c r="A38" s="9" t="s">
        <v>136</v>
      </c>
      <c r="B38" s="27" t="str">
        <f aca="false">IF(ABS(B15-0.96)&lt;0.0001,"✓","✗")</f>
        <v>✓</v>
      </c>
      <c r="C38" s="33">
        <v>12</v>
      </c>
    </row>
    <row r="39" customFormat="false" ht="16" hidden="false" customHeight="false" outlineLevel="0" collapsed="false">
      <c r="A39" s="9" t="s">
        <v>138</v>
      </c>
      <c r="B39" s="27" t="str">
        <f aca="false">IF(ABS(B18-0.0039)&lt;0.0005,"✓","✗")</f>
        <v>✓</v>
      </c>
      <c r="C39" s="16" t="s">
        <v>139</v>
      </c>
      <c r="D39" s="16"/>
    </row>
    <row r="40" customFormat="false" ht="15" hidden="false" customHeight="false" outlineLevel="0" collapsed="false">
      <c r="A40" s="9" t="s">
        <v>140</v>
      </c>
      <c r="B40" s="27" t="str">
        <f aca="false">IF(C30&gt;C31,"✓","✗")</f>
        <v>✓</v>
      </c>
      <c r="C40" s="9" t="s">
        <v>141</v>
      </c>
    </row>
    <row r="42" customFormat="false" ht="28" hidden="false" customHeight="true" outlineLevel="0" collapsed="false">
      <c r="A42" s="26" t="s">
        <v>142</v>
      </c>
      <c r="B42" s="26"/>
      <c r="C42" s="26"/>
      <c r="D42" s="26"/>
    </row>
  </sheetData>
  <mergeCells count="26">
    <mergeCell ref="A1:D1"/>
    <mergeCell ref="A3:C3"/>
    <mergeCell ref="B5:G5"/>
    <mergeCell ref="B6:H6"/>
    <mergeCell ref="B7:E7"/>
    <mergeCell ref="B8:E8"/>
    <mergeCell ref="A10:C10"/>
    <mergeCell ref="C12:D12"/>
    <mergeCell ref="C13:E13"/>
    <mergeCell ref="C14:F14"/>
    <mergeCell ref="C15:E15"/>
    <mergeCell ref="C16:E16"/>
    <mergeCell ref="C17:D17"/>
    <mergeCell ref="C18:F18"/>
    <mergeCell ref="A20:C20"/>
    <mergeCell ref="C22:D22"/>
    <mergeCell ref="C23:G23"/>
    <mergeCell ref="C24:E24"/>
    <mergeCell ref="C25:E25"/>
    <mergeCell ref="C26:G26"/>
    <mergeCell ref="A28:D28"/>
    <mergeCell ref="D29:F29"/>
    <mergeCell ref="A34:I34"/>
    <mergeCell ref="A36:C36"/>
    <mergeCell ref="C39:D39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6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2026-09-29T15:06:26Z</dcterms:created>
  <dc:creator>openpyxl</dc:creator>
  <dc:description/>
  <dc:language>zh-CN</dc:language>
  <cp:lastModifiedBy/>
  <dcterms:modified xsi:type="dcterms:W3CDTF">2026-09-29T15:06:26Z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