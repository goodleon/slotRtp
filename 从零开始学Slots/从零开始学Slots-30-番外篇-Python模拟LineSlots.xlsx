
<file path=[Content_Types].xml><?xml version="1.0" encoding="utf-8"?>
<Types xmlns="http://schemas.openxmlformats.org/package/2006/content-types">
  <Default Extension="fntdata" ContentType="application/x-fontdata"/>
  <Default Extension="jpeg" ContentType="image/jpeg"/>
  <Default Extension="png" ContentType="image/png"/>
  <Default Extension="rels" ContentType="application/vnd.openxmlformats-package.relationships+xml"/>
  <Default Extension="xml" ContentType="application/xml"/>
  <Override PartName="/docProps/custom.xml" ContentType="application/vnd.openxmlformats-officedocument.custom-properties+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styles.xml" ContentType="application/vnd.openxmlformats-officedocument.spreadsheetml.styles+xml"/>
  <Override PartName="/xl/workbook.xml" ContentType="application/vnd.openxmlformats-officedocument.spreadsheetml.sheet.main+xml"/>
  <Override PartName="/xl/theme/theme1.xml" ContentType="application/vnd.openxmlformats-officedocument.theme+xml"/>
  <Override PartName="/xl/sharedStrings.xml" ContentType="application/vnd.openxmlformats-officedocument.spreadsheetml.sharedString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fileVersion appName="Calc"/>
  <workbookPr backupFile="false" showObjects="all" date1904="false"/>
  <workbookProtection/>
  <bookViews>
    <workbookView showHorizontalScroll="true" showVerticalScroll="true" showSheetTabs="true" xWindow="0" yWindow="0" windowWidth="16384" windowHeight="8192" tabRatio="600" firstSheet="0" activeTab="0"/>
  </bookViews>
  <sheets>
    <sheet name="说明" sheetId="1" state="visible" r:id="rId3"/>
    <sheet name="数据配表" sheetId="2" state="visible" r:id="rId4"/>
  </sheets>
  <calcPr iterateCount="100" refMode="A1" iterate="false" iterateDelta="0.0001" fullCalcOnLoad="1"/>
  <extLst>
    <ext xmlns:loext="http://schemas.libreoffice.org/" uri="{7626C862-2A13-11E5-B345-FEFF819CDC9F}">
      <loext:extCalcPr stringRefSyntax="ExcelA1"/>
    </ext>
  </extLst>
</workbook>
</file>

<file path=xl/sharedStrings.xml><?xml version="1.0" encoding="utf-8"?>
<sst xmlns="http://schemas.openxmlformats.org/spreadsheetml/2006/main" count="327" uniqueCount="310">
  <si>
    <r>
      <rPr>
        <b val="true"/>
        <sz val="14"/>
        <color rgb="FF1F4E79"/>
        <rFont val="Noto Sans SC"/>
        <family val="2"/>
        <charset val="134"/>
      </rPr>
      <t xml:space="preserve">从零开始学</t>
    </r>
    <r>
      <rPr>
        <b val="true"/>
        <sz val="14"/>
        <color rgb="FF1F4E79"/>
        <rFont val="Cambria"/>
        <family val="0"/>
        <charset val="1"/>
      </rPr>
      <t xml:space="preserve">Slots 30 —— </t>
    </r>
    <r>
      <rPr>
        <b val="true"/>
        <sz val="14"/>
        <color rgb="FF1F4E79"/>
        <rFont val="Noto Sans SC"/>
        <family val="2"/>
        <charset val="134"/>
      </rPr>
      <t xml:space="preserve">番外篇：</t>
    </r>
    <r>
      <rPr>
        <b val="true"/>
        <sz val="14"/>
        <color rgb="FF1F4E79"/>
        <rFont val="Cambria"/>
        <family val="0"/>
        <charset val="1"/>
      </rPr>
      <t xml:space="preserve">Python</t>
    </r>
    <r>
      <rPr>
        <b val="true"/>
        <sz val="14"/>
        <color rgb="FF1F4E79"/>
        <rFont val="Noto Sans SC"/>
        <family val="2"/>
        <charset val="134"/>
      </rPr>
      <t xml:space="preserve">模拟</t>
    </r>
    <r>
      <rPr>
        <b val="true"/>
        <sz val="14"/>
        <color rgb="FF1F4E79"/>
        <rFont val="Cambria"/>
        <family val="0"/>
        <charset val="1"/>
      </rPr>
      <t xml:space="preserve">Line Slots</t>
    </r>
  </si>
  <si>
    <r>
      <rPr>
        <sz val="11"/>
        <color rgb="FF808080"/>
        <rFont val="Noto Sans SC"/>
        <family val="2"/>
        <charset val="134"/>
      </rPr>
      <t xml:space="preserve">来源：知乎《</t>
    </r>
    <r>
      <rPr>
        <sz val="11"/>
        <color rgb="FF808080"/>
        <rFont val="Cambria"/>
        <family val="0"/>
        <charset val="1"/>
      </rPr>
      <t xml:space="preserve">Slots</t>
    </r>
    <r>
      <rPr>
        <sz val="11"/>
        <color rgb="FF808080"/>
        <rFont val="Noto Sans SC"/>
        <family val="2"/>
        <charset val="134"/>
      </rPr>
      <t xml:space="preserve">番外篇——</t>
    </r>
    <r>
      <rPr>
        <sz val="11"/>
        <color rgb="FF808080"/>
        <rFont val="Cambria"/>
        <family val="0"/>
        <charset val="1"/>
      </rPr>
      <t xml:space="preserve">Python</t>
    </r>
    <r>
      <rPr>
        <sz val="11"/>
        <color rgb="FF808080"/>
        <rFont val="Noto Sans SC"/>
        <family val="2"/>
        <charset val="134"/>
      </rPr>
      <t xml:space="preserve">模拟</t>
    </r>
    <r>
      <rPr>
        <sz val="11"/>
        <color rgb="FF808080"/>
        <rFont val="Cambria"/>
        <family val="0"/>
        <charset val="1"/>
      </rPr>
      <t xml:space="preserve">Line Slots</t>
    </r>
    <r>
      <rPr>
        <sz val="11"/>
        <color rgb="FF808080"/>
        <rFont val="Noto Sans SC"/>
        <family val="2"/>
        <charset val="134"/>
      </rPr>
      <t xml:space="preserve">》  </t>
    </r>
    <r>
      <rPr>
        <sz val="11"/>
        <color rgb="FF808080"/>
        <rFont val="Cambria"/>
        <family val="0"/>
        <charset val="1"/>
      </rPr>
      <t xml:space="preserve">https://zhuanlan.zhihu.com/p/633668409</t>
    </r>
  </si>
  <si>
    <r>
      <rPr>
        <sz val="11"/>
        <color rgb="FF808080"/>
        <rFont val="Noto Sans SC"/>
        <family val="2"/>
        <charset val="134"/>
      </rPr>
      <t xml:space="preserve">专栏：从零开始学</t>
    </r>
    <r>
      <rPr>
        <sz val="11"/>
        <color rgb="FF808080"/>
        <rFont val="Cambria"/>
        <family val="0"/>
        <charset val="1"/>
      </rPr>
      <t xml:space="preserve">Slots https://zhuanlan.zhihu.com/c_1645024821070356480 </t>
    </r>
    <r>
      <rPr>
        <sz val="11"/>
        <color rgb="FF808080"/>
        <rFont val="Noto Sans SC"/>
        <family val="2"/>
        <charset val="134"/>
      </rPr>
      <t xml:space="preserve">｜ 作者：</t>
    </r>
    <r>
      <rPr>
        <sz val="11"/>
        <color rgb="FF808080"/>
        <rFont val="Cambria"/>
        <family val="0"/>
        <charset val="1"/>
      </rPr>
      <t xml:space="preserve">ASlot</t>
    </r>
  </si>
  <si>
    <r>
      <rPr>
        <sz val="11"/>
        <color rgb="FF808080"/>
        <rFont val="Noto Sans SC"/>
        <family val="2"/>
        <charset val="134"/>
      </rPr>
      <t xml:space="preserve">正文：用户在本机离线保存的网页原件（浏览器「另存为 → 网页，全部」）；本页『原文整理』即该文全文，原文配图已取回 </t>
    </r>
    <r>
      <rPr>
        <sz val="11"/>
        <color rgb="FF808080"/>
        <rFont val="Cambria"/>
        <family val="0"/>
        <charset val="1"/>
      </rPr>
      <t xml:space="preserve">images/slots/</t>
    </r>
    <r>
      <rPr>
        <sz val="11"/>
        <color rgb="FF808080"/>
        <rFont val="Noto Sans SC"/>
        <family val="2"/>
        <charset val="134"/>
      </rPr>
      <t xml:space="preserve">。</t>
    </r>
  </si>
  <si>
    <r>
      <rPr>
        <sz val="11"/>
        <color rgb="FF808080"/>
        <rFont val="Noto Sans SC"/>
        <family val="2"/>
        <charset val="134"/>
      </rPr>
      <t xml:space="preserve">样式模板：捕鱼游戏数学</t>
    </r>
    <r>
      <rPr>
        <sz val="11"/>
        <color rgb="FF808080"/>
        <rFont val="Cambria"/>
        <family val="0"/>
        <charset val="1"/>
      </rPr>
      <t xml:space="preserve">-PartII-</t>
    </r>
    <r>
      <rPr>
        <sz val="11"/>
        <color rgb="FF808080"/>
        <rFont val="Noto Sans SC"/>
        <family val="2"/>
        <charset val="134"/>
      </rPr>
      <t xml:space="preserve">特殊炮模型</t>
    </r>
    <r>
      <rPr>
        <sz val="11"/>
        <color rgb="FF808080"/>
        <rFont val="Cambria"/>
        <family val="0"/>
        <charset val="1"/>
      </rPr>
      <t xml:space="preserve">.xlsx</t>
    </r>
    <r>
      <rPr>
        <sz val="11"/>
        <color rgb="FF808080"/>
        <rFont val="Noto Sans SC"/>
        <family val="2"/>
        <charset val="134"/>
      </rPr>
      <t xml:space="preserve">（分节深蓝底 </t>
    </r>
    <r>
      <rPr>
        <sz val="11"/>
        <color rgb="FF808080"/>
        <rFont val="Cambria"/>
        <family val="0"/>
        <charset val="1"/>
      </rPr>
      <t xml:space="preserve">+ </t>
    </r>
    <r>
      <rPr>
        <sz val="11"/>
        <color rgb="FF808080"/>
        <rFont val="Noto Sans SC"/>
        <family val="2"/>
        <charset val="134"/>
      </rPr>
      <t xml:space="preserve">表头浅蓝底 </t>
    </r>
    <r>
      <rPr>
        <sz val="11"/>
        <color rgb="FF808080"/>
        <rFont val="Cambria"/>
        <family val="0"/>
        <charset val="1"/>
      </rPr>
      <t xml:space="preserve">+ </t>
    </r>
    <r>
      <rPr>
        <sz val="11"/>
        <color rgb="FF808080"/>
        <rFont val="Noto Sans SC"/>
        <family val="2"/>
        <charset val="134"/>
      </rPr>
      <t xml:space="preserve">蓝字可改输入 </t>
    </r>
    <r>
      <rPr>
        <sz val="11"/>
        <color rgb="FF808080"/>
        <rFont val="Cambria"/>
        <family val="0"/>
        <charset val="1"/>
      </rPr>
      <t xml:space="preserve">+ </t>
    </r>
    <r>
      <rPr>
        <sz val="11"/>
        <color rgb="FF808080"/>
        <rFont val="Noto Sans SC"/>
        <family val="2"/>
        <charset val="134"/>
      </rPr>
      <t xml:space="preserve">黑字公式 </t>
    </r>
    <r>
      <rPr>
        <sz val="11"/>
        <color rgb="FF808080"/>
        <rFont val="Cambria"/>
        <family val="0"/>
        <charset val="1"/>
      </rPr>
      <t xml:space="preserve">+ </t>
    </r>
    <r>
      <rPr>
        <sz val="11"/>
        <color rgb="FF808080"/>
        <rFont val="Noto Sans SC"/>
        <family val="2"/>
        <charset val="134"/>
      </rPr>
      <t xml:space="preserve">黄底关键结果）</t>
    </r>
  </si>
  <si>
    <r>
      <rPr>
        <sz val="11"/>
        <color rgb="FF808080"/>
        <rFont val="Noto Sans SC"/>
        <family val="2"/>
        <charset val="134"/>
      </rPr>
      <t xml:space="preserve">配表说明：本篇的权重、</t>
    </r>
    <r>
      <rPr>
        <sz val="11"/>
        <color rgb="FF808080"/>
        <rFont val="Cambria"/>
        <family val="0"/>
        <charset val="1"/>
      </rPr>
      <t xml:space="preserve">BET</t>
    </r>
    <r>
      <rPr>
        <sz val="11"/>
        <color rgb="FF808080"/>
        <rFont val="Noto Sans SC"/>
        <family val="2"/>
        <charset val="134"/>
      </rPr>
      <t xml:space="preserve">、赔付倍数全部取自原文代码；【</t>
    </r>
    <r>
      <rPr>
        <sz val="11"/>
        <color rgb="FF808080"/>
        <rFont val="Cambria"/>
        <family val="0"/>
        <charset val="1"/>
      </rPr>
      <t xml:space="preserve">3</t>
    </r>
    <r>
      <rPr>
        <sz val="11"/>
        <color rgb="FF808080"/>
        <rFont val="Noto Sans SC"/>
        <family val="2"/>
        <charset val="134"/>
      </rPr>
      <t xml:space="preserve">】用与代码相同的口径（单线下注 ＝ </t>
    </r>
    <r>
      <rPr>
        <sz val="11"/>
        <color rgb="FF808080"/>
        <rFont val="Cambria"/>
        <family val="0"/>
        <charset val="1"/>
      </rPr>
      <t xml:space="preserve">BET÷3</t>
    </r>
    <r>
      <rPr>
        <sz val="11"/>
        <color rgb="FF808080"/>
        <rFont val="Noto Sans SC"/>
        <family val="2"/>
        <charset val="134"/>
      </rPr>
      <t xml:space="preserve">、线内三连判定）算出理论 </t>
    </r>
    <r>
      <rPr>
        <sz val="11"/>
        <color rgb="FF808080"/>
        <rFont val="Cambria"/>
        <family val="0"/>
        <charset val="1"/>
      </rPr>
      <t xml:space="preserve">RTP 0.96</t>
    </r>
    <r>
      <rPr>
        <sz val="11"/>
        <color rgb="FF808080"/>
        <rFont val="Noto Sans SC"/>
        <family val="2"/>
        <charset val="134"/>
      </rPr>
      <t xml:space="preserve">，模拟结果应收敛到该值——这正是原文「要么算出来，要么跑出来」的互相验证。</t>
    </r>
  </si>
  <si>
    <t xml:space="preserve">页签</t>
  </si>
  <si>
    <r>
      <rPr>
        <sz val="11"/>
        <color theme="1"/>
        <rFont val="Calibri"/>
        <family val="2"/>
        <charset val="1"/>
      </rPr>
      <t xml:space="preserve">· </t>
    </r>
    <r>
      <rPr>
        <sz val="11"/>
        <color theme="1"/>
        <rFont val="Noto Sans SC"/>
        <family val="2"/>
        <charset val="134"/>
      </rPr>
      <t xml:space="preserve">说明：本文整理 —— 来源、用法、要点、原文全文、配图清单、校验与声明。</t>
    </r>
  </si>
  <si>
    <r>
      <rPr>
        <sz val="11"/>
        <color theme="1"/>
        <rFont val="Calibri"/>
        <family val="2"/>
        <charset val="1"/>
      </rPr>
      <t xml:space="preserve">· </t>
    </r>
    <r>
      <rPr>
        <sz val="11"/>
        <color theme="1"/>
        <rFont val="Noto Sans SC"/>
        <family val="2"/>
        <charset val="134"/>
      </rPr>
      <t xml:space="preserve">数据配表：把原文讲到的方法</t>
    </r>
    <r>
      <rPr>
        <sz val="11"/>
        <color theme="1"/>
        <rFont val="Calibri"/>
        <family val="2"/>
        <charset val="1"/>
      </rPr>
      <t xml:space="preserve">/</t>
    </r>
    <r>
      <rPr>
        <sz val="11"/>
        <color theme="1"/>
        <rFont val="Noto Sans SC"/>
        <family val="2"/>
        <charset val="134"/>
      </rPr>
      <t xml:space="preserve">机制做成可改数值的配表（蓝字可改，公式自动联动）。</t>
    </r>
  </si>
  <si>
    <t xml:space="preserve">用法</t>
  </si>
  <si>
    <r>
      <rPr>
        <sz val="11"/>
        <color theme="1"/>
        <rFont val="Calibri"/>
        <family val="2"/>
        <charset val="1"/>
      </rPr>
      <t xml:space="preserve">1) </t>
    </r>
    <r>
      <rPr>
        <sz val="11"/>
        <color theme="1"/>
        <rFont val="Noto Sans SC"/>
        <family val="2"/>
        <charset val="134"/>
      </rPr>
      <t xml:space="preserve">先看本页『原文整理』，对照原文小标题读一遍；配图编号 ［配图 </t>
    </r>
    <r>
      <rPr>
        <sz val="11"/>
        <color theme="1"/>
        <rFont val="Calibri"/>
        <family val="2"/>
        <charset val="1"/>
      </rPr>
      <t xml:space="preserve">NN</t>
    </r>
    <r>
      <rPr>
        <sz val="11"/>
        <color theme="1"/>
        <rFont val="Noto Sans SC"/>
        <family val="2"/>
        <charset val="134"/>
      </rPr>
      <t xml:space="preserve">］ 对应 </t>
    </r>
    <r>
      <rPr>
        <sz val="11"/>
        <color theme="1"/>
        <rFont val="Calibri"/>
        <family val="2"/>
        <charset val="1"/>
      </rPr>
      <t xml:space="preserve">images/slots/633668409-NN.</t>
    </r>
    <r>
      <rPr>
        <sz val="11"/>
        <color theme="1"/>
        <rFont val="Noto Sans SC"/>
        <family val="2"/>
        <charset val="134"/>
      </rPr>
      <t xml:space="preserve">原扩展名。</t>
    </r>
  </si>
  <si>
    <r>
      <rPr>
        <sz val="11"/>
        <color theme="1"/>
        <rFont val="Calibri"/>
        <family val="2"/>
        <charset val="1"/>
      </rPr>
      <t xml:space="preserve">2) </t>
    </r>
    <r>
      <rPr>
        <sz val="11"/>
        <color theme="1"/>
        <rFont val="Noto Sans SC"/>
        <family val="2"/>
        <charset val="134"/>
      </rPr>
      <t xml:space="preserve">再看第 </t>
    </r>
    <r>
      <rPr>
        <sz val="11"/>
        <color theme="1"/>
        <rFont val="Calibri"/>
        <family val="2"/>
        <charset val="1"/>
      </rPr>
      <t xml:space="preserve">2 </t>
    </r>
    <r>
      <rPr>
        <sz val="11"/>
        <color theme="1"/>
        <rFont val="Noto Sans SC"/>
        <family val="2"/>
        <charset val="134"/>
      </rPr>
      <t xml:space="preserve">个页签『数据配表』：蓝字＝可改配置，黑字＝公式，黄底＝结果；改配置后各表自动联动。</t>
    </r>
  </si>
  <si>
    <r>
      <rPr>
        <sz val="11"/>
        <color theme="1"/>
        <rFont val="Calibri"/>
        <family val="2"/>
        <charset val="1"/>
      </rPr>
      <t xml:space="preserve">3) </t>
    </r>
    <r>
      <rPr>
        <sz val="11"/>
        <color theme="1"/>
        <rFont val="Noto Sans SC"/>
        <family val="2"/>
        <charset val="134"/>
      </rPr>
      <t xml:space="preserve">表内数值取自原文示例；原文只给方法而未给数值的部分，用同项目《老虎机数学入门 </t>
    </r>
    <r>
      <rPr>
        <sz val="11"/>
        <color theme="1"/>
        <rFont val="Calibri"/>
        <family val="2"/>
        <charset val="1"/>
      </rPr>
      <t xml:space="preserve">Part Ⅰ/Ⅱ</t>
    </r>
    <r>
      <rPr>
        <sz val="11"/>
        <color theme="1"/>
        <rFont val="Noto Sans SC"/>
        <family val="2"/>
        <charset val="134"/>
      </rPr>
      <t xml:space="preserve">》的示例数值（蓝字可改）。</t>
    </r>
  </si>
  <si>
    <t xml:space="preserve">要点</t>
  </si>
  <si>
    <r>
      <rPr>
        <sz val="11"/>
        <color theme="1"/>
        <rFont val="Calibri"/>
        <family val="2"/>
        <charset val="1"/>
      </rPr>
      <t xml:space="preserve">· </t>
    </r>
    <r>
      <rPr>
        <sz val="11"/>
        <color theme="1"/>
        <rFont val="Noto Sans SC"/>
        <family val="2"/>
        <charset val="134"/>
      </rPr>
      <t xml:space="preserve">承接 </t>
    </r>
    <r>
      <rPr>
        <sz val="11"/>
        <color theme="1"/>
        <rFont val="Calibri"/>
        <family val="2"/>
        <charset val="1"/>
      </rPr>
      <t xml:space="preserve">27 </t>
    </r>
    <r>
      <rPr>
        <sz val="11"/>
        <color theme="1"/>
        <rFont val="Noto Sans SC"/>
        <family val="2"/>
        <charset val="134"/>
      </rPr>
      <t xml:space="preserve">篇：用 </t>
    </r>
    <r>
      <rPr>
        <sz val="11"/>
        <color theme="1"/>
        <rFont val="Calibri"/>
        <family val="2"/>
        <charset val="1"/>
      </rPr>
      <t xml:space="preserve">Python </t>
    </r>
    <r>
      <rPr>
        <sz val="11"/>
        <color theme="1"/>
        <rFont val="Noto Sans SC"/>
        <family val="2"/>
        <charset val="134"/>
      </rPr>
      <t xml:space="preserve">重新实现固定卷轴 </t>
    </r>
    <r>
      <rPr>
        <sz val="11"/>
        <color theme="1"/>
        <rFont val="Calibri"/>
        <family val="2"/>
        <charset val="1"/>
      </rPr>
      <t xml:space="preserve">Line Slots </t>
    </r>
    <r>
      <rPr>
        <sz val="11"/>
        <color theme="1"/>
        <rFont val="Noto Sans SC"/>
        <family val="2"/>
        <charset val="134"/>
      </rPr>
      <t xml:space="preserve">的模拟，逻辑更易读。</t>
    </r>
  </si>
  <si>
    <r>
      <rPr>
        <sz val="11"/>
        <color theme="1"/>
        <rFont val="Calibri"/>
        <family val="2"/>
        <charset val="1"/>
      </rPr>
      <t xml:space="preserve">· </t>
    </r>
    <r>
      <rPr>
        <sz val="11"/>
        <color theme="1"/>
        <rFont val="Noto Sans SC"/>
        <family val="2"/>
        <charset val="134"/>
      </rPr>
      <t xml:space="preserve">原文观点：国内策划对模拟能力要求不高（岗位拆分细、部分厂商未做 </t>
    </r>
    <r>
      <rPr>
        <sz val="11"/>
        <color theme="1"/>
        <rFont val="Calibri"/>
        <family val="2"/>
        <charset val="1"/>
      </rPr>
      <t xml:space="preserve">Casino </t>
    </r>
    <r>
      <rPr>
        <sz val="11"/>
        <color theme="1"/>
        <rFont val="Noto Sans SC"/>
        <family val="2"/>
        <charset val="134"/>
      </rPr>
      <t xml:space="preserve">认证），</t>
    </r>
  </si>
  <si>
    <r>
      <rPr>
        <sz val="11"/>
        <color theme="1"/>
        <rFont val="Noto Sans SC"/>
        <family val="2"/>
        <charset val="134"/>
      </rPr>
      <t xml:space="preserve">  但若长期做 </t>
    </r>
    <r>
      <rPr>
        <sz val="11"/>
        <color theme="1"/>
        <rFont val="Calibri"/>
        <family val="2"/>
        <charset val="1"/>
      </rPr>
      <t xml:space="preserve">Slots </t>
    </r>
    <r>
      <rPr>
        <sz val="11"/>
        <color theme="1"/>
        <rFont val="Noto Sans SC"/>
        <family val="2"/>
        <charset val="134"/>
      </rPr>
      <t xml:space="preserve">数值，编程能力非常重要——海外 </t>
    </r>
    <r>
      <rPr>
        <sz val="11"/>
        <color theme="1"/>
        <rFont val="Calibri"/>
        <family val="2"/>
        <charset val="1"/>
      </rPr>
      <t xml:space="preserve">JD </t>
    </r>
    <r>
      <rPr>
        <sz val="11"/>
        <color theme="1"/>
        <rFont val="Noto Sans SC"/>
        <family val="2"/>
        <charset val="134"/>
      </rPr>
      <t xml:space="preserve">明确要求「数学 </t>
    </r>
    <r>
      <rPr>
        <sz val="11"/>
        <color theme="1"/>
        <rFont val="Calibri"/>
        <family val="2"/>
        <charset val="1"/>
      </rPr>
      <t xml:space="preserve">+ </t>
    </r>
    <r>
      <rPr>
        <sz val="11"/>
        <color theme="1"/>
        <rFont val="Noto Sans SC"/>
        <family val="2"/>
        <charset val="134"/>
      </rPr>
      <t xml:space="preserve">编程」或「强编程 </t>
    </r>
    <r>
      <rPr>
        <sz val="11"/>
        <color theme="1"/>
        <rFont val="Calibri"/>
        <family val="2"/>
        <charset val="1"/>
      </rPr>
      <t xml:space="preserve">+ </t>
    </r>
    <r>
      <rPr>
        <sz val="11"/>
        <color theme="1"/>
        <rFont val="Noto Sans SC"/>
        <family val="2"/>
        <charset val="134"/>
      </rPr>
      <t xml:space="preserve">基础数学」：</t>
    </r>
  </si>
  <si>
    <t xml:space="preserve">  要么算出来，要么跑出来。</t>
  </si>
  <si>
    <r>
      <rPr>
        <sz val="11"/>
        <color theme="1"/>
        <rFont val="Calibri"/>
        <family val="2"/>
        <charset val="1"/>
      </rPr>
      <t xml:space="preserve">· </t>
    </r>
    <r>
      <rPr>
        <sz val="11"/>
        <color theme="1"/>
        <rFont val="Noto Sans SC"/>
        <family val="2"/>
        <charset val="134"/>
      </rPr>
      <t xml:space="preserve">判断一款产品是不是「从结果倒推」（非概率控制）：把线上的赔付倍数代入 </t>
    </r>
    <r>
      <rPr>
        <sz val="11"/>
        <color theme="1"/>
        <rFont val="Calibri"/>
        <family val="2"/>
        <charset val="1"/>
      </rPr>
      <t xml:space="preserve">RTP </t>
    </r>
    <r>
      <rPr>
        <sz val="11"/>
        <color theme="1"/>
        <rFont val="Noto Sans SC"/>
        <family val="2"/>
        <charset val="134"/>
      </rPr>
      <t xml:space="preserve">计算，</t>
    </r>
  </si>
  <si>
    <r>
      <rPr>
        <sz val="11"/>
        <color theme="1"/>
        <rFont val="Noto Sans SC"/>
        <family val="2"/>
        <charset val="134"/>
      </rPr>
      <t xml:space="preserve">  若最低 </t>
    </r>
    <r>
      <rPr>
        <sz val="11"/>
        <color theme="1"/>
        <rFont val="Calibri"/>
        <family val="2"/>
        <charset val="1"/>
      </rPr>
      <t xml:space="preserve">RTP </t>
    </r>
    <r>
      <rPr>
        <sz val="11"/>
        <color theme="1"/>
        <rFont val="Noto Sans SC"/>
        <family val="2"/>
        <charset val="134"/>
      </rPr>
      <t xml:space="preserve">都高于 </t>
    </r>
    <r>
      <rPr>
        <sz val="11"/>
        <color theme="1"/>
        <rFont val="Calibri"/>
        <family val="2"/>
        <charset val="1"/>
      </rPr>
      <t xml:space="preserve">1</t>
    </r>
    <r>
      <rPr>
        <sz val="11"/>
        <color theme="1"/>
        <rFont val="Noto Sans SC"/>
        <family val="2"/>
        <charset val="134"/>
      </rPr>
      <t xml:space="preserve">、或 </t>
    </r>
    <r>
      <rPr>
        <sz val="11"/>
        <color theme="1"/>
        <rFont val="Calibri"/>
        <family val="2"/>
        <charset val="1"/>
      </rPr>
      <t xml:space="preserve">Base Game </t>
    </r>
    <r>
      <rPr>
        <sz val="11"/>
        <color theme="1"/>
        <rFont val="Noto Sans SC"/>
        <family val="2"/>
        <charset val="134"/>
      </rPr>
      <t xml:space="preserve">的 </t>
    </r>
    <r>
      <rPr>
        <sz val="11"/>
        <color theme="1"/>
        <rFont val="Calibri"/>
        <family val="2"/>
        <charset val="1"/>
      </rPr>
      <t xml:space="preserve">RTP </t>
    </r>
    <r>
      <rPr>
        <sz val="11"/>
        <color theme="1"/>
        <rFont val="Noto Sans SC"/>
        <family val="2"/>
        <charset val="134"/>
      </rPr>
      <t xml:space="preserve">超过 </t>
    </r>
    <r>
      <rPr>
        <sz val="11"/>
        <color theme="1"/>
        <rFont val="Calibri"/>
        <family val="2"/>
        <charset val="1"/>
      </rPr>
      <t xml:space="preserve">0.7</t>
    </r>
    <r>
      <rPr>
        <sz val="11"/>
        <color theme="1"/>
        <rFont val="Noto Sans SC"/>
        <family val="2"/>
        <charset val="134"/>
      </rPr>
      <t xml:space="preserve">，基本可以确定它是倒推法做的。</t>
    </r>
  </si>
  <si>
    <r>
      <rPr>
        <sz val="11"/>
        <color theme="1"/>
        <rFont val="Calibri"/>
        <family val="2"/>
        <charset val="1"/>
      </rPr>
      <t xml:space="preserve">· </t>
    </r>
    <r>
      <rPr>
        <sz val="11"/>
        <color theme="1"/>
        <rFont val="Noto Sans SC"/>
        <family val="2"/>
        <charset val="134"/>
      </rPr>
      <t xml:space="preserve">本例用 </t>
    </r>
    <r>
      <rPr>
        <sz val="11"/>
        <color theme="1"/>
        <rFont val="Calibri"/>
        <family val="2"/>
        <charset val="1"/>
      </rPr>
      <t xml:space="preserve">3*3 Line Slots</t>
    </r>
    <r>
      <rPr>
        <sz val="11"/>
        <color theme="1"/>
        <rFont val="Noto Sans SC"/>
        <family val="2"/>
        <charset val="134"/>
      </rPr>
      <t xml:space="preserve">：黑图标 </t>
    </r>
    <r>
      <rPr>
        <sz val="11"/>
        <color theme="1"/>
        <rFont val="Calibri"/>
        <family val="2"/>
        <charset val="1"/>
      </rPr>
      <t xml:space="preserve">8000/10000 </t>
    </r>
    <r>
      <rPr>
        <sz val="11"/>
        <color theme="1"/>
        <rFont val="Noto Sans SC"/>
        <family val="2"/>
        <charset val="134"/>
      </rPr>
      <t xml:space="preserve">＝ </t>
    </r>
    <r>
      <rPr>
        <sz val="11"/>
        <color theme="1"/>
        <rFont val="Calibri"/>
        <family val="2"/>
        <charset val="1"/>
      </rPr>
      <t xml:space="preserve">80%</t>
    </r>
    <r>
      <rPr>
        <sz val="11"/>
        <color theme="1"/>
        <rFont val="Noto Sans SC"/>
        <family val="2"/>
        <charset val="134"/>
      </rPr>
      <t xml:space="preserve">、白图标 </t>
    </r>
    <r>
      <rPr>
        <sz val="11"/>
        <color theme="1"/>
        <rFont val="Calibri"/>
        <family val="2"/>
        <charset val="1"/>
      </rPr>
      <t xml:space="preserve">20%</t>
    </r>
    <r>
      <rPr>
        <sz val="11"/>
        <color theme="1"/>
        <rFont val="Noto Sans SC"/>
        <family val="2"/>
        <charset val="134"/>
      </rPr>
      <t xml:space="preserve">；</t>
    </r>
    <r>
      <rPr>
        <sz val="11"/>
        <color theme="1"/>
        <rFont val="Calibri"/>
        <family val="2"/>
        <charset val="1"/>
      </rPr>
      <t xml:space="preserve">BET </t>
    </r>
    <r>
      <rPr>
        <sz val="11"/>
        <color theme="1"/>
        <rFont val="Noto Sans SC"/>
        <family val="2"/>
        <charset val="134"/>
      </rPr>
      <t xml:space="preserve">＝ </t>
    </r>
    <r>
      <rPr>
        <sz val="11"/>
        <color theme="1"/>
        <rFont val="Calibri"/>
        <family val="2"/>
        <charset val="1"/>
      </rPr>
      <t xml:space="preserve">1000</t>
    </r>
    <r>
      <rPr>
        <sz val="11"/>
        <color theme="1"/>
        <rFont val="Noto Sans SC"/>
        <family val="2"/>
        <charset val="134"/>
      </rPr>
      <t xml:space="preserve">；</t>
    </r>
  </si>
  <si>
    <r>
      <rPr>
        <sz val="11"/>
        <color theme="1"/>
        <rFont val="Noto Sans SC"/>
        <family val="2"/>
        <charset val="134"/>
      </rPr>
      <t xml:space="preserve">  单线下注 ＝ </t>
    </r>
    <r>
      <rPr>
        <sz val="11"/>
        <color theme="1"/>
        <rFont val="Calibri"/>
        <family val="2"/>
        <charset val="1"/>
      </rPr>
      <t xml:space="preserve">BET ÷ 3</t>
    </r>
    <r>
      <rPr>
        <sz val="11"/>
        <color theme="1"/>
        <rFont val="Noto Sans SC"/>
        <family val="2"/>
        <charset val="134"/>
      </rPr>
      <t xml:space="preserve">（</t>
    </r>
    <r>
      <rPr>
        <sz val="11"/>
        <color theme="1"/>
        <rFont val="Calibri"/>
        <family val="2"/>
        <charset val="1"/>
      </rPr>
      <t xml:space="preserve">3 </t>
    </r>
    <r>
      <rPr>
        <sz val="11"/>
        <color theme="1"/>
        <rFont val="Noto Sans SC"/>
        <family val="2"/>
        <charset val="134"/>
      </rPr>
      <t xml:space="preserve">条中奖线）；赔付：黑三连 </t>
    </r>
    <r>
      <rPr>
        <sz val="11"/>
        <color theme="1"/>
        <rFont val="Calibri"/>
        <family val="2"/>
        <charset val="1"/>
      </rPr>
      <t xml:space="preserve">1 </t>
    </r>
    <r>
      <rPr>
        <sz val="11"/>
        <color theme="1"/>
        <rFont val="Noto Sans SC"/>
        <family val="2"/>
        <charset val="134"/>
      </rPr>
      <t xml:space="preserve">倍、白三连 </t>
    </r>
    <r>
      <rPr>
        <sz val="11"/>
        <color theme="1"/>
        <rFont val="Calibri"/>
        <family val="2"/>
        <charset val="1"/>
      </rPr>
      <t xml:space="preserve">56 </t>
    </r>
    <r>
      <rPr>
        <sz val="11"/>
        <color theme="1"/>
        <rFont val="Noto Sans SC"/>
        <family val="2"/>
        <charset val="134"/>
      </rPr>
      <t xml:space="preserve">倍（均以 </t>
    </r>
    <r>
      <rPr>
        <sz val="11"/>
        <color theme="1"/>
        <rFont val="Calibri"/>
        <family val="2"/>
        <charset val="1"/>
      </rPr>
      <t xml:space="preserve">BET/3 </t>
    </r>
    <r>
      <rPr>
        <sz val="11"/>
        <color theme="1"/>
        <rFont val="Noto Sans SC"/>
        <family val="2"/>
        <charset val="134"/>
      </rPr>
      <t xml:space="preserve">为基数）。</t>
    </r>
  </si>
  <si>
    <r>
      <rPr>
        <sz val="11"/>
        <color theme="1"/>
        <rFont val="Calibri"/>
        <family val="2"/>
        <charset val="1"/>
      </rPr>
      <t xml:space="preserve">· </t>
    </r>
    <r>
      <rPr>
        <sz val="11"/>
        <color theme="1"/>
        <rFont val="Noto Sans SC"/>
        <family val="2"/>
        <charset val="134"/>
      </rPr>
      <t xml:space="preserve">流程：输入局数 → 每局对 </t>
    </r>
    <r>
      <rPr>
        <sz val="11"/>
        <color theme="1"/>
        <rFont val="Calibri"/>
        <family val="2"/>
        <charset val="1"/>
      </rPr>
      <t xml:space="preserve">9 </t>
    </r>
    <r>
      <rPr>
        <sz val="11"/>
        <color theme="1"/>
        <rFont val="Noto Sans SC"/>
        <family val="2"/>
        <charset val="134"/>
      </rPr>
      <t xml:space="preserve">个位置各取一次随机数（</t>
    </r>
    <r>
      <rPr>
        <sz val="11"/>
        <color theme="1"/>
        <rFont val="Calibri"/>
        <family val="2"/>
        <charset val="1"/>
      </rPr>
      <t xml:space="preserve">1~10000</t>
    </r>
    <r>
      <rPr>
        <sz val="11"/>
        <color theme="1"/>
        <rFont val="Noto Sans SC"/>
        <family val="2"/>
        <charset val="134"/>
      </rPr>
      <t xml:space="preserve">）→ 转黑</t>
    </r>
    <r>
      <rPr>
        <sz val="11"/>
        <color theme="1"/>
        <rFont val="Calibri"/>
        <family val="2"/>
        <charset val="1"/>
      </rPr>
      <t xml:space="preserve">/</t>
    </r>
    <r>
      <rPr>
        <sz val="11"/>
        <color theme="1"/>
        <rFont val="Noto Sans SC"/>
        <family val="2"/>
        <charset val="134"/>
      </rPr>
      <t xml:space="preserve">白 → 三条线分别判定 →</t>
    </r>
  </si>
  <si>
    <r>
      <rPr>
        <sz val="11"/>
        <color theme="1"/>
        <rFont val="Noto Sans SC"/>
        <family val="2"/>
        <charset val="134"/>
      </rPr>
      <t xml:space="preserve">  累加 </t>
    </r>
    <r>
      <rPr>
        <sz val="11"/>
        <color theme="1"/>
        <rFont val="Calibri"/>
        <family val="2"/>
        <charset val="1"/>
      </rPr>
      <t xml:space="preserve">WIN </t>
    </r>
    <r>
      <rPr>
        <sz val="11"/>
        <color theme="1"/>
        <rFont val="Noto Sans SC"/>
        <family val="2"/>
        <charset val="134"/>
      </rPr>
      <t xml:space="preserve">与 </t>
    </r>
    <r>
      <rPr>
        <sz val="11"/>
        <color theme="1"/>
        <rFont val="Calibri"/>
        <family val="2"/>
        <charset val="1"/>
      </rPr>
      <t xml:space="preserve">TotalBet → RTP </t>
    </r>
    <r>
      <rPr>
        <sz val="11"/>
        <color theme="1"/>
        <rFont val="Noto Sans SC"/>
        <family val="2"/>
        <charset val="134"/>
      </rPr>
      <t xml:space="preserve">＝ </t>
    </r>
    <r>
      <rPr>
        <sz val="11"/>
        <color theme="1"/>
        <rFont val="Calibri"/>
        <family val="2"/>
        <charset val="1"/>
      </rPr>
      <t xml:space="preserve">WIN ÷ TotalBet</t>
    </r>
    <r>
      <rPr>
        <sz val="11"/>
        <color theme="1"/>
        <rFont val="Noto Sans SC"/>
        <family val="2"/>
        <charset val="134"/>
      </rPr>
      <t xml:space="preserve">；跑 </t>
    </r>
    <r>
      <rPr>
        <sz val="11"/>
        <color theme="1"/>
        <rFont val="Calibri"/>
        <family val="2"/>
        <charset val="1"/>
      </rPr>
      <t xml:space="preserve">N </t>
    </r>
    <r>
      <rPr>
        <sz val="11"/>
        <color theme="1"/>
        <rFont val="Noto Sans SC"/>
        <family val="2"/>
        <charset val="134"/>
      </rPr>
      <t xml:space="preserve">次取平均。</t>
    </r>
  </si>
  <si>
    <r>
      <rPr>
        <sz val="11"/>
        <color theme="1"/>
        <rFont val="Calibri"/>
        <family val="2"/>
        <charset val="1"/>
      </rPr>
      <t xml:space="preserve">· </t>
    </r>
    <r>
      <rPr>
        <sz val="11"/>
        <color theme="1"/>
        <rFont val="Noto Sans SC"/>
        <family val="2"/>
        <charset val="134"/>
      </rPr>
      <t xml:space="preserve">本簿按同样口径算出的理论 </t>
    </r>
    <r>
      <rPr>
        <sz val="11"/>
        <color theme="1"/>
        <rFont val="Calibri"/>
        <family val="2"/>
        <charset val="1"/>
      </rPr>
      <t xml:space="preserve">RTP </t>
    </r>
    <r>
      <rPr>
        <sz val="11"/>
        <color theme="1"/>
        <rFont val="Noto Sans SC"/>
        <family val="2"/>
        <charset val="134"/>
      </rPr>
      <t xml:space="preserve">＝ </t>
    </r>
    <r>
      <rPr>
        <sz val="11"/>
        <color theme="1"/>
        <rFont val="Calibri"/>
        <family val="2"/>
        <charset val="1"/>
      </rPr>
      <t xml:space="preserve">0.96</t>
    </r>
    <r>
      <rPr>
        <sz val="11"/>
        <color theme="1"/>
        <rFont val="Noto Sans SC"/>
        <family val="2"/>
        <charset val="134"/>
      </rPr>
      <t xml:space="preserve">（黑 </t>
    </r>
    <r>
      <rPr>
        <sz val="11"/>
        <color theme="1"/>
        <rFont val="Calibri"/>
        <family val="2"/>
        <charset val="1"/>
      </rPr>
      <t xml:space="preserve">80%³ × 1 </t>
    </r>
    <r>
      <rPr>
        <sz val="11"/>
        <color theme="1"/>
        <rFont val="Noto Sans SC"/>
        <family val="2"/>
        <charset val="134"/>
      </rPr>
      <t xml:space="preserve">＋ 白 </t>
    </r>
    <r>
      <rPr>
        <sz val="11"/>
        <color theme="1"/>
        <rFont val="Calibri"/>
        <family val="2"/>
        <charset val="1"/>
      </rPr>
      <t xml:space="preserve">20%³ × 56</t>
    </r>
    <r>
      <rPr>
        <sz val="11"/>
        <color theme="1"/>
        <rFont val="Noto Sans SC"/>
        <family val="2"/>
        <charset val="134"/>
      </rPr>
      <t xml:space="preserve">），与模拟结果一致。</t>
    </r>
  </si>
  <si>
    <t xml:space="preserve">原文整理（全文，按原文小标题分段）</t>
  </si>
  <si>
    <r>
      <rPr>
        <sz val="11"/>
        <color theme="1"/>
        <rFont val="Noto Sans SC"/>
        <family val="2"/>
        <charset val="134"/>
      </rPr>
      <t xml:space="preserve">在之前的文章中有介绍使用</t>
    </r>
    <r>
      <rPr>
        <sz val="11"/>
        <color theme="1"/>
        <rFont val="Calibri"/>
        <family val="2"/>
        <charset val="1"/>
      </rPr>
      <t xml:space="preserve">VB</t>
    </r>
    <r>
      <rPr>
        <sz val="11"/>
        <color theme="1"/>
        <rFont val="Noto Sans SC"/>
        <family val="2"/>
        <charset val="134"/>
      </rPr>
      <t xml:space="preserve">模拟固定卷轴</t>
    </r>
    <r>
      <rPr>
        <sz val="11"/>
        <color theme="1"/>
        <rFont val="Calibri"/>
        <family val="2"/>
        <charset val="1"/>
      </rPr>
      <t xml:space="preserve">1*3 Line Slots</t>
    </r>
    <r>
      <rPr>
        <sz val="11"/>
        <color theme="1"/>
        <rFont val="Noto Sans SC"/>
        <family val="2"/>
        <charset val="134"/>
      </rPr>
      <t xml:space="preserve">的数值计算方法</t>
    </r>
  </si>
  <si>
    <t xml:space="preserve">需要强调这种模拟只是作为趣味性的内容进行分享，实际工作中搭建模拟系统的方法比文章中分享的要复杂得多</t>
  </si>
  <si>
    <r>
      <rPr>
        <sz val="11"/>
        <color theme="1"/>
        <rFont val="Noto Sans SC"/>
        <family val="2"/>
        <charset val="134"/>
      </rPr>
      <t xml:space="preserve">不过文章中的方法复现起来非常简单，新人</t>
    </r>
    <r>
      <rPr>
        <sz val="11"/>
        <color theme="1"/>
        <rFont val="Calibri"/>
        <family val="2"/>
        <charset val="1"/>
      </rPr>
      <t xml:space="preserve">Slots</t>
    </r>
    <r>
      <rPr>
        <sz val="11"/>
        <color theme="1"/>
        <rFont val="Noto Sans SC"/>
        <family val="2"/>
        <charset val="134"/>
      </rPr>
      <t xml:space="preserve">策划或者是没有自己跑过数据的策划都可以对照文档尝试一下，作为学习语言的开始也不错</t>
    </r>
  </si>
  <si>
    <r>
      <rPr>
        <sz val="11"/>
        <color theme="1"/>
        <rFont val="Noto Sans SC"/>
        <family val="2"/>
        <charset val="134"/>
      </rPr>
      <t xml:space="preserve">［内链卡片封面］</t>
    </r>
    <r>
      <rPr>
        <sz val="11"/>
        <color theme="1"/>
        <rFont val="Calibri"/>
        <family val="2"/>
        <charset val="1"/>
      </rPr>
      <t xml:space="preserve">633668409-01.png</t>
    </r>
  </si>
  <si>
    <r>
      <rPr>
        <sz val="11"/>
        <color theme="1"/>
        <rFont val="Noto Sans SC"/>
        <family val="2"/>
        <charset val="134"/>
      </rPr>
      <t xml:space="preserve">［原文内链卡片］《</t>
    </r>
    <r>
      <rPr>
        <sz val="11"/>
        <color theme="1"/>
        <rFont val="Calibri"/>
        <family val="2"/>
        <charset val="1"/>
      </rPr>
      <t xml:space="preserve">Slots</t>
    </r>
    <r>
      <rPr>
        <sz val="11"/>
        <color theme="1"/>
        <rFont val="Noto Sans SC"/>
        <family val="2"/>
        <charset val="134"/>
      </rPr>
      <t xml:space="preserve">番外篇——用</t>
    </r>
    <r>
      <rPr>
        <sz val="11"/>
        <color theme="1"/>
        <rFont val="Calibri"/>
        <family val="2"/>
        <charset val="1"/>
      </rPr>
      <t xml:space="preserve">VB</t>
    </r>
    <r>
      <rPr>
        <sz val="11"/>
        <color theme="1"/>
        <rFont val="Noto Sans SC"/>
        <family val="2"/>
        <charset val="134"/>
      </rPr>
      <t xml:space="preserve">模拟</t>
    </r>
    <r>
      <rPr>
        <sz val="11"/>
        <color theme="1"/>
        <rFont val="Calibri"/>
        <family val="2"/>
        <charset val="1"/>
      </rPr>
      <t xml:space="preserve">1*3 Slots</t>
    </r>
    <r>
      <rPr>
        <sz val="11"/>
        <color theme="1"/>
        <rFont val="Noto Sans SC"/>
        <family val="2"/>
        <charset val="134"/>
      </rPr>
      <t xml:space="preserve">》（</t>
    </r>
    <r>
      <rPr>
        <sz val="11"/>
        <color theme="1"/>
        <rFont val="Calibri"/>
        <family val="2"/>
        <charset val="1"/>
      </rPr>
      <t xml:space="preserve">5 </t>
    </r>
    <r>
      <rPr>
        <sz val="11"/>
        <color theme="1"/>
        <rFont val="Noto Sans SC"/>
        <family val="2"/>
        <charset val="134"/>
      </rPr>
      <t xml:space="preserve">赞同 </t>
    </r>
    <r>
      <rPr>
        <sz val="11"/>
        <color theme="1"/>
        <rFont val="Calibri"/>
        <family val="2"/>
        <charset val="1"/>
      </rPr>
      <t xml:space="preserve">· 1 </t>
    </r>
    <r>
      <rPr>
        <sz val="11"/>
        <color theme="1"/>
        <rFont val="Noto Sans SC"/>
        <family val="2"/>
        <charset val="134"/>
      </rPr>
      <t xml:space="preserve">评论）</t>
    </r>
  </si>
  <si>
    <r>
      <rPr>
        <sz val="11"/>
        <color theme="1"/>
        <rFont val="Noto Sans SC"/>
        <family val="2"/>
        <charset val="134"/>
      </rPr>
      <t xml:space="preserve">本片将延续上一篇番外篇的内容，使用更加便捷有效的</t>
    </r>
    <r>
      <rPr>
        <sz val="11"/>
        <color theme="1"/>
        <rFont val="Calibri"/>
        <family val="2"/>
        <charset val="1"/>
      </rPr>
      <t xml:space="preserve">Python</t>
    </r>
    <r>
      <rPr>
        <sz val="11"/>
        <color theme="1"/>
        <rFont val="Noto Sans SC"/>
        <family val="2"/>
        <charset val="134"/>
      </rPr>
      <t xml:space="preserve">来模拟</t>
    </r>
    <r>
      <rPr>
        <sz val="11"/>
        <color theme="1"/>
        <rFont val="Calibri"/>
        <family val="2"/>
        <charset val="1"/>
      </rPr>
      <t xml:space="preserve">Slots</t>
    </r>
    <r>
      <rPr>
        <sz val="11"/>
        <color theme="1"/>
        <rFont val="Noto Sans SC"/>
        <family val="2"/>
        <charset val="134"/>
      </rPr>
      <t xml:space="preserve">的数据</t>
    </r>
  </si>
  <si>
    <t xml:space="preserve">写在前面</t>
  </si>
  <si>
    <r>
      <rPr>
        <sz val="11"/>
        <color theme="1"/>
        <rFont val="Noto Sans SC"/>
        <family val="2"/>
        <charset val="134"/>
      </rPr>
      <t xml:space="preserve">上篇文章中也有聊到，在国内担任</t>
    </r>
    <r>
      <rPr>
        <sz val="11"/>
        <color theme="1"/>
        <rFont val="Calibri"/>
        <family val="2"/>
        <charset val="1"/>
      </rPr>
      <t xml:space="preserve">Slots</t>
    </r>
    <r>
      <rPr>
        <sz val="11"/>
        <color theme="1"/>
        <rFont val="Noto Sans SC"/>
        <family val="2"/>
        <charset val="134"/>
      </rPr>
      <t xml:space="preserve">的游戏策划其实对模拟数据的能力要求并不是很高</t>
    </r>
  </si>
  <si>
    <t xml:space="preserve">一方面是因为国内的策划岗位拆分得比较开，很多负责系统策划、玩法策划的岗位其实并不需要负责处理游戏的数值部分</t>
  </si>
  <si>
    <r>
      <rPr>
        <sz val="11"/>
        <color theme="1"/>
        <rFont val="Noto Sans SC"/>
        <family val="2"/>
        <charset val="134"/>
      </rPr>
      <t xml:space="preserve">另一方面，其实国内很多做</t>
    </r>
    <r>
      <rPr>
        <sz val="11"/>
        <color theme="1"/>
        <rFont val="Calibri"/>
        <family val="2"/>
        <charset val="1"/>
      </rPr>
      <t xml:space="preserve">Slots</t>
    </r>
    <r>
      <rPr>
        <sz val="11"/>
        <color theme="1"/>
        <rFont val="Noto Sans SC"/>
        <family val="2"/>
        <charset val="134"/>
      </rPr>
      <t xml:space="preserve">的厂商并不是非常正规，即使做的是海外发行，其实也有很多并没有进行</t>
    </r>
    <r>
      <rPr>
        <sz val="11"/>
        <color theme="1"/>
        <rFont val="Calibri"/>
        <family val="2"/>
        <charset val="1"/>
      </rPr>
      <t xml:space="preserve">Casino</t>
    </r>
    <r>
      <rPr>
        <sz val="11"/>
        <color theme="1"/>
        <rFont val="Noto Sans SC"/>
        <family val="2"/>
        <charset val="134"/>
      </rPr>
      <t xml:space="preserve">的认证，因此在数值的要求方面就比较低</t>
    </r>
  </si>
  <si>
    <r>
      <rPr>
        <sz val="11"/>
        <color theme="1"/>
        <rFont val="Noto Sans SC"/>
        <family val="2"/>
        <charset val="134"/>
      </rPr>
      <t xml:space="preserve">［配图 </t>
    </r>
    <r>
      <rPr>
        <sz val="11"/>
        <color theme="1"/>
        <rFont val="Calibri"/>
        <family val="2"/>
        <charset val="1"/>
      </rPr>
      <t xml:space="preserve">02</t>
    </r>
    <r>
      <rPr>
        <sz val="11"/>
        <color theme="1"/>
        <rFont val="Noto Sans SC"/>
        <family val="2"/>
        <charset val="134"/>
      </rPr>
      <t xml:space="preserve">］</t>
    </r>
    <r>
      <rPr>
        <sz val="11"/>
        <color theme="1"/>
        <rFont val="Calibri"/>
        <family val="2"/>
        <charset val="1"/>
      </rPr>
      <t xml:space="preserve">633668409-02.jpg</t>
    </r>
  </si>
  <si>
    <r>
      <rPr>
        <sz val="11"/>
        <color theme="1"/>
        <rFont val="Calibri"/>
        <family val="2"/>
        <charset val="1"/>
      </rPr>
      <t xml:space="preserve">Slots</t>
    </r>
    <r>
      <rPr>
        <sz val="11"/>
        <color theme="1"/>
        <rFont val="Noto Sans SC"/>
        <family val="2"/>
        <charset val="134"/>
      </rPr>
      <t xml:space="preserve">就包括在图中</t>
    </r>
    <r>
      <rPr>
        <sz val="11"/>
        <color theme="1"/>
        <rFont val="Calibri"/>
        <family val="2"/>
        <charset val="1"/>
      </rPr>
      <t xml:space="preserve">Casino</t>
    </r>
    <r>
      <rPr>
        <sz val="11"/>
        <color theme="1"/>
        <rFont val="Noto Sans SC"/>
        <family val="2"/>
        <charset val="134"/>
      </rPr>
      <t xml:space="preserve">类型中，如果需要合法合规地发行</t>
    </r>
    <r>
      <rPr>
        <sz val="11"/>
        <color theme="1"/>
        <rFont val="Calibri"/>
        <family val="2"/>
        <charset val="1"/>
      </rPr>
      <t xml:space="preserve">Slots</t>
    </r>
    <r>
      <rPr>
        <sz val="11"/>
        <color theme="1"/>
        <rFont val="Noto Sans SC"/>
        <family val="2"/>
        <charset val="134"/>
      </rPr>
      <t xml:space="preserve">产品，一般都需要通过当地的验证</t>
    </r>
  </si>
  <si>
    <r>
      <rPr>
        <sz val="11"/>
        <color theme="1"/>
        <rFont val="Noto Sans SC"/>
        <family val="2"/>
        <charset val="134"/>
      </rPr>
      <t xml:space="preserve">这里就不列举具体的产品了，大家可以尝试使用我之前文章中介绍的</t>
    </r>
    <r>
      <rPr>
        <sz val="11"/>
        <color theme="1"/>
        <rFont val="Calibri"/>
        <family val="2"/>
        <charset val="1"/>
      </rPr>
      <t xml:space="preserve">RTP</t>
    </r>
    <r>
      <rPr>
        <sz val="11"/>
        <color theme="1"/>
        <rFont val="Noto Sans SC"/>
        <family val="2"/>
        <charset val="134"/>
      </rPr>
      <t xml:space="preserve">计算方法，带入线上产品的图标各中奖组合的赔付倍数，当该产品最低的</t>
    </r>
    <r>
      <rPr>
        <sz val="11"/>
        <color theme="1"/>
        <rFont val="Calibri"/>
        <family val="2"/>
        <charset val="1"/>
      </rPr>
      <t xml:space="preserve">RTP</t>
    </r>
    <r>
      <rPr>
        <sz val="11"/>
        <color theme="1"/>
        <rFont val="Noto Sans SC"/>
        <family val="2"/>
        <charset val="134"/>
      </rPr>
      <t xml:space="preserve">都高于</t>
    </r>
    <r>
      <rPr>
        <sz val="11"/>
        <color theme="1"/>
        <rFont val="Calibri"/>
        <family val="2"/>
        <charset val="1"/>
      </rPr>
      <t xml:space="preserve">1</t>
    </r>
    <r>
      <rPr>
        <sz val="11"/>
        <color theme="1"/>
        <rFont val="Noto Sans SC"/>
        <family val="2"/>
        <charset val="134"/>
      </rPr>
      <t xml:space="preserve">或者</t>
    </r>
    <r>
      <rPr>
        <sz val="11"/>
        <color theme="1"/>
        <rFont val="Calibri"/>
        <family val="2"/>
        <charset val="1"/>
      </rPr>
      <t xml:space="preserve">Base Game</t>
    </r>
    <r>
      <rPr>
        <sz val="11"/>
        <color theme="1"/>
        <rFont val="Noto Sans SC"/>
        <family val="2"/>
        <charset val="134"/>
      </rPr>
      <t xml:space="preserve">的</t>
    </r>
    <r>
      <rPr>
        <sz val="11"/>
        <color theme="1"/>
        <rFont val="Calibri"/>
        <family val="2"/>
        <charset val="1"/>
      </rPr>
      <t xml:space="preserve">RTP</t>
    </r>
    <r>
      <rPr>
        <sz val="11"/>
        <color theme="1"/>
        <rFont val="Noto Sans SC"/>
        <family val="2"/>
        <charset val="134"/>
      </rPr>
      <t xml:space="preserve">超过</t>
    </r>
    <r>
      <rPr>
        <sz val="11"/>
        <color theme="1"/>
        <rFont val="Calibri"/>
        <family val="2"/>
        <charset val="1"/>
      </rPr>
      <t xml:space="preserve">0.7</t>
    </r>
    <r>
      <rPr>
        <sz val="11"/>
        <color theme="1"/>
        <rFont val="Noto Sans SC"/>
        <family val="2"/>
        <charset val="134"/>
      </rPr>
      <t xml:space="preserve">的时候，基本就可以确定该产品使用的是从结果往前倒推的方法</t>
    </r>
  </si>
  <si>
    <r>
      <rPr>
        <sz val="11"/>
        <color theme="1"/>
        <rFont val="Noto Sans SC"/>
        <family val="2"/>
        <charset val="134"/>
      </rPr>
      <t xml:space="preserve">以个人的工作经验来说，接手过的非概率控制的</t>
    </r>
    <r>
      <rPr>
        <sz val="11"/>
        <color theme="1"/>
        <rFont val="Calibri"/>
        <family val="2"/>
        <charset val="1"/>
      </rPr>
      <t xml:space="preserve">Slots</t>
    </r>
    <r>
      <rPr>
        <sz val="11"/>
        <color theme="1"/>
        <rFont val="Noto Sans SC"/>
        <family val="2"/>
        <charset val="134"/>
      </rPr>
      <t xml:space="preserve">产品调整为概率控制后，无论是流水还是回收的稳定性都有明显的提升</t>
    </r>
  </si>
  <si>
    <r>
      <rPr>
        <sz val="11"/>
        <color theme="1"/>
        <rFont val="Noto Sans SC"/>
        <family val="2"/>
        <charset val="134"/>
      </rPr>
      <t xml:space="preserve">另外，从个人的发展上来说，如果希望长期从事</t>
    </r>
    <r>
      <rPr>
        <sz val="11"/>
        <color theme="1"/>
        <rFont val="Calibri"/>
        <family val="2"/>
        <charset val="1"/>
      </rPr>
      <t xml:space="preserve">Slots</t>
    </r>
    <r>
      <rPr>
        <sz val="11"/>
        <color theme="1"/>
        <rFont val="Noto Sans SC"/>
        <family val="2"/>
        <charset val="134"/>
      </rPr>
      <t xml:space="preserve">数值策划的工作，学会使用编程软件模拟数据也是非常重要的，以海外场上的</t>
    </r>
    <r>
      <rPr>
        <sz val="11"/>
        <color theme="1"/>
        <rFont val="Calibri"/>
        <family val="2"/>
        <charset val="1"/>
      </rPr>
      <t xml:space="preserve">JD</t>
    </r>
    <r>
      <rPr>
        <sz val="11"/>
        <color theme="1"/>
        <rFont val="Noto Sans SC"/>
        <family val="2"/>
        <charset val="134"/>
      </rPr>
      <t xml:space="preserve">为例，其中明确地指出策划需要很强的数学能力和不错的编程能力、或者是很强的编程能力配上一些基础数学知识</t>
    </r>
  </si>
  <si>
    <r>
      <rPr>
        <sz val="11"/>
        <color theme="1"/>
        <rFont val="Noto Sans SC"/>
        <family val="2"/>
        <charset val="134"/>
      </rPr>
      <t xml:space="preserve">［配图 </t>
    </r>
    <r>
      <rPr>
        <sz val="11"/>
        <color theme="1"/>
        <rFont val="Calibri"/>
        <family val="2"/>
        <charset val="1"/>
      </rPr>
      <t xml:space="preserve">03</t>
    </r>
    <r>
      <rPr>
        <sz val="11"/>
        <color theme="1"/>
        <rFont val="Noto Sans SC"/>
        <family val="2"/>
        <charset val="134"/>
      </rPr>
      <t xml:space="preserve">］</t>
    </r>
    <r>
      <rPr>
        <sz val="11"/>
        <color theme="1"/>
        <rFont val="Calibri"/>
        <family val="2"/>
        <charset val="1"/>
      </rPr>
      <t xml:space="preserve">633668409-03.jpg</t>
    </r>
  </si>
  <si>
    <t xml:space="preserve">要么算出来，要么跑出来</t>
  </si>
  <si>
    <r>
      <rPr>
        <sz val="11"/>
        <color theme="1"/>
        <rFont val="Noto Sans SC"/>
        <family val="2"/>
        <charset val="134"/>
      </rPr>
      <t xml:space="preserve">如果期待长期从事</t>
    </r>
    <r>
      <rPr>
        <sz val="11"/>
        <color theme="1"/>
        <rFont val="Calibri"/>
        <family val="2"/>
        <charset val="1"/>
      </rPr>
      <t xml:space="preserve">Slots</t>
    </r>
    <r>
      <rPr>
        <sz val="11"/>
        <color theme="1"/>
        <rFont val="Noto Sans SC"/>
        <family val="2"/>
        <charset val="134"/>
      </rPr>
      <t xml:space="preserve">产品的策划工作，能够同时掌握数值和模拟的能力，对个人发展和提升产品质量都是十分有帮助的</t>
    </r>
  </si>
  <si>
    <t xml:space="preserve">趣味分享</t>
  </si>
  <si>
    <r>
      <rPr>
        <sz val="11"/>
        <color theme="1"/>
        <rFont val="Calibri"/>
        <family val="2"/>
        <charset val="1"/>
      </rPr>
      <t xml:space="preserve">Python</t>
    </r>
    <r>
      <rPr>
        <sz val="11"/>
        <color theme="1"/>
        <rFont val="Noto Sans SC"/>
        <family val="2"/>
        <charset val="134"/>
      </rPr>
      <t xml:space="preserve">模拟</t>
    </r>
    <r>
      <rPr>
        <sz val="11"/>
        <color theme="1"/>
        <rFont val="Calibri"/>
        <family val="2"/>
        <charset val="1"/>
      </rPr>
      <t xml:space="preserve">Slots</t>
    </r>
    <r>
      <rPr>
        <sz val="11"/>
        <color theme="1"/>
        <rFont val="Noto Sans SC"/>
        <family val="2"/>
        <charset val="134"/>
      </rPr>
      <t xml:space="preserve">的知乎上有很多，大家可以去搜索合适自己的教程</t>
    </r>
  </si>
  <si>
    <r>
      <rPr>
        <sz val="11"/>
        <color theme="1"/>
        <rFont val="Noto Sans SC"/>
        <family val="2"/>
        <charset val="134"/>
      </rPr>
      <t xml:space="preserve">当然日中有不少是先判断是否中奖再生成图标的，这种的话和实际合规的</t>
    </r>
    <r>
      <rPr>
        <sz val="11"/>
        <color theme="1"/>
        <rFont val="Calibri"/>
        <family val="2"/>
        <charset val="1"/>
      </rPr>
      <t xml:space="preserve">Slots</t>
    </r>
    <r>
      <rPr>
        <sz val="11"/>
        <color theme="1"/>
        <rFont val="Noto Sans SC"/>
        <family val="2"/>
        <charset val="134"/>
      </rPr>
      <t xml:space="preserve">逻辑是不太一样的。参考的时候注意其逻辑是否和</t>
    </r>
    <r>
      <rPr>
        <sz val="11"/>
        <color theme="1"/>
        <rFont val="Calibri"/>
        <family val="2"/>
        <charset val="1"/>
      </rPr>
      <t xml:space="preserve">Slots</t>
    </r>
    <r>
      <rPr>
        <sz val="11"/>
        <color theme="1"/>
        <rFont val="Noto Sans SC"/>
        <family val="2"/>
        <charset val="134"/>
      </rPr>
      <t xml:space="preserve">的数值模型差不多就行</t>
    </r>
  </si>
  <si>
    <r>
      <rPr>
        <sz val="11"/>
        <color theme="1"/>
        <rFont val="Noto Sans SC"/>
        <family val="2"/>
        <charset val="134"/>
      </rPr>
      <t xml:space="preserve">这篇文章还是按照实际工作中制作</t>
    </r>
    <r>
      <rPr>
        <sz val="11"/>
        <color theme="1"/>
        <rFont val="Calibri"/>
        <family val="2"/>
        <charset val="1"/>
      </rPr>
      <t xml:space="preserve">Slots</t>
    </r>
    <r>
      <rPr>
        <sz val="11"/>
        <color theme="1"/>
        <rFont val="Noto Sans SC"/>
        <family val="2"/>
        <charset val="134"/>
      </rPr>
      <t xml:space="preserve">的方式进行模拟</t>
    </r>
  </si>
  <si>
    <r>
      <rPr>
        <sz val="11"/>
        <color theme="1"/>
        <rFont val="Noto Sans SC"/>
        <family val="2"/>
        <charset val="134"/>
      </rPr>
      <t xml:space="preserve">个人觉得</t>
    </r>
    <r>
      <rPr>
        <sz val="11"/>
        <color theme="1"/>
        <rFont val="Calibri"/>
        <family val="2"/>
        <charset val="1"/>
      </rPr>
      <t xml:space="preserve">Python</t>
    </r>
    <r>
      <rPr>
        <sz val="11"/>
        <color theme="1"/>
        <rFont val="Noto Sans SC"/>
        <family val="2"/>
        <charset val="134"/>
      </rPr>
      <t xml:space="preserve">和</t>
    </r>
    <r>
      <rPr>
        <sz val="11"/>
        <color theme="1"/>
        <rFont val="Calibri"/>
        <family val="2"/>
        <charset val="1"/>
      </rPr>
      <t xml:space="preserve">VB</t>
    </r>
    <r>
      <rPr>
        <sz val="11"/>
        <color theme="1"/>
        <rFont val="Noto Sans SC"/>
        <family val="2"/>
        <charset val="134"/>
      </rPr>
      <t xml:space="preserve">的语言还是比较类似的，都比较好阅读</t>
    </r>
  </si>
  <si>
    <r>
      <rPr>
        <sz val="11"/>
        <color theme="1"/>
        <rFont val="Noto Sans SC"/>
        <family val="2"/>
        <charset val="134"/>
      </rPr>
      <t xml:space="preserve">以之前介绍过数值的</t>
    </r>
    <r>
      <rPr>
        <sz val="11"/>
        <color theme="1"/>
        <rFont val="Calibri"/>
        <family val="2"/>
        <charset val="1"/>
      </rPr>
      <t xml:space="preserve">3*3Slots</t>
    </r>
    <r>
      <rPr>
        <sz val="11"/>
        <color theme="1"/>
        <rFont val="Noto Sans SC"/>
        <family val="2"/>
        <charset val="134"/>
      </rPr>
      <t xml:space="preserve">为例，先按照之前写</t>
    </r>
    <r>
      <rPr>
        <sz val="11"/>
        <color theme="1"/>
        <rFont val="Calibri"/>
        <family val="2"/>
        <charset val="1"/>
      </rPr>
      <t xml:space="preserve">VB</t>
    </r>
    <r>
      <rPr>
        <sz val="11"/>
        <color theme="1"/>
        <rFont val="Noto Sans SC"/>
        <family val="2"/>
        <charset val="134"/>
      </rPr>
      <t xml:space="preserve">时那样平铺直述的方式写一遍</t>
    </r>
  </si>
  <si>
    <r>
      <rPr>
        <sz val="11"/>
        <color theme="1"/>
        <rFont val="Calibri"/>
        <family val="2"/>
        <charset val="1"/>
      </rPr>
      <t xml:space="preserve">times = int(input("</t>
    </r>
    <r>
      <rPr>
        <sz val="11"/>
        <color theme="1"/>
        <rFont val="Noto Sans SC"/>
        <family val="2"/>
        <charset val="134"/>
      </rPr>
      <t xml:space="preserve">请输入模拟局数</t>
    </r>
    <r>
      <rPr>
        <sz val="11"/>
        <color theme="1"/>
        <rFont val="Calibri"/>
        <family val="2"/>
        <charset val="1"/>
      </rPr>
      <t xml:space="preserve">:"))</t>
    </r>
  </si>
  <si>
    <t xml:space="preserve">RateofLine1SymbolHei = 8000</t>
  </si>
  <si>
    <t xml:space="preserve">RateofLine2SymbolHei = 8000</t>
  </si>
  <si>
    <t xml:space="preserve">RateofLine3SymbolHei = 8000</t>
  </si>
  <si>
    <t xml:space="preserve">RateofLine1SymbolBai = 10000 - RateofLine1SymbolHei</t>
  </si>
  <si>
    <t xml:space="preserve">RateofLine2SymbolBai = 10000 - RateofLine2SymbolHei</t>
  </si>
  <si>
    <t xml:space="preserve">RateofLine3SymbolBai = 10000 - RateofLine3SymbolHei</t>
  </si>
  <si>
    <t xml:space="preserve">BET = 1000</t>
  </si>
  <si>
    <t xml:space="preserve">AllRTP =[]</t>
  </si>
  <si>
    <t xml:space="preserve">N = 10</t>
  </si>
  <si>
    <t xml:space="preserve">CreditsHei = 1 * BET / 3</t>
  </si>
  <si>
    <t xml:space="preserve">CreditsBai = 56 * BET / 3</t>
  </si>
  <si>
    <t xml:space="preserve">import random</t>
  </si>
  <si>
    <t xml:space="preserve">import numpy as np</t>
  </si>
  <si>
    <t xml:space="preserve">while N&gt;0:</t>
  </si>
  <si>
    <t xml:space="preserve"> TotalBet = 0</t>
  </si>
  <si>
    <t xml:space="preserve"> WIN = 0</t>
  </si>
  <si>
    <t xml:space="preserve"> n = times</t>
  </si>
  <si>
    <t xml:space="preserve"> while n&gt;0:</t>
  </si>
  <si>
    <t xml:space="preserve"> TotalBet = TotalBet + BET</t>
  </si>
  <si>
    <t xml:space="preserve"> A1Rand = random.randint(1,10000)</t>
  </si>
  <si>
    <t xml:space="preserve"> A2Rand = random.randint(1,10000)</t>
  </si>
  <si>
    <t xml:space="preserve"> A3Rand = random.randint(1,10000)</t>
  </si>
  <si>
    <t xml:space="preserve"> B1Rand = random.randint(1,10000)</t>
  </si>
  <si>
    <t xml:space="preserve"> B2Rand = random.randint(1,10000)</t>
  </si>
  <si>
    <t xml:space="preserve"> B3Rand = random.randint(1,10000)</t>
  </si>
  <si>
    <t xml:space="preserve"> C1Rand = random.randint(1,10000)</t>
  </si>
  <si>
    <t xml:space="preserve"> C2Rand = random.randint(1,10000)</t>
  </si>
  <si>
    <t xml:space="preserve"> C3Rand = random.randint(1,10000)</t>
  </si>
  <si>
    <t xml:space="preserve"> A1=None</t>
  </si>
  <si>
    <t xml:space="preserve"> A2=None</t>
  </si>
  <si>
    <t xml:space="preserve"> A3=None</t>
  </si>
  <si>
    <t xml:space="preserve"> B1=None</t>
  </si>
  <si>
    <t xml:space="preserve"> B2=None</t>
  </si>
  <si>
    <t xml:space="preserve"> B3=None</t>
  </si>
  <si>
    <t xml:space="preserve"> C1=None</t>
  </si>
  <si>
    <t xml:space="preserve"> C2=None</t>
  </si>
  <si>
    <t xml:space="preserve"> C3=None</t>
  </si>
  <si>
    <t xml:space="preserve"> if A1Rand &lt;= RateofLine1SymbolHei :</t>
  </si>
  <si>
    <r>
      <rPr>
        <sz val="11"/>
        <color theme="1"/>
        <rFont val="Calibri"/>
        <family val="2"/>
        <charset val="1"/>
      </rPr>
      <t xml:space="preserve"> A1 = "</t>
    </r>
    <r>
      <rPr>
        <sz val="11"/>
        <color theme="1"/>
        <rFont val="Noto Sans SC"/>
        <family val="2"/>
        <charset val="134"/>
      </rPr>
      <t xml:space="preserve">黑</t>
    </r>
    <r>
      <rPr>
        <sz val="11"/>
        <color theme="1"/>
        <rFont val="Calibri"/>
        <family val="2"/>
        <charset val="1"/>
      </rPr>
      <t xml:space="preserve">"</t>
    </r>
  </si>
  <si>
    <t xml:space="preserve"> else:</t>
  </si>
  <si>
    <r>
      <rPr>
        <sz val="11"/>
        <color theme="1"/>
        <rFont val="Calibri"/>
        <family val="2"/>
        <charset val="1"/>
      </rPr>
      <t xml:space="preserve"> A1 = "</t>
    </r>
    <r>
      <rPr>
        <sz val="11"/>
        <color theme="1"/>
        <rFont val="Noto Sans SC"/>
        <family val="2"/>
        <charset val="134"/>
      </rPr>
      <t xml:space="preserve">白</t>
    </r>
    <r>
      <rPr>
        <sz val="11"/>
        <color theme="1"/>
        <rFont val="Calibri"/>
        <family val="2"/>
        <charset val="1"/>
      </rPr>
      <t xml:space="preserve">"</t>
    </r>
  </si>
  <si>
    <t xml:space="preserve"> if A2Rand &lt;= RateofLine1SymbolHei :</t>
  </si>
  <si>
    <r>
      <rPr>
        <sz val="11"/>
        <color theme="1"/>
        <rFont val="Calibri"/>
        <family val="2"/>
        <charset val="1"/>
      </rPr>
      <t xml:space="preserve"> A2 = "</t>
    </r>
    <r>
      <rPr>
        <sz val="11"/>
        <color theme="1"/>
        <rFont val="Noto Sans SC"/>
        <family val="2"/>
        <charset val="134"/>
      </rPr>
      <t xml:space="preserve">黑</t>
    </r>
    <r>
      <rPr>
        <sz val="11"/>
        <color theme="1"/>
        <rFont val="Calibri"/>
        <family val="2"/>
        <charset val="1"/>
      </rPr>
      <t xml:space="preserve">"</t>
    </r>
  </si>
  <si>
    <r>
      <rPr>
        <sz val="11"/>
        <color theme="1"/>
        <rFont val="Calibri"/>
        <family val="2"/>
        <charset val="1"/>
      </rPr>
      <t xml:space="preserve"> A2 = "</t>
    </r>
    <r>
      <rPr>
        <sz val="11"/>
        <color theme="1"/>
        <rFont val="Noto Sans SC"/>
        <family val="2"/>
        <charset val="134"/>
      </rPr>
      <t xml:space="preserve">白</t>
    </r>
    <r>
      <rPr>
        <sz val="11"/>
        <color theme="1"/>
        <rFont val="Calibri"/>
        <family val="2"/>
        <charset val="1"/>
      </rPr>
      <t xml:space="preserve">"</t>
    </r>
  </si>
  <si>
    <t xml:space="preserve"> if A3Rand &lt;= RateofLine1SymbolHei :</t>
  </si>
  <si>
    <r>
      <rPr>
        <sz val="11"/>
        <color theme="1"/>
        <rFont val="Calibri"/>
        <family val="2"/>
        <charset val="1"/>
      </rPr>
      <t xml:space="preserve"> A3 = "</t>
    </r>
    <r>
      <rPr>
        <sz val="11"/>
        <color theme="1"/>
        <rFont val="Noto Sans SC"/>
        <family val="2"/>
        <charset val="134"/>
      </rPr>
      <t xml:space="preserve">黑</t>
    </r>
    <r>
      <rPr>
        <sz val="11"/>
        <color theme="1"/>
        <rFont val="Calibri"/>
        <family val="2"/>
        <charset val="1"/>
      </rPr>
      <t xml:space="preserve">"</t>
    </r>
  </si>
  <si>
    <r>
      <rPr>
        <sz val="11"/>
        <color theme="1"/>
        <rFont val="Calibri"/>
        <family val="2"/>
        <charset val="1"/>
      </rPr>
      <t xml:space="preserve"> A3 = "</t>
    </r>
    <r>
      <rPr>
        <sz val="11"/>
        <color theme="1"/>
        <rFont val="Noto Sans SC"/>
        <family val="2"/>
        <charset val="134"/>
      </rPr>
      <t xml:space="preserve">白</t>
    </r>
    <r>
      <rPr>
        <sz val="11"/>
        <color theme="1"/>
        <rFont val="Calibri"/>
        <family val="2"/>
        <charset val="1"/>
      </rPr>
      <t xml:space="preserve">"</t>
    </r>
  </si>
  <si>
    <t xml:space="preserve"> if B1Rand &lt;= RateofLine2SymbolHei :</t>
  </si>
  <si>
    <r>
      <rPr>
        <sz val="11"/>
        <color theme="1"/>
        <rFont val="Calibri"/>
        <family val="2"/>
        <charset val="1"/>
      </rPr>
      <t xml:space="preserve"> B1 = "</t>
    </r>
    <r>
      <rPr>
        <sz val="11"/>
        <color theme="1"/>
        <rFont val="Noto Sans SC"/>
        <family val="2"/>
        <charset val="134"/>
      </rPr>
      <t xml:space="preserve">黑</t>
    </r>
    <r>
      <rPr>
        <sz val="11"/>
        <color theme="1"/>
        <rFont val="Calibri"/>
        <family val="2"/>
        <charset val="1"/>
      </rPr>
      <t xml:space="preserve">"</t>
    </r>
  </si>
  <si>
    <r>
      <rPr>
        <sz val="11"/>
        <color theme="1"/>
        <rFont val="Calibri"/>
        <family val="2"/>
        <charset val="1"/>
      </rPr>
      <t xml:space="preserve"> B1 = "</t>
    </r>
    <r>
      <rPr>
        <sz val="11"/>
        <color theme="1"/>
        <rFont val="Noto Sans SC"/>
        <family val="2"/>
        <charset val="134"/>
      </rPr>
      <t xml:space="preserve">白</t>
    </r>
    <r>
      <rPr>
        <sz val="11"/>
        <color theme="1"/>
        <rFont val="Calibri"/>
        <family val="2"/>
        <charset val="1"/>
      </rPr>
      <t xml:space="preserve">"</t>
    </r>
  </si>
  <si>
    <t xml:space="preserve"> if B2Rand &lt;= RateofLine2SymbolHei :</t>
  </si>
  <si>
    <r>
      <rPr>
        <sz val="11"/>
        <color theme="1"/>
        <rFont val="Calibri"/>
        <family val="2"/>
        <charset val="1"/>
      </rPr>
      <t xml:space="preserve"> B2 = "</t>
    </r>
    <r>
      <rPr>
        <sz val="11"/>
        <color theme="1"/>
        <rFont val="Noto Sans SC"/>
        <family val="2"/>
        <charset val="134"/>
      </rPr>
      <t xml:space="preserve">黑</t>
    </r>
    <r>
      <rPr>
        <sz val="11"/>
        <color theme="1"/>
        <rFont val="Calibri"/>
        <family val="2"/>
        <charset val="1"/>
      </rPr>
      <t xml:space="preserve">"</t>
    </r>
  </si>
  <si>
    <r>
      <rPr>
        <sz val="11"/>
        <color theme="1"/>
        <rFont val="Calibri"/>
        <family val="2"/>
        <charset val="1"/>
      </rPr>
      <t xml:space="preserve"> B2 = "</t>
    </r>
    <r>
      <rPr>
        <sz val="11"/>
        <color theme="1"/>
        <rFont val="Noto Sans SC"/>
        <family val="2"/>
        <charset val="134"/>
      </rPr>
      <t xml:space="preserve">白</t>
    </r>
    <r>
      <rPr>
        <sz val="11"/>
        <color theme="1"/>
        <rFont val="Calibri"/>
        <family val="2"/>
        <charset val="1"/>
      </rPr>
      <t xml:space="preserve">"</t>
    </r>
  </si>
  <si>
    <t xml:space="preserve"> if B3Rand &lt;= RateofLine2SymbolHei :</t>
  </si>
  <si>
    <r>
      <rPr>
        <sz val="11"/>
        <color theme="1"/>
        <rFont val="Calibri"/>
        <family val="2"/>
        <charset val="1"/>
      </rPr>
      <t xml:space="preserve"> B3 = "</t>
    </r>
    <r>
      <rPr>
        <sz val="11"/>
        <color theme="1"/>
        <rFont val="Noto Sans SC"/>
        <family val="2"/>
        <charset val="134"/>
      </rPr>
      <t xml:space="preserve">黑</t>
    </r>
    <r>
      <rPr>
        <sz val="11"/>
        <color theme="1"/>
        <rFont val="Calibri"/>
        <family val="2"/>
        <charset val="1"/>
      </rPr>
      <t xml:space="preserve">"</t>
    </r>
  </si>
  <si>
    <r>
      <rPr>
        <sz val="11"/>
        <color theme="1"/>
        <rFont val="Calibri"/>
        <family val="2"/>
        <charset val="1"/>
      </rPr>
      <t xml:space="preserve"> B3 = "</t>
    </r>
    <r>
      <rPr>
        <sz val="11"/>
        <color theme="1"/>
        <rFont val="Noto Sans SC"/>
        <family val="2"/>
        <charset val="134"/>
      </rPr>
      <t xml:space="preserve">白</t>
    </r>
    <r>
      <rPr>
        <sz val="11"/>
        <color theme="1"/>
        <rFont val="Calibri"/>
        <family val="2"/>
        <charset val="1"/>
      </rPr>
      <t xml:space="preserve">"</t>
    </r>
  </si>
  <si>
    <t xml:space="preserve"> if C1Rand &lt;= RateofLine3SymbolHei :</t>
  </si>
  <si>
    <r>
      <rPr>
        <sz val="11"/>
        <color theme="1"/>
        <rFont val="Calibri"/>
        <family val="2"/>
        <charset val="1"/>
      </rPr>
      <t xml:space="preserve"> C1 = "</t>
    </r>
    <r>
      <rPr>
        <sz val="11"/>
        <color theme="1"/>
        <rFont val="Noto Sans SC"/>
        <family val="2"/>
        <charset val="134"/>
      </rPr>
      <t xml:space="preserve">黑</t>
    </r>
    <r>
      <rPr>
        <sz val="11"/>
        <color theme="1"/>
        <rFont val="Calibri"/>
        <family val="2"/>
        <charset val="1"/>
      </rPr>
      <t xml:space="preserve">"</t>
    </r>
  </si>
  <si>
    <r>
      <rPr>
        <sz val="11"/>
        <color theme="1"/>
        <rFont val="Calibri"/>
        <family val="2"/>
        <charset val="1"/>
      </rPr>
      <t xml:space="preserve"> C1 = "</t>
    </r>
    <r>
      <rPr>
        <sz val="11"/>
        <color theme="1"/>
        <rFont val="Noto Sans SC"/>
        <family val="2"/>
        <charset val="134"/>
      </rPr>
      <t xml:space="preserve">白</t>
    </r>
    <r>
      <rPr>
        <sz val="11"/>
        <color theme="1"/>
        <rFont val="Calibri"/>
        <family val="2"/>
        <charset val="1"/>
      </rPr>
      <t xml:space="preserve">"</t>
    </r>
  </si>
  <si>
    <t xml:space="preserve"> if C2Rand &lt;= RateofLine3SymbolHei :</t>
  </si>
  <si>
    <r>
      <rPr>
        <sz val="11"/>
        <color theme="1"/>
        <rFont val="Calibri"/>
        <family val="2"/>
        <charset val="1"/>
      </rPr>
      <t xml:space="preserve"> C2 = "</t>
    </r>
    <r>
      <rPr>
        <sz val="11"/>
        <color theme="1"/>
        <rFont val="Noto Sans SC"/>
        <family val="2"/>
        <charset val="134"/>
      </rPr>
      <t xml:space="preserve">黑</t>
    </r>
    <r>
      <rPr>
        <sz val="11"/>
        <color theme="1"/>
        <rFont val="Calibri"/>
        <family val="2"/>
        <charset val="1"/>
      </rPr>
      <t xml:space="preserve">"</t>
    </r>
  </si>
  <si>
    <r>
      <rPr>
        <sz val="11"/>
        <color theme="1"/>
        <rFont val="Calibri"/>
        <family val="2"/>
        <charset val="1"/>
      </rPr>
      <t xml:space="preserve"> C2 = "</t>
    </r>
    <r>
      <rPr>
        <sz val="11"/>
        <color theme="1"/>
        <rFont val="Noto Sans SC"/>
        <family val="2"/>
        <charset val="134"/>
      </rPr>
      <t xml:space="preserve">白</t>
    </r>
    <r>
      <rPr>
        <sz val="11"/>
        <color theme="1"/>
        <rFont val="Calibri"/>
        <family val="2"/>
        <charset val="1"/>
      </rPr>
      <t xml:space="preserve">"</t>
    </r>
  </si>
  <si>
    <t xml:space="preserve"> if C3Rand &lt;= RateofLine3SymbolHei :</t>
  </si>
  <si>
    <r>
      <rPr>
        <sz val="11"/>
        <color theme="1"/>
        <rFont val="Calibri"/>
        <family val="2"/>
        <charset val="1"/>
      </rPr>
      <t xml:space="preserve"> C3 = "</t>
    </r>
    <r>
      <rPr>
        <sz val="11"/>
        <color theme="1"/>
        <rFont val="Noto Sans SC"/>
        <family val="2"/>
        <charset val="134"/>
      </rPr>
      <t xml:space="preserve">黑</t>
    </r>
    <r>
      <rPr>
        <sz val="11"/>
        <color theme="1"/>
        <rFont val="Calibri"/>
        <family val="2"/>
        <charset val="1"/>
      </rPr>
      <t xml:space="preserve">"</t>
    </r>
  </si>
  <si>
    <r>
      <rPr>
        <sz val="11"/>
        <color theme="1"/>
        <rFont val="Calibri"/>
        <family val="2"/>
        <charset val="1"/>
      </rPr>
      <t xml:space="preserve"> C3 = "</t>
    </r>
    <r>
      <rPr>
        <sz val="11"/>
        <color theme="1"/>
        <rFont val="Noto Sans SC"/>
        <family val="2"/>
        <charset val="134"/>
      </rPr>
      <t xml:space="preserve">白</t>
    </r>
    <r>
      <rPr>
        <sz val="11"/>
        <color theme="1"/>
        <rFont val="Calibri"/>
        <family val="2"/>
        <charset val="1"/>
      </rPr>
      <t xml:space="preserve">"</t>
    </r>
  </si>
  <si>
    <t xml:space="preserve"> # print(A1,B1,C1,chr(10),A2,B2,C2,chr(10),A3,B3,C3,)</t>
  </si>
  <si>
    <t xml:space="preserve"> if A1==B1 and B1==C1:</t>
  </si>
  <si>
    <r>
      <rPr>
        <sz val="11"/>
        <color theme="1"/>
        <rFont val="Calibri"/>
        <family val="2"/>
        <charset val="1"/>
      </rPr>
      <t xml:space="preserve"> if A1 == "</t>
    </r>
    <r>
      <rPr>
        <sz val="11"/>
        <color theme="1"/>
        <rFont val="Noto Sans SC"/>
        <family val="2"/>
        <charset val="134"/>
      </rPr>
      <t xml:space="preserve">黑</t>
    </r>
    <r>
      <rPr>
        <sz val="11"/>
        <color theme="1"/>
        <rFont val="Calibri"/>
        <family val="2"/>
        <charset val="1"/>
      </rPr>
      <t xml:space="preserve">":</t>
    </r>
  </si>
  <si>
    <t xml:space="preserve"> WIN = WIN + CreditsHei</t>
  </si>
  <si>
    <r>
      <rPr>
        <sz val="11"/>
        <color theme="1"/>
        <rFont val="Calibri"/>
        <family val="2"/>
        <charset val="1"/>
      </rPr>
      <t xml:space="preserve"> elif A1 == "</t>
    </r>
    <r>
      <rPr>
        <sz val="11"/>
        <color theme="1"/>
        <rFont val="Noto Sans SC"/>
        <family val="2"/>
        <charset val="134"/>
      </rPr>
      <t xml:space="preserve">白</t>
    </r>
    <r>
      <rPr>
        <sz val="11"/>
        <color theme="1"/>
        <rFont val="Calibri"/>
        <family val="2"/>
        <charset val="1"/>
      </rPr>
      <t xml:space="preserve">":</t>
    </r>
  </si>
  <si>
    <t xml:space="preserve"> WIN = WIN + CreditsBai</t>
  </si>
  <si>
    <t xml:space="preserve"> # print(A1)</t>
  </si>
  <si>
    <t xml:space="preserve"> if A2==B2 and B2==C2:</t>
  </si>
  <si>
    <r>
      <rPr>
        <sz val="11"/>
        <color theme="1"/>
        <rFont val="Calibri"/>
        <family val="2"/>
        <charset val="1"/>
      </rPr>
      <t xml:space="preserve"> if A2 == "</t>
    </r>
    <r>
      <rPr>
        <sz val="11"/>
        <color theme="1"/>
        <rFont val="Noto Sans SC"/>
        <family val="2"/>
        <charset val="134"/>
      </rPr>
      <t xml:space="preserve">黑</t>
    </r>
    <r>
      <rPr>
        <sz val="11"/>
        <color theme="1"/>
        <rFont val="Calibri"/>
        <family val="2"/>
        <charset val="1"/>
      </rPr>
      <t xml:space="preserve">":</t>
    </r>
  </si>
  <si>
    <r>
      <rPr>
        <sz val="11"/>
        <color theme="1"/>
        <rFont val="Calibri"/>
        <family val="2"/>
        <charset val="1"/>
      </rPr>
      <t xml:space="preserve"> elif A2 == "</t>
    </r>
    <r>
      <rPr>
        <sz val="11"/>
        <color theme="1"/>
        <rFont val="Noto Sans SC"/>
        <family val="2"/>
        <charset val="134"/>
      </rPr>
      <t xml:space="preserve">白</t>
    </r>
    <r>
      <rPr>
        <sz val="11"/>
        <color theme="1"/>
        <rFont val="Calibri"/>
        <family val="2"/>
        <charset val="1"/>
      </rPr>
      <t xml:space="preserve">":</t>
    </r>
  </si>
  <si>
    <t xml:space="preserve"> # print(A2)</t>
  </si>
  <si>
    <t xml:space="preserve"> if A3== B3 and B3==C3:</t>
  </si>
  <si>
    <r>
      <rPr>
        <sz val="11"/>
        <color theme="1"/>
        <rFont val="Calibri"/>
        <family val="2"/>
        <charset val="1"/>
      </rPr>
      <t xml:space="preserve"> if A3 == "</t>
    </r>
    <r>
      <rPr>
        <sz val="11"/>
        <color theme="1"/>
        <rFont val="Noto Sans SC"/>
        <family val="2"/>
        <charset val="134"/>
      </rPr>
      <t xml:space="preserve">黑</t>
    </r>
    <r>
      <rPr>
        <sz val="11"/>
        <color theme="1"/>
        <rFont val="Calibri"/>
        <family val="2"/>
        <charset val="1"/>
      </rPr>
      <t xml:space="preserve">":</t>
    </r>
  </si>
  <si>
    <r>
      <rPr>
        <sz val="11"/>
        <color theme="1"/>
        <rFont val="Calibri"/>
        <family val="2"/>
        <charset val="1"/>
      </rPr>
      <t xml:space="preserve"> elif A3 == "</t>
    </r>
    <r>
      <rPr>
        <sz val="11"/>
        <color theme="1"/>
        <rFont val="Noto Sans SC"/>
        <family val="2"/>
        <charset val="134"/>
      </rPr>
      <t xml:space="preserve">白</t>
    </r>
    <r>
      <rPr>
        <sz val="11"/>
        <color theme="1"/>
        <rFont val="Calibri"/>
        <family val="2"/>
        <charset val="1"/>
      </rPr>
      <t xml:space="preserve">":</t>
    </r>
  </si>
  <si>
    <t xml:space="preserve"> # print(A3)</t>
  </si>
  <si>
    <t xml:space="preserve"> n=n-1</t>
  </si>
  <si>
    <t xml:space="preserve"> RTP = WIN / TotalBet</t>
  </si>
  <si>
    <t xml:space="preserve"> AllRTP.append(RTP)</t>
  </si>
  <si>
    <t xml:space="preserve"> print("RTP=",RTP)</t>
  </si>
  <si>
    <t xml:space="preserve"> N=N-1</t>
  </si>
  <si>
    <t xml:space="preserve">print(np.mean(AllRTP),np.var(AllRTP),np.sqrt(np.var(AllRTP)))</t>
  </si>
  <si>
    <t xml:space="preserve">基本上就是挨个生成图标，再判定图标的中奖情况</t>
  </si>
  <si>
    <r>
      <rPr>
        <sz val="11"/>
        <color theme="1"/>
        <rFont val="Noto Sans SC"/>
        <family val="2"/>
        <charset val="134"/>
      </rPr>
      <t xml:space="preserve">运行代码，每次跑</t>
    </r>
    <r>
      <rPr>
        <sz val="11"/>
        <color theme="1"/>
        <rFont val="Calibri"/>
        <family val="2"/>
        <charset val="1"/>
      </rPr>
      <t xml:space="preserve">50000</t>
    </r>
    <r>
      <rPr>
        <sz val="11"/>
        <color theme="1"/>
        <rFont val="Noto Sans SC"/>
        <family val="2"/>
        <charset val="134"/>
      </rPr>
      <t xml:space="preserve">局数据，共模拟</t>
    </r>
    <r>
      <rPr>
        <sz val="11"/>
        <color theme="1"/>
        <rFont val="Calibri"/>
        <family val="2"/>
        <charset val="1"/>
      </rPr>
      <t xml:space="preserve">10</t>
    </r>
    <r>
      <rPr>
        <sz val="11"/>
        <color theme="1"/>
        <rFont val="Noto Sans SC"/>
        <family val="2"/>
        <charset val="134"/>
      </rPr>
      <t xml:space="preserve">次</t>
    </r>
  </si>
  <si>
    <r>
      <rPr>
        <sz val="11"/>
        <color theme="1"/>
        <rFont val="Noto Sans SC"/>
        <family val="2"/>
        <charset val="134"/>
      </rPr>
      <t xml:space="preserve">得到平均</t>
    </r>
    <r>
      <rPr>
        <sz val="11"/>
        <color theme="1"/>
        <rFont val="Calibri"/>
        <family val="2"/>
        <charset val="1"/>
      </rPr>
      <t xml:space="preserve">RTP</t>
    </r>
    <r>
      <rPr>
        <sz val="11"/>
        <color theme="1"/>
        <rFont val="Noto Sans SC"/>
        <family val="2"/>
        <charset val="134"/>
      </rPr>
      <t xml:space="preserve">约为</t>
    </r>
    <r>
      <rPr>
        <sz val="11"/>
        <color theme="1"/>
        <rFont val="Calibri"/>
        <family val="2"/>
        <charset val="1"/>
      </rPr>
      <t xml:space="preserve">0.9592</t>
    </r>
    <r>
      <rPr>
        <sz val="11"/>
        <color theme="1"/>
        <rFont val="Noto Sans SC"/>
        <family val="2"/>
        <charset val="134"/>
      </rPr>
      <t xml:space="preserve">，方差约为</t>
    </r>
    <r>
      <rPr>
        <sz val="11"/>
        <color theme="1"/>
        <rFont val="Calibri"/>
        <family val="2"/>
        <charset val="1"/>
      </rPr>
      <t xml:space="preserve">0.002</t>
    </r>
    <r>
      <rPr>
        <sz val="11"/>
        <color theme="1"/>
        <rFont val="Noto Sans SC"/>
        <family val="2"/>
        <charset val="134"/>
      </rPr>
      <t xml:space="preserve">，标准差约为</t>
    </r>
    <r>
      <rPr>
        <sz val="11"/>
        <color theme="1"/>
        <rFont val="Calibri"/>
        <family val="2"/>
        <charset val="1"/>
      </rPr>
      <t xml:space="preserve">0.0138</t>
    </r>
  </si>
  <si>
    <r>
      <rPr>
        <sz val="11"/>
        <color theme="1"/>
        <rFont val="Noto Sans SC"/>
        <family val="2"/>
        <charset val="134"/>
      </rPr>
      <t xml:space="preserve">［配图 </t>
    </r>
    <r>
      <rPr>
        <sz val="11"/>
        <color theme="1"/>
        <rFont val="Calibri"/>
        <family val="2"/>
        <charset val="1"/>
      </rPr>
      <t xml:space="preserve">04</t>
    </r>
    <r>
      <rPr>
        <sz val="11"/>
        <color theme="1"/>
        <rFont val="Noto Sans SC"/>
        <family val="2"/>
        <charset val="134"/>
      </rPr>
      <t xml:space="preserve">］</t>
    </r>
    <r>
      <rPr>
        <sz val="11"/>
        <color theme="1"/>
        <rFont val="Calibri"/>
        <family val="2"/>
        <charset val="1"/>
      </rPr>
      <t xml:space="preserve">633668409-04.jpg</t>
    </r>
  </si>
  <si>
    <r>
      <rPr>
        <sz val="11"/>
        <color theme="1"/>
        <rFont val="Noto Sans SC"/>
        <family val="2"/>
        <charset val="134"/>
      </rPr>
      <t xml:space="preserve">将其和我们在</t>
    </r>
    <r>
      <rPr>
        <sz val="11"/>
        <color theme="1"/>
        <rFont val="Calibri"/>
        <family val="2"/>
        <charset val="1"/>
      </rPr>
      <t xml:space="preserve">Excel</t>
    </r>
    <r>
      <rPr>
        <sz val="11"/>
        <color theme="1"/>
        <rFont val="Noto Sans SC"/>
        <family val="2"/>
        <charset val="134"/>
      </rPr>
      <t xml:space="preserve">中计算得出的数据相比，结果基本一致</t>
    </r>
  </si>
  <si>
    <r>
      <rPr>
        <sz val="11"/>
        <color theme="1"/>
        <rFont val="Noto Sans SC"/>
        <family val="2"/>
        <charset val="134"/>
      </rPr>
      <t xml:space="preserve">［配图 </t>
    </r>
    <r>
      <rPr>
        <sz val="11"/>
        <color theme="1"/>
        <rFont val="Calibri"/>
        <family val="2"/>
        <charset val="1"/>
      </rPr>
      <t xml:space="preserve">05</t>
    </r>
    <r>
      <rPr>
        <sz val="11"/>
        <color theme="1"/>
        <rFont val="Noto Sans SC"/>
        <family val="2"/>
        <charset val="134"/>
      </rPr>
      <t xml:space="preserve">］</t>
    </r>
    <r>
      <rPr>
        <sz val="11"/>
        <color theme="1"/>
        <rFont val="Calibri"/>
        <family val="2"/>
        <charset val="1"/>
      </rPr>
      <t xml:space="preserve">633668409-05.png</t>
    </r>
  </si>
  <si>
    <t xml:space="preserve">在一般的工作中就会使用这样的方法对数值模型和跑数据工具进行互相检验</t>
  </si>
  <si>
    <t xml:space="preserve">当双方的数据出现比较大的差异时，那就需要回头查看造成该差异的原因</t>
  </si>
  <si>
    <r>
      <rPr>
        <sz val="11"/>
        <color theme="1"/>
        <rFont val="Noto Sans SC"/>
        <family val="2"/>
        <charset val="134"/>
      </rPr>
      <t xml:space="preserve">不仅是</t>
    </r>
    <r>
      <rPr>
        <sz val="11"/>
        <color theme="1"/>
        <rFont val="Calibri"/>
        <family val="2"/>
        <charset val="1"/>
      </rPr>
      <t xml:space="preserve">3*3 Line Slots</t>
    </r>
    <r>
      <rPr>
        <sz val="11"/>
        <color theme="1"/>
        <rFont val="Noto Sans SC"/>
        <family val="2"/>
        <charset val="134"/>
      </rPr>
      <t xml:space="preserve">这种比较简单的类型，比较复杂的</t>
    </r>
    <r>
      <rPr>
        <sz val="11"/>
        <color theme="1"/>
        <rFont val="Calibri"/>
        <family val="2"/>
        <charset val="1"/>
      </rPr>
      <t xml:space="preserve">Slots</t>
    </r>
    <r>
      <rPr>
        <sz val="11"/>
        <color theme="1"/>
        <rFont val="Noto Sans SC"/>
        <family val="2"/>
        <charset val="134"/>
      </rPr>
      <t xml:space="preserve">也是可以使用</t>
    </r>
    <r>
      <rPr>
        <sz val="11"/>
        <color theme="1"/>
        <rFont val="Calibri"/>
        <family val="2"/>
        <charset val="1"/>
      </rPr>
      <t xml:space="preserve">Python</t>
    </r>
    <r>
      <rPr>
        <sz val="11"/>
        <color theme="1"/>
        <rFont val="Noto Sans SC"/>
        <family val="2"/>
        <charset val="134"/>
      </rPr>
      <t xml:space="preserve">跑数据验证的</t>
    </r>
  </si>
  <si>
    <r>
      <rPr>
        <sz val="11"/>
        <color theme="1"/>
        <rFont val="Noto Sans SC"/>
        <family val="2"/>
        <charset val="134"/>
      </rPr>
      <t xml:space="preserve">不过相对复杂的</t>
    </r>
    <r>
      <rPr>
        <sz val="11"/>
        <color theme="1"/>
        <rFont val="Calibri"/>
        <family val="2"/>
        <charset val="1"/>
      </rPr>
      <t xml:space="preserve">Slots</t>
    </r>
    <r>
      <rPr>
        <sz val="11"/>
        <color theme="1"/>
        <rFont val="Noto Sans SC"/>
        <family val="2"/>
        <charset val="134"/>
      </rPr>
      <t xml:space="preserve">还使用上面的方式写的话代码量会变得比较大</t>
    </r>
  </si>
  <si>
    <r>
      <rPr>
        <sz val="11"/>
        <color theme="1"/>
        <rFont val="Noto Sans SC"/>
        <family val="2"/>
        <charset val="134"/>
      </rPr>
      <t xml:space="preserve">如果需要自己模拟数据，还是建议可以看看线上的</t>
    </r>
    <r>
      <rPr>
        <sz val="11"/>
        <color theme="1"/>
        <rFont val="Calibri"/>
        <family val="2"/>
        <charset val="1"/>
      </rPr>
      <t xml:space="preserve">Python</t>
    </r>
    <r>
      <rPr>
        <sz val="11"/>
        <color theme="1"/>
        <rFont val="Noto Sans SC"/>
        <family val="2"/>
        <charset val="134"/>
      </rPr>
      <t xml:space="preserve">教程，基本上学完循环语句和列表之后就可以完整的模拟大部分</t>
    </r>
    <r>
      <rPr>
        <sz val="11"/>
        <color theme="1"/>
        <rFont val="Calibri"/>
        <family val="2"/>
        <charset val="1"/>
      </rPr>
      <t xml:space="preserve">Slots</t>
    </r>
    <r>
      <rPr>
        <sz val="11"/>
        <color theme="1"/>
        <rFont val="Noto Sans SC"/>
        <family val="2"/>
        <charset val="134"/>
      </rPr>
      <t xml:space="preserve">了</t>
    </r>
  </si>
  <si>
    <r>
      <rPr>
        <sz val="11"/>
        <color theme="1"/>
        <rFont val="Noto Sans SC"/>
        <family val="2"/>
        <charset val="134"/>
      </rPr>
      <t xml:space="preserve">这里是加入了循环语句和列表的</t>
    </r>
    <r>
      <rPr>
        <sz val="11"/>
        <color theme="1"/>
        <rFont val="Calibri"/>
        <family val="2"/>
        <charset val="1"/>
      </rPr>
      <t xml:space="preserve">3*5</t>
    </r>
    <r>
      <rPr>
        <sz val="11"/>
        <color theme="1"/>
        <rFont val="Noto Sans SC"/>
        <family val="2"/>
        <charset val="134"/>
      </rPr>
      <t xml:space="preserve">代码</t>
    </r>
  </si>
  <si>
    <r>
      <rPr>
        <sz val="11"/>
        <color theme="1"/>
        <rFont val="Calibri"/>
        <family val="2"/>
        <charset val="1"/>
      </rPr>
      <t xml:space="preserve">totaltimes = int(input("</t>
    </r>
    <r>
      <rPr>
        <sz val="11"/>
        <color theme="1"/>
        <rFont val="Noto Sans SC"/>
        <family val="2"/>
        <charset val="134"/>
      </rPr>
      <t xml:space="preserve">请输入模拟次数</t>
    </r>
    <r>
      <rPr>
        <sz val="11"/>
        <color theme="1"/>
        <rFont val="Calibri"/>
        <family val="2"/>
        <charset val="1"/>
      </rPr>
      <t xml:space="preserve">:"))# </t>
    </r>
    <r>
      <rPr>
        <sz val="11"/>
        <color theme="1"/>
        <rFont val="Noto Sans SC"/>
        <family val="2"/>
        <charset val="134"/>
      </rPr>
      <t xml:space="preserve">输入模拟次数</t>
    </r>
  </si>
  <si>
    <t xml:space="preserve">while totaltimes != "end" or "END":</t>
  </si>
  <si>
    <t xml:space="preserve"> BET = 1000</t>
  </si>
  <si>
    <t xml:space="preserve"> Symbols = ["K","Q","J"]</t>
  </si>
  <si>
    <r>
      <rPr>
        <sz val="11"/>
        <color theme="1"/>
        <rFont val="Calibri"/>
        <family val="2"/>
        <charset val="1"/>
      </rPr>
      <t xml:space="preserve"> SymbolKOdds = [30,20,5]#</t>
    </r>
    <r>
      <rPr>
        <sz val="11"/>
        <color theme="1"/>
        <rFont val="Noto Sans SC"/>
        <family val="2"/>
        <charset val="134"/>
      </rPr>
      <t xml:space="preserve">图标</t>
    </r>
    <r>
      <rPr>
        <sz val="11"/>
        <color theme="1"/>
        <rFont val="Calibri"/>
        <family val="2"/>
        <charset val="1"/>
      </rPr>
      <t xml:space="preserve">K</t>
    </r>
    <r>
      <rPr>
        <sz val="11"/>
        <color theme="1"/>
        <rFont val="Noto Sans SC"/>
        <family val="2"/>
        <charset val="134"/>
      </rPr>
      <t xml:space="preserve">赔付倍数配置</t>
    </r>
  </si>
  <si>
    <r>
      <rPr>
        <sz val="11"/>
        <color theme="1"/>
        <rFont val="Calibri"/>
        <family val="2"/>
        <charset val="1"/>
      </rPr>
      <t xml:space="preserve"> SymbolQOdds = [15,10,5]#</t>
    </r>
    <r>
      <rPr>
        <sz val="11"/>
        <color theme="1"/>
        <rFont val="Noto Sans SC"/>
        <family val="2"/>
        <charset val="134"/>
      </rPr>
      <t xml:space="preserve">图标</t>
    </r>
    <r>
      <rPr>
        <sz val="11"/>
        <color theme="1"/>
        <rFont val="Calibri"/>
        <family val="2"/>
        <charset val="1"/>
      </rPr>
      <t xml:space="preserve">Q</t>
    </r>
    <r>
      <rPr>
        <sz val="11"/>
        <color theme="1"/>
        <rFont val="Noto Sans SC"/>
        <family val="2"/>
        <charset val="134"/>
      </rPr>
      <t xml:space="preserve">赔付倍数配置</t>
    </r>
  </si>
  <si>
    <r>
      <rPr>
        <sz val="11"/>
        <color theme="1"/>
        <rFont val="Calibri"/>
        <family val="2"/>
        <charset val="1"/>
      </rPr>
      <t xml:space="preserve"> SymbolJOdds = [15,10,5]#</t>
    </r>
    <r>
      <rPr>
        <sz val="11"/>
        <color theme="1"/>
        <rFont val="Noto Sans SC"/>
        <family val="2"/>
        <charset val="134"/>
      </rPr>
      <t xml:space="preserve">图标</t>
    </r>
    <r>
      <rPr>
        <sz val="11"/>
        <color theme="1"/>
        <rFont val="Calibri"/>
        <family val="2"/>
        <charset val="1"/>
      </rPr>
      <t xml:space="preserve">J</t>
    </r>
    <r>
      <rPr>
        <sz val="11"/>
        <color theme="1"/>
        <rFont val="Noto Sans SC"/>
        <family val="2"/>
        <charset val="134"/>
      </rPr>
      <t xml:space="preserve">赔付倍数配置</t>
    </r>
  </si>
  <si>
    <r>
      <rPr>
        <sz val="11"/>
        <color theme="1"/>
        <rFont val="Calibri"/>
        <family val="2"/>
        <charset val="1"/>
      </rPr>
      <t xml:space="preserve"> SymbolRateK = [3000,3000,3000,3000,3000,]#</t>
    </r>
    <r>
      <rPr>
        <sz val="11"/>
        <color theme="1"/>
        <rFont val="Noto Sans SC"/>
        <family val="2"/>
        <charset val="134"/>
      </rPr>
      <t xml:space="preserve">图标</t>
    </r>
    <r>
      <rPr>
        <sz val="11"/>
        <color theme="1"/>
        <rFont val="Calibri"/>
        <family val="2"/>
        <charset val="1"/>
      </rPr>
      <t xml:space="preserve">K</t>
    </r>
    <r>
      <rPr>
        <sz val="11"/>
        <color theme="1"/>
        <rFont val="Noto Sans SC"/>
        <family val="2"/>
        <charset val="134"/>
      </rPr>
      <t xml:space="preserve">概率配置</t>
    </r>
  </si>
  <si>
    <r>
      <rPr>
        <sz val="11"/>
        <color theme="1"/>
        <rFont val="Calibri"/>
        <family val="2"/>
        <charset val="1"/>
      </rPr>
      <t xml:space="preserve"> SymbolRateQ = [3000,3000,3000,3000,3000,]#</t>
    </r>
    <r>
      <rPr>
        <sz val="11"/>
        <color theme="1"/>
        <rFont val="Noto Sans SC"/>
        <family val="2"/>
        <charset val="134"/>
      </rPr>
      <t xml:space="preserve">图标</t>
    </r>
    <r>
      <rPr>
        <sz val="11"/>
        <color theme="1"/>
        <rFont val="Calibri"/>
        <family val="2"/>
        <charset val="1"/>
      </rPr>
      <t xml:space="preserve">Q</t>
    </r>
    <r>
      <rPr>
        <sz val="11"/>
        <color theme="1"/>
        <rFont val="Noto Sans SC"/>
        <family val="2"/>
        <charset val="134"/>
      </rPr>
      <t xml:space="preserve">概率配置</t>
    </r>
  </si>
  <si>
    <r>
      <rPr>
        <sz val="11"/>
        <color theme="1"/>
        <rFont val="Calibri"/>
        <family val="2"/>
        <charset val="1"/>
      </rPr>
      <t xml:space="preserve"> SymbolRateJ = [4000,4000,4000,4000,4000,]#</t>
    </r>
    <r>
      <rPr>
        <sz val="11"/>
        <color theme="1"/>
        <rFont val="Noto Sans SC"/>
        <family val="2"/>
        <charset val="134"/>
      </rPr>
      <t xml:space="preserve">图标</t>
    </r>
    <r>
      <rPr>
        <sz val="11"/>
        <color theme="1"/>
        <rFont val="Calibri"/>
        <family val="2"/>
        <charset val="1"/>
      </rPr>
      <t xml:space="preserve">J</t>
    </r>
    <r>
      <rPr>
        <sz val="11"/>
        <color theme="1"/>
        <rFont val="Noto Sans SC"/>
        <family val="2"/>
        <charset val="134"/>
      </rPr>
      <t xml:space="preserve">概率配置</t>
    </r>
  </si>
  <si>
    <t xml:space="preserve"> SymbolOdds = [SymbolKOdds,SymbolQOdds,SymbolJOdds]</t>
  </si>
  <si>
    <t xml:space="preserve"> N = 10</t>
  </si>
  <si>
    <t xml:space="preserve"> AllRTP = []</t>
  </si>
  <si>
    <t xml:space="preserve"> import random</t>
  </si>
  <si>
    <t xml:space="preserve"> import numpy as np</t>
  </si>
  <si>
    <r>
      <rPr>
        <sz val="11"/>
        <color theme="1"/>
        <rFont val="Calibri"/>
        <family val="2"/>
        <charset val="1"/>
      </rPr>
      <t xml:space="preserve"> for N in range(10):# </t>
    </r>
    <r>
      <rPr>
        <sz val="11"/>
        <color theme="1"/>
        <rFont val="Noto Sans SC"/>
        <family val="2"/>
        <charset val="134"/>
      </rPr>
      <t xml:space="preserve">开始模拟</t>
    </r>
    <r>
      <rPr>
        <sz val="11"/>
        <color theme="1"/>
        <rFont val="Calibri"/>
        <family val="2"/>
        <charset val="1"/>
      </rPr>
      <t xml:space="preserve">10</t>
    </r>
    <r>
      <rPr>
        <sz val="11"/>
        <color theme="1"/>
        <rFont val="Noto Sans SC"/>
        <family val="2"/>
        <charset val="134"/>
      </rPr>
      <t xml:space="preserve">次数据</t>
    </r>
  </si>
  <si>
    <t xml:space="preserve"> times = totaltimes</t>
  </si>
  <si>
    <t xml:space="preserve"> while times&gt;0:</t>
  </si>
  <si>
    <t xml:space="preserve"> Line1 = [0,0,0,0,0]</t>
  </si>
  <si>
    <t xml:space="preserve"> Line2 = [0,0,0,0,0]</t>
  </si>
  <si>
    <t xml:space="preserve"> Line3 = [0,0,0,0,0]</t>
  </si>
  <si>
    <t xml:space="preserve"> LandingSymbols = [Line1,Line2,Line3,]</t>
  </si>
  <si>
    <t xml:space="preserve"> i1 = 0</t>
  </si>
  <si>
    <t xml:space="preserve"> while i1 &lt; len(LandingSymbols):</t>
  </si>
  <si>
    <r>
      <rPr>
        <sz val="11"/>
        <color theme="1"/>
        <rFont val="Calibri"/>
        <family val="2"/>
        <charset val="1"/>
      </rPr>
      <t xml:space="preserve"> PayLine1Setting = [0,0,0,0,0,]#</t>
    </r>
    <r>
      <rPr>
        <sz val="11"/>
        <color theme="1"/>
        <rFont val="Noto Sans SC"/>
        <family val="2"/>
        <charset val="134"/>
      </rPr>
      <t xml:space="preserve">读取中奖线配置</t>
    </r>
    <r>
      <rPr>
        <sz val="11"/>
        <color theme="1"/>
        <rFont val="Calibri"/>
        <family val="2"/>
        <charset val="1"/>
      </rPr>
      <t xml:space="preserve">,</t>
    </r>
    <r>
      <rPr>
        <sz val="11"/>
        <color theme="1"/>
        <rFont val="Noto Sans SC"/>
        <family val="2"/>
        <charset val="134"/>
      </rPr>
      <t xml:space="preserve">因为这里的中奖线在每次循环后需要复原</t>
    </r>
    <r>
      <rPr>
        <sz val="11"/>
        <color theme="1"/>
        <rFont val="Calibri"/>
        <family val="2"/>
        <charset val="1"/>
      </rPr>
      <t xml:space="preserve">,</t>
    </r>
    <r>
      <rPr>
        <sz val="11"/>
        <color theme="1"/>
        <rFont val="Noto Sans SC"/>
        <family val="2"/>
        <charset val="134"/>
      </rPr>
      <t xml:space="preserve">因此需要卸载循环内</t>
    </r>
  </si>
  <si>
    <t xml:space="preserve"> PayLine2Setting = [1,1,1,1,1,]</t>
  </si>
  <si>
    <t xml:space="preserve"> PayLine3Setting = [2,2,2,2,2,]</t>
  </si>
  <si>
    <t xml:space="preserve"> PayLinesSetting = [PayLine1Setting,PayLine2Setting,PayLine3Setting]</t>
  </si>
  <si>
    <t xml:space="preserve"> Line = LandingSymbols[i1]</t>
  </si>
  <si>
    <t xml:space="preserve"> i2 = 0</t>
  </si>
  <si>
    <r>
      <rPr>
        <sz val="11"/>
        <color theme="1"/>
        <rFont val="Calibri"/>
        <family val="2"/>
        <charset val="1"/>
      </rPr>
      <t xml:space="preserve"> while i2 &lt; len(Line):# </t>
    </r>
    <r>
      <rPr>
        <sz val="11"/>
        <color theme="1"/>
        <rFont val="Noto Sans SC"/>
        <family val="2"/>
        <charset val="134"/>
      </rPr>
      <t xml:space="preserve">依据图标概率抽取图标</t>
    </r>
  </si>
  <si>
    <t xml:space="preserve"> RandOdds = random.randint(1,10000)</t>
  </si>
  <si>
    <t xml:space="preserve"> if RandOdds &lt;= SymbolRateK[i2]:</t>
  </si>
  <si>
    <t xml:space="preserve"> Line[i2] = "K"</t>
  </si>
  <si>
    <t xml:space="preserve"> elif RandOdds &lt;= (SymbolRateK[i2]+SymbolRateQ[i2]):</t>
  </si>
  <si>
    <t xml:space="preserve"> Line[i2] = "Q"</t>
  </si>
  <si>
    <t xml:space="preserve"> elif RandOdds &lt;= (SymbolRateK[i2]+SymbolRateQ[i2]+SymbolRateJ[i2]):</t>
  </si>
  <si>
    <t xml:space="preserve"> Line[i2] = "J"</t>
  </si>
  <si>
    <t xml:space="preserve"> i2 = i2 + 1</t>
  </si>
  <si>
    <t xml:space="preserve"> i1= i1 + 1</t>
  </si>
  <si>
    <r>
      <rPr>
        <sz val="11"/>
        <color theme="1"/>
        <rFont val="Calibri"/>
        <family val="2"/>
        <charset val="1"/>
      </rPr>
      <t xml:space="preserve"> PayLineNumber = 0 # </t>
    </r>
    <r>
      <rPr>
        <sz val="11"/>
        <color theme="1"/>
        <rFont val="Noto Sans SC"/>
        <family val="2"/>
        <charset val="134"/>
      </rPr>
      <t xml:space="preserve">读取中奖线</t>
    </r>
  </si>
  <si>
    <r>
      <rPr>
        <sz val="11"/>
        <color theme="1"/>
        <rFont val="Calibri"/>
        <family val="2"/>
        <charset val="1"/>
      </rPr>
      <t xml:space="preserve"> while PayLineNumber &lt; len(PayLinesSetting): # </t>
    </r>
    <r>
      <rPr>
        <sz val="11"/>
        <color theme="1"/>
        <rFont val="Noto Sans SC"/>
        <family val="2"/>
        <charset val="134"/>
      </rPr>
      <t xml:space="preserve">依次读取中奖线上的图标分布</t>
    </r>
  </si>
  <si>
    <r>
      <rPr>
        <sz val="11"/>
        <color theme="1"/>
        <rFont val="Calibri"/>
        <family val="2"/>
        <charset val="1"/>
      </rPr>
      <t xml:space="preserve"> PayLineSymbolChecking = 0 # </t>
    </r>
    <r>
      <rPr>
        <sz val="11"/>
        <color theme="1"/>
        <rFont val="Noto Sans SC"/>
        <family val="2"/>
        <charset val="134"/>
      </rPr>
      <t xml:space="preserve">读取中奖线上的图标</t>
    </r>
  </si>
  <si>
    <r>
      <rPr>
        <sz val="11"/>
        <color theme="1"/>
        <rFont val="Calibri"/>
        <family val="2"/>
        <charset val="1"/>
      </rPr>
      <t xml:space="preserve"> while PayLineSymbolChecking &lt; len(PayLinesSetting[PayLineNumber]):# </t>
    </r>
    <r>
      <rPr>
        <sz val="11"/>
        <color theme="1"/>
        <rFont val="Noto Sans SC"/>
        <family val="2"/>
        <charset val="134"/>
      </rPr>
      <t xml:space="preserve">依次读取中奖线上的各个图标</t>
    </r>
  </si>
  <si>
    <t xml:space="preserve"> PayLinesSetting[PayLineNumber][PayLineSymbolChecking] = LandingSymbols[PayLinesSetting[PayLineNumber][PayLineSymbolChecking]][PayLineSymbolChecking]</t>
  </si>
  <si>
    <t xml:space="preserve"> PayLineSymbolChecking = PayLineSymbolChecking + 1</t>
  </si>
  <si>
    <t xml:space="preserve"> PayLineNumber = PayLineNumber + 1</t>
  </si>
  <si>
    <r>
      <rPr>
        <sz val="11"/>
        <color theme="1"/>
        <rFont val="Calibri"/>
        <family val="2"/>
        <charset val="1"/>
      </rPr>
      <t xml:space="preserve"> CheckTimes = 0# </t>
    </r>
    <r>
      <rPr>
        <sz val="11"/>
        <color theme="1"/>
        <rFont val="Noto Sans SC"/>
        <family val="2"/>
        <charset val="134"/>
      </rPr>
      <t xml:space="preserve">比较中奖线和中奖组合</t>
    </r>
    <r>
      <rPr>
        <sz val="11"/>
        <color theme="1"/>
        <rFont val="Calibri"/>
        <family val="2"/>
        <charset val="1"/>
      </rPr>
      <t xml:space="preserve">,</t>
    </r>
    <r>
      <rPr>
        <sz val="11"/>
        <color theme="1"/>
        <rFont val="Noto Sans SC"/>
        <family val="2"/>
        <charset val="134"/>
      </rPr>
      <t xml:space="preserve">结算赢钱数额</t>
    </r>
  </si>
  <si>
    <t xml:space="preserve"> while CheckTimes &lt; len(Symbols):</t>
  </si>
  <si>
    <t xml:space="preserve"> CombinationFive = [Symbols[CheckTimes],Symbols[CheckTimes],Symbols[CheckTimes],Symbols[CheckTimes],Symbols[CheckTimes],]</t>
  </si>
  <si>
    <t xml:space="preserve"> CombinationFour = [Symbols[CheckTimes],Symbols[CheckTimes],Symbols[CheckTimes],Symbols[CheckTimes],]</t>
  </si>
  <si>
    <t xml:space="preserve"> CombinationThree = [Symbols[CheckTimes],Symbols[CheckTimes],Symbols[CheckTimes],]</t>
  </si>
  <si>
    <t xml:space="preserve"> CheckLineTimes = 0</t>
  </si>
  <si>
    <t xml:space="preserve"> while CheckLineTimes &lt; len(PayLinesSetting):</t>
  </si>
  <si>
    <t xml:space="preserve"> if PayLinesSetting[CheckLineTimes][0:5] == CombinationFive:</t>
  </si>
  <si>
    <t xml:space="preserve"> WIN = WIN + SymbolOdds[CheckTimes][0] * BET / len(LandingSymbols)</t>
  </si>
  <si>
    <t xml:space="preserve"> elif PayLinesSetting[CheckLineTimes][0:4] == CombinationFour:</t>
  </si>
  <si>
    <t xml:space="preserve"> WIN = WIN + SymbolOdds[CheckTimes][1] * BET / len(LandingSymbols)</t>
  </si>
  <si>
    <t xml:space="preserve"> elif PayLinesSetting[CheckLineTimes][0:3] == CombinationThree:</t>
  </si>
  <si>
    <t xml:space="preserve"> WIN = WIN + SymbolOdds[CheckTimes][2] * BET / len(LandingSymbols)</t>
  </si>
  <si>
    <t xml:space="preserve"> pass</t>
  </si>
  <si>
    <t xml:space="preserve"> CheckLineTimes = CheckLineTimes + 1</t>
  </si>
  <si>
    <t xml:space="preserve"> CheckTimes = CheckTimes + 1</t>
  </si>
  <si>
    <t xml:space="preserve"> times = times - 1</t>
  </si>
  <si>
    <t xml:space="preserve"> print("RTP=",RTP,)</t>
  </si>
  <si>
    <t xml:space="preserve"> print(np.mean(AllRTP),np.var(AllRTP),np.sqrt(np.var(AllRTP)))</t>
  </si>
  <si>
    <r>
      <rPr>
        <sz val="11"/>
        <color theme="1"/>
        <rFont val="Calibri"/>
        <family val="2"/>
        <charset val="1"/>
      </rPr>
      <t xml:space="preserve"> totaltimes = int(input("</t>
    </r>
    <r>
      <rPr>
        <sz val="11"/>
        <color theme="1"/>
        <rFont val="Noto Sans SC"/>
        <family val="2"/>
        <charset val="134"/>
      </rPr>
      <t xml:space="preserve">请输入模拟次数</t>
    </r>
    <r>
      <rPr>
        <sz val="11"/>
        <color theme="1"/>
        <rFont val="Calibri"/>
        <family val="2"/>
        <charset val="1"/>
      </rPr>
      <t xml:space="preserve">:"))# </t>
    </r>
    <r>
      <rPr>
        <sz val="11"/>
        <color theme="1"/>
        <rFont val="Noto Sans SC"/>
        <family val="2"/>
        <charset val="134"/>
      </rPr>
      <t xml:space="preserve">输入模拟次数</t>
    </r>
  </si>
  <si>
    <r>
      <rPr>
        <sz val="11"/>
        <color theme="1"/>
        <rFont val="Noto Sans SC"/>
        <family val="2"/>
        <charset val="134"/>
      </rPr>
      <t xml:space="preserve">这里以</t>
    </r>
    <r>
      <rPr>
        <sz val="11"/>
        <color theme="1"/>
        <rFont val="Calibri"/>
        <family val="2"/>
        <charset val="1"/>
      </rPr>
      <t xml:space="preserve">3*5</t>
    </r>
    <r>
      <rPr>
        <sz val="11"/>
        <color theme="1"/>
        <rFont val="Noto Sans SC"/>
        <family val="2"/>
        <charset val="134"/>
      </rPr>
      <t xml:space="preserve">的</t>
    </r>
    <r>
      <rPr>
        <sz val="11"/>
        <color theme="1"/>
        <rFont val="Calibri"/>
        <family val="2"/>
        <charset val="1"/>
      </rPr>
      <t xml:space="preserve">Line Slots</t>
    </r>
    <r>
      <rPr>
        <sz val="11"/>
        <color theme="1"/>
        <rFont val="Noto Sans SC"/>
        <family val="2"/>
        <charset val="134"/>
      </rPr>
      <t xml:space="preserve">为例，跑数据得到的结果如下：</t>
    </r>
  </si>
  <si>
    <r>
      <rPr>
        <sz val="11"/>
        <color theme="1"/>
        <rFont val="Noto Sans SC"/>
        <family val="2"/>
        <charset val="134"/>
      </rPr>
      <t xml:space="preserve">［配图 </t>
    </r>
    <r>
      <rPr>
        <sz val="11"/>
        <color theme="1"/>
        <rFont val="Calibri"/>
        <family val="2"/>
        <charset val="1"/>
      </rPr>
      <t xml:space="preserve">06</t>
    </r>
    <r>
      <rPr>
        <sz val="11"/>
        <color theme="1"/>
        <rFont val="Noto Sans SC"/>
        <family val="2"/>
        <charset val="134"/>
      </rPr>
      <t xml:space="preserve">］</t>
    </r>
    <r>
      <rPr>
        <sz val="11"/>
        <color theme="1"/>
        <rFont val="Calibri"/>
        <family val="2"/>
        <charset val="1"/>
      </rPr>
      <t xml:space="preserve">633668409-06.jpg</t>
    </r>
  </si>
  <si>
    <t xml:space="preserve">和计算的出的数据相比的差异也在可接受范围内：</t>
  </si>
  <si>
    <r>
      <rPr>
        <sz val="11"/>
        <color theme="1"/>
        <rFont val="Noto Sans SC"/>
        <family val="2"/>
        <charset val="134"/>
      </rPr>
      <t xml:space="preserve">［配图 </t>
    </r>
    <r>
      <rPr>
        <sz val="11"/>
        <color theme="1"/>
        <rFont val="Calibri"/>
        <family val="2"/>
        <charset val="1"/>
      </rPr>
      <t xml:space="preserve">07</t>
    </r>
    <r>
      <rPr>
        <sz val="11"/>
        <color theme="1"/>
        <rFont val="Noto Sans SC"/>
        <family val="2"/>
        <charset val="134"/>
      </rPr>
      <t xml:space="preserve">］</t>
    </r>
    <r>
      <rPr>
        <sz val="11"/>
        <color theme="1"/>
        <rFont val="Calibri"/>
        <family val="2"/>
        <charset val="1"/>
      </rPr>
      <t xml:space="preserve">633668409-07.jpg</t>
    </r>
  </si>
  <si>
    <r>
      <rPr>
        <sz val="11"/>
        <color theme="1"/>
        <rFont val="Noto Sans SC"/>
        <family val="2"/>
        <charset val="134"/>
      </rPr>
      <t xml:space="preserve">这个数值就是之前介绍</t>
    </r>
    <r>
      <rPr>
        <sz val="11"/>
        <color theme="1"/>
        <rFont val="Calibri"/>
        <family val="2"/>
        <charset val="1"/>
      </rPr>
      <t xml:space="preserve">3*5 Line Slots</t>
    </r>
    <r>
      <rPr>
        <sz val="11"/>
        <color theme="1"/>
        <rFont val="Noto Sans SC"/>
        <family val="2"/>
        <charset val="134"/>
      </rPr>
      <t xml:space="preserve">文章中的示例数值，不熟悉的话可以点击下方链接查看其数值模型介绍：</t>
    </r>
  </si>
  <si>
    <r>
      <rPr>
        <b val="true"/>
        <sz val="11"/>
        <rFont val="Noto Sans SC"/>
        <family val="2"/>
        <charset val="134"/>
      </rPr>
      <t xml:space="preserve">原文配图清单（共 </t>
    </r>
    <r>
      <rPr>
        <b val="true"/>
        <sz val="11"/>
        <rFont val="Cambria"/>
        <family val="0"/>
        <charset val="1"/>
      </rPr>
      <t xml:space="preserve">6 </t>
    </r>
    <r>
      <rPr>
        <b val="true"/>
        <sz val="11"/>
        <rFont val="Noto Sans SC"/>
        <family val="2"/>
        <charset val="134"/>
      </rPr>
      <t xml:space="preserve">张，已保存到 </t>
    </r>
    <r>
      <rPr>
        <b val="true"/>
        <sz val="11"/>
        <rFont val="Cambria"/>
        <family val="0"/>
        <charset val="1"/>
      </rPr>
      <t xml:space="preserve">images/slots/</t>
    </r>
    <r>
      <rPr>
        <b val="true"/>
        <sz val="11"/>
        <rFont val="Noto Sans SC"/>
        <family val="2"/>
        <charset val="134"/>
      </rPr>
      <t xml:space="preserve">）</t>
    </r>
  </si>
  <si>
    <r>
      <rPr>
        <sz val="11"/>
        <color rgb="FF808080"/>
        <rFont val="Noto Sans SC"/>
        <family val="2"/>
        <charset val="134"/>
      </rPr>
      <t xml:space="preserve">［配图 </t>
    </r>
    <r>
      <rPr>
        <sz val="11"/>
        <color rgb="FF808080"/>
        <rFont val="Cambria"/>
        <family val="0"/>
        <charset val="1"/>
      </rPr>
      <t xml:space="preserve">02</t>
    </r>
    <r>
      <rPr>
        <sz val="11"/>
        <color rgb="FF808080"/>
        <rFont val="Noto Sans SC"/>
        <family val="2"/>
        <charset val="134"/>
      </rPr>
      <t xml:space="preserve">］</t>
    </r>
    <r>
      <rPr>
        <sz val="11"/>
        <color rgb="FF808080"/>
        <rFont val="Cambria"/>
        <family val="0"/>
        <charset val="1"/>
      </rPr>
      <t xml:space="preserve">633668409-02.jpg</t>
    </r>
  </si>
  <si>
    <r>
      <rPr>
        <sz val="11"/>
        <color rgb="FF808080"/>
        <rFont val="Noto Sans SC"/>
        <family val="2"/>
        <charset val="134"/>
      </rPr>
      <t xml:space="preserve">［配图 </t>
    </r>
    <r>
      <rPr>
        <sz val="11"/>
        <color rgb="FF808080"/>
        <rFont val="Cambria"/>
        <family val="0"/>
        <charset val="1"/>
      </rPr>
      <t xml:space="preserve">03</t>
    </r>
    <r>
      <rPr>
        <sz val="11"/>
        <color rgb="FF808080"/>
        <rFont val="Noto Sans SC"/>
        <family val="2"/>
        <charset val="134"/>
      </rPr>
      <t xml:space="preserve">］</t>
    </r>
    <r>
      <rPr>
        <sz val="11"/>
        <color rgb="FF808080"/>
        <rFont val="Cambria"/>
        <family val="0"/>
        <charset val="1"/>
      </rPr>
      <t xml:space="preserve">633668409-03.jpg</t>
    </r>
  </si>
  <si>
    <r>
      <rPr>
        <sz val="11"/>
        <color rgb="FF808080"/>
        <rFont val="Noto Sans SC"/>
        <family val="2"/>
        <charset val="134"/>
      </rPr>
      <t xml:space="preserve">［配图 </t>
    </r>
    <r>
      <rPr>
        <sz val="11"/>
        <color rgb="FF808080"/>
        <rFont val="Cambria"/>
        <family val="0"/>
        <charset val="1"/>
      </rPr>
      <t xml:space="preserve">04</t>
    </r>
    <r>
      <rPr>
        <sz val="11"/>
        <color rgb="FF808080"/>
        <rFont val="Noto Sans SC"/>
        <family val="2"/>
        <charset val="134"/>
      </rPr>
      <t xml:space="preserve">］</t>
    </r>
    <r>
      <rPr>
        <sz val="11"/>
        <color rgb="FF808080"/>
        <rFont val="Cambria"/>
        <family val="0"/>
        <charset val="1"/>
      </rPr>
      <t xml:space="preserve">633668409-04.jpg</t>
    </r>
  </si>
  <si>
    <r>
      <rPr>
        <sz val="11"/>
        <color rgb="FF808080"/>
        <rFont val="Noto Sans SC"/>
        <family val="2"/>
        <charset val="134"/>
      </rPr>
      <t xml:space="preserve">［配图 </t>
    </r>
    <r>
      <rPr>
        <sz val="11"/>
        <color rgb="FF808080"/>
        <rFont val="Cambria"/>
        <family val="0"/>
        <charset val="1"/>
      </rPr>
      <t xml:space="preserve">05</t>
    </r>
    <r>
      <rPr>
        <sz val="11"/>
        <color rgb="FF808080"/>
        <rFont val="Noto Sans SC"/>
        <family val="2"/>
        <charset val="134"/>
      </rPr>
      <t xml:space="preserve">］</t>
    </r>
    <r>
      <rPr>
        <sz val="11"/>
        <color rgb="FF808080"/>
        <rFont val="Cambria"/>
        <family val="0"/>
        <charset val="1"/>
      </rPr>
      <t xml:space="preserve">633668409-05.png</t>
    </r>
  </si>
  <si>
    <r>
      <rPr>
        <sz val="11"/>
        <color rgb="FF808080"/>
        <rFont val="Noto Sans SC"/>
        <family val="2"/>
        <charset val="134"/>
      </rPr>
      <t xml:space="preserve">［配图 </t>
    </r>
    <r>
      <rPr>
        <sz val="11"/>
        <color rgb="FF808080"/>
        <rFont val="Cambria"/>
        <family val="0"/>
        <charset val="1"/>
      </rPr>
      <t xml:space="preserve">06</t>
    </r>
    <r>
      <rPr>
        <sz val="11"/>
        <color rgb="FF808080"/>
        <rFont val="Noto Sans SC"/>
        <family val="2"/>
        <charset val="134"/>
      </rPr>
      <t xml:space="preserve">］</t>
    </r>
    <r>
      <rPr>
        <sz val="11"/>
        <color rgb="FF808080"/>
        <rFont val="Cambria"/>
        <family val="0"/>
        <charset val="1"/>
      </rPr>
      <t xml:space="preserve">633668409-06.jpg</t>
    </r>
  </si>
  <si>
    <r>
      <rPr>
        <sz val="11"/>
        <color rgb="FF808080"/>
        <rFont val="Noto Sans SC"/>
        <family val="2"/>
        <charset val="134"/>
      </rPr>
      <t xml:space="preserve">［配图 </t>
    </r>
    <r>
      <rPr>
        <sz val="11"/>
        <color rgb="FF808080"/>
        <rFont val="Cambria"/>
        <family val="0"/>
        <charset val="1"/>
      </rPr>
      <t xml:space="preserve">07</t>
    </r>
    <r>
      <rPr>
        <sz val="11"/>
        <color rgb="FF808080"/>
        <rFont val="Noto Sans SC"/>
        <family val="2"/>
        <charset val="134"/>
      </rPr>
      <t xml:space="preserve">］</t>
    </r>
    <r>
      <rPr>
        <sz val="11"/>
        <color rgb="FF808080"/>
        <rFont val="Cambria"/>
        <family val="0"/>
        <charset val="1"/>
      </rPr>
      <t xml:space="preserve">633668409-07.jpg</t>
    </r>
  </si>
  <si>
    <t xml:space="preserve">校验</t>
  </si>
  <si>
    <r>
      <rPr>
        <sz val="11"/>
        <color theme="1"/>
        <rFont val="Noto Sans SC"/>
        <family val="2"/>
        <charset val="134"/>
      </rPr>
      <t xml:space="preserve">① 本簿由 </t>
    </r>
    <r>
      <rPr>
        <sz val="11"/>
        <color theme="1"/>
        <rFont val="Calibri"/>
        <family val="2"/>
        <charset val="1"/>
      </rPr>
      <t xml:space="preserve">openpyxl </t>
    </r>
    <r>
      <rPr>
        <sz val="11"/>
        <color theme="1"/>
        <rFont val="Noto Sans SC"/>
        <family val="2"/>
        <charset val="134"/>
      </rPr>
      <t xml:space="preserve">生成并已开启打开时重算；② 另用 </t>
    </r>
    <r>
      <rPr>
        <sz val="11"/>
        <color theme="1"/>
        <rFont val="Calibri"/>
        <family val="2"/>
        <charset val="1"/>
      </rPr>
      <t xml:space="preserve">LibreOffice </t>
    </r>
    <r>
      <rPr>
        <sz val="11"/>
        <color theme="1"/>
        <rFont val="Noto Sans SC"/>
        <family val="2"/>
        <charset val="134"/>
      </rPr>
      <t xml:space="preserve">独立重算复核，公式错误值 </t>
    </r>
    <r>
      <rPr>
        <sz val="11"/>
        <color theme="1"/>
        <rFont val="Calibri"/>
        <family val="2"/>
        <charset val="1"/>
      </rPr>
      <t xml:space="preserve">0 </t>
    </r>
    <r>
      <rPr>
        <sz val="11"/>
        <color theme="1"/>
        <rFont val="Noto Sans SC"/>
        <family val="2"/>
        <charset val="134"/>
      </rPr>
      <t xml:space="preserve">个；</t>
    </r>
  </si>
  <si>
    <t xml:space="preserve">③ 正文与原文逐句一致（用户离线保存的网页原件），配图按正文出现顺序编号。</t>
  </si>
  <si>
    <t xml:space="preserve">说明</t>
  </si>
  <si>
    <t xml:space="preserve">本簿是原文的整理与配表实现，非原文替代品；原文未提供的数值一律标注来源，不臆造。</t>
  </si>
  <si>
    <r>
      <rPr>
        <sz val="11"/>
        <color theme="1"/>
        <rFont val="Noto Sans SC"/>
        <family val="2"/>
        <charset val="134"/>
      </rPr>
      <t xml:space="preserve">原文版权归作者 </t>
    </r>
    <r>
      <rPr>
        <sz val="11"/>
        <color theme="1"/>
        <rFont val="Calibri"/>
        <family val="2"/>
        <charset val="1"/>
      </rPr>
      <t xml:space="preserve">ASlot </t>
    </r>
    <r>
      <rPr>
        <sz val="11"/>
        <color theme="1"/>
        <rFont val="Noto Sans SC"/>
        <family val="2"/>
        <charset val="134"/>
      </rPr>
      <t xml:space="preserve">与知乎所有，本簿仅供个人学习整理使用。</t>
    </r>
  </si>
  <si>
    <r>
      <rPr>
        <sz val="11"/>
        <color rgb="FF808080"/>
        <rFont val="Cambria"/>
        <family val="0"/>
        <charset val="1"/>
      </rPr>
      <t xml:space="preserve">Source: zhihu.com</t>
    </r>
    <r>
      <rPr>
        <sz val="11"/>
        <color rgb="FF808080"/>
        <rFont val="Noto Sans SC"/>
        <family val="2"/>
        <charset val="134"/>
      </rPr>
      <t xml:space="preserve">《</t>
    </r>
    <r>
      <rPr>
        <sz val="11"/>
        <color rgb="FF808080"/>
        <rFont val="Cambria"/>
        <family val="0"/>
        <charset val="1"/>
      </rPr>
      <t xml:space="preserve">Slots</t>
    </r>
    <r>
      <rPr>
        <sz val="11"/>
        <color rgb="FF808080"/>
        <rFont val="Noto Sans SC"/>
        <family val="2"/>
        <charset val="134"/>
      </rPr>
      <t xml:space="preserve">番外篇——</t>
    </r>
    <r>
      <rPr>
        <sz val="11"/>
        <color rgb="FF808080"/>
        <rFont val="Cambria"/>
        <family val="0"/>
        <charset val="1"/>
      </rPr>
      <t xml:space="preserve">Python</t>
    </r>
    <r>
      <rPr>
        <sz val="11"/>
        <color rgb="FF808080"/>
        <rFont val="Noto Sans SC"/>
        <family val="2"/>
        <charset val="134"/>
      </rPr>
      <t xml:space="preserve">模拟</t>
    </r>
    <r>
      <rPr>
        <sz val="11"/>
        <color rgb="FF808080"/>
        <rFont val="Cambria"/>
        <family val="0"/>
        <charset val="1"/>
      </rPr>
      <t xml:space="preserve">Line Slots</t>
    </r>
    <r>
      <rPr>
        <sz val="11"/>
        <color rgb="FF808080"/>
        <rFont val="Noto Sans SC"/>
        <family val="2"/>
        <charset val="134"/>
      </rPr>
      <t xml:space="preserve">》</t>
    </r>
    <r>
      <rPr>
        <sz val="11"/>
        <color rgb="FF808080"/>
        <rFont val="Cambria"/>
        <family val="0"/>
        <charset val="1"/>
      </rPr>
      <t xml:space="preserve">, https://zhuanlan.zhihu.com/p/633668409</t>
    </r>
  </si>
  <si>
    <r>
      <rPr>
        <b val="true"/>
        <sz val="14"/>
        <color rgb="FF1F4E79"/>
        <rFont val="Noto Sans SC"/>
        <family val="2"/>
        <charset val="134"/>
      </rPr>
      <t xml:space="preserve">番外篇 </t>
    </r>
    <r>
      <rPr>
        <b val="true"/>
        <sz val="14"/>
        <color rgb="FF1F4E79"/>
        <rFont val="Cambria"/>
        <family val="0"/>
        <charset val="1"/>
      </rPr>
      <t xml:space="preserve">· Python</t>
    </r>
    <r>
      <rPr>
        <b val="true"/>
        <sz val="14"/>
        <color rgb="FF1F4E79"/>
        <rFont val="Noto Sans SC"/>
        <family val="2"/>
        <charset val="134"/>
      </rPr>
      <t xml:space="preserve">模拟</t>
    </r>
    <r>
      <rPr>
        <b val="true"/>
        <sz val="14"/>
        <color rgb="FF1F4E79"/>
        <rFont val="Cambria"/>
        <family val="0"/>
        <charset val="1"/>
      </rPr>
      <t xml:space="preserve">Line Slots —— </t>
    </r>
    <r>
      <rPr>
        <b val="true"/>
        <sz val="14"/>
        <color rgb="FF1F4E79"/>
        <rFont val="Noto Sans SC"/>
        <family val="2"/>
        <charset val="134"/>
      </rPr>
      <t xml:space="preserve">数据配表（蓝字＝可改 </t>
    </r>
    <r>
      <rPr>
        <b val="true"/>
        <sz val="14"/>
        <color rgb="FF1F4E79"/>
        <rFont val="Cambria"/>
        <family val="0"/>
        <charset val="1"/>
      </rPr>
      <t xml:space="preserve">/ </t>
    </r>
    <r>
      <rPr>
        <b val="true"/>
        <sz val="14"/>
        <color rgb="FF1F4E79"/>
        <rFont val="Noto Sans SC"/>
        <family val="2"/>
        <charset val="134"/>
      </rPr>
      <t xml:space="preserve">黑字＝公式 </t>
    </r>
    <r>
      <rPr>
        <b val="true"/>
        <sz val="14"/>
        <color rgb="FF1F4E79"/>
        <rFont val="Cambria"/>
        <family val="0"/>
        <charset val="1"/>
      </rPr>
      <t xml:space="preserve">/ </t>
    </r>
    <r>
      <rPr>
        <b val="true"/>
        <sz val="14"/>
        <color rgb="FF1F4E79"/>
        <rFont val="Noto Sans SC"/>
        <family val="2"/>
        <charset val="134"/>
      </rPr>
      <t xml:space="preserve">黄底＝结果）</t>
    </r>
  </si>
  <si>
    <r>
      <rPr>
        <b val="true"/>
        <sz val="11"/>
        <color rgb="FF1F4E79"/>
        <rFont val="Noto Sans SC"/>
        <family val="2"/>
        <charset val="134"/>
      </rPr>
      <t xml:space="preserve">【</t>
    </r>
    <r>
      <rPr>
        <b val="true"/>
        <sz val="11"/>
        <color rgb="FF1F4E79"/>
        <rFont val="Cambria"/>
        <family val="0"/>
        <charset val="1"/>
      </rPr>
      <t xml:space="preserve">1</t>
    </r>
    <r>
      <rPr>
        <b val="true"/>
        <sz val="11"/>
        <color rgb="FF1F4E79"/>
        <rFont val="Noto Sans SC"/>
        <family val="2"/>
        <charset val="134"/>
      </rPr>
      <t xml:space="preserve">】为什么学模拟（原文「写在前面」）</t>
    </r>
  </si>
  <si>
    <t xml:space="preserve">角度</t>
  </si>
  <si>
    <t xml:space="preserve">内容</t>
  </si>
  <si>
    <t xml:space="preserve">岗位现实</t>
  </si>
  <si>
    <r>
      <rPr>
        <sz val="11"/>
        <color theme="1"/>
        <rFont val="Noto Sans SC"/>
        <family val="2"/>
        <charset val="134"/>
      </rPr>
      <t xml:space="preserve">国内策划分工较细，很多岗位不碰数值；部分厂商未做 </t>
    </r>
    <r>
      <rPr>
        <sz val="11"/>
        <color theme="1"/>
        <rFont val="Calibri"/>
        <family val="2"/>
        <charset val="1"/>
      </rPr>
      <t xml:space="preserve">Casino </t>
    </r>
    <r>
      <rPr>
        <sz val="11"/>
        <color theme="1"/>
        <rFont val="Noto Sans SC"/>
        <family val="2"/>
        <charset val="134"/>
      </rPr>
      <t xml:space="preserve">认证，数值要求相对低</t>
    </r>
  </si>
  <si>
    <t xml:space="preserve">合规视角</t>
  </si>
  <si>
    <r>
      <rPr>
        <sz val="11"/>
        <color theme="1"/>
        <rFont val="Calibri"/>
        <family val="2"/>
        <charset val="1"/>
      </rPr>
      <t xml:space="preserve">Slots </t>
    </r>
    <r>
      <rPr>
        <sz val="11"/>
        <color theme="1"/>
        <rFont val="Noto Sans SC"/>
        <family val="2"/>
        <charset val="134"/>
      </rPr>
      <t xml:space="preserve">属于 </t>
    </r>
    <r>
      <rPr>
        <sz val="11"/>
        <color theme="1"/>
        <rFont val="Calibri"/>
        <family val="2"/>
        <charset val="1"/>
      </rPr>
      <t xml:space="preserve">Casino </t>
    </r>
    <r>
      <rPr>
        <sz val="11"/>
        <color theme="1"/>
        <rFont val="Noto Sans SC"/>
        <family val="2"/>
        <charset val="134"/>
      </rPr>
      <t xml:space="preserve">类，正规发行通常要通过当地验证，数值必须能自证</t>
    </r>
  </si>
  <si>
    <t xml:space="preserve">能力要求</t>
  </si>
  <si>
    <r>
      <rPr>
        <sz val="11"/>
        <color theme="1"/>
        <rFont val="Noto Sans SC"/>
        <family val="2"/>
        <charset val="134"/>
      </rPr>
      <t xml:space="preserve">海外 </t>
    </r>
    <r>
      <rPr>
        <sz val="11"/>
        <color theme="1"/>
        <rFont val="Calibri"/>
        <family val="2"/>
        <charset val="1"/>
      </rPr>
      <t xml:space="preserve">JD</t>
    </r>
    <r>
      <rPr>
        <sz val="11"/>
        <color theme="1"/>
        <rFont val="Noto Sans SC"/>
        <family val="2"/>
        <charset val="134"/>
      </rPr>
      <t xml:space="preserve">：强数学 </t>
    </r>
    <r>
      <rPr>
        <sz val="11"/>
        <color theme="1"/>
        <rFont val="Calibri"/>
        <family val="2"/>
        <charset val="1"/>
      </rPr>
      <t xml:space="preserve">+ </t>
    </r>
    <r>
      <rPr>
        <sz val="11"/>
        <color theme="1"/>
        <rFont val="Noto Sans SC"/>
        <family val="2"/>
        <charset val="134"/>
      </rPr>
      <t xml:space="preserve">一定编程，或强编程 </t>
    </r>
    <r>
      <rPr>
        <sz val="11"/>
        <color theme="1"/>
        <rFont val="Calibri"/>
        <family val="2"/>
        <charset val="1"/>
      </rPr>
      <t xml:space="preserve">+ </t>
    </r>
    <r>
      <rPr>
        <sz val="11"/>
        <color theme="1"/>
        <rFont val="Noto Sans SC"/>
        <family val="2"/>
        <charset val="134"/>
      </rPr>
      <t xml:space="preserve">基础数学</t>
    </r>
  </si>
  <si>
    <t xml:space="preserve">判断「倒推法」</t>
  </si>
  <si>
    <r>
      <rPr>
        <sz val="11"/>
        <color theme="1"/>
        <rFont val="Noto Sans SC"/>
        <family val="2"/>
        <charset val="134"/>
      </rPr>
      <t xml:space="preserve">把线上赔付倍数代入 </t>
    </r>
    <r>
      <rPr>
        <sz val="11"/>
        <color theme="1"/>
        <rFont val="Calibri"/>
        <family val="2"/>
        <charset val="1"/>
      </rPr>
      <t xml:space="preserve">RTP </t>
    </r>
    <r>
      <rPr>
        <sz val="11"/>
        <color theme="1"/>
        <rFont val="Noto Sans SC"/>
        <family val="2"/>
        <charset val="134"/>
      </rPr>
      <t xml:space="preserve">计算：若最低 </t>
    </r>
    <r>
      <rPr>
        <sz val="11"/>
        <color theme="1"/>
        <rFont val="Calibri"/>
        <family val="2"/>
        <charset val="1"/>
      </rPr>
      <t xml:space="preserve">RTP </t>
    </r>
    <r>
      <rPr>
        <sz val="11"/>
        <color theme="1"/>
        <rFont val="Noto Sans SC"/>
        <family val="2"/>
        <charset val="134"/>
      </rPr>
      <t xml:space="preserve">＞ </t>
    </r>
    <r>
      <rPr>
        <sz val="11"/>
        <color theme="1"/>
        <rFont val="Calibri"/>
        <family val="2"/>
        <charset val="1"/>
      </rPr>
      <t xml:space="preserve">1 </t>
    </r>
    <r>
      <rPr>
        <sz val="11"/>
        <color theme="1"/>
        <rFont val="Noto Sans SC"/>
        <family val="2"/>
        <charset val="134"/>
      </rPr>
      <t xml:space="preserve">或 </t>
    </r>
    <r>
      <rPr>
        <sz val="11"/>
        <color theme="1"/>
        <rFont val="Calibri"/>
        <family val="2"/>
        <charset val="1"/>
      </rPr>
      <t xml:space="preserve">Base Game RTP </t>
    </r>
    <r>
      <rPr>
        <sz val="11"/>
        <color theme="1"/>
        <rFont val="Noto Sans SC"/>
        <family val="2"/>
        <charset val="134"/>
      </rPr>
      <t xml:space="preserve">＞ </t>
    </r>
    <r>
      <rPr>
        <sz val="11"/>
        <color theme="1"/>
        <rFont val="Calibri"/>
        <family val="2"/>
        <charset val="1"/>
      </rPr>
      <t xml:space="preserve">0.7</t>
    </r>
    <r>
      <rPr>
        <sz val="11"/>
        <color theme="1"/>
        <rFont val="Noto Sans SC"/>
        <family val="2"/>
        <charset val="134"/>
      </rPr>
      <t xml:space="preserve">，基本是倒推法</t>
    </r>
  </si>
  <si>
    <t xml:space="preserve">一句话</t>
  </si>
  <si>
    <r>
      <rPr>
        <b val="true"/>
        <sz val="11"/>
        <color rgb="FF1F4E79"/>
        <rFont val="Noto Sans SC"/>
        <family val="2"/>
        <charset val="134"/>
      </rPr>
      <t xml:space="preserve">【</t>
    </r>
    <r>
      <rPr>
        <b val="true"/>
        <sz val="11"/>
        <color rgb="FF1F4E79"/>
        <rFont val="Cambria"/>
        <family val="0"/>
        <charset val="1"/>
      </rPr>
      <t xml:space="preserve">2</t>
    </r>
    <r>
      <rPr>
        <b val="true"/>
        <sz val="11"/>
        <color rgb="FF1F4E79"/>
        <rFont val="Noto Sans SC"/>
        <family val="2"/>
        <charset val="134"/>
      </rPr>
      <t xml:space="preserve">】本例配置（</t>
    </r>
    <r>
      <rPr>
        <b val="true"/>
        <sz val="11"/>
        <color rgb="FF1F4E79"/>
        <rFont val="Cambria"/>
        <family val="0"/>
        <charset val="1"/>
      </rPr>
      <t xml:space="preserve">3*3 Line Slots</t>
    </r>
    <r>
      <rPr>
        <b val="true"/>
        <sz val="11"/>
        <color rgb="FF1F4E79"/>
        <rFont val="Noto Sans SC"/>
        <family val="2"/>
        <charset val="134"/>
      </rPr>
      <t xml:space="preserve">，数值取自原文代码）</t>
    </r>
  </si>
  <si>
    <t xml:space="preserve">项目</t>
  </si>
  <si>
    <t xml:space="preserve">数值</t>
  </si>
  <si>
    <t xml:space="preserve">窗口</t>
  </si>
  <si>
    <r>
      <rPr>
        <sz val="11"/>
        <color rgb="FF0000FF"/>
        <rFont val="Cambria"/>
        <family val="0"/>
        <charset val="1"/>
      </rPr>
      <t xml:space="preserve">3 </t>
    </r>
    <r>
      <rPr>
        <sz val="11"/>
        <color rgb="FF0000FF"/>
        <rFont val="Noto Sans SC"/>
        <family val="2"/>
        <charset val="134"/>
      </rPr>
      <t xml:space="preserve">行 </t>
    </r>
    <r>
      <rPr>
        <sz val="11"/>
        <color rgb="FF0000FF"/>
        <rFont val="Cambria"/>
        <family val="0"/>
        <charset val="1"/>
      </rPr>
      <t xml:space="preserve">× 3 </t>
    </r>
    <r>
      <rPr>
        <sz val="11"/>
        <color rgb="FF0000FF"/>
        <rFont val="Noto Sans SC"/>
        <family val="2"/>
        <charset val="134"/>
      </rPr>
      <t xml:space="preserve">列</t>
    </r>
  </si>
  <si>
    <t xml:space="preserve">三条中奖线（每行一条）</t>
  </si>
  <si>
    <t xml:space="preserve">黑图标权重</t>
  </si>
  <si>
    <r>
      <rPr>
        <sz val="11"/>
        <color theme="1"/>
        <rFont val="Noto Sans SC"/>
        <family val="2"/>
        <charset val="134"/>
      </rPr>
      <t xml:space="preserve">随机数 </t>
    </r>
    <r>
      <rPr>
        <sz val="11"/>
        <color theme="1"/>
        <rFont val="Calibri"/>
        <family val="2"/>
        <charset val="1"/>
      </rPr>
      <t xml:space="preserve">1~10000</t>
    </r>
    <r>
      <rPr>
        <sz val="11"/>
        <color theme="1"/>
        <rFont val="Noto Sans SC"/>
        <family val="2"/>
        <charset val="134"/>
      </rPr>
      <t xml:space="preserve">：≤</t>
    </r>
    <r>
      <rPr>
        <sz val="11"/>
        <color theme="1"/>
        <rFont val="Calibri"/>
        <family val="2"/>
        <charset val="1"/>
      </rPr>
      <t xml:space="preserve">8000 </t>
    </r>
    <r>
      <rPr>
        <sz val="11"/>
        <color theme="1"/>
        <rFont val="Noto Sans SC"/>
        <family val="2"/>
        <charset val="134"/>
      </rPr>
      <t xml:space="preserve">取黑</t>
    </r>
  </si>
  <si>
    <t xml:space="preserve">白图标权重</t>
  </si>
  <si>
    <t xml:space="preserve">其余取白</t>
  </si>
  <si>
    <t xml:space="preserve">BET</t>
  </si>
  <si>
    <t xml:space="preserve">每局总下注</t>
  </si>
  <si>
    <t xml:space="preserve">中奖线数</t>
  </si>
  <si>
    <r>
      <rPr>
        <sz val="11"/>
        <color theme="1"/>
        <rFont val="Noto Sans SC"/>
        <family val="2"/>
        <charset val="134"/>
      </rPr>
      <t xml:space="preserve">单线下注 ＝ </t>
    </r>
    <r>
      <rPr>
        <sz val="11"/>
        <color theme="1"/>
        <rFont val="Calibri"/>
        <family val="2"/>
        <charset val="1"/>
      </rPr>
      <t xml:space="preserve">BET ÷ 3</t>
    </r>
  </si>
  <si>
    <t xml:space="preserve">单线下注（基数）</t>
  </si>
  <si>
    <r>
      <rPr>
        <sz val="11"/>
        <color theme="1"/>
        <rFont val="Noto Sans SC"/>
        <family val="2"/>
        <charset val="134"/>
      </rPr>
      <t xml:space="preserve">赔付倍数以它为基数（</t>
    </r>
    <r>
      <rPr>
        <sz val="11"/>
        <color theme="1"/>
        <rFont val="Calibri"/>
        <family val="2"/>
        <charset val="1"/>
      </rPr>
      <t xml:space="preserve">BET ÷ </t>
    </r>
    <r>
      <rPr>
        <sz val="11"/>
        <color theme="1"/>
        <rFont val="Noto Sans SC"/>
        <family val="2"/>
        <charset val="134"/>
      </rPr>
      <t xml:space="preserve">中奖线数）</t>
    </r>
  </si>
  <si>
    <t xml:space="preserve">黑三连赔付倍数</t>
  </si>
  <si>
    <r>
      <rPr>
        <sz val="11"/>
        <color theme="1"/>
        <rFont val="Noto Sans SC"/>
        <family val="2"/>
        <charset val="134"/>
      </rPr>
      <t xml:space="preserve">原文：</t>
    </r>
    <r>
      <rPr>
        <sz val="11"/>
        <color theme="1"/>
        <rFont val="Calibri"/>
        <family val="2"/>
        <charset val="1"/>
      </rPr>
      <t xml:space="preserve">CreditsHei </t>
    </r>
    <r>
      <rPr>
        <sz val="11"/>
        <color theme="1"/>
        <rFont val="Noto Sans SC"/>
        <family val="2"/>
        <charset val="134"/>
      </rPr>
      <t xml:space="preserve">＝ </t>
    </r>
    <r>
      <rPr>
        <sz val="11"/>
        <color theme="1"/>
        <rFont val="Calibri"/>
        <family val="2"/>
        <charset val="1"/>
      </rPr>
      <t xml:space="preserve">1 × BET ÷ 3</t>
    </r>
  </si>
  <si>
    <t xml:space="preserve">白三连赔付倍数</t>
  </si>
  <si>
    <r>
      <rPr>
        <sz val="11"/>
        <color theme="1"/>
        <rFont val="Noto Sans SC"/>
        <family val="2"/>
        <charset val="134"/>
      </rPr>
      <t xml:space="preserve">原文：</t>
    </r>
    <r>
      <rPr>
        <sz val="11"/>
        <color theme="1"/>
        <rFont val="Calibri"/>
        <family val="2"/>
        <charset val="1"/>
      </rPr>
      <t xml:space="preserve">CreditsBai </t>
    </r>
    <r>
      <rPr>
        <sz val="11"/>
        <color theme="1"/>
        <rFont val="Noto Sans SC"/>
        <family val="2"/>
        <charset val="134"/>
      </rPr>
      <t xml:space="preserve">＝ </t>
    </r>
    <r>
      <rPr>
        <sz val="11"/>
        <color theme="1"/>
        <rFont val="Calibri"/>
        <family val="2"/>
        <charset val="1"/>
      </rPr>
      <t xml:space="preserve">56 × BET ÷ 3</t>
    </r>
  </si>
  <si>
    <r>
      <rPr>
        <b val="true"/>
        <sz val="11"/>
        <color rgb="FF1F4E79"/>
        <rFont val="Noto Sans SC"/>
        <family val="2"/>
        <charset val="134"/>
      </rPr>
      <t xml:space="preserve">【</t>
    </r>
    <r>
      <rPr>
        <b val="true"/>
        <sz val="11"/>
        <color rgb="FF1F4E79"/>
        <rFont val="Cambria"/>
        <family val="0"/>
        <charset val="1"/>
      </rPr>
      <t xml:space="preserve">3</t>
    </r>
    <r>
      <rPr>
        <b val="true"/>
        <sz val="11"/>
        <color rgb="FF1F4E79"/>
        <rFont val="Noto Sans SC"/>
        <family val="2"/>
        <charset val="134"/>
      </rPr>
      <t xml:space="preserve">】三条中奖线的理论 </t>
    </r>
    <r>
      <rPr>
        <b val="true"/>
        <sz val="11"/>
        <color rgb="FF1F4E79"/>
        <rFont val="Cambria"/>
        <family val="0"/>
        <charset val="1"/>
      </rPr>
      <t xml:space="preserve">RTP</t>
    </r>
    <r>
      <rPr>
        <b val="true"/>
        <sz val="11"/>
        <color rgb="FF1F4E79"/>
        <rFont val="Noto Sans SC"/>
        <family val="2"/>
        <charset val="134"/>
      </rPr>
      <t xml:space="preserve">（用原文配置验算）</t>
    </r>
  </si>
  <si>
    <t xml:space="preserve">中奖组合</t>
  </si>
  <si>
    <t xml:space="preserve">单列出现几率</t>
  </si>
  <si>
    <r>
      <rPr>
        <b val="true"/>
        <sz val="11"/>
        <color rgb="FF1F4E79"/>
        <rFont val="Noto Sans SC"/>
        <family val="2"/>
        <charset val="134"/>
      </rPr>
      <t xml:space="preserve">三连几率（</t>
    </r>
    <r>
      <rPr>
        <b val="true"/>
        <sz val="11"/>
        <color rgb="FF1F4E79"/>
        <rFont val="Cambria"/>
        <family val="0"/>
        <charset val="1"/>
      </rPr>
      <t xml:space="preserve">3 </t>
    </r>
    <r>
      <rPr>
        <b val="true"/>
        <sz val="11"/>
        <color rgb="FF1F4E79"/>
        <rFont val="Noto Sans SC"/>
        <family val="2"/>
        <charset val="134"/>
      </rPr>
      <t xml:space="preserve">列相乘）</t>
    </r>
  </si>
  <si>
    <t xml:space="preserve">赔付倍数</t>
  </si>
  <si>
    <t xml:space="preserve">单线期望</t>
  </si>
  <si>
    <r>
      <rPr>
        <sz val="11"/>
        <color theme="1"/>
        <rFont val="Noto Sans SC"/>
        <family val="2"/>
        <charset val="134"/>
      </rPr>
      <t xml:space="preserve">黑</t>
    </r>
    <r>
      <rPr>
        <sz val="11"/>
        <color theme="1"/>
        <rFont val="Calibri"/>
        <family val="2"/>
        <charset val="1"/>
      </rPr>
      <t xml:space="preserve">×3</t>
    </r>
    <r>
      <rPr>
        <sz val="11"/>
        <color theme="1"/>
        <rFont val="Noto Sans SC"/>
        <family val="2"/>
        <charset val="134"/>
      </rPr>
      <t xml:space="preserve">（每条线）</t>
    </r>
  </si>
  <si>
    <r>
      <rPr>
        <sz val="11"/>
        <color theme="1"/>
        <rFont val="Noto Sans SC"/>
        <family val="2"/>
        <charset val="134"/>
      </rPr>
      <t xml:space="preserve">白</t>
    </r>
    <r>
      <rPr>
        <sz val="11"/>
        <color theme="1"/>
        <rFont val="Calibri"/>
        <family val="2"/>
        <charset val="1"/>
      </rPr>
      <t xml:space="preserve">×3</t>
    </r>
    <r>
      <rPr>
        <sz val="11"/>
        <color theme="1"/>
        <rFont val="Noto Sans SC"/>
        <family val="2"/>
        <charset val="134"/>
      </rPr>
      <t xml:space="preserve">（每条线）</t>
    </r>
  </si>
  <si>
    <r>
      <rPr>
        <b val="true"/>
        <sz val="11"/>
        <rFont val="Noto Sans SC"/>
        <family val="2"/>
        <charset val="134"/>
      </rPr>
      <t xml:space="preserve">单条线 </t>
    </r>
    <r>
      <rPr>
        <b val="true"/>
        <sz val="11"/>
        <rFont val="Cambria"/>
        <family val="0"/>
        <charset val="1"/>
      </rPr>
      <t xml:space="preserve">RTP</t>
    </r>
  </si>
  <si>
    <r>
      <rPr>
        <b val="true"/>
        <sz val="11"/>
        <rFont val="Noto Sans SC"/>
        <family val="2"/>
        <charset val="134"/>
      </rPr>
      <t xml:space="preserve">整体 </t>
    </r>
    <r>
      <rPr>
        <b val="true"/>
        <sz val="11"/>
        <rFont val="Cambria"/>
        <family val="0"/>
        <charset val="1"/>
      </rPr>
      <t xml:space="preserve">RTP</t>
    </r>
    <r>
      <rPr>
        <b val="true"/>
        <sz val="11"/>
        <rFont val="Noto Sans SC"/>
        <family val="2"/>
        <charset val="134"/>
      </rPr>
      <t xml:space="preserve">（</t>
    </r>
    <r>
      <rPr>
        <b val="true"/>
        <sz val="11"/>
        <rFont val="Cambria"/>
        <family val="0"/>
        <charset val="1"/>
      </rPr>
      <t xml:space="preserve">3 </t>
    </r>
    <r>
      <rPr>
        <b val="true"/>
        <sz val="11"/>
        <rFont val="Noto Sans SC"/>
        <family val="2"/>
        <charset val="134"/>
      </rPr>
      <t xml:space="preserve">条线）</t>
    </r>
  </si>
  <si>
    <r>
      <rPr>
        <sz val="11"/>
        <color theme="1"/>
        <rFont val="Noto Sans SC"/>
        <family val="2"/>
        <charset val="134"/>
      </rPr>
      <t xml:space="preserve">赔付基数已是 </t>
    </r>
    <r>
      <rPr>
        <sz val="11"/>
        <color theme="1"/>
        <rFont val="Calibri"/>
        <family val="2"/>
        <charset val="1"/>
      </rPr>
      <t xml:space="preserve">BET÷3</t>
    </r>
    <r>
      <rPr>
        <sz val="11"/>
        <color theme="1"/>
        <rFont val="Noto Sans SC"/>
        <family val="2"/>
        <charset val="134"/>
      </rPr>
      <t xml:space="preserve">，三条线的下注合计正好 ＝ </t>
    </r>
    <r>
      <rPr>
        <sz val="11"/>
        <color theme="1"/>
        <rFont val="Calibri"/>
        <family val="2"/>
        <charset val="1"/>
      </rPr>
      <t xml:space="preserve">BET</t>
    </r>
    <r>
      <rPr>
        <sz val="11"/>
        <color theme="1"/>
        <rFont val="Noto Sans SC"/>
        <family val="2"/>
        <charset val="134"/>
      </rPr>
      <t xml:space="preserve">，故整体 </t>
    </r>
    <r>
      <rPr>
        <sz val="11"/>
        <color theme="1"/>
        <rFont val="Calibri"/>
        <family val="2"/>
        <charset val="1"/>
      </rPr>
      <t xml:space="preserve">RTP </t>
    </r>
    <r>
      <rPr>
        <sz val="11"/>
        <color theme="1"/>
        <rFont val="Noto Sans SC"/>
        <family val="2"/>
        <charset val="134"/>
      </rPr>
      <t xml:space="preserve">与单线 </t>
    </r>
    <r>
      <rPr>
        <sz val="11"/>
        <color theme="1"/>
        <rFont val="Calibri"/>
        <family val="2"/>
        <charset val="1"/>
      </rPr>
      <t xml:space="preserve">RTP </t>
    </r>
    <r>
      <rPr>
        <sz val="11"/>
        <color theme="1"/>
        <rFont val="Noto Sans SC"/>
        <family val="2"/>
        <charset val="134"/>
      </rPr>
      <t xml:space="preserve">同值 ＝ </t>
    </r>
    <r>
      <rPr>
        <sz val="11"/>
        <color theme="1"/>
        <rFont val="Calibri"/>
        <family val="2"/>
        <charset val="1"/>
      </rPr>
      <t xml:space="preserve">0.96</t>
    </r>
  </si>
  <si>
    <r>
      <rPr>
        <b val="true"/>
        <sz val="11"/>
        <color rgb="FF1F4E79"/>
        <rFont val="Noto Sans SC"/>
        <family val="2"/>
        <charset val="134"/>
      </rPr>
      <t xml:space="preserve">【</t>
    </r>
    <r>
      <rPr>
        <b val="true"/>
        <sz val="11"/>
        <color rgb="FF1F4E79"/>
        <rFont val="Cambria"/>
        <family val="0"/>
        <charset val="1"/>
      </rPr>
      <t xml:space="preserve">4</t>
    </r>
    <r>
      <rPr>
        <b val="true"/>
        <sz val="11"/>
        <color rgb="FF1F4E79"/>
        <rFont val="Noto Sans SC"/>
        <family val="2"/>
        <charset val="134"/>
      </rPr>
      <t xml:space="preserve">】模拟流程与检查要点</t>
    </r>
  </si>
  <si>
    <t xml:space="preserve">步骤</t>
  </si>
  <si>
    <t xml:space="preserve">做法</t>
  </si>
  <si>
    <t xml:space="preserve">检查点</t>
  </si>
  <si>
    <r>
      <rPr>
        <sz val="11"/>
        <color theme="1"/>
        <rFont val="Calibri"/>
        <family val="2"/>
        <charset val="1"/>
      </rPr>
      <t xml:space="preserve">1 </t>
    </r>
    <r>
      <rPr>
        <sz val="11"/>
        <color theme="1"/>
        <rFont val="Noto Sans SC"/>
        <family val="2"/>
        <charset val="134"/>
      </rPr>
      <t xml:space="preserve">输入局数</t>
    </r>
  </si>
  <si>
    <r>
      <rPr>
        <sz val="11"/>
        <color theme="1"/>
        <rFont val="Calibri"/>
        <family val="2"/>
        <charset val="1"/>
      </rPr>
      <t xml:space="preserve">times </t>
    </r>
    <r>
      <rPr>
        <sz val="11"/>
        <color theme="1"/>
        <rFont val="Noto Sans SC"/>
        <family val="2"/>
        <charset val="134"/>
      </rPr>
      <t xml:space="preserve">＝ </t>
    </r>
    <r>
      <rPr>
        <sz val="11"/>
        <color theme="1"/>
        <rFont val="Calibri"/>
        <family val="2"/>
        <charset val="1"/>
      </rPr>
      <t xml:space="preserve">int(input(...))</t>
    </r>
  </si>
  <si>
    <t xml:space="preserve">小样本波动大，正式跑建议百万级</t>
  </si>
  <si>
    <r>
      <rPr>
        <sz val="11"/>
        <color theme="1"/>
        <rFont val="Calibri"/>
        <family val="2"/>
        <charset val="1"/>
      </rPr>
      <t xml:space="preserve">2 </t>
    </r>
    <r>
      <rPr>
        <sz val="11"/>
        <color theme="1"/>
        <rFont val="Noto Sans SC"/>
        <family val="2"/>
        <charset val="134"/>
      </rPr>
      <t xml:space="preserve">逐局生成图标</t>
    </r>
  </si>
  <si>
    <r>
      <rPr>
        <sz val="11"/>
        <color theme="1"/>
        <rFont val="Noto Sans SC"/>
        <family val="2"/>
        <charset val="134"/>
      </rPr>
      <t xml:space="preserve">对 </t>
    </r>
    <r>
      <rPr>
        <sz val="11"/>
        <color theme="1"/>
        <rFont val="Calibri"/>
        <family val="2"/>
        <charset val="1"/>
      </rPr>
      <t xml:space="preserve">9 </t>
    </r>
    <r>
      <rPr>
        <sz val="11"/>
        <color theme="1"/>
        <rFont val="Noto Sans SC"/>
        <family val="2"/>
        <charset val="134"/>
      </rPr>
      <t xml:space="preserve">个位置各取 </t>
    </r>
    <r>
      <rPr>
        <sz val="11"/>
        <color theme="1"/>
        <rFont val="Calibri"/>
        <family val="2"/>
        <charset val="1"/>
      </rPr>
      <t xml:space="preserve">random.randint(1,10000)</t>
    </r>
    <r>
      <rPr>
        <sz val="11"/>
        <color theme="1"/>
        <rFont val="Noto Sans SC"/>
        <family val="2"/>
        <charset val="134"/>
      </rPr>
      <t xml:space="preserve">，再与权重比较</t>
    </r>
  </si>
  <si>
    <r>
      <rPr>
        <sz val="11"/>
        <color theme="1"/>
        <rFont val="Noto Sans SC"/>
        <family val="2"/>
        <charset val="134"/>
      </rPr>
      <t xml:space="preserve">随机数范围要和权重口径一致（</t>
    </r>
    <r>
      <rPr>
        <sz val="11"/>
        <color theme="1"/>
        <rFont val="Calibri"/>
        <family val="2"/>
        <charset val="1"/>
      </rPr>
      <t xml:space="preserve">1~10000</t>
    </r>
    <r>
      <rPr>
        <sz val="11"/>
        <color theme="1"/>
        <rFont val="Noto Sans SC"/>
        <family val="2"/>
        <charset val="134"/>
      </rPr>
      <t xml:space="preserve">）</t>
    </r>
  </si>
  <si>
    <r>
      <rPr>
        <sz val="11"/>
        <color theme="1"/>
        <rFont val="Calibri"/>
        <family val="2"/>
        <charset val="1"/>
      </rPr>
      <t xml:space="preserve">3 </t>
    </r>
    <r>
      <rPr>
        <sz val="11"/>
        <color theme="1"/>
        <rFont val="Noto Sans SC"/>
        <family val="2"/>
        <charset val="134"/>
      </rPr>
      <t xml:space="preserve">判定中奖</t>
    </r>
  </si>
  <si>
    <t xml:space="preserve">按三条线（行）分别判定三连</t>
  </si>
  <si>
    <r>
      <rPr>
        <sz val="11"/>
        <color theme="1"/>
        <rFont val="Noto Sans SC"/>
        <family val="2"/>
        <charset val="134"/>
      </rPr>
      <t xml:space="preserve">线内 </t>
    </r>
    <r>
      <rPr>
        <sz val="11"/>
        <color theme="1"/>
        <rFont val="Calibri"/>
        <family val="2"/>
        <charset val="1"/>
      </rPr>
      <t xml:space="preserve">3 </t>
    </r>
    <r>
      <rPr>
        <sz val="11"/>
        <color theme="1"/>
        <rFont val="Noto Sans SC"/>
        <family val="2"/>
        <charset val="134"/>
      </rPr>
      <t xml:space="preserve">个位置全同色才算</t>
    </r>
  </si>
  <si>
    <r>
      <rPr>
        <sz val="11"/>
        <color theme="1"/>
        <rFont val="Calibri"/>
        <family val="2"/>
        <charset val="1"/>
      </rPr>
      <t xml:space="preserve">4 </t>
    </r>
    <r>
      <rPr>
        <sz val="11"/>
        <color theme="1"/>
        <rFont val="Noto Sans SC"/>
        <family val="2"/>
        <charset val="134"/>
      </rPr>
      <t xml:space="preserve">累加</t>
    </r>
  </si>
  <si>
    <r>
      <rPr>
        <sz val="11"/>
        <color theme="1"/>
        <rFont val="Calibri"/>
        <family val="2"/>
        <charset val="1"/>
      </rPr>
      <t xml:space="preserve">WIN </t>
    </r>
    <r>
      <rPr>
        <sz val="11"/>
        <color theme="1"/>
        <rFont val="Noto Sans SC"/>
        <family val="2"/>
        <charset val="134"/>
      </rPr>
      <t xml:space="preserve">＋＝ 中奖额；</t>
    </r>
    <r>
      <rPr>
        <sz val="11"/>
        <color theme="1"/>
        <rFont val="Calibri"/>
        <family val="2"/>
        <charset val="1"/>
      </rPr>
      <t xml:space="preserve">TotalBet </t>
    </r>
    <r>
      <rPr>
        <sz val="11"/>
        <color theme="1"/>
        <rFont val="Noto Sans SC"/>
        <family val="2"/>
        <charset val="134"/>
      </rPr>
      <t xml:space="preserve">＋＝ </t>
    </r>
    <r>
      <rPr>
        <sz val="11"/>
        <color theme="1"/>
        <rFont val="Calibri"/>
        <family val="2"/>
        <charset val="1"/>
      </rPr>
      <t xml:space="preserve">BET</t>
    </r>
  </si>
  <si>
    <r>
      <rPr>
        <sz val="11"/>
        <color theme="1"/>
        <rFont val="Noto Sans SC"/>
        <family val="2"/>
        <charset val="134"/>
      </rPr>
      <t xml:space="preserve">中奖额 ＝ 赔付倍数 </t>
    </r>
    <r>
      <rPr>
        <sz val="11"/>
        <color theme="1"/>
        <rFont val="Calibri"/>
        <family val="2"/>
        <charset val="1"/>
      </rPr>
      <t xml:space="preserve">× BET ÷ 3</t>
    </r>
  </si>
  <si>
    <r>
      <rPr>
        <sz val="11"/>
        <color theme="1"/>
        <rFont val="Calibri"/>
        <family val="2"/>
        <charset val="1"/>
      </rPr>
      <t xml:space="preserve">5 </t>
    </r>
    <r>
      <rPr>
        <sz val="11"/>
        <color theme="1"/>
        <rFont val="Noto Sans SC"/>
        <family val="2"/>
        <charset val="134"/>
      </rPr>
      <t xml:space="preserve">输出</t>
    </r>
  </si>
  <si>
    <r>
      <rPr>
        <sz val="11"/>
        <color theme="1"/>
        <rFont val="Calibri"/>
        <family val="2"/>
        <charset val="1"/>
      </rPr>
      <t xml:space="preserve">RTP </t>
    </r>
    <r>
      <rPr>
        <sz val="11"/>
        <color theme="1"/>
        <rFont val="Noto Sans SC"/>
        <family val="2"/>
        <charset val="134"/>
      </rPr>
      <t xml:space="preserve">＝ </t>
    </r>
    <r>
      <rPr>
        <sz val="11"/>
        <color theme="1"/>
        <rFont val="Calibri"/>
        <family val="2"/>
        <charset val="1"/>
      </rPr>
      <t xml:space="preserve">WIN ÷ TotalBet</t>
    </r>
    <r>
      <rPr>
        <sz val="11"/>
        <color theme="1"/>
        <rFont val="Noto Sans SC"/>
        <family val="2"/>
        <charset val="134"/>
      </rPr>
      <t xml:space="preserve">；跑 </t>
    </r>
    <r>
      <rPr>
        <sz val="11"/>
        <color theme="1"/>
        <rFont val="Calibri"/>
        <family val="2"/>
        <charset val="1"/>
      </rPr>
      <t xml:space="preserve">N </t>
    </r>
    <r>
      <rPr>
        <sz val="11"/>
        <color theme="1"/>
        <rFont val="Noto Sans SC"/>
        <family val="2"/>
        <charset val="134"/>
      </rPr>
      <t xml:space="preserve">次取平均与方差</t>
    </r>
  </si>
  <si>
    <t xml:space="preserve">与理论值比较，差在抽样误差内即可</t>
  </si>
  <si>
    <r>
      <rPr>
        <b val="true"/>
        <sz val="11"/>
        <color rgb="FF1F4E79"/>
        <rFont val="Noto Sans SC"/>
        <family val="2"/>
        <charset val="134"/>
      </rPr>
      <t xml:space="preserve">【</t>
    </r>
    <r>
      <rPr>
        <b val="true"/>
        <sz val="11"/>
        <color rgb="FF1F4E79"/>
        <rFont val="Cambria"/>
        <family val="0"/>
        <charset val="1"/>
      </rPr>
      <t xml:space="preserve">5</t>
    </r>
    <r>
      <rPr>
        <b val="true"/>
        <sz val="11"/>
        <color rgb="FF1F4E79"/>
        <rFont val="Noto Sans SC"/>
        <family val="2"/>
        <charset val="134"/>
      </rPr>
      <t xml:space="preserve">】自检</t>
    </r>
  </si>
  <si>
    <t xml:space="preserve">检查项</t>
  </si>
  <si>
    <t xml:space="preserve">结果</t>
  </si>
  <si>
    <r>
      <rPr>
        <sz val="11"/>
        <color theme="1"/>
        <rFont val="Noto Sans SC"/>
        <family val="2"/>
        <charset val="134"/>
      </rPr>
      <t xml:space="preserve">单线下注 ＝ </t>
    </r>
    <r>
      <rPr>
        <sz val="11"/>
        <color theme="1"/>
        <rFont val="Calibri"/>
        <family val="2"/>
        <charset val="1"/>
      </rPr>
      <t xml:space="preserve">BET ÷ 3 </t>
    </r>
    <r>
      <rPr>
        <sz val="11"/>
        <color theme="1"/>
        <rFont val="Noto Sans SC"/>
        <family val="2"/>
        <charset val="134"/>
      </rPr>
      <t xml:space="preserve">＝ </t>
    </r>
    <r>
      <rPr>
        <sz val="11"/>
        <color theme="1"/>
        <rFont val="Calibri"/>
        <family val="2"/>
        <charset val="1"/>
      </rPr>
      <t xml:space="preserve">333.33</t>
    </r>
  </si>
  <si>
    <t xml:space="preserve">基数口径</t>
  </si>
  <si>
    <r>
      <rPr>
        <sz val="11"/>
        <color theme="1"/>
        <rFont val="Noto Sans SC"/>
        <family val="2"/>
        <charset val="134"/>
      </rPr>
      <t xml:space="preserve">黑三连几率 ＝ </t>
    </r>
    <r>
      <rPr>
        <sz val="11"/>
        <color theme="1"/>
        <rFont val="Calibri"/>
        <family val="2"/>
        <charset val="1"/>
      </rPr>
      <t xml:space="preserve">51.2%</t>
    </r>
  </si>
  <si>
    <t xml:space="preserve">0.8³</t>
  </si>
  <si>
    <r>
      <rPr>
        <sz val="11"/>
        <color theme="1"/>
        <rFont val="Noto Sans SC"/>
        <family val="2"/>
        <charset val="134"/>
      </rPr>
      <t xml:space="preserve">白三连几率 ＝ </t>
    </r>
    <r>
      <rPr>
        <sz val="11"/>
        <color theme="1"/>
        <rFont val="Calibri"/>
        <family val="2"/>
        <charset val="1"/>
      </rPr>
      <t xml:space="preserve">0.8%</t>
    </r>
  </si>
  <si>
    <t xml:space="preserve">0.2³</t>
  </si>
  <si>
    <r>
      <rPr>
        <sz val="11"/>
        <color theme="1"/>
        <rFont val="Noto Sans SC"/>
        <family val="2"/>
        <charset val="134"/>
      </rPr>
      <t xml:space="preserve">整体 </t>
    </r>
    <r>
      <rPr>
        <sz val="11"/>
        <color theme="1"/>
        <rFont val="Calibri"/>
        <family val="2"/>
        <charset val="1"/>
      </rPr>
      <t xml:space="preserve">RTP </t>
    </r>
    <r>
      <rPr>
        <sz val="11"/>
        <color theme="1"/>
        <rFont val="Noto Sans SC"/>
        <family val="2"/>
        <charset val="134"/>
      </rPr>
      <t xml:space="preserve">＝ </t>
    </r>
    <r>
      <rPr>
        <sz val="11"/>
        <color theme="1"/>
        <rFont val="Calibri"/>
        <family val="2"/>
        <charset val="1"/>
      </rPr>
      <t xml:space="preserve">0.96</t>
    </r>
  </si>
  <si>
    <r>
      <rPr>
        <sz val="11"/>
        <color theme="1"/>
        <rFont val="Noto Sans SC"/>
        <family val="2"/>
        <charset val="134"/>
      </rPr>
      <t xml:space="preserve">与原文</t>
    </r>
    <r>
      <rPr>
        <sz val="11"/>
        <color theme="1"/>
        <rFont val="Calibri"/>
        <family val="2"/>
        <charset val="1"/>
      </rPr>
      <t xml:space="preserve">/12 </t>
    </r>
    <r>
      <rPr>
        <sz val="11"/>
        <color theme="1"/>
        <rFont val="Noto Sans SC"/>
        <family val="2"/>
        <charset val="134"/>
      </rPr>
      <t xml:space="preserve">篇的 </t>
    </r>
    <r>
      <rPr>
        <sz val="11"/>
        <color theme="1"/>
        <rFont val="Calibri"/>
        <family val="2"/>
        <charset val="1"/>
      </rPr>
      <t xml:space="preserve">0.96 </t>
    </r>
    <r>
      <rPr>
        <sz val="11"/>
        <color theme="1"/>
        <rFont val="Noto Sans SC"/>
        <family val="2"/>
        <charset val="134"/>
      </rPr>
      <t xml:space="preserve">一致</t>
    </r>
  </si>
  <si>
    <t xml:space="preserve">说明：本页为按原文方法落地的配表实现；表内示例数值取自原文，原文未给的部分沿用同项目示例（蓝字可改）。</t>
  </si>
</sst>
</file>

<file path=xl/styles.xml><?xml version="1.0" encoding="utf-8"?>
<styleSheet xmlns="http://schemas.openxmlformats.org/spreadsheetml/2006/main">
  <numFmts count="6">
    <numFmt numFmtId="164" formatCode="General"/>
    <numFmt numFmtId="165" formatCode="#,##0"/>
    <numFmt numFmtId="166" formatCode="0.0000"/>
    <numFmt numFmtId="167" formatCode="0.00%"/>
    <numFmt numFmtId="168" formatCode="0.0000%"/>
    <numFmt numFmtId="169" formatCode="0.0000000000%"/>
  </numFmts>
  <fonts count="17">
    <font>
      <sz val="11"/>
      <color theme="1"/>
      <name val="Noto Sans SC"/>
      <family val="2"/>
      <charset val="134"/>
    </font>
    <font>
      <sz val="10"/>
      <name val="Arial"/>
      <family val="0"/>
      <charset val="134"/>
    </font>
    <font>
      <sz val="10"/>
      <name val="Arial"/>
      <family val="0"/>
      <charset val="134"/>
    </font>
    <font>
      <sz val="10"/>
      <name val="Arial"/>
      <family val="0"/>
      <charset val="134"/>
    </font>
    <font>
      <b val="true"/>
      <sz val="14"/>
      <color rgb="FF1F4E79"/>
      <name val="Noto Sans SC"/>
      <family val="2"/>
      <charset val="134"/>
    </font>
    <font>
      <b val="true"/>
      <sz val="14"/>
      <color rgb="FF1F4E79"/>
      <name val="Cambria"/>
      <family val="0"/>
      <charset val="1"/>
    </font>
    <font>
      <sz val="11"/>
      <color rgb="FF808080"/>
      <name val="Noto Sans SC"/>
      <family val="2"/>
      <charset val="134"/>
    </font>
    <font>
      <sz val="11"/>
      <color rgb="FF808080"/>
      <name val="Cambria"/>
      <family val="0"/>
      <charset val="1"/>
    </font>
    <font>
      <b val="true"/>
      <sz val="11"/>
      <name val="Noto Sans SC"/>
      <family val="2"/>
      <charset val="134"/>
    </font>
    <font>
      <sz val="11"/>
      <color theme="1"/>
      <name val="Calibri"/>
      <family val="2"/>
      <charset val="1"/>
    </font>
    <font>
      <b val="true"/>
      <sz val="11"/>
      <name val="Cambria"/>
      <family val="0"/>
      <charset val="1"/>
    </font>
    <font>
      <b val="true"/>
      <sz val="11"/>
      <color rgb="FF1F4E79"/>
      <name val="Noto Sans SC"/>
      <family val="2"/>
      <charset val="134"/>
    </font>
    <font>
      <b val="true"/>
      <sz val="11"/>
      <color rgb="FF1F4E79"/>
      <name val="Cambria"/>
      <family val="0"/>
      <charset val="1"/>
    </font>
    <font>
      <sz val="11"/>
      <color rgb="FF0000FF"/>
      <name val="Cambria"/>
      <family val="0"/>
      <charset val="1"/>
    </font>
    <font>
      <sz val="11"/>
      <color rgb="FF0000FF"/>
      <name val="Noto Sans SC"/>
      <family val="2"/>
      <charset val="134"/>
    </font>
    <font>
      <sz val="11"/>
      <color rgb="FF000000"/>
      <name val="Cambria"/>
      <family val="0"/>
      <charset val="1"/>
    </font>
    <font>
      <sz val="11"/>
      <color rgb="FF000000"/>
      <name val="Noto Sans SC"/>
      <family val="2"/>
      <charset val="134"/>
    </font>
  </fonts>
  <fills count="5">
    <fill>
      <patternFill patternType="none"/>
    </fill>
    <fill>
      <patternFill patternType="gray125"/>
    </fill>
    <fill>
      <patternFill patternType="solid">
        <fgColor rgb="FFB4C7E7"/>
        <bgColor rgb="FFCCCCFF"/>
      </patternFill>
    </fill>
    <fill>
      <patternFill patternType="solid">
        <fgColor rgb="FFDEEBF7"/>
        <bgColor rgb="FFCCFFFF"/>
      </patternFill>
    </fill>
    <fill>
      <patternFill patternType="solid">
        <fgColor rgb="FFFFFF00"/>
        <bgColor rgb="FFFFFF00"/>
      </patternFill>
    </fill>
  </fills>
  <borders count="1">
    <border diagonalUp="false" diagonalDown="false">
      <left/>
      <right/>
      <top/>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36">
    <xf numFmtId="164" fontId="0" fillId="0" borderId="0" xfId="0" applyFont="false" applyBorder="false" applyAlignment="false" applyProtection="false">
      <alignment horizontal="general" vertical="bottom" textRotation="0" wrapText="false" indent="0" shrinkToFit="false"/>
      <protection locked="true" hidden="false"/>
    </xf>
    <xf numFmtId="164" fontId="4" fillId="0" borderId="0" xfId="0" applyFont="true" applyBorder="false" applyAlignment="true" applyProtection="true">
      <alignment horizontal="general" vertical="bottom" textRotation="0" wrapText="false" indent="0" shrinkToFit="false"/>
      <protection locked="true" hidden="false"/>
    </xf>
    <xf numFmtId="164" fontId="6" fillId="0" borderId="0" xfId="0" applyFont="true" applyBorder="false" applyAlignment="true" applyProtection="true">
      <alignment horizontal="general" vertical="bottom" textRotation="0" wrapText="false" indent="0" shrinkToFit="false"/>
      <protection locked="true" hidden="false"/>
    </xf>
    <xf numFmtId="164" fontId="6" fillId="0" borderId="0" xfId="0" applyFont="true" applyBorder="true" applyAlignment="true" applyProtection="true">
      <alignment horizontal="general" vertical="bottom" textRotation="0" wrapText="false" indent="0" shrinkToFit="false"/>
      <protection locked="true" hidden="false"/>
    </xf>
    <xf numFmtId="164" fontId="8" fillId="0" borderId="0" xfId="0" applyFont="true" applyBorder="false" applyAlignment="true" applyProtection="true">
      <alignment horizontal="general" vertical="top" textRotation="0" wrapText="true" indent="0" shrinkToFit="false"/>
      <protection locked="true" hidden="false"/>
    </xf>
    <xf numFmtId="164" fontId="9" fillId="0" borderId="0" xfId="0" applyFont="true" applyBorder="false" applyAlignment="true" applyProtection="true">
      <alignment horizontal="general" vertical="top" textRotation="0" wrapText="true" indent="0" shrinkToFit="false"/>
      <protection locked="true" hidden="false"/>
    </xf>
    <xf numFmtId="164" fontId="9" fillId="0" borderId="0" xfId="0" applyFont="true" applyBorder="true" applyAlignment="true" applyProtection="true">
      <alignment horizontal="general" vertical="top" textRotation="0" wrapText="true" indent="0" shrinkToFit="false"/>
      <protection locked="true" hidden="false"/>
    </xf>
    <xf numFmtId="164" fontId="0" fillId="0" borderId="0" xfId="0" applyFont="true" applyBorder="false" applyAlignment="true" applyProtection="true">
      <alignment horizontal="general" vertical="top" textRotation="0" wrapText="true" indent="0" shrinkToFit="false"/>
      <protection locked="true" hidden="false"/>
    </xf>
    <xf numFmtId="164" fontId="0" fillId="0" borderId="0" xfId="0" applyFont="true" applyBorder="true" applyAlignment="true" applyProtection="true">
      <alignment horizontal="general" vertical="top" textRotation="0" wrapText="true" indent="0" shrinkToFit="false"/>
      <protection locked="true" hidden="false"/>
    </xf>
    <xf numFmtId="164" fontId="7" fillId="0" borderId="0" xfId="0" applyFont="true" applyBorder="false" applyAlignment="true" applyProtection="true">
      <alignment horizontal="general" vertical="bottom" textRotation="0" wrapText="false" indent="0" shrinkToFit="false"/>
      <protection locked="true" hidden="false"/>
    </xf>
    <xf numFmtId="164" fontId="0" fillId="0" borderId="0" xfId="0" applyFont="false" applyBorder="false" applyAlignment="true" applyProtection="true">
      <alignment horizontal="general" vertical="bottom" textRotation="0" wrapText="false" indent="0" shrinkToFit="false"/>
      <protection locked="true" hidden="false"/>
    </xf>
    <xf numFmtId="164" fontId="4" fillId="0" borderId="0" xfId="0" applyFont="true" applyBorder="true" applyAlignment="true" applyProtection="true">
      <alignment horizontal="general" vertical="bottom" textRotation="0" wrapText="false" indent="0" shrinkToFit="false"/>
      <protection locked="true" hidden="false"/>
    </xf>
    <xf numFmtId="164" fontId="11" fillId="2" borderId="0" xfId="0" applyFont="true" applyBorder="true" applyAlignment="true" applyProtection="true">
      <alignment horizontal="general" vertical="bottom" textRotation="0" wrapText="false" indent="0" shrinkToFit="false"/>
      <protection locked="true" hidden="false"/>
    </xf>
    <xf numFmtId="164" fontId="0" fillId="2" borderId="0" xfId="0" applyFont="false" applyBorder="false" applyAlignment="true" applyProtection="true">
      <alignment horizontal="general" vertical="bottom" textRotation="0" wrapText="false" indent="0" shrinkToFit="false"/>
      <protection locked="true" hidden="false"/>
    </xf>
    <xf numFmtId="164" fontId="11" fillId="3" borderId="0" xfId="0" applyFont="true" applyBorder="false" applyAlignment="true" applyProtection="true">
      <alignment horizontal="center" vertical="center" textRotation="0" wrapText="false" indent="0" shrinkToFit="false"/>
      <protection locked="true" hidden="false"/>
    </xf>
    <xf numFmtId="164" fontId="0" fillId="0" borderId="0" xfId="0" applyFont="true" applyBorder="true" applyAlignment="true" applyProtection="true">
      <alignment horizontal="general" vertical="bottom" textRotation="0" wrapText="false" indent="0" shrinkToFit="false"/>
      <protection locked="true" hidden="false"/>
    </xf>
    <xf numFmtId="164" fontId="9" fillId="0" borderId="0" xfId="0" applyFont="true" applyBorder="true" applyAlignment="true" applyProtection="true">
      <alignment horizontal="general" vertical="bottom" textRotation="0" wrapText="false" indent="0" shrinkToFit="false"/>
      <protection locked="true" hidden="false"/>
    </xf>
    <xf numFmtId="164" fontId="13" fillId="0" borderId="0" xfId="0" applyFont="true" applyBorder="false" applyAlignment="true" applyProtection="true">
      <alignment horizontal="general" vertical="bottom" textRotation="0" wrapText="false" indent="0" shrinkToFit="false"/>
      <protection locked="true" hidden="false"/>
    </xf>
    <xf numFmtId="165" fontId="13" fillId="0" borderId="0" xfId="0" applyFont="true" applyBorder="false" applyAlignment="true" applyProtection="true">
      <alignment horizontal="general" vertical="bottom" textRotation="0" wrapText="false" indent="0" shrinkToFit="false"/>
      <protection locked="true" hidden="false"/>
    </xf>
    <xf numFmtId="164" fontId="9" fillId="0" borderId="0" xfId="0" applyFont="true" applyBorder="false" applyAlignment="true" applyProtection="true">
      <alignment horizontal="general" vertical="bottom" textRotation="0" wrapText="false" indent="0" shrinkToFit="false"/>
      <protection locked="true" hidden="false"/>
    </xf>
    <xf numFmtId="166" fontId="15" fillId="0" borderId="0" xfId="0" applyFont="true" applyBorder="false" applyAlignment="true" applyProtection="true">
      <alignment horizontal="general" vertical="bottom" textRotation="0" wrapText="false" indent="0" shrinkToFit="false"/>
      <protection locked="true" hidden="false"/>
    </xf>
    <xf numFmtId="167" fontId="15" fillId="0" borderId="0" xfId="0" applyFont="true" applyBorder="false" applyAlignment="true" applyProtection="true">
      <alignment horizontal="general" vertical="bottom" textRotation="0" wrapText="false" indent="0" shrinkToFit="false"/>
      <protection locked="true" hidden="false"/>
    </xf>
    <xf numFmtId="168" fontId="15" fillId="0" borderId="0" xfId="0" applyFont="true" applyBorder="false" applyAlignment="true" applyProtection="true">
      <alignment horizontal="general" vertical="bottom" textRotation="0" wrapText="false" indent="0" shrinkToFit="false"/>
      <protection locked="true" hidden="false"/>
    </xf>
    <xf numFmtId="166" fontId="10" fillId="4" borderId="0" xfId="0" applyFont="true" applyBorder="false" applyAlignment="true" applyProtection="true">
      <alignment horizontal="general" vertical="bottom" textRotation="0" wrapText="false" indent="0" shrinkToFit="false"/>
      <protection locked="true" hidden="false"/>
    </xf>
    <xf numFmtId="164" fontId="8" fillId="0" borderId="0" xfId="0" applyFont="true" applyBorder="false" applyAlignment="true" applyProtection="true">
      <alignment horizontal="general" vertical="bottom" textRotation="0" wrapText="false" indent="0" shrinkToFit="false"/>
      <protection locked="true" hidden="false"/>
    </xf>
    <xf numFmtId="164" fontId="16" fillId="0" borderId="0" xfId="0" applyFont="true" applyBorder="false" applyAlignment="true" applyProtection="true">
      <alignment horizontal="general" vertical="bottom" textRotation="0" wrapText="false" indent="0" shrinkToFit="false"/>
      <protection locked="true" hidden="false"/>
    </xf>
    <xf numFmtId="164" fontId="6" fillId="0" borderId="0" xfId="0" applyFont="true" applyBorder="true" applyAlignment="true" applyProtection="true">
      <alignment horizontal="general" vertical="top" textRotation="0" wrapText="true" indent="0" shrinkToFit="false"/>
      <protection locked="true" hidden="false"/>
    </xf>
    <xf numFmtId="164" fontId="9" fillId="0" borderId="0" xfId="0" applyFont="true" applyBorder="false" applyAlignment="true" applyProtection="true">
      <alignment horizontal="general" vertical="top" textRotation="0" indent="0" shrinkToFit="false"/>
      <protection locked="true" hidden="false"/>
    </xf>
    <xf numFmtId="164" fontId="9" fillId="0" borderId="0" xfId="0" applyFont="true" applyBorder="true" applyAlignment="true" applyProtection="true">
      <alignment horizontal="general" vertical="top" textRotation="0" indent="0" shrinkToFit="false"/>
      <protection locked="true" hidden="false"/>
    </xf>
    <xf numFmtId="164" fontId="0" fillId="0" borderId="0" xfId="0" applyFont="true" applyBorder="false" applyAlignment="true" applyProtection="true">
      <alignment horizontal="general" vertical="top" textRotation="0" indent="0" shrinkToFit="false"/>
      <protection locked="true" hidden="false"/>
    </xf>
    <xf numFmtId="164" fontId="0" fillId="0" borderId="0" xfId="0" applyFont="true" applyBorder="true" applyAlignment="true" applyProtection="true">
      <alignment horizontal="general" vertical="top" textRotation="0" indent="0" shrinkToFit="false"/>
      <protection locked="true" hidden="false"/>
    </xf>
    <xf numFmtId="164" fontId="8" fillId="0" borderId="0" xfId="0" applyFont="true" applyBorder="false" applyAlignment="true" applyProtection="true">
      <alignment horizontal="general" vertical="top" textRotation="0" indent="0" shrinkToFit="false"/>
      <protection locked="true" hidden="false"/>
    </xf>
    <xf numFmtId="0" fontId="13" fillId="0" borderId="0" xfId="0" applyFont="true" applyBorder="false" applyAlignment="true" applyProtection="true">
      <alignment horizontal="general" vertical="bottom" textRotation="0" wrapText="false" indent="0" shrinkToFit="false"/>
      <protection locked="true" hidden="false"/>
    </xf>
    <xf numFmtId="0" fontId="9" fillId="0" borderId="0" xfId="0" applyFont="true" applyBorder="false" applyAlignment="true" applyProtection="true">
      <alignment horizontal="general" vertical="bottom" textRotation="0" wrapText="false" indent="0" shrinkToFit="false"/>
      <protection locked="true" hidden="false"/>
    </xf>
    <xf numFmtId="169" applyNumberFormat="1" fontId="15" fillId="0" borderId="0" xfId="0" applyFont="true" applyBorder="false" applyAlignment="true" applyProtection="true">
      <alignment horizontal="general" vertical="bottom" textRotation="0" wrapText="false" indent="0" shrinkToFit="false"/>
      <protection locked="true" hidden="false"/>
    </xf>
    <xf numFmtId="169" applyNumberFormat="1" fontId="15" fillId="0" borderId="0" xfId="0" applyFont="true" applyBorder="false" applyAlignment="true" applyProtection="true">
      <alignment horizontal="general" vertical="bottom" textRotation="0" wrapText="fals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B4C7E7"/>
      <rgbColor rgb="FF808080"/>
      <rgbColor rgb="FF9999FF"/>
      <rgbColor rgb="FF993366"/>
      <rgbColor rgb="FFFFFFCC"/>
      <rgbColor rgb="FFDEEBF7"/>
      <rgbColor rgb="FF660066"/>
      <rgbColor rgb="FFFF8080"/>
      <rgbColor rgb="FF0066CC"/>
      <rgbColor rgb="FFCCCCFF"/>
      <rgbColor rgb="FF000080"/>
      <rgbColor rgb="FFFF00FF"/>
      <rgbColor rgb="FFFFFF00"/>
      <rgbColor rgb="FF00FFFF"/>
      <rgbColor rgb="FF800080"/>
      <rgbColor rgb="FF800000"/>
      <rgbColor rgb="FF008080"/>
      <rgbColor rgb="FF0000FF"/>
      <rgbColor rgb="FF00CCFF"/>
      <rgbColor rgb="FFCCFFFF"/>
      <rgbColor rgb="FFCCFFCC"/>
      <rgbColor rgb="FFFFFF99"/>
      <rgbColor rgb="FF99CCFF"/>
      <rgbColor rgb="FFFF99CC"/>
      <rgbColor rgb="FFCC99FF"/>
      <rgbColor rgb="FFFFCC99"/>
      <rgbColor rgb="FF3366FF"/>
      <rgbColor rgb="FF33CCCC"/>
      <rgbColor rgb="FF99CC00"/>
      <rgbColor rgb="FFFFCC00"/>
      <rgbColor rgb="FFFF9900"/>
      <rgbColor rgb="FFFF6600"/>
      <rgbColor rgb="FF666699"/>
      <rgbColor rgb="FF969696"/>
      <rgbColor rgb="FF003366"/>
      <rgbColor rgb="FF339966"/>
      <rgbColor rgb="FF003300"/>
      <rgbColor rgb="FF333300"/>
      <rgbColor rgb="FF993300"/>
      <rgbColor rgb="FF993366"/>
      <rgbColor rgb="FF1F4E79"/>
      <rgbColor rgb="FF333333"/>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sharedStrings" Target="sharedStrings.xml"/>
</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I290"/>
  <sheetViews>
    <sheetView showFormulas="false" showGridLines="true" showRowColHeaders="true" showZeros="true" rightToLeft="false" tabSelected="true" showOutlineSymbols="true" defaultGridColor="true" view="normal" topLeftCell="A1" colorId="64" zoomScale="100" zoomScaleNormal="100" zoomScalePageLayoutView="100" workbookViewId="0">
      <selection pane="topLeft" activeCell="A1" activeCellId="0" sqref="A1"/>
    </sheetView>
  </sheetViews>
  <sheetFormatPr defaultColWidth="7.69140625" defaultRowHeight="15" customHeight="false" zeroHeight="false" outlineLevelRow="0" outlineLevelCol="0"/>
  <cols>
    <col collapsed="false" customWidth="true" hidden="false" outlineLevel="0" max="1" min="1" style="0" width="42.14"/>
  </cols>
  <sheetData>
    <row r="1" customFormat="false" ht="19" hidden="false" customHeight="false" outlineLevel="0" collapsed="false">
      <c r="A1" s="1" t="s">
        <v>0</v>
      </c>
    </row>
    <row r="3" customFormat="false" ht="15.5" hidden="false" customHeight="false" outlineLevel="0" collapsed="false">
      <c r="A3" s="2" t="s">
        <v>1</v>
      </c>
    </row>
    <row r="4" customFormat="false" ht="15.5" hidden="false" customHeight="false" outlineLevel="0" collapsed="false">
      <c r="A4" s="2" t="s">
        <v>2</v>
      </c>
    </row>
    <row r="5" customFormat="false" ht="15.5" hidden="false" customHeight="false" outlineLevel="0" collapsed="false">
      <c r="A5" s="3" t="s">
        <v>3</v>
      </c>
      <c r="B5" s="3"/>
      <c r="C5" s="3"/>
      <c r="D5" s="3"/>
    </row>
    <row r="6" customFormat="false" ht="15.5" hidden="false" customHeight="false" outlineLevel="0" collapsed="false">
      <c r="A6" s="3" t="s">
        <v>4</v>
      </c>
      <c r="B6" s="3"/>
      <c r="C6" s="3"/>
    </row>
    <row r="7" customFormat="false" ht="15.5" hidden="false" customHeight="false" outlineLevel="0" collapsed="false">
      <c r="A7" s="3" t="s">
        <v>5</v>
      </c>
      <c r="B7" s="3"/>
      <c r="C7" s="3"/>
      <c r="D7" s="3"/>
      <c r="E7" s="3"/>
      <c r="F7" s="3"/>
      <c r="G7" s="3"/>
      <c r="H7" s="3"/>
      <c r="I7" s="3"/>
    </row>
    <row r="9" customFormat="false" ht="15" hidden="false" customHeight="false" outlineLevel="0" collapsed="false">
      <c r="A9" s="4" t="s">
        <v>6</v>
      </c>
    </row>
    <row r="10" customFormat="false" ht="29" hidden="false" customHeight="false" outlineLevel="0" collapsed="false">
      <c r="A10" s="27" t="s">
        <v>7</v>
      </c>
    </row>
    <row r="11" customFormat="false" ht="29" hidden="false" customHeight="false" outlineLevel="0" collapsed="false">
      <c r="A11" s="27" t="s">
        <v>8</v>
      </c>
    </row>
    <row r="12" customFormat="false" ht="15" hidden="false" customHeight="false" outlineLevel="0" collapsed="false">
      <c r="A12" s="5"/>
    </row>
    <row r="13" customFormat="false" ht="15" hidden="false" customHeight="false" outlineLevel="0" collapsed="false">
      <c r="A13" s="4" t="s">
        <v>9</v>
      </c>
    </row>
    <row r="14" customFormat="false" ht="15" hidden="false" customHeight="1" outlineLevel="0" collapsed="false">
      <c r="A14" s="28" t="s">
        <v>10</v>
      </c>
      <c r="B14" s="6"/>
      <c r="C14" s="6"/>
    </row>
    <row r="15" customFormat="false" ht="42" hidden="false" customHeight="false" outlineLevel="0" collapsed="false">
      <c r="A15" s="27" t="s">
        <v>11</v>
      </c>
    </row>
    <row r="16" customFormat="false" ht="15" hidden="false" customHeight="1" outlineLevel="0" collapsed="false">
      <c r="A16" s="28" t="s">
        <v>12</v>
      </c>
      <c r="B16" s="6"/>
      <c r="C16" s="6"/>
    </row>
    <row r="17" customFormat="false" ht="15" hidden="false" customHeight="false" outlineLevel="0" collapsed="false">
      <c r="A17" s="5"/>
    </row>
    <row r="18" customFormat="false" ht="15" hidden="false" customHeight="false" outlineLevel="0" collapsed="false">
      <c r="A18" s="4" t="s">
        <v>13</v>
      </c>
    </row>
    <row r="19" customFormat="false" ht="29" hidden="false" customHeight="false" outlineLevel="0" collapsed="false">
      <c r="A19" s="27" t="s">
        <v>14</v>
      </c>
    </row>
    <row r="20" customFormat="false" ht="30" hidden="false" customHeight="false" outlineLevel="0" collapsed="false">
      <c r="A20" s="27" t="s">
        <v>15</v>
      </c>
    </row>
    <row r="21" customFormat="false" ht="43" hidden="false" customHeight="false" outlineLevel="0" collapsed="false">
      <c r="A21" s="29" t="s">
        <v>16</v>
      </c>
    </row>
    <row r="22" customFormat="false" ht="15" hidden="false" customHeight="false" outlineLevel="0" collapsed="false">
      <c r="A22" s="7" t="s">
        <v>17</v>
      </c>
    </row>
    <row r="23" customFormat="false" ht="30" hidden="false" customHeight="false" outlineLevel="0" collapsed="false">
      <c r="A23" s="27" t="s">
        <v>18</v>
      </c>
    </row>
    <row r="24" customFormat="false" ht="30" hidden="false" customHeight="false" outlineLevel="0" collapsed="false">
      <c r="A24" s="29" t="s">
        <v>19</v>
      </c>
    </row>
    <row r="25" customFormat="false" ht="30" hidden="false" customHeight="false" outlineLevel="0" collapsed="false">
      <c r="A25" s="27" t="s">
        <v>20</v>
      </c>
    </row>
    <row r="26" customFormat="false" ht="30" hidden="false" customHeight="false" outlineLevel="0" collapsed="false">
      <c r="A26" s="29" t="s">
        <v>21</v>
      </c>
    </row>
    <row r="27" customFormat="false" ht="30" hidden="false" customHeight="false" outlineLevel="0" collapsed="false">
      <c r="A27" s="27" t="s">
        <v>22</v>
      </c>
    </row>
    <row r="28" customFormat="false" ht="29" hidden="false" customHeight="false" outlineLevel="0" collapsed="false">
      <c r="A28" s="29" t="s">
        <v>23</v>
      </c>
    </row>
    <row r="29" customFormat="false" ht="30" hidden="false" customHeight="false" outlineLevel="0" collapsed="false">
      <c r="A29" s="27" t="s">
        <v>24</v>
      </c>
    </row>
    <row r="31" customFormat="false" ht="15" hidden="false" customHeight="false" outlineLevel="0" collapsed="false">
      <c r="A31" s="4" t="s">
        <v>25</v>
      </c>
    </row>
    <row r="32" customFormat="false" ht="15" hidden="false" customHeight="false" outlineLevel="0" collapsed="false">
      <c r="A32" s="7"/>
    </row>
    <row r="33" customFormat="false" ht="30" hidden="false" customHeight="false" outlineLevel="0" collapsed="false">
      <c r="A33" s="29" t="s">
        <v>26</v>
      </c>
    </row>
    <row r="34" customFormat="false" ht="41" hidden="false" customHeight="false" outlineLevel="0" collapsed="false">
      <c r="A34" s="29" t="s">
        <v>27</v>
      </c>
    </row>
    <row r="35" customFormat="false" ht="15" hidden="false" customHeight="1" outlineLevel="0" collapsed="false">
      <c r="A35" s="30" t="s">
        <v>28</v>
      </c>
      <c r="B35" s="8"/>
      <c r="C35" s="8"/>
      <c r="D35" s="8"/>
    </row>
    <row r="36" customFormat="false" ht="15" hidden="false" customHeight="false" outlineLevel="0" collapsed="false">
      <c r="A36" s="7"/>
    </row>
    <row r="37" customFormat="false" ht="16" hidden="false" customHeight="false" outlineLevel="0" collapsed="false">
      <c r="A37" s="7" t="s">
        <v>29</v>
      </c>
    </row>
    <row r="38" customFormat="false" ht="30" hidden="false" customHeight="false" outlineLevel="0" collapsed="false">
      <c r="A38" s="29" t="s">
        <v>30</v>
      </c>
    </row>
    <row r="39" customFormat="false" ht="29" hidden="false" customHeight="false" outlineLevel="0" collapsed="false">
      <c r="A39" s="29" t="s">
        <v>31</v>
      </c>
    </row>
    <row r="40" customFormat="false" ht="15" hidden="false" customHeight="false" outlineLevel="0" collapsed="false">
      <c r="A40" s="7"/>
    </row>
    <row r="41" customFormat="false" ht="15" hidden="false" customHeight="false" outlineLevel="0" collapsed="false">
      <c r="A41" s="7" t="s">
        <v>32</v>
      </c>
    </row>
    <row r="42" customFormat="false" ht="29" hidden="false" customHeight="false" outlineLevel="0" collapsed="false">
      <c r="A42" s="29" t="s">
        <v>33</v>
      </c>
    </row>
    <row r="43" customFormat="false" ht="41" hidden="false" customHeight="false" outlineLevel="0" collapsed="false">
      <c r="A43" s="29" t="s">
        <v>34</v>
      </c>
    </row>
    <row r="44" customFormat="false" ht="15" hidden="false" customHeight="1" outlineLevel="0" collapsed="false">
      <c r="A44" s="30" t="s">
        <v>35</v>
      </c>
      <c r="B44" s="8"/>
      <c r="C44" s="8"/>
      <c r="D44" s="8"/>
      <c r="E44" s="8"/>
    </row>
    <row r="45" customFormat="false" ht="15" hidden="false" customHeight="false" outlineLevel="0" collapsed="false">
      <c r="A45" s="7"/>
    </row>
    <row r="46" customFormat="false" ht="16" hidden="false" customHeight="false" outlineLevel="0" collapsed="false">
      <c r="A46" s="7" t="s">
        <v>36</v>
      </c>
    </row>
    <row r="47" customFormat="false" ht="15" hidden="false" customHeight="false" outlineLevel="0" collapsed="false">
      <c r="A47" s="7"/>
    </row>
    <row r="48" customFormat="false" ht="30" hidden="false" customHeight="false" outlineLevel="0" collapsed="false">
      <c r="A48" s="27" t="s">
        <v>37</v>
      </c>
    </row>
    <row r="49" customFormat="false" ht="15" hidden="false" customHeight="false" outlineLevel="0" collapsed="false">
      <c r="A49" s="7"/>
    </row>
    <row r="50" customFormat="false" ht="15" hidden="false" customHeight="1" outlineLevel="0" collapsed="false">
      <c r="A50" s="30" t="s">
        <v>38</v>
      </c>
      <c r="B50" s="8"/>
      <c r="C50" s="8"/>
      <c r="D50" s="8"/>
      <c r="E50" s="8"/>
      <c r="F50" s="8"/>
      <c r="G50" s="8"/>
      <c r="H50" s="8"/>
      <c r="I50" s="8"/>
    </row>
    <row r="51" customFormat="false" ht="15" hidden="false" customHeight="1" outlineLevel="0" collapsed="false">
      <c r="A51" s="30" t="s">
        <v>39</v>
      </c>
      <c r="B51" s="8"/>
      <c r="C51" s="8"/>
    </row>
    <row r="52" customFormat="false" ht="15" hidden="false" customHeight="1" outlineLevel="0" collapsed="false">
      <c r="A52" s="30" t="s">
        <v>40</v>
      </c>
      <c r="B52" s="8"/>
      <c r="C52" s="8"/>
      <c r="D52" s="8"/>
      <c r="E52" s="8"/>
      <c r="F52" s="8"/>
      <c r="G52" s="8"/>
      <c r="H52" s="8"/>
      <c r="I52" s="8"/>
    </row>
    <row r="53" customFormat="false" ht="15" hidden="false" customHeight="false" outlineLevel="0" collapsed="false">
      <c r="A53" s="7"/>
    </row>
    <row r="54" customFormat="false" ht="16" hidden="false" customHeight="false" outlineLevel="0" collapsed="false">
      <c r="A54" s="7" t="s">
        <v>41</v>
      </c>
    </row>
    <row r="55" customFormat="false" ht="15" hidden="false" customHeight="false" outlineLevel="0" collapsed="false">
      <c r="A55" s="7"/>
    </row>
    <row r="56" customFormat="false" ht="15" hidden="false" customHeight="false" outlineLevel="0" collapsed="false">
      <c r="A56" s="7" t="s">
        <v>42</v>
      </c>
    </row>
    <row r="57" customFormat="false" ht="15" hidden="false" customHeight="false" outlineLevel="0" collapsed="false">
      <c r="A57" s="7"/>
    </row>
    <row r="58" customFormat="false" ht="42" hidden="false" customHeight="false" outlineLevel="0" collapsed="false">
      <c r="A58" s="29" t="s">
        <v>43</v>
      </c>
    </row>
    <row r="59" customFormat="false" ht="15" hidden="false" customHeight="false" outlineLevel="0" collapsed="false">
      <c r="A59" s="7" t="s">
        <v>44</v>
      </c>
    </row>
    <row r="60" customFormat="false" ht="29" hidden="false" customHeight="false" outlineLevel="0" collapsed="false">
      <c r="A60" s="27" t="s">
        <v>45</v>
      </c>
    </row>
    <row r="61" customFormat="false" ht="15" hidden="false" customHeight="1" outlineLevel="0" collapsed="false">
      <c r="A61" s="30" t="s">
        <v>46</v>
      </c>
      <c r="B61" s="8"/>
      <c r="C61" s="8"/>
      <c r="D61" s="8"/>
      <c r="E61" s="8"/>
    </row>
    <row r="62" customFormat="false" ht="29" hidden="false" customHeight="false" outlineLevel="0" collapsed="false">
      <c r="A62" s="29" t="s">
        <v>47</v>
      </c>
    </row>
    <row r="63" customFormat="false" ht="29" hidden="false" customHeight="false" outlineLevel="0" collapsed="false">
      <c r="A63" s="29" t="s">
        <v>48</v>
      </c>
    </row>
    <row r="64" customFormat="false" ht="29" hidden="false" customHeight="false" outlineLevel="0" collapsed="false">
      <c r="A64" s="29" t="s">
        <v>49</v>
      </c>
    </row>
    <row r="65" customFormat="false" ht="16" hidden="false" customHeight="false" outlineLevel="0" collapsed="false">
      <c r="A65" s="5" t="s">
        <v>50</v>
      </c>
    </row>
    <row r="66" customFormat="false" ht="15" hidden="false" customHeight="false" outlineLevel="0" collapsed="false">
      <c r="A66" s="7"/>
    </row>
    <row r="67" customFormat="false" ht="15" hidden="false" customHeight="false" outlineLevel="0" collapsed="false">
      <c r="A67" s="5" t="s">
        <v>51</v>
      </c>
    </row>
    <row r="68" customFormat="false" ht="15" hidden="false" customHeight="false" outlineLevel="0" collapsed="false">
      <c r="A68" s="5" t="s">
        <v>52</v>
      </c>
    </row>
    <row r="69" customFormat="false" ht="15" hidden="false" customHeight="false" outlineLevel="0" collapsed="false">
      <c r="A69" s="5" t="s">
        <v>53</v>
      </c>
    </row>
    <row r="70" customFormat="false" ht="15" hidden="false" customHeight="false" outlineLevel="0" collapsed="false">
      <c r="A70" s="7"/>
    </row>
    <row r="71" customFormat="false" ht="15" hidden="false" customHeight="false" outlineLevel="0" collapsed="false">
      <c r="A71" s="27" t="s">
        <v>54</v>
      </c>
    </row>
    <row r="72" customFormat="false" ht="15" hidden="false" customHeight="false" outlineLevel="0" collapsed="false">
      <c r="A72" s="27" t="s">
        <v>55</v>
      </c>
    </row>
    <row r="73" customFormat="false" ht="15" hidden="false" customHeight="false" outlineLevel="0" collapsed="false">
      <c r="A73" s="27" t="s">
        <v>56</v>
      </c>
    </row>
    <row r="74" customFormat="false" ht="15" hidden="false" customHeight="false" outlineLevel="0" collapsed="false">
      <c r="A74" s="7"/>
    </row>
    <row r="75" customFormat="false" ht="15" hidden="false" customHeight="false" outlineLevel="0" collapsed="false">
      <c r="A75" s="5" t="s">
        <v>57</v>
      </c>
    </row>
    <row r="76" customFormat="false" ht="15" hidden="false" customHeight="false" outlineLevel="0" collapsed="false">
      <c r="A76" s="5" t="s">
        <v>58</v>
      </c>
    </row>
    <row r="77" customFormat="false" ht="15" hidden="false" customHeight="false" outlineLevel="0" collapsed="false">
      <c r="A77" s="5" t="s">
        <v>59</v>
      </c>
    </row>
    <row r="78" customFormat="false" ht="15" hidden="false" customHeight="false" outlineLevel="0" collapsed="false">
      <c r="A78" s="5" t="s">
        <v>60</v>
      </c>
    </row>
    <row r="79" customFormat="false" ht="15" hidden="false" customHeight="false" outlineLevel="0" collapsed="false">
      <c r="A79" s="5" t="s">
        <v>61</v>
      </c>
    </row>
    <row r="80" customFormat="false" ht="15" hidden="false" customHeight="false" outlineLevel="0" collapsed="false">
      <c r="A80" s="7"/>
    </row>
    <row r="81" customFormat="false" ht="15" hidden="false" customHeight="false" outlineLevel="0" collapsed="false">
      <c r="A81" s="5" t="s">
        <v>62</v>
      </c>
    </row>
    <row r="82" customFormat="false" ht="15" hidden="false" customHeight="false" outlineLevel="0" collapsed="false">
      <c r="A82" s="5" t="s">
        <v>63</v>
      </c>
    </row>
    <row r="83" customFormat="false" ht="15" hidden="false" customHeight="false" outlineLevel="0" collapsed="false">
      <c r="A83" s="5" t="s">
        <v>64</v>
      </c>
    </row>
    <row r="84" customFormat="false" ht="15" hidden="false" customHeight="false" outlineLevel="0" collapsed="false">
      <c r="A84" s="5" t="s">
        <v>65</v>
      </c>
    </row>
    <row r="85" customFormat="false" ht="15" hidden="false" customHeight="false" outlineLevel="0" collapsed="false">
      <c r="A85" s="5" t="s">
        <v>66</v>
      </c>
    </row>
    <row r="86" customFormat="false" ht="15" hidden="false" customHeight="false" outlineLevel="0" collapsed="false">
      <c r="A86" s="5" t="s">
        <v>67</v>
      </c>
    </row>
    <row r="87" customFormat="false" ht="15" hidden="false" customHeight="false" outlineLevel="0" collapsed="false">
      <c r="A87" s="5" t="s">
        <v>68</v>
      </c>
    </row>
    <row r="88" customFormat="false" ht="15" hidden="false" customHeight="false" outlineLevel="0" collapsed="false">
      <c r="A88" s="5" t="s">
        <v>69</v>
      </c>
    </row>
    <row r="89" customFormat="false" ht="15" hidden="false" customHeight="false" outlineLevel="0" collapsed="false">
      <c r="A89" s="5" t="s">
        <v>70</v>
      </c>
    </row>
    <row r="90" customFormat="false" ht="15" hidden="false" customHeight="false" outlineLevel="0" collapsed="false">
      <c r="A90" s="5" t="s">
        <v>71</v>
      </c>
    </row>
    <row r="91" customFormat="false" ht="15" hidden="false" customHeight="false" outlineLevel="0" collapsed="false">
      <c r="A91" s="5" t="s">
        <v>72</v>
      </c>
    </row>
    <row r="92" customFormat="false" ht="15" hidden="false" customHeight="false" outlineLevel="0" collapsed="false">
      <c r="A92" s="5" t="s">
        <v>73</v>
      </c>
    </row>
    <row r="93" customFormat="false" ht="15" hidden="false" customHeight="false" outlineLevel="0" collapsed="false">
      <c r="A93" s="5" t="s">
        <v>74</v>
      </c>
    </row>
    <row r="94" customFormat="false" ht="15" hidden="false" customHeight="false" outlineLevel="0" collapsed="false">
      <c r="A94" s="5" t="s">
        <v>75</v>
      </c>
    </row>
    <row r="95" customFormat="false" ht="15" hidden="false" customHeight="false" outlineLevel="0" collapsed="false">
      <c r="A95" s="5" t="s">
        <v>76</v>
      </c>
    </row>
    <row r="96" customFormat="false" ht="15" hidden="false" customHeight="false" outlineLevel="0" collapsed="false">
      <c r="A96" s="5" t="s">
        <v>77</v>
      </c>
    </row>
    <row r="97" customFormat="false" ht="15" hidden="false" customHeight="false" outlineLevel="0" collapsed="false">
      <c r="A97" s="5" t="s">
        <v>78</v>
      </c>
    </row>
    <row r="98" customFormat="false" ht="15" hidden="false" customHeight="false" outlineLevel="0" collapsed="false">
      <c r="A98" s="7"/>
    </row>
    <row r="99" customFormat="false" ht="15" hidden="false" customHeight="false" outlineLevel="0" collapsed="false">
      <c r="A99" s="5" t="s">
        <v>79</v>
      </c>
    </row>
    <row r="100" customFormat="false" ht="15" hidden="false" customHeight="false" outlineLevel="0" collapsed="false">
      <c r="A100" s="5" t="s">
        <v>80</v>
      </c>
    </row>
    <row r="101" customFormat="false" ht="15" hidden="false" customHeight="false" outlineLevel="0" collapsed="false">
      <c r="A101" s="5" t="s">
        <v>81</v>
      </c>
    </row>
    <row r="102" customFormat="false" ht="15" hidden="false" customHeight="false" outlineLevel="0" collapsed="false">
      <c r="A102" s="5" t="s">
        <v>82</v>
      </c>
    </row>
    <row r="103" customFormat="false" ht="15" hidden="false" customHeight="false" outlineLevel="0" collapsed="false">
      <c r="A103" s="5" t="s">
        <v>83</v>
      </c>
    </row>
    <row r="104" customFormat="false" ht="15" hidden="false" customHeight="false" outlineLevel="0" collapsed="false">
      <c r="A104" s="5" t="s">
        <v>84</v>
      </c>
    </row>
    <row r="105" customFormat="false" ht="15" hidden="false" customHeight="false" outlineLevel="0" collapsed="false">
      <c r="A105" s="5" t="s">
        <v>85</v>
      </c>
    </row>
    <row r="106" customFormat="false" ht="15" hidden="false" customHeight="false" outlineLevel="0" collapsed="false">
      <c r="A106" s="5" t="s">
        <v>86</v>
      </c>
    </row>
    <row r="107" customFormat="false" ht="15" hidden="false" customHeight="false" outlineLevel="0" collapsed="false">
      <c r="A107" s="5" t="s">
        <v>87</v>
      </c>
    </row>
    <row r="108" customFormat="false" ht="15" hidden="false" customHeight="false" outlineLevel="0" collapsed="false">
      <c r="A108" s="7"/>
    </row>
    <row r="109" customFormat="false" ht="15" hidden="false" customHeight="false" outlineLevel="0" collapsed="false">
      <c r="A109" s="5" t="s">
        <v>88</v>
      </c>
    </row>
    <row r="110" customFormat="false" ht="16" hidden="false" customHeight="false" outlineLevel="0" collapsed="false">
      <c r="A110" s="5" t="s">
        <v>89</v>
      </c>
    </row>
    <row r="111" customFormat="false" ht="15" hidden="false" customHeight="false" outlineLevel="0" collapsed="false">
      <c r="A111" s="5" t="s">
        <v>90</v>
      </c>
    </row>
    <row r="112" customFormat="false" ht="16" hidden="false" customHeight="false" outlineLevel="0" collapsed="false">
      <c r="A112" s="5" t="s">
        <v>91</v>
      </c>
    </row>
    <row r="113" customFormat="false" ht="15" hidden="false" customHeight="false" outlineLevel="0" collapsed="false">
      <c r="A113" s="5" t="s">
        <v>92</v>
      </c>
    </row>
    <row r="114" customFormat="false" ht="16" hidden="false" customHeight="false" outlineLevel="0" collapsed="false">
      <c r="A114" s="5" t="s">
        <v>93</v>
      </c>
    </row>
    <row r="115" customFormat="false" ht="15" hidden="false" customHeight="false" outlineLevel="0" collapsed="false">
      <c r="A115" s="5" t="s">
        <v>90</v>
      </c>
    </row>
    <row r="116" customFormat="false" ht="16" hidden="false" customHeight="false" outlineLevel="0" collapsed="false">
      <c r="A116" s="5" t="s">
        <v>94</v>
      </c>
    </row>
    <row r="117" customFormat="false" ht="15" hidden="false" customHeight="false" outlineLevel="0" collapsed="false">
      <c r="A117" s="5" t="s">
        <v>95</v>
      </c>
    </row>
    <row r="118" customFormat="false" ht="16" hidden="false" customHeight="false" outlineLevel="0" collapsed="false">
      <c r="A118" s="5" t="s">
        <v>96</v>
      </c>
    </row>
    <row r="119" customFormat="false" ht="15" hidden="false" customHeight="false" outlineLevel="0" collapsed="false">
      <c r="A119" s="5" t="s">
        <v>90</v>
      </c>
    </row>
    <row r="120" customFormat="false" ht="16" hidden="false" customHeight="false" outlineLevel="0" collapsed="false">
      <c r="A120" s="5" t="s">
        <v>97</v>
      </c>
    </row>
    <row r="121" customFormat="false" ht="15" hidden="false" customHeight="false" outlineLevel="0" collapsed="false">
      <c r="A121" s="5" t="s">
        <v>98</v>
      </c>
    </row>
    <row r="122" customFormat="false" ht="16" hidden="false" customHeight="false" outlineLevel="0" collapsed="false">
      <c r="A122" s="5" t="s">
        <v>99</v>
      </c>
    </row>
    <row r="123" customFormat="false" ht="15" hidden="false" customHeight="false" outlineLevel="0" collapsed="false">
      <c r="A123" s="5" t="s">
        <v>90</v>
      </c>
    </row>
    <row r="124" customFormat="false" ht="16" hidden="false" customHeight="false" outlineLevel="0" collapsed="false">
      <c r="A124" s="5" t="s">
        <v>100</v>
      </c>
    </row>
    <row r="125" customFormat="false" ht="15" hidden="false" customHeight="false" outlineLevel="0" collapsed="false">
      <c r="A125" s="5" t="s">
        <v>101</v>
      </c>
    </row>
    <row r="126" customFormat="false" ht="16" hidden="false" customHeight="false" outlineLevel="0" collapsed="false">
      <c r="A126" s="5" t="s">
        <v>102</v>
      </c>
    </row>
    <row r="127" customFormat="false" ht="15" hidden="false" customHeight="false" outlineLevel="0" collapsed="false">
      <c r="A127" s="5" t="s">
        <v>90</v>
      </c>
    </row>
    <row r="128" customFormat="false" ht="16" hidden="false" customHeight="false" outlineLevel="0" collapsed="false">
      <c r="A128" s="5" t="s">
        <v>103</v>
      </c>
    </row>
    <row r="129" customFormat="false" ht="15" hidden="false" customHeight="false" outlineLevel="0" collapsed="false">
      <c r="A129" s="5" t="s">
        <v>104</v>
      </c>
    </row>
    <row r="130" customFormat="false" ht="16" hidden="false" customHeight="false" outlineLevel="0" collapsed="false">
      <c r="A130" s="5" t="s">
        <v>105</v>
      </c>
    </row>
    <row r="131" customFormat="false" ht="15" hidden="false" customHeight="false" outlineLevel="0" collapsed="false">
      <c r="A131" s="5" t="s">
        <v>90</v>
      </c>
    </row>
    <row r="132" customFormat="false" ht="16" hidden="false" customHeight="false" outlineLevel="0" collapsed="false">
      <c r="A132" s="5" t="s">
        <v>106</v>
      </c>
    </row>
    <row r="133" customFormat="false" ht="15" hidden="false" customHeight="false" outlineLevel="0" collapsed="false">
      <c r="A133" s="5" t="s">
        <v>107</v>
      </c>
    </row>
    <row r="134" customFormat="false" ht="16" hidden="false" customHeight="false" outlineLevel="0" collapsed="false">
      <c r="A134" s="5" t="s">
        <v>108</v>
      </c>
    </row>
    <row r="135" customFormat="false" ht="15" hidden="false" customHeight="false" outlineLevel="0" collapsed="false">
      <c r="A135" s="5" t="s">
        <v>90</v>
      </c>
    </row>
    <row r="136" customFormat="false" ht="16" hidden="false" customHeight="false" outlineLevel="0" collapsed="false">
      <c r="A136" s="5" t="s">
        <v>109</v>
      </c>
    </row>
    <row r="137" customFormat="false" ht="15" hidden="false" customHeight="false" outlineLevel="0" collapsed="false">
      <c r="A137" s="5" t="s">
        <v>110</v>
      </c>
    </row>
    <row r="138" customFormat="false" ht="16" hidden="false" customHeight="false" outlineLevel="0" collapsed="false">
      <c r="A138" s="5" t="s">
        <v>111</v>
      </c>
    </row>
    <row r="139" customFormat="false" ht="15" hidden="false" customHeight="false" outlineLevel="0" collapsed="false">
      <c r="A139" s="5" t="s">
        <v>90</v>
      </c>
    </row>
    <row r="140" customFormat="false" ht="16" hidden="false" customHeight="false" outlineLevel="0" collapsed="false">
      <c r="A140" s="5" t="s">
        <v>112</v>
      </c>
    </row>
    <row r="141" customFormat="false" ht="15" hidden="false" customHeight="false" outlineLevel="0" collapsed="false">
      <c r="A141" s="5" t="s">
        <v>113</v>
      </c>
    </row>
    <row r="142" customFormat="false" ht="16" hidden="false" customHeight="false" outlineLevel="0" collapsed="false">
      <c r="A142" s="5" t="s">
        <v>114</v>
      </c>
    </row>
    <row r="143" customFormat="false" ht="15" hidden="false" customHeight="false" outlineLevel="0" collapsed="false">
      <c r="A143" s="5" t="s">
        <v>90</v>
      </c>
    </row>
    <row r="144" customFormat="false" ht="16" hidden="false" customHeight="false" outlineLevel="0" collapsed="false">
      <c r="A144" s="5" t="s">
        <v>115</v>
      </c>
    </row>
    <row r="145" customFormat="false" ht="15" hidden="false" customHeight="false" outlineLevel="0" collapsed="false">
      <c r="A145" s="7"/>
    </row>
    <row r="146" customFormat="false" ht="15" hidden="false" customHeight="false" outlineLevel="0" collapsed="false">
      <c r="A146" s="27" t="s">
        <v>116</v>
      </c>
    </row>
    <row r="147" customFormat="false" ht="15" hidden="false" customHeight="false" outlineLevel="0" collapsed="false">
      <c r="A147" s="7"/>
    </row>
    <row r="148" customFormat="false" ht="15" hidden="false" customHeight="false" outlineLevel="0" collapsed="false">
      <c r="A148" s="5" t="s">
        <v>117</v>
      </c>
    </row>
    <row r="149" customFormat="false" ht="16" hidden="false" customHeight="false" outlineLevel="0" collapsed="false">
      <c r="A149" s="5" t="s">
        <v>118</v>
      </c>
    </row>
    <row r="150" customFormat="false" ht="15" hidden="false" customHeight="false" outlineLevel="0" collapsed="false">
      <c r="A150" s="5" t="s">
        <v>119</v>
      </c>
    </row>
    <row r="151" customFormat="false" ht="16" hidden="false" customHeight="false" outlineLevel="0" collapsed="false">
      <c r="A151" s="5" t="s">
        <v>120</v>
      </c>
    </row>
    <row r="152" customFormat="false" ht="15" hidden="false" customHeight="false" outlineLevel="0" collapsed="false">
      <c r="A152" s="5" t="s">
        <v>121</v>
      </c>
    </row>
    <row r="153" customFormat="false" ht="15" hidden="false" customHeight="false" outlineLevel="0" collapsed="false">
      <c r="A153" s="5" t="s">
        <v>122</v>
      </c>
    </row>
    <row r="154" customFormat="false" ht="15" hidden="false" customHeight="false" outlineLevel="0" collapsed="false">
      <c r="A154" s="5" t="s">
        <v>123</v>
      </c>
    </row>
    <row r="155" customFormat="false" ht="16" hidden="false" customHeight="false" outlineLevel="0" collapsed="false">
      <c r="A155" s="5" t="s">
        <v>124</v>
      </c>
    </row>
    <row r="156" customFormat="false" ht="15" hidden="false" customHeight="false" outlineLevel="0" collapsed="false">
      <c r="A156" s="5" t="s">
        <v>119</v>
      </c>
    </row>
    <row r="157" customFormat="false" ht="16" hidden="false" customHeight="false" outlineLevel="0" collapsed="false">
      <c r="A157" s="5" t="s">
        <v>125</v>
      </c>
    </row>
    <row r="158" customFormat="false" ht="15" hidden="false" customHeight="false" outlineLevel="0" collapsed="false">
      <c r="A158" s="5" t="s">
        <v>121</v>
      </c>
    </row>
    <row r="159" customFormat="false" ht="15" hidden="false" customHeight="false" outlineLevel="0" collapsed="false">
      <c r="A159" s="5" t="s">
        <v>126</v>
      </c>
    </row>
    <row r="160" customFormat="false" ht="15" hidden="false" customHeight="false" outlineLevel="0" collapsed="false">
      <c r="A160" s="5" t="s">
        <v>127</v>
      </c>
    </row>
    <row r="161" customFormat="false" ht="16" hidden="false" customHeight="false" outlineLevel="0" collapsed="false">
      <c r="A161" s="5" t="s">
        <v>128</v>
      </c>
    </row>
    <row r="162" customFormat="false" ht="15" hidden="false" customHeight="false" outlineLevel="0" collapsed="false">
      <c r="A162" s="5" t="s">
        <v>119</v>
      </c>
    </row>
    <row r="163" customFormat="false" ht="16" hidden="false" customHeight="false" outlineLevel="0" collapsed="false">
      <c r="A163" s="5" t="s">
        <v>129</v>
      </c>
    </row>
    <row r="164" customFormat="false" ht="15" hidden="false" customHeight="false" outlineLevel="0" collapsed="false">
      <c r="A164" s="5" t="s">
        <v>121</v>
      </c>
    </row>
    <row r="165" customFormat="false" ht="15" hidden="false" customHeight="false" outlineLevel="0" collapsed="false">
      <c r="A165" s="5" t="s">
        <v>130</v>
      </c>
    </row>
    <row r="166" customFormat="false" ht="15" hidden="false" customHeight="false" outlineLevel="0" collapsed="false">
      <c r="A166" s="7"/>
    </row>
    <row r="167" customFormat="false" ht="15" hidden="false" customHeight="false" outlineLevel="0" collapsed="false">
      <c r="A167" s="5" t="s">
        <v>131</v>
      </c>
    </row>
    <row r="168" customFormat="false" ht="15" hidden="false" customHeight="false" outlineLevel="0" collapsed="false">
      <c r="A168" s="5" t="s">
        <v>132</v>
      </c>
    </row>
    <row r="169" customFormat="false" ht="15" hidden="false" customHeight="false" outlineLevel="0" collapsed="false">
      <c r="A169" s="5" t="s">
        <v>133</v>
      </c>
    </row>
    <row r="170" customFormat="false" ht="15" hidden="false" customHeight="false" outlineLevel="0" collapsed="false">
      <c r="A170" s="5" t="s">
        <v>134</v>
      </c>
    </row>
    <row r="171" customFormat="false" ht="15" hidden="false" customHeight="false" outlineLevel="0" collapsed="false">
      <c r="A171" s="5" t="s">
        <v>66</v>
      </c>
    </row>
    <row r="172" customFormat="false" ht="15" hidden="false" customHeight="false" outlineLevel="0" collapsed="false">
      <c r="A172" s="5" t="s">
        <v>65</v>
      </c>
    </row>
    <row r="173" customFormat="false" ht="15" hidden="false" customHeight="false" outlineLevel="0" collapsed="false">
      <c r="A173" s="5" t="s">
        <v>135</v>
      </c>
    </row>
    <row r="174" customFormat="false" ht="25" hidden="false" customHeight="false" outlineLevel="0" collapsed="false">
      <c r="A174" s="27" t="s">
        <v>136</v>
      </c>
    </row>
    <row r="175" customFormat="false" ht="15" hidden="false" customHeight="false" outlineLevel="0" collapsed="false">
      <c r="A175" s="29" t="s">
        <v>137</v>
      </c>
    </row>
    <row r="176" customFormat="false" ht="16" hidden="false" customHeight="false" outlineLevel="0" collapsed="false">
      <c r="A176" s="7" t="s">
        <v>138</v>
      </c>
    </row>
    <row r="177" customFormat="false" ht="30" hidden="false" customHeight="false" outlineLevel="0" collapsed="false">
      <c r="A177" s="29" t="s">
        <v>139</v>
      </c>
    </row>
    <row r="178" customFormat="false" ht="15" hidden="false" customHeight="false" outlineLevel="0" collapsed="false">
      <c r="A178" s="7"/>
    </row>
    <row r="179" customFormat="false" ht="16" hidden="false" customHeight="false" outlineLevel="0" collapsed="false">
      <c r="A179" s="7" t="s">
        <v>140</v>
      </c>
    </row>
    <row r="180" customFormat="false" ht="15" hidden="false" customHeight="false" outlineLevel="0" collapsed="false">
      <c r="A180" s="7"/>
    </row>
    <row r="181" customFormat="false" ht="29" hidden="false" customHeight="false" outlineLevel="0" collapsed="false">
      <c r="A181" s="29" t="s">
        <v>141</v>
      </c>
    </row>
    <row r="182" customFormat="false" ht="15" hidden="false" customHeight="false" outlineLevel="0" collapsed="false">
      <c r="A182" s="7"/>
    </row>
    <row r="183" customFormat="false" ht="16" hidden="false" customHeight="false" outlineLevel="0" collapsed="false">
      <c r="A183" s="7" t="s">
        <v>142</v>
      </c>
    </row>
    <row r="184" customFormat="false" ht="15" hidden="false" customHeight="false" outlineLevel="0" collapsed="false">
      <c r="A184" s="7"/>
    </row>
    <row r="185" customFormat="false" ht="28" hidden="false" customHeight="false" outlineLevel="0" collapsed="false">
      <c r="A185" s="29" t="s">
        <v>143</v>
      </c>
    </row>
    <row r="186" customFormat="false" ht="28" hidden="false" customHeight="false" outlineLevel="0" collapsed="false">
      <c r="A186" s="29" t="s">
        <v>144</v>
      </c>
    </row>
    <row r="187" customFormat="false" ht="30" hidden="false" customHeight="false" outlineLevel="0" collapsed="false">
      <c r="A187" s="29" t="s">
        <v>145</v>
      </c>
    </row>
    <row r="188" customFormat="false" ht="29" hidden="false" customHeight="false" outlineLevel="0" collapsed="false">
      <c r="A188" s="29" t="s">
        <v>146</v>
      </c>
    </row>
    <row r="189" customFormat="false" ht="15" hidden="false" customHeight="1" outlineLevel="0" collapsed="false">
      <c r="A189" s="30" t="s">
        <v>147</v>
      </c>
      <c r="B189" s="8"/>
      <c r="C189" s="8"/>
    </row>
    <row r="190" customFormat="false" ht="16" hidden="false" customHeight="false" outlineLevel="0" collapsed="false">
      <c r="A190" s="7" t="s">
        <v>148</v>
      </c>
    </row>
    <row r="191" customFormat="false" ht="29" hidden="false" customHeight="false" outlineLevel="0" collapsed="false">
      <c r="A191" s="27" t="s">
        <v>149</v>
      </c>
    </row>
    <row r="192" customFormat="false" ht="15" hidden="false" customHeight="false" outlineLevel="0" collapsed="false">
      <c r="A192" s="5" t="s">
        <v>150</v>
      </c>
    </row>
    <row r="193" customFormat="false" ht="15" hidden="false" customHeight="false" outlineLevel="0" collapsed="false">
      <c r="A193" s="5" t="s">
        <v>151</v>
      </c>
    </row>
    <row r="194" customFormat="false" ht="15" hidden="false" customHeight="false" outlineLevel="0" collapsed="false">
      <c r="A194" s="5" t="s">
        <v>152</v>
      </c>
    </row>
    <row r="195" customFormat="false" ht="16" hidden="false" customHeight="false" outlineLevel="0" collapsed="false">
      <c r="A195" s="27" t="s">
        <v>153</v>
      </c>
    </row>
    <row r="196" customFormat="false" ht="16" hidden="false" customHeight="false" outlineLevel="0" collapsed="false">
      <c r="A196" s="27" t="s">
        <v>154</v>
      </c>
    </row>
    <row r="197" customFormat="false" ht="16" hidden="false" customHeight="false" outlineLevel="0" collapsed="false">
      <c r="A197" s="27" t="s">
        <v>155</v>
      </c>
    </row>
    <row r="198" customFormat="false" ht="29" hidden="false" customHeight="false" outlineLevel="0" collapsed="false">
      <c r="A198" s="27" t="s">
        <v>156</v>
      </c>
    </row>
    <row r="199" customFormat="false" ht="29" hidden="false" customHeight="false" outlineLevel="0" collapsed="false">
      <c r="A199" s="27" t="s">
        <v>157</v>
      </c>
    </row>
    <row r="200" customFormat="false" ht="29" hidden="false" customHeight="false" outlineLevel="0" collapsed="false">
      <c r="A200" s="27" t="s">
        <v>158</v>
      </c>
    </row>
    <row r="201" customFormat="false" ht="25" hidden="false" customHeight="false" outlineLevel="0" collapsed="false">
      <c r="A201" s="27" t="s">
        <v>159</v>
      </c>
    </row>
    <row r="202" customFormat="false" ht="15" hidden="false" customHeight="false" outlineLevel="0" collapsed="false">
      <c r="A202" s="5" t="s">
        <v>160</v>
      </c>
    </row>
    <row r="203" customFormat="false" ht="15" hidden="false" customHeight="false" outlineLevel="0" collapsed="false">
      <c r="A203" s="5" t="s">
        <v>161</v>
      </c>
    </row>
    <row r="204" customFormat="false" ht="15" hidden="false" customHeight="false" outlineLevel="0" collapsed="false">
      <c r="A204" s="5" t="s">
        <v>162</v>
      </c>
    </row>
    <row r="205" customFormat="false" ht="15" hidden="false" customHeight="false" outlineLevel="0" collapsed="false">
      <c r="A205" s="5" t="s">
        <v>163</v>
      </c>
    </row>
    <row r="206" customFormat="false" ht="16" hidden="false" customHeight="false" outlineLevel="0" collapsed="false">
      <c r="A206" s="5" t="s">
        <v>164</v>
      </c>
    </row>
    <row r="207" customFormat="false" ht="15" hidden="false" customHeight="false" outlineLevel="0" collapsed="false">
      <c r="A207" s="5" t="s">
        <v>165</v>
      </c>
    </row>
    <row r="208" customFormat="false" ht="15" hidden="false" customHeight="false" outlineLevel="0" collapsed="false">
      <c r="A208" s="5" t="s">
        <v>65</v>
      </c>
    </row>
    <row r="209" customFormat="false" ht="15" hidden="false" customHeight="false" outlineLevel="0" collapsed="false">
      <c r="A209" s="5" t="s">
        <v>66</v>
      </c>
    </row>
    <row r="210" customFormat="false" ht="15" hidden="false" customHeight="false" outlineLevel="0" collapsed="false">
      <c r="A210" s="5" t="s">
        <v>166</v>
      </c>
    </row>
    <row r="211" customFormat="false" ht="15" hidden="false" customHeight="false" outlineLevel="0" collapsed="false">
      <c r="A211" s="5" t="s">
        <v>69</v>
      </c>
    </row>
    <row r="212" customFormat="false" ht="15" hidden="false" customHeight="false" outlineLevel="0" collapsed="false">
      <c r="A212" s="5" t="s">
        <v>167</v>
      </c>
    </row>
    <row r="213" customFormat="false" ht="15" hidden="false" customHeight="false" outlineLevel="0" collapsed="false">
      <c r="A213" s="5" t="s">
        <v>168</v>
      </c>
    </row>
    <row r="214" customFormat="false" ht="15" hidden="false" customHeight="false" outlineLevel="0" collapsed="false">
      <c r="A214" s="5" t="s">
        <v>169</v>
      </c>
    </row>
    <row r="215" customFormat="false" ht="15" hidden="false" customHeight="false" outlineLevel="0" collapsed="false">
      <c r="A215" s="5" t="s">
        <v>170</v>
      </c>
    </row>
    <row r="216" customFormat="false" ht="15" hidden="false" customHeight="false" outlineLevel="0" collapsed="false">
      <c r="A216" s="5" t="s">
        <v>171</v>
      </c>
    </row>
    <row r="217" customFormat="false" ht="15" hidden="false" customHeight="false" outlineLevel="0" collapsed="false">
      <c r="A217" s="5" t="s">
        <v>172</v>
      </c>
    </row>
    <row r="218" customFormat="false" ht="43" hidden="false" customHeight="false" outlineLevel="0" collapsed="false">
      <c r="A218" s="27" t="s">
        <v>173</v>
      </c>
    </row>
    <row r="219" customFormat="false" ht="15" hidden="false" customHeight="false" outlineLevel="0" collapsed="false">
      <c r="A219" s="5" t="s">
        <v>174</v>
      </c>
    </row>
    <row r="220" customFormat="false" ht="15" hidden="false" customHeight="false" outlineLevel="0" collapsed="false">
      <c r="A220" s="5" t="s">
        <v>175</v>
      </c>
    </row>
    <row r="221" customFormat="false" ht="25" hidden="false" customHeight="false" outlineLevel="0" collapsed="false">
      <c r="A221" s="27" t="s">
        <v>176</v>
      </c>
    </row>
    <row r="222" customFormat="false" ht="15" hidden="false" customHeight="false" outlineLevel="0" collapsed="false">
      <c r="A222" s="5" t="s">
        <v>177</v>
      </c>
    </row>
    <row r="223" customFormat="false" ht="15" hidden="false" customHeight="false" outlineLevel="0" collapsed="false">
      <c r="A223" s="5" t="s">
        <v>178</v>
      </c>
    </row>
    <row r="224" customFormat="false" ht="16" hidden="false" customHeight="false" outlineLevel="0" collapsed="false">
      <c r="A224" s="27" t="s">
        <v>179</v>
      </c>
    </row>
    <row r="225" customFormat="false" ht="15" hidden="false" customHeight="false" outlineLevel="0" collapsed="false">
      <c r="A225" s="5" t="s">
        <v>180</v>
      </c>
    </row>
    <row r="226" customFormat="false" ht="15" hidden="false" customHeight="false" outlineLevel="0" collapsed="false">
      <c r="A226" s="5" t="s">
        <v>181</v>
      </c>
    </row>
    <row r="227" customFormat="false" ht="15" hidden="false" customHeight="false" outlineLevel="0" collapsed="false">
      <c r="A227" s="5" t="s">
        <v>182</v>
      </c>
    </row>
    <row r="228" customFormat="false" ht="15" hidden="false" customHeight="false" outlineLevel="0" collapsed="false">
      <c r="A228" s="27" t="s">
        <v>183</v>
      </c>
    </row>
    <row r="229" customFormat="false" ht="15" hidden="false" customHeight="false" outlineLevel="0" collapsed="false">
      <c r="A229" s="5" t="s">
        <v>184</v>
      </c>
    </row>
    <row r="230" customFormat="false" ht="25" hidden="false" customHeight="false" outlineLevel="0" collapsed="false">
      <c r="A230" s="27" t="s">
        <v>185</v>
      </c>
    </row>
    <row r="231" customFormat="false" ht="15" hidden="false" customHeight="false" outlineLevel="0" collapsed="false">
      <c r="A231" s="5" t="s">
        <v>186</v>
      </c>
    </row>
    <row r="232" customFormat="false" ht="15" hidden="false" customHeight="false" outlineLevel="0" collapsed="false">
      <c r="A232" s="5" t="s">
        <v>187</v>
      </c>
    </row>
    <row r="233" customFormat="false" ht="15" hidden="false" customHeight="false" outlineLevel="0" collapsed="false">
      <c r="A233" s="5" t="s">
        <v>188</v>
      </c>
    </row>
    <row r="234" customFormat="false" ht="16" hidden="false" customHeight="false" outlineLevel="0" collapsed="false">
      <c r="A234" s="5" t="s">
        <v>189</v>
      </c>
    </row>
    <row r="235" customFormat="false" ht="29" hidden="false" customHeight="false" outlineLevel="0" collapsed="false">
      <c r="A235" s="27" t="s">
        <v>190</v>
      </c>
    </row>
    <row r="236" customFormat="false" ht="16" hidden="false" customHeight="false" outlineLevel="0" collapsed="false">
      <c r="A236" s="27" t="s">
        <v>191</v>
      </c>
    </row>
    <row r="237" customFormat="false" ht="40.5" hidden="false" customHeight="false" outlineLevel="0" collapsed="false">
      <c r="A237" s="27" t="s">
        <v>192</v>
      </c>
    </row>
    <row r="238" customFormat="false" ht="15" hidden="false" customHeight="1" outlineLevel="0" collapsed="false">
      <c r="A238" s="28" t="s">
        <v>193</v>
      </c>
      <c r="B238" s="6"/>
      <c r="C238" s="6"/>
      <c r="D238" s="6"/>
      <c r="E238" s="6"/>
      <c r="F238" s="6"/>
    </row>
    <row r="239" customFormat="false" ht="15" hidden="false" customHeight="false" outlineLevel="0" collapsed="false">
      <c r="A239" s="27" t="s">
        <v>194</v>
      </c>
    </row>
    <row r="240" customFormat="false" ht="15" hidden="false" customHeight="false" outlineLevel="0" collapsed="false">
      <c r="A240" s="5" t="s">
        <v>195</v>
      </c>
    </row>
    <row r="241" customFormat="false" ht="29" hidden="false" customHeight="false" outlineLevel="0" collapsed="false">
      <c r="A241" s="27" t="s">
        <v>196</v>
      </c>
    </row>
    <row r="242" customFormat="false" ht="15" hidden="false" customHeight="false" outlineLevel="0" collapsed="false">
      <c r="A242" s="5" t="s">
        <v>197</v>
      </c>
    </row>
    <row r="243" customFormat="false" ht="15" hidden="false" customHeight="1" outlineLevel="0" collapsed="false">
      <c r="A243" s="28" t="s">
        <v>198</v>
      </c>
      <c r="B243" s="6"/>
      <c r="C243" s="6"/>
      <c r="D243" s="6"/>
    </row>
    <row r="244" customFormat="false" ht="36.5" hidden="false" customHeight="false" outlineLevel="0" collapsed="false">
      <c r="A244" s="27" t="s">
        <v>199</v>
      </c>
    </row>
    <row r="245" customFormat="false" ht="36.5" hidden="false" customHeight="false" outlineLevel="0" collapsed="false">
      <c r="A245" s="27" t="s">
        <v>200</v>
      </c>
    </row>
    <row r="246" customFormat="false" ht="15" hidden="false" customHeight="false" outlineLevel="0" collapsed="false">
      <c r="A246" s="5" t="s">
        <v>201</v>
      </c>
    </row>
    <row r="247" customFormat="false" ht="15" hidden="false" customHeight="false" outlineLevel="0" collapsed="false">
      <c r="A247" s="27" t="s">
        <v>202</v>
      </c>
    </row>
    <row r="248" customFormat="false" ht="25" hidden="false" customHeight="false" outlineLevel="0" collapsed="false">
      <c r="A248" s="27" t="s">
        <v>203</v>
      </c>
    </row>
    <row r="249" customFormat="false" ht="25" hidden="false" customHeight="false" outlineLevel="0" collapsed="false">
      <c r="A249" s="27" t="s">
        <v>204</v>
      </c>
    </row>
    <row r="250" customFormat="false" ht="25" hidden="false" customHeight="false" outlineLevel="0" collapsed="false">
      <c r="A250" s="27" t="s">
        <v>205</v>
      </c>
    </row>
    <row r="251" customFormat="false" ht="25" hidden="false" customHeight="false" outlineLevel="0" collapsed="false">
      <c r="A251" s="27" t="s">
        <v>206</v>
      </c>
    </row>
    <row r="252" customFormat="false" ht="25" hidden="false" customHeight="false" outlineLevel="0" collapsed="false">
      <c r="A252" s="27" t="s">
        <v>207</v>
      </c>
    </row>
    <row r="253" customFormat="false" ht="25" hidden="false" customHeight="false" outlineLevel="0" collapsed="false">
      <c r="A253" s="27" t="s">
        <v>208</v>
      </c>
    </row>
    <row r="254" customFormat="false" ht="15" hidden="false" customHeight="false" outlineLevel="0" collapsed="false">
      <c r="A254" s="5" t="s">
        <v>90</v>
      </c>
    </row>
    <row r="255" customFormat="false" ht="15" hidden="false" customHeight="false" outlineLevel="0" collapsed="false">
      <c r="A255" s="5" t="s">
        <v>209</v>
      </c>
    </row>
    <row r="256" customFormat="false" ht="15" hidden="false" customHeight="false" outlineLevel="0" collapsed="false">
      <c r="A256" s="5" t="s">
        <v>210</v>
      </c>
    </row>
    <row r="257" customFormat="false" ht="15" hidden="false" customHeight="false" outlineLevel="0" collapsed="false">
      <c r="A257" s="5" t="s">
        <v>211</v>
      </c>
    </row>
    <row r="258" customFormat="false" ht="15" hidden="false" customHeight="false" outlineLevel="0" collapsed="false">
      <c r="A258" s="5" t="s">
        <v>212</v>
      </c>
    </row>
    <row r="259" customFormat="false" ht="15" hidden="false" customHeight="false" outlineLevel="0" collapsed="false">
      <c r="A259" s="5" t="s">
        <v>132</v>
      </c>
    </row>
    <row r="260" customFormat="false" ht="15" hidden="false" customHeight="false" outlineLevel="0" collapsed="false">
      <c r="A260" s="5" t="s">
        <v>133</v>
      </c>
    </row>
    <row r="261" customFormat="false" ht="15" hidden="false" customHeight="false" outlineLevel="0" collapsed="false">
      <c r="A261" s="5" t="s">
        <v>213</v>
      </c>
    </row>
    <row r="262" customFormat="false" ht="36.5" hidden="false" customHeight="false" outlineLevel="0" collapsed="false">
      <c r="A262" s="27" t="s">
        <v>214</v>
      </c>
    </row>
    <row r="263" customFormat="false" ht="29" hidden="false" customHeight="false" outlineLevel="0" collapsed="false">
      <c r="A263" s="27" t="s">
        <v>215</v>
      </c>
    </row>
    <row r="264" customFormat="false" ht="29" hidden="false" customHeight="false" outlineLevel="0" collapsed="false">
      <c r="A264" s="29" t="s">
        <v>216</v>
      </c>
    </row>
    <row r="265" customFormat="false" ht="15" hidden="false" customHeight="false" outlineLevel="0" collapsed="false">
      <c r="A265" s="7"/>
    </row>
    <row r="266" customFormat="false" ht="16" hidden="false" customHeight="false" outlineLevel="0" collapsed="false">
      <c r="A266" s="7" t="s">
        <v>217</v>
      </c>
    </row>
    <row r="267" customFormat="false" ht="15" hidden="false" customHeight="false" outlineLevel="0" collapsed="false">
      <c r="A267" s="7"/>
    </row>
    <row r="268" customFormat="false" ht="15" hidden="false" customHeight="false" outlineLevel="0" collapsed="false">
      <c r="A268" s="29" t="s">
        <v>218</v>
      </c>
    </row>
    <row r="269" customFormat="false" ht="15" hidden="false" customHeight="false" outlineLevel="0" collapsed="false">
      <c r="A269" s="7"/>
    </row>
    <row r="270" customFormat="false" ht="16" hidden="false" customHeight="false" outlineLevel="0" collapsed="false">
      <c r="A270" s="7" t="s">
        <v>219</v>
      </c>
    </row>
    <row r="271" customFormat="false" ht="15" hidden="false" customHeight="false" outlineLevel="0" collapsed="false">
      <c r="A271" s="7"/>
    </row>
    <row r="272" customFormat="false" ht="42" hidden="false" customHeight="false" outlineLevel="0" collapsed="false">
      <c r="A272" s="29" t="s">
        <v>220</v>
      </c>
    </row>
    <row r="274" customFormat="false" ht="15.5" hidden="false" customHeight="false" outlineLevel="0" collapsed="false">
      <c r="A274" s="31" t="s">
        <v>221</v>
      </c>
    </row>
    <row r="275" customFormat="false" ht="15.5" hidden="false" customHeight="false" outlineLevel="0" collapsed="false">
      <c r="A275" s="2" t="s">
        <v>222</v>
      </c>
    </row>
    <row r="276" customFormat="false" ht="15.5" hidden="false" customHeight="false" outlineLevel="0" collapsed="false">
      <c r="A276" s="2" t="s">
        <v>223</v>
      </c>
    </row>
    <row r="277" customFormat="false" ht="15.5" hidden="false" customHeight="false" outlineLevel="0" collapsed="false">
      <c r="A277" s="2" t="s">
        <v>224</v>
      </c>
    </row>
    <row r="278" customFormat="false" ht="15.5" hidden="false" customHeight="false" outlineLevel="0" collapsed="false">
      <c r="A278" s="2" t="s">
        <v>225</v>
      </c>
    </row>
    <row r="279" customFormat="false" ht="15.5" hidden="false" customHeight="false" outlineLevel="0" collapsed="false">
      <c r="A279" s="2" t="s">
        <v>226</v>
      </c>
    </row>
    <row r="280" customFormat="false" ht="15.5" hidden="false" customHeight="false" outlineLevel="0" collapsed="false">
      <c r="A280" s="2" t="s">
        <v>227</v>
      </c>
    </row>
    <row r="282" customFormat="false" ht="15" hidden="false" customHeight="false" outlineLevel="0" collapsed="false">
      <c r="A282" s="4" t="s">
        <v>228</v>
      </c>
    </row>
    <row r="283" customFormat="false" ht="30" hidden="false" customHeight="false" outlineLevel="0" collapsed="false">
      <c r="A283" s="29" t="s">
        <v>229</v>
      </c>
    </row>
    <row r="284" customFormat="false" ht="28" hidden="false" customHeight="false" outlineLevel="0" collapsed="false">
      <c r="A284" s="29" t="s">
        <v>230</v>
      </c>
    </row>
    <row r="285" customFormat="false" ht="15" hidden="false" customHeight="false" outlineLevel="0" collapsed="false">
      <c r="A285" s="7"/>
    </row>
    <row r="286" customFormat="false" ht="15" hidden="false" customHeight="false" outlineLevel="0" collapsed="false">
      <c r="A286" s="4" t="s">
        <v>231</v>
      </c>
    </row>
    <row r="287" customFormat="false" ht="28" hidden="false" customHeight="false" outlineLevel="0" collapsed="false">
      <c r="A287" s="29" t="s">
        <v>232</v>
      </c>
    </row>
    <row r="288" customFormat="false" ht="29" hidden="false" customHeight="false" outlineLevel="0" collapsed="false">
      <c r="A288" s="29" t="s">
        <v>233</v>
      </c>
    </row>
    <row r="290" customFormat="false" ht="15.5" hidden="false" customHeight="false" outlineLevel="0" collapsed="false">
      <c r="A290" s="9" t="s">
        <v>234</v>
      </c>
    </row>
  </sheetData>
  <mergeCells count="14">
    <mergeCell ref="A5:L5"/>
    <mergeCell ref="A6:J6"/>
    <mergeCell ref="A7:T7"/>
    <mergeCell ref="A14:I14"/>
    <mergeCell ref="A16:J16"/>
    <mergeCell ref="A35:K35"/>
    <mergeCell ref="A44:M44"/>
    <mergeCell ref="A50:V50"/>
    <mergeCell ref="A51:I51"/>
    <mergeCell ref="A52:V52"/>
    <mergeCell ref="A61:M61"/>
    <mergeCell ref="A189:J189"/>
    <mergeCell ref="A238:N238"/>
    <mergeCell ref="A243:K243"/>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ignoredErrors>
    <ignoredError sqref="A1:N310" evalError="1" twoDigitTextYear="1" numberStoredAsText="1" formula="1" formulaRange="1" unlockedFormula="1" emptyCellReference="1" listDataValidation="1" calculatedColumn="1"/>
  </ignoredErrors>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I44"/>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7.69140625" defaultRowHeight="15" customHeight="false" zeroHeight="false" outlineLevelRow="0" outlineLevelCol="0"/>
  <cols>
    <col collapsed="false" customWidth="true" hidden="false" outlineLevel="0" max="1" min="1" style="10" width="27.31"/>
    <col collapsed="false" customWidth="true" hidden="false" outlineLevel="0" max="7" min="2" style="10" width="14.56"/>
    <col collapsed="false" customWidth="true" hidden="false" outlineLevel="0" max="8" min="8" style="10" width="49.13"/>
  </cols>
  <sheetData>
    <row r="1" customFormat="false" ht="19" hidden="false" customHeight="false" outlineLevel="0" collapsed="false">
      <c r="A1" s="11" t="s">
        <v>235</v>
      </c>
      <c r="B1" s="11"/>
      <c r="C1" s="11"/>
      <c r="D1" s="11"/>
      <c r="E1" s="11"/>
    </row>
    <row r="3" customFormat="false" ht="15.5" hidden="false" customHeight="false" outlineLevel="0" collapsed="false">
      <c r="A3" s="12" t="s">
        <v>236</v>
      </c>
      <c r="B3" s="12"/>
      <c r="C3" s="12"/>
      <c r="D3" s="13"/>
      <c r="E3" s="13"/>
      <c r="F3" s="13"/>
      <c r="G3" s="13"/>
      <c r="H3" s="13"/>
    </row>
    <row r="4" customFormat="false" ht="15" hidden="false" customHeight="false" outlineLevel="0" collapsed="false">
      <c r="A4" s="14" t="s">
        <v>237</v>
      </c>
      <c r="B4" s="14" t="s">
        <v>238</v>
      </c>
      <c r="C4" s="14"/>
    </row>
    <row r="5" customFormat="false" ht="16" hidden="false" customHeight="false" outlineLevel="0" collapsed="false">
      <c r="A5" s="10" t="s">
        <v>239</v>
      </c>
      <c r="B5" s="15" t="s">
        <v>240</v>
      </c>
      <c r="C5" s="15"/>
      <c r="D5" s="15"/>
      <c r="E5" s="15"/>
      <c r="F5" s="15"/>
      <c r="G5" s="15"/>
      <c r="H5" s="15"/>
    </row>
    <row r="6" customFormat="false" ht="16" hidden="false" customHeight="false" outlineLevel="0" collapsed="false">
      <c r="A6" s="10" t="s">
        <v>241</v>
      </c>
      <c r="B6" s="16" t="s">
        <v>242</v>
      </c>
      <c r="C6" s="16"/>
      <c r="D6" s="16"/>
      <c r="E6" s="16"/>
      <c r="F6" s="16"/>
      <c r="G6" s="16"/>
    </row>
    <row r="7" customFormat="false" ht="16" hidden="false" customHeight="false" outlineLevel="0" collapsed="false">
      <c r="A7" s="10" t="s">
        <v>243</v>
      </c>
      <c r="B7" s="15" t="s">
        <v>244</v>
      </c>
      <c r="C7" s="15"/>
      <c r="D7" s="15"/>
      <c r="E7" s="15"/>
      <c r="F7" s="15"/>
    </row>
    <row r="8" customFormat="false" ht="16" hidden="false" customHeight="false" outlineLevel="0" collapsed="false">
      <c r="A8" s="10" t="s">
        <v>245</v>
      </c>
      <c r="B8" s="15" t="s">
        <v>246</v>
      </c>
      <c r="C8" s="15"/>
      <c r="D8" s="15"/>
      <c r="E8" s="15"/>
      <c r="F8" s="15"/>
      <c r="G8" s="15"/>
      <c r="H8" s="15"/>
    </row>
    <row r="9" customFormat="false" ht="15" hidden="false" customHeight="false" outlineLevel="0" collapsed="false">
      <c r="A9" s="10" t="s">
        <v>247</v>
      </c>
      <c r="B9" s="15" t="s">
        <v>42</v>
      </c>
      <c r="C9" s="15"/>
    </row>
    <row r="11" customFormat="false" ht="15.5" hidden="false" customHeight="false" outlineLevel="0" collapsed="false">
      <c r="A11" s="12" t="s">
        <v>248</v>
      </c>
      <c r="B11" s="12"/>
      <c r="C11" s="12"/>
      <c r="D11" s="13"/>
      <c r="E11" s="13"/>
      <c r="F11" s="13"/>
      <c r="G11" s="13"/>
      <c r="H11" s="13"/>
    </row>
    <row r="12" customFormat="false" ht="15" hidden="false" customHeight="false" outlineLevel="0" collapsed="false">
      <c r="A12" s="14" t="s">
        <v>249</v>
      </c>
      <c r="B12" s="14" t="s">
        <v>250</v>
      </c>
      <c r="C12" s="14" t="s">
        <v>231</v>
      </c>
      <c r="D12" s="14"/>
      <c r="E12" s="14"/>
      <c r="F12" s="14"/>
      <c r="G12" s="14"/>
      <c r="H12" s="14"/>
    </row>
    <row r="13" customFormat="false" ht="15.5" hidden="false" customHeight="false" outlineLevel="0" collapsed="false">
      <c r="A13" s="10" t="s">
        <v>251</v>
      </c>
      <c r="B13" s="32">
        <v>3</v>
      </c>
      <c r="C13" s="15" t="s">
        <v>253</v>
      </c>
      <c r="D13" s="15"/>
    </row>
    <row r="14" customFormat="false" ht="16" hidden="false" customHeight="false" outlineLevel="0" collapsed="false">
      <c r="A14" s="10" t="s">
        <v>254</v>
      </c>
      <c r="B14" s="17" t="n">
        <v>8000</v>
      </c>
      <c r="C14" s="15" t="s">
        <v>255</v>
      </c>
      <c r="D14" s="15"/>
      <c r="E14" s="15"/>
    </row>
    <row r="15" customFormat="false" ht="15" hidden="false" customHeight="false" outlineLevel="0" collapsed="false">
      <c r="A15" s="10" t="s">
        <v>256</v>
      </c>
      <c r="B15" s="18" t="n">
        <f aca="false">10000-8000</f>
        <v>2000</v>
      </c>
      <c r="C15" s="10" t="s">
        <v>257</v>
      </c>
    </row>
    <row r="16" customFormat="false" ht="15" hidden="false" customHeight="false" outlineLevel="0" collapsed="false">
      <c r="A16" s="19" t="s">
        <v>258</v>
      </c>
      <c r="B16" s="17" t="n">
        <v>1000</v>
      </c>
      <c r="C16" s="10" t="s">
        <v>259</v>
      </c>
    </row>
    <row r="17" customFormat="false" ht="16" hidden="false" customHeight="false" outlineLevel="0" collapsed="false">
      <c r="A17" s="10" t="s">
        <v>260</v>
      </c>
      <c r="B17" s="17" t="n">
        <v>3</v>
      </c>
      <c r="C17" s="15" t="s">
        <v>261</v>
      </c>
      <c r="D17" s="15"/>
    </row>
    <row r="18" customFormat="false" ht="16" hidden="false" customHeight="false" outlineLevel="0" collapsed="false">
      <c r="A18" s="10" t="s">
        <v>262</v>
      </c>
      <c r="B18" s="20" t="n">
        <f aca="false">B16/B17</f>
        <v>333.333333333333</v>
      </c>
      <c r="C18" s="15" t="s">
        <v>263</v>
      </c>
      <c r="D18" s="15"/>
      <c r="E18" s="15"/>
      <c r="F18" s="15"/>
    </row>
    <row r="19" customFormat="false" ht="16" hidden="false" customHeight="false" outlineLevel="0" collapsed="false">
      <c r="A19" s="10" t="s">
        <v>264</v>
      </c>
      <c r="B19" s="17" t="n">
        <v>1</v>
      </c>
      <c r="C19" s="15" t="s">
        <v>265</v>
      </c>
      <c r="D19" s="15"/>
      <c r="E19" s="15"/>
    </row>
    <row r="20" customFormat="false" ht="16" hidden="false" customHeight="false" outlineLevel="0" collapsed="false">
      <c r="A20" s="10" t="s">
        <v>266</v>
      </c>
      <c r="B20" s="17" t="n">
        <v>56</v>
      </c>
      <c r="C20" s="15" t="s">
        <v>267</v>
      </c>
      <c r="D20" s="15"/>
      <c r="E20" s="15"/>
    </row>
    <row r="22" customFormat="false" ht="15.5" hidden="false" customHeight="false" outlineLevel="0" collapsed="false">
      <c r="A22" s="12" t="s">
        <v>268</v>
      </c>
      <c r="B22" s="12"/>
      <c r="C22" s="12"/>
      <c r="D22" s="12"/>
      <c r="E22" s="12"/>
      <c r="F22" s="13"/>
      <c r="G22" s="13"/>
      <c r="H22" s="13"/>
    </row>
    <row r="23" customFormat="false" ht="15.5" hidden="false" customHeight="false" outlineLevel="0" collapsed="false">
      <c r="A23" s="14" t="s">
        <v>269</v>
      </c>
      <c r="B23" s="14" t="s">
        <v>270</v>
      </c>
      <c r="C23" s="14" t="s">
        <v>271</v>
      </c>
      <c r="D23" s="14" t="s">
        <v>272</v>
      </c>
      <c r="E23" s="14" t="s">
        <v>273</v>
      </c>
    </row>
    <row r="24" customFormat="false" ht="16" hidden="false" customHeight="false" outlineLevel="0" collapsed="false">
      <c r="A24" s="10" t="s">
        <v>274</v>
      </c>
      <c r="B24" s="34" t="n">
        <f aca="false">B14/10000</f>
        <v>0.8</v>
      </c>
      <c r="C24" s="35" t="n">
        <f aca="false">B24^3</f>
        <v>0.512</v>
      </c>
      <c r="D24" s="17" t="n">
        <v>1</v>
      </c>
      <c r="E24" s="23" t="n">
        <f aca="false">C24*D24</f>
        <v>0.512</v>
      </c>
    </row>
    <row r="25" customFormat="false" ht="16" hidden="false" customHeight="false" outlineLevel="0" collapsed="false">
      <c r="A25" s="10" t="s">
        <v>275</v>
      </c>
      <c r="B25" s="34" t="n">
        <f aca="false">B15/10000</f>
        <v>0.2</v>
      </c>
      <c r="C25" s="35" t="n">
        <f aca="false">B25^3</f>
        <v>0.008</v>
      </c>
      <c r="D25" s="17" t="n">
        <v>56</v>
      </c>
      <c r="E25" s="23" t="n">
        <f aca="false">C25*D25</f>
        <v>0.448</v>
      </c>
    </row>
    <row r="26" customFormat="false" ht="15.5" hidden="false" customHeight="false" outlineLevel="0" collapsed="false">
      <c r="A26" s="24" t="s">
        <v>276</v>
      </c>
      <c r="E26" s="23" t="n">
        <f aca="false">SUM(E24:E25)</f>
        <v>0.96</v>
      </c>
    </row>
    <row r="27" customFormat="false" ht="16" hidden="false" customHeight="false" outlineLevel="0" collapsed="false">
      <c r="A27" s="24" t="s">
        <v>277</v>
      </c>
      <c r="B27" s="20" t="n">
        <f aca="false">E26</f>
        <v>0.96</v>
      </c>
      <c r="E27" s="15" t="s">
        <v>278</v>
      </c>
      <c r="F27" s="15"/>
      <c r="G27" s="15"/>
      <c r="H27" s="15"/>
      <c r="I27" s="15"/>
    </row>
    <row r="29" customFormat="false" ht="15.5" hidden="false" customHeight="false" outlineLevel="0" collapsed="false">
      <c r="A29" s="12" t="s">
        <v>279</v>
      </c>
      <c r="B29" s="12"/>
      <c r="C29" s="12"/>
      <c r="D29" s="13"/>
      <c r="E29" s="13"/>
      <c r="F29" s="13"/>
      <c r="G29" s="13"/>
      <c r="H29" s="13"/>
    </row>
    <row r="30" customFormat="false" ht="15" hidden="false" customHeight="false" outlineLevel="0" collapsed="false">
      <c r="A30" s="14" t="s">
        <v>280</v>
      </c>
      <c r="B30" s="14" t="s">
        <v>281</v>
      </c>
      <c r="C30" s="14" t="s">
        <v>282</v>
      </c>
      <c r="D30" s="14"/>
    </row>
    <row r="31" customFormat="false" ht="16" hidden="false" customHeight="false" outlineLevel="0" collapsed="false">
      <c r="A31" s="33">
        <v>1</v>
      </c>
      <c r="B31" s="19" t="s">
        <v>284</v>
      </c>
      <c r="C31" s="15" t="s">
        <v>285</v>
      </c>
      <c r="D31" s="15"/>
      <c r="E31" s="15"/>
    </row>
    <row r="32" customFormat="false" ht="16" hidden="false" customHeight="false" outlineLevel="0" collapsed="false">
      <c r="A32" s="33">
        <v>2</v>
      </c>
      <c r="B32" s="10" t="s">
        <v>287</v>
      </c>
      <c r="C32" s="15" t="s">
        <v>288</v>
      </c>
      <c r="D32" s="15"/>
      <c r="E32" s="15"/>
      <c r="F32" s="15"/>
    </row>
    <row r="33" customFormat="false" ht="16" hidden="false" customHeight="false" outlineLevel="0" collapsed="false">
      <c r="A33" s="33">
        <v>3</v>
      </c>
      <c r="B33" s="10" t="s">
        <v>290</v>
      </c>
      <c r="C33" s="15" t="s">
        <v>291</v>
      </c>
      <c r="D33" s="15"/>
      <c r="E33" s="15"/>
    </row>
    <row r="34" customFormat="false" ht="16" hidden="false" customHeight="false" outlineLevel="0" collapsed="false">
      <c r="A34" s="33">
        <v>4</v>
      </c>
      <c r="B34" s="19" t="s">
        <v>293</v>
      </c>
      <c r="C34" s="15" t="s">
        <v>294</v>
      </c>
      <c r="D34" s="15"/>
      <c r="E34" s="15"/>
    </row>
    <row r="35" customFormat="false" ht="16" hidden="false" customHeight="false" outlineLevel="0" collapsed="false">
      <c r="A35" s="33">
        <v>5</v>
      </c>
      <c r="B35" s="19" t="s">
        <v>296</v>
      </c>
      <c r="C35" s="15" t="s">
        <v>297</v>
      </c>
      <c r="D35" s="15"/>
      <c r="E35" s="15"/>
    </row>
    <row r="37" customFormat="false" ht="15.5" hidden="false" customHeight="false" outlineLevel="0" collapsed="false">
      <c r="A37" s="12" t="s">
        <v>298</v>
      </c>
      <c r="B37" s="12"/>
      <c r="C37" s="12"/>
      <c r="D37" s="13"/>
      <c r="E37" s="13"/>
      <c r="F37" s="13"/>
      <c r="G37" s="13"/>
      <c r="H37" s="13"/>
    </row>
    <row r="38" customFormat="false" ht="15" hidden="false" customHeight="false" outlineLevel="0" collapsed="false">
      <c r="A38" s="14" t="s">
        <v>299</v>
      </c>
      <c r="B38" s="14" t="s">
        <v>300</v>
      </c>
      <c r="C38" s="14" t="s">
        <v>231</v>
      </c>
      <c r="D38" s="14"/>
      <c r="E38" s="14"/>
      <c r="F38" s="14"/>
      <c r="G38" s="14"/>
      <c r="H38" s="14"/>
    </row>
    <row r="39" customFormat="false" ht="16" hidden="false" customHeight="false" outlineLevel="0" collapsed="false">
      <c r="A39" s="10" t="s">
        <v>301</v>
      </c>
      <c r="B39" s="25" t="str">
        <f aca="false">IF(ABS(B18-333.3333)&lt;0.01,"✓","✗")</f>
        <v>✓</v>
      </c>
      <c r="C39" s="10" t="s">
        <v>302</v>
      </c>
    </row>
    <row r="40" customFormat="false" ht="16" hidden="false" customHeight="false" outlineLevel="0" collapsed="false">
      <c r="A40" s="10" t="s">
        <v>303</v>
      </c>
      <c r="B40" s="25" t="str">
        <f aca="false">IF(ABS(C24-0.512)&lt;0.0005,"✓","✗")</f>
        <v>✓</v>
      </c>
      <c r="C40" s="19" t="s">
        <v>304</v>
      </c>
    </row>
    <row r="41" customFormat="false" ht="16" hidden="false" customHeight="false" outlineLevel="0" collapsed="false">
      <c r="A41" s="10" t="s">
        <v>305</v>
      </c>
      <c r="B41" s="25" t="str">
        <f aca="false">IF(ABS(C25-0.008)&lt;0.0005,"✓","✗")</f>
        <v>✓</v>
      </c>
      <c r="C41" s="19" t="s">
        <v>306</v>
      </c>
    </row>
    <row r="42" customFormat="false" ht="16" hidden="false" customHeight="false" outlineLevel="0" collapsed="false">
      <c r="A42" s="10" t="s">
        <v>307</v>
      </c>
      <c r="B42" s="25" t="str">
        <f aca="false">IF(ABS(B27-0.96)&lt;0.0005,"✓","✗")</f>
        <v>✓</v>
      </c>
      <c r="C42" s="15" t="s">
        <v>308</v>
      </c>
      <c r="D42" s="15"/>
      <c r="E42" s="15"/>
    </row>
    <row r="44" customFormat="false" ht="28" hidden="false" customHeight="true" outlineLevel="0" collapsed="false">
      <c r="A44" s="26" t="s">
        <v>309</v>
      </c>
      <c r="B44" s="26"/>
      <c r="C44" s="26"/>
      <c r="D44" s="26"/>
      <c r="E44" s="26"/>
    </row>
  </sheetData>
  <mergeCells count="25">
    <mergeCell ref="A1:E1"/>
    <mergeCell ref="A3:C3"/>
    <mergeCell ref="B5:H5"/>
    <mergeCell ref="B6:G6"/>
    <mergeCell ref="B7:F7"/>
    <mergeCell ref="B8:H8"/>
    <mergeCell ref="B9:C9"/>
    <mergeCell ref="A11:C11"/>
    <mergeCell ref="C13:D13"/>
    <mergeCell ref="C14:E14"/>
    <mergeCell ref="C17:D17"/>
    <mergeCell ref="C18:F18"/>
    <mergeCell ref="C19:E19"/>
    <mergeCell ref="C20:E20"/>
    <mergeCell ref="A22:E22"/>
    <mergeCell ref="E27:I27"/>
    <mergeCell ref="A29:C29"/>
    <mergeCell ref="C31:E31"/>
    <mergeCell ref="C32:F32"/>
    <mergeCell ref="C33:E33"/>
    <mergeCell ref="C34:E34"/>
    <mergeCell ref="C35:E35"/>
    <mergeCell ref="A37:C37"/>
    <mergeCell ref="C42:E42"/>
    <mergeCell ref="A44:E44"/>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ignoredErrors>
    <ignoredError sqref="A1:N64" evalError="1" twoDigitTextYear="1" numberStoredAsText="1" formula="1" formulaRange="1" unlockedFormula="1" emptyCellReference="1" listDataValidation="1" calculatedColumn="1"/>
  </ignoredErrors>
</worksheet>
</file>

<file path=docProps/app.xml><?xml version="1.0" encoding="utf-8"?>
<Properties xmlns="http://schemas.openxmlformats.org/officeDocument/2006/extended-properties" xmlns:vt="http://schemas.openxmlformats.org/officeDocument/2006/docPropsVTypes">
  <Template/>
  <TotalTime>0</TotalTime>
  <Application>LibreOffice/26.2.2.2$Windows_X86_64 LibreOffice_project/1f77d10d6938fd34972958f64b2bcfa54f8b1ba5</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2026-09-29T15:06:27Z</dcterms:created>
  <dc:creator>openpyxl</dc:creator>
  <dc:description/>
  <dc:language>zh-CN</dc:language>
  <cp:lastModifiedBy/>
  <dcterms:modified xsi:type="dcterms:W3CDTF">2026-09-29T15:06:27Z</dcterms:modified>
  <cp:revision>0</cp:revision>
  <dc:subject/>
  <dc:title/>
</cp:coreProperties>
</file>

<file path=docProps/custom.xml><?xml version="1.0" encoding="utf-8"?>
<Properties xmlns="http://schemas.openxmlformats.org/officeDocument/2006/custom-properties" xmlns:vt="http://schemas.openxmlformats.org/officeDocument/2006/docPropsVTypes"/>
</file>