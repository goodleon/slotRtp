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<sst xmlns="http://schemas.openxmlformats.org/spreadsheetml/2006/main" count="148" uniqueCount="146">
  <si>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12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Scatter(4)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</si>
  <si>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Scatter(4)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https://zhuanlan.zhihu.com/p/624382144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</si>
  <si>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</si>
  <si>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</si>
  <si>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</si>
  <si>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配表说明：本篇的口径与结论（每列 </t>
    </r>
    <r>
      <rPr>
        <sz val="11"/>
        <color rgb="FF808080"/>
        <rFont val="Cambria"/>
        <family val="0"/>
        <charset val="1"/>
      </rPr>
      <t xml:space="preserve">2³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SC"/>
        <family val="2"/>
        <charset val="134"/>
      </rPr>
      <t xml:space="preserve">列 </t>
    </r>
    <r>
      <rPr>
        <sz val="11"/>
        <color rgb="FF808080"/>
        <rFont val="Cambria"/>
        <family val="0"/>
        <charset val="1"/>
      </rPr>
      <t xml:space="preserve">8⁵</t>
    </r>
    <r>
      <rPr>
        <sz val="11"/>
        <color rgb="FF808080"/>
        <rFont val="Noto Sans SC"/>
        <family val="2"/>
        <charset val="134"/>
      </rPr>
      <t xml:space="preserve">＝</t>
    </r>
    <r>
      <rPr>
        <sz val="11"/>
        <color rgb="FF808080"/>
        <rFont val="Cambria"/>
        <family val="0"/>
        <charset val="1"/>
      </rPr>
      <t xml:space="preserve">32,768</t>
    </r>
    <r>
      <rPr>
        <sz val="11"/>
        <color rgb="FF808080"/>
        <rFont val="Noto Sans SC"/>
        <family val="2"/>
        <charset val="134"/>
      </rPr>
      <t xml:space="preserve">、用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SC"/>
        <family val="2"/>
        <charset val="134"/>
      </rPr>
      <t xml:space="preserve">个单元格代入 </t>
    </r>
    <r>
      <rPr>
        <sz val="11"/>
        <color rgb="FF808080"/>
        <rFont val="Cambria"/>
        <family val="0"/>
        <charset val="1"/>
      </rPr>
      <t xml:space="preserve">BINOM.DIST</t>
    </r>
    <r>
      <rPr>
        <sz val="11"/>
        <color rgb="FF808080"/>
        <rFont val="Noto Sans SC"/>
        <family val="2"/>
        <charset val="134"/>
      </rPr>
      <t xml:space="preserve">、各列几率需配置一致）全部取自原文；【</t>
    </r>
    <r>
      <rPr>
        <sz val="11"/>
        <color rgb="FF808080"/>
        <rFont val="Cambria"/>
        <family val="0"/>
        <charset val="1"/>
      </rPr>
      <t xml:space="preserve">2</t>
    </r>
    <r>
      <rPr>
        <sz val="11"/>
        <color rgb="FF808080"/>
        <rFont val="Noto Sans SC"/>
        <family val="2"/>
        <charset val="134"/>
      </rPr>
      <t xml:space="preserve">】的 </t>
    </r>
    <r>
      <rPr>
        <sz val="11"/>
        <color rgb="FF808080"/>
        <rFont val="Cambria"/>
        <family val="0"/>
        <charset val="1"/>
      </rPr>
      <t xml:space="preserve">16 </t>
    </r>
    <r>
      <rPr>
        <sz val="11"/>
        <color rgb="FF808080"/>
        <rFont val="Noto Sans SC"/>
        <family val="2"/>
        <charset val="134"/>
      </rPr>
      <t xml:space="preserve">行二项分布表由公式算出，可修改单个位置的 </t>
    </r>
    <r>
      <rPr>
        <sz val="11"/>
        <color rgb="FF808080"/>
        <rFont val="Cambria"/>
        <family val="0"/>
        <charset val="1"/>
      </rPr>
      <t xml:space="preserve">Scatter </t>
    </r>
    <r>
      <rPr>
        <sz val="11"/>
        <color rgb="FF808080"/>
        <rFont val="Noto Sans SC"/>
        <family val="2"/>
        <charset val="134"/>
      </rPr>
      <t xml:space="preserve">几率后自动联动。</t>
    </r>
  </si>
  <si>
    <r>
      <rPr>
        <sz val="11"/>
        <color rgb="FF808080"/>
        <rFont val="Cambria"/>
        <family val="0"/>
        <charset val="1"/>
      </rPr>
      <t xml:space="preserve">BINOM.DIST / BINOM.DIST.RANGE </t>
    </r>
    <r>
      <rPr>
        <sz val="11"/>
        <color rgb="FF808080"/>
        <rFont val="Noto Sans SC"/>
        <family val="2"/>
        <charset val="134"/>
      </rPr>
      <t xml:space="preserve">的等价关系：</t>
    </r>
    <r>
      <rPr>
        <sz val="11"/>
        <color rgb="FF808080"/>
        <rFont val="Cambria"/>
        <family val="0"/>
        <charset val="1"/>
      </rPr>
      <t xml:space="preserve">BINOM.DIST.RANGE(n, p, 3, n) </t>
    </r>
    <r>
      <rPr>
        <sz val="11"/>
        <color rgb="FF808080"/>
        <rFont val="Noto Sans SC"/>
        <family val="2"/>
        <charset val="134"/>
      </rPr>
      <t xml:space="preserve">＝ </t>
    </r>
    <r>
      <rPr>
        <sz val="11"/>
        <color rgb="FF808080"/>
        <rFont val="Cambria"/>
        <family val="0"/>
        <charset val="1"/>
      </rPr>
      <t xml:space="preserve">1 − BINOM.DIST(2, n, p, TRUE)</t>
    </r>
    <r>
      <rPr>
        <sz val="11"/>
        <color rgb="FF808080"/>
        <rFont val="Noto Sans SC"/>
        <family val="2"/>
        <charset val="134"/>
      </rPr>
      <t xml:space="preserve">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</si>
  <si>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</si>
  <si>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</si>
  <si>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</si>
  <si>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</si>
  <si>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images/slots/624382144-NN.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</si>
  <si>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</si>
  <si>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</si>
  <si>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</si>
  <si>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随机卷轴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SC"/>
        <family val="2"/>
        <charset val="134"/>
      </rPr>
      <t xml:space="preserve">固定卷轴，在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上的最大差别是「单列可能出现的组合数」：</t>
    </r>
  </si>
  <si>
    <r>
      <rPr>
        <sz val="11"/>
        <color theme="1"/>
        <rFont val="Noto Sans SC"/>
        <family val="2"/>
        <charset val="134"/>
      </rPr>
      <t xml:space="preserve">  固定卷轴上没有三连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，就永远不会出现；而随机卷轴每个位置都可能出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，</t>
    </r>
  </si>
  <si>
    <r>
      <rPr>
        <sz val="11"/>
        <color theme="1"/>
        <rFont val="Noto Sans SC"/>
        <family val="2"/>
        <charset val="134"/>
      </rPr>
      <t xml:space="preserve">  只要几率不为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  <charset val="134"/>
      </rPr>
      <t xml:space="preserve">，该列就可能出现 </t>
    </r>
    <r>
      <rPr>
        <sz val="11"/>
        <color theme="1"/>
        <rFont val="Calibri"/>
        <family val="2"/>
        <charset val="1"/>
      </rPr>
      <t xml:space="preserve">0/1/2/3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的所有情况。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</si>
  <si>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于是：每列 </t>
    </r>
    <r>
      <rPr>
        <sz val="11"/>
        <color theme="1"/>
        <rFont val="Calibri"/>
        <family val="2"/>
        <charset val="1"/>
      </rPr>
      <t xml:space="preserve">2³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  <charset val="134"/>
      </rPr>
      <t xml:space="preserve">种情况，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列共 </t>
    </r>
    <r>
      <rPr>
        <sz val="11"/>
        <color theme="1"/>
        <rFont val="Calibri"/>
        <family val="2"/>
        <charset val="1"/>
      </rPr>
      <t xml:space="preserve">8⁵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32,768 </t>
    </r>
    <r>
      <rPr>
        <sz val="11"/>
        <color theme="1"/>
        <rFont val="Noto Sans SC"/>
        <family val="2"/>
        <charset val="134"/>
      </rPr>
      <t xml:space="preserve">种；把满足中奖条件的组合全列出来加总即为触发几率——</t>
    </r>
  </si>
  <si>
    <t xml:space="preserve">  但穷举耗时长且极易错漏，实际设计过程中不常用。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</si>
  <si>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实际做法：用 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。把随机卷轴看成「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  <charset val="134"/>
      </rPr>
      <t xml:space="preserve">个可能抽到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的单元格」（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SC"/>
        <family val="2"/>
        <charset val="134"/>
      </rPr>
      <t xml:space="preserve">行），</t>
    </r>
  </si>
  <si>
    <r>
      <rPr>
        <sz val="11"/>
        <color theme="1"/>
        <rFont val="Noto Sans SC"/>
        <family val="2"/>
        <charset val="134"/>
      </rPr>
      <t xml:space="preserve">  只要各列配置的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几率一致，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  <charset val="134"/>
      </rPr>
      <t xml:space="preserve">个位置抽中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的几率就一致，可直接代入二项分布。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</si>
  <si>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流程：配置图标几率 → 标准图标（含百搭加成）出现几率 → 普通摇 </t>
    </r>
    <r>
      <rPr>
        <sz val="11"/>
        <color theme="1"/>
        <rFont val="Calibri"/>
        <family val="2"/>
        <charset val="1"/>
      </rPr>
      <t xml:space="preserve">RTP →</t>
    </r>
  </si>
  <si>
    <r>
      <rPr>
        <sz val="11"/>
        <color theme="1"/>
        <rFont val="Calibri"/>
        <family val="2"/>
        <charset val="1"/>
      </rPr>
      <t xml:space="preserve">  BINOM.DIST </t>
    </r>
    <r>
      <rPr>
        <sz val="11"/>
        <color theme="1"/>
        <rFont val="Noto Sans SC"/>
        <family val="2"/>
        <charset val="134"/>
      </rPr>
      <t xml:space="preserve">求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各个数几率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免费摇次数 → 免费摇次数期望 →</t>
    </r>
  </si>
  <si>
    <r>
      <rPr>
        <sz val="11"/>
        <color theme="1"/>
        <rFont val="Noto Sans SC"/>
        <family val="2"/>
        <charset val="134"/>
      </rPr>
      <t xml:space="preserve">  免费摇标准图标 </t>
    </r>
    <r>
      <rPr>
        <sz val="11"/>
        <color theme="1"/>
        <rFont val="Calibri"/>
        <family val="2"/>
        <charset val="1"/>
      </rPr>
      <t xml:space="preserve">RTP → </t>
    </r>
    <r>
      <rPr>
        <sz val="11"/>
        <color theme="1"/>
        <rFont val="Noto Sans SC"/>
        <family val="2"/>
        <charset val="134"/>
      </rPr>
      <t xml:space="preserve">每次免费摇触发额外次数的期望（等比级数）→ 免费摇 </t>
    </r>
    <r>
      <rPr>
        <sz val="11"/>
        <color theme="1"/>
        <rFont val="Calibri"/>
        <family val="2"/>
        <charset val="1"/>
      </rPr>
      <t xml:space="preserve">RTP → </t>
    </r>
    <r>
      <rPr>
        <sz val="11"/>
        <color theme="1"/>
        <rFont val="Noto Sans SC"/>
        <family val="2"/>
        <charset val="134"/>
      </rPr>
      <t xml:space="preserve">与普通摇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相加。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</si>
  <si>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至此 </t>
    </r>
    <r>
      <rPr>
        <sz val="11"/>
        <color theme="1"/>
        <rFont val="Calibri"/>
        <family val="2"/>
        <charset val="1"/>
      </rPr>
      <t xml:space="preserve">1*3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3*5 Line Slots </t>
    </r>
    <r>
      <rPr>
        <sz val="11"/>
        <color theme="1"/>
        <rFont val="Noto Sans SC"/>
        <family val="2"/>
        <charset val="134"/>
      </rPr>
      <t xml:space="preserve">的基础数值体系都齐了（</t>
    </r>
    <r>
      <rPr>
        <sz val="11"/>
        <color theme="1"/>
        <rFont val="Calibri"/>
        <family val="2"/>
        <charset val="1"/>
      </rPr>
      <t xml:space="preserve">12~20 </t>
    </r>
    <r>
      <rPr>
        <sz val="11"/>
        <color theme="1"/>
        <rFont val="Noto Sans SC"/>
        <family val="2"/>
        <charset val="134"/>
      </rPr>
      <t xml:space="preserve">篇），可据此设计标准 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</si>
  <si>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</si>
  <si>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前三篇介绍了含有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的固定卷轴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的数值计算方法</t>
    </r>
  </si>
  <si>
    <r>
      <rPr>
        <sz val="11"/>
        <color theme="1"/>
        <rFont val="Noto Sans SC"/>
        <family val="2"/>
        <charset val="134"/>
      </rPr>
      <t xml:space="preserve">本篇将介绍随机卷轴包含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时的计算方法</t>
    </r>
  </si>
  <si>
    <r>
      <rPr>
        <sz val="11"/>
        <color theme="1"/>
        <rFont val="Noto Sans SC"/>
        <family val="2"/>
        <charset val="134"/>
      </rPr>
      <t xml:space="preserve">随机卷轴和固定卷轴在计算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时最主要的区别就是单列能够支持的组合数不同</t>
    </r>
  </si>
  <si>
    <r>
      <rPr>
        <sz val="11"/>
        <color theme="1"/>
        <rFont val="Noto Sans SC"/>
        <family val="2"/>
        <charset val="134"/>
      </rPr>
      <t xml:space="preserve">例如当固定卷轴上没有三连出现的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时，摇奖过程中一定不会出现该情况</t>
    </r>
  </si>
  <si>
    <r>
      <rPr>
        <sz val="11"/>
        <color theme="1"/>
        <rFont val="Noto Sans SC"/>
        <family val="2"/>
        <charset val="134"/>
      </rPr>
      <t xml:space="preserve">但是随即卷轴每个位置都有可能出现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，只要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出现的几率不为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  <charset val="134"/>
      </rPr>
      <t xml:space="preserve">，该列可能出现所有情况</t>
    </r>
  </si>
  <si>
    <r>
      <rPr>
        <sz val="11"/>
        <color theme="1"/>
        <rFont val="Noto Sans SC"/>
        <family val="2"/>
        <charset val="134"/>
      </rPr>
      <t xml:space="preserve">因此在计算随机卷轴时，应当考虑该列卷轴出现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的所有情况</t>
    </r>
  </si>
  <si>
    <r>
      <rPr>
        <sz val="11"/>
        <color theme="1"/>
        <rFont val="Noto Sans SC"/>
        <family val="2"/>
        <charset val="134"/>
      </rPr>
      <t xml:space="preserve">根据 </t>
    </r>
    <r>
      <rPr>
        <sz val="11"/>
        <color theme="1"/>
        <rFont val="Calibri"/>
        <family val="2"/>
        <charset val="1"/>
      </rPr>
      <t xml:space="preserve">2 * 2 * 2 = 8 </t>
    </r>
    <r>
      <rPr>
        <sz val="11"/>
        <color theme="1"/>
        <rFont val="Noto Sans SC"/>
        <family val="2"/>
        <charset val="134"/>
      </rPr>
      <t xml:space="preserve">可知存在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SC"/>
        <family val="2"/>
        <charset val="134"/>
      </rPr>
      <t xml:space="preserve">种情况</t>
    </r>
  </si>
  <si>
    <r>
      <rPr>
        <sz val="11"/>
        <color theme="1"/>
        <rFont val="Noto Sans SC"/>
        <family val="2"/>
        <charset val="134"/>
      </rPr>
      <t xml:space="preserve">则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列共有 </t>
    </r>
    <r>
      <rPr>
        <sz val="11"/>
        <color theme="1"/>
        <rFont val="Calibri"/>
        <family val="2"/>
        <charset val="1"/>
      </rPr>
      <t xml:space="preserve">8 ^ 5 = 32,768</t>
    </r>
    <r>
      <rPr>
        <sz val="11"/>
        <color theme="1"/>
        <rFont val="Noto Sans SC"/>
        <family val="2"/>
        <charset val="134"/>
      </rPr>
      <t xml:space="preserve">种情况</t>
    </r>
  </si>
  <si>
    <t xml:space="preserve">再将其中满足中奖条件的组合均列出来，并计算其出现几率</t>
  </si>
  <si>
    <r>
      <rPr>
        <sz val="11"/>
        <color theme="1"/>
        <rFont val="Noto Sans SC"/>
        <family val="2"/>
        <charset val="134"/>
      </rPr>
      <t xml:space="preserve">将出现几率加总，得到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触发免费摇的总几率</t>
    </r>
  </si>
  <si>
    <t xml:space="preserve">列出所有的组合需要耗费非常多的时间，并且容易出现错漏项</t>
  </si>
  <si>
    <t xml:space="preserve">因此，该方法在实际设计过程中并不常用</t>
  </si>
  <si>
    <r>
      <rPr>
        <sz val="11"/>
        <color theme="1"/>
        <rFont val="Noto Sans SC"/>
        <family val="2"/>
        <charset val="134"/>
      </rPr>
      <t xml:space="preserve">在实际设计过程中计算随机卷轴的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出现几率需要利用到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</t>
    </r>
  </si>
  <si>
    <t xml:space="preserve">可以参考之前的文档了解该函数的用法</t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</si>
  <si>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数值篇——</t>
    </r>
    <r>
      <rPr>
        <sz val="11"/>
        <color theme="1"/>
        <rFont val="Calibri"/>
        <family val="2"/>
        <charset val="1"/>
      </rPr>
      <t xml:space="preserve">Scatter(2)</t>
    </r>
  </si>
  <si>
    <r>
      <rPr>
        <sz val="11"/>
        <color theme="1"/>
        <rFont val="Noto Sans SC"/>
        <family val="2"/>
        <charset val="134"/>
      </rPr>
      <t xml:space="preserve">在随机卷轴汇总，可以看做存在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SC"/>
        <family val="2"/>
        <charset val="134"/>
      </rPr>
      <t xml:space="preserve">个可能抽取到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的单元格</t>
    </r>
  </si>
  <si>
    <r>
      <rPr>
        <sz val="11"/>
        <color theme="1"/>
        <rFont val="Noto Sans SC"/>
        <family val="2"/>
        <charset val="134"/>
      </rPr>
      <t xml:space="preserve">当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列出现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的几率一致时，可以直接带入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函数计算</t>
    </r>
  </si>
  <si>
    <t xml:space="preserve">具体计算步骤如下：</t>
  </si>
  <si>
    <t xml:space="preserve">数值计算——随机卷轴</t>
  </si>
  <si>
    <t xml:space="preserve">首先设置普通摇的图标出现几率，并依据配置数值计算各图标出现的基础几率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</si>
  <si>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624382144-01.jpg</t>
    </r>
  </si>
  <si>
    <t xml:space="preserve">依据图标出现几率，计算标准图标考虑百搭之后的出现几率和对应的不出现几率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</si>
  <si>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624382144-02.jpg</t>
    </r>
  </si>
  <si>
    <r>
      <rPr>
        <sz val="11"/>
        <color theme="1"/>
        <rFont val="Noto Sans SC"/>
        <family val="2"/>
        <charset val="134"/>
      </rPr>
      <t xml:space="preserve">依据图标出现几率计算得出标准图标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</si>
  <si>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624382144-03.jpg</t>
    </r>
  </si>
  <si>
    <r>
      <rPr>
        <sz val="11"/>
        <color theme="1"/>
        <rFont val="Noto Sans SC"/>
        <family val="2"/>
        <charset val="134"/>
      </rPr>
      <t xml:space="preserve">以上就是计算包含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的随机卷轴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普通摇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计算方式</t>
    </r>
  </si>
  <si>
    <r>
      <rPr>
        <sz val="11"/>
        <color theme="1"/>
        <rFont val="Noto Sans SC"/>
        <family val="2"/>
        <charset val="134"/>
      </rPr>
      <t xml:space="preserve">和不带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的类型相比，差异主要在免费摇的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计算上</t>
    </r>
  </si>
  <si>
    <r>
      <rPr>
        <sz val="11"/>
        <color theme="1"/>
        <rFont val="Noto Sans SC"/>
        <family val="2"/>
        <charset val="134"/>
      </rPr>
      <t xml:space="preserve">首先，利用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函数计算得出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在卷轴上出现各种个数可能性</t>
    </r>
  </si>
  <si>
    <r>
      <rPr>
        <sz val="11"/>
        <color theme="1"/>
        <rFont val="Noto Sans SC"/>
        <family val="2"/>
        <charset val="134"/>
      </rPr>
      <t xml:space="preserve">这里需要注意，为了方便带入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函数计算，需要把每列出现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的数值配置成一致</t>
    </r>
  </si>
  <si>
    <r>
      <rPr>
        <sz val="11"/>
        <color theme="1"/>
        <rFont val="Noto Sans SC"/>
        <family val="2"/>
        <charset val="134"/>
      </rPr>
      <t xml:space="preserve">这样次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出现在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SC"/>
        <family val="2"/>
        <charset val="134"/>
      </rPr>
      <t xml:space="preserve">个位置的几率才一致</t>
    </r>
  </si>
  <si>
    <t xml:space="preserve">带入认为设置的免费摇次数后，得到免费摇次数期望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</si>
  <si>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624382144-04.jpg</t>
    </r>
  </si>
  <si>
    <r>
      <rPr>
        <sz val="11"/>
        <color theme="1"/>
        <rFont val="Noto Sans SC"/>
        <family val="2"/>
        <charset val="134"/>
      </rPr>
      <t xml:space="preserve">在使用相似的方法计算得出免费摇标准图标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</si>
  <si>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624382144-05.jpg</t>
    </r>
  </si>
  <si>
    <r>
      <rPr>
        <sz val="11"/>
        <color theme="1"/>
        <rFont val="Noto Sans SC"/>
        <family val="2"/>
        <charset val="134"/>
      </rPr>
      <t xml:space="preserve">最后再计算得出每次免费摇触发额外次数的期望，就可得到计算免费摇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的最后一个数据</t>
    </r>
  </si>
  <si>
    <r>
      <rPr>
        <sz val="11"/>
        <color theme="1"/>
        <rFont val="Noto Sans SC"/>
        <family val="2"/>
        <charset val="134"/>
      </rPr>
      <t xml:space="preserve">计算方法也是使用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函数，只是需要对得到的期望进行等比无穷级数求和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</si>
  <si>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624382144-06.jpg</t>
    </r>
  </si>
  <si>
    <r>
      <rPr>
        <sz val="11"/>
        <color theme="1"/>
        <rFont val="Noto Sans SC"/>
        <family val="2"/>
        <charset val="134"/>
      </rPr>
      <t xml:space="preserve">将免费摇次数期望、免费摇标准图标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以及每次免费摇触发的额外次数期望相乘得到免费摇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</si>
  <si>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和普通摇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相加，得到该包含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图标的随机卷轴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的整体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</si>
  <si>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624382144-07.jpeg</t>
    </r>
  </si>
  <si>
    <r>
      <rPr>
        <sz val="11"/>
        <color theme="1"/>
        <rFont val="Noto Sans SC"/>
        <family val="2"/>
        <charset val="134"/>
      </rPr>
      <t xml:space="preserve">以上就是包含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的随机卷轴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数值计算方法</t>
    </r>
  </si>
  <si>
    <r>
      <rPr>
        <sz val="11"/>
        <color theme="1"/>
        <rFont val="Noto Sans SC"/>
        <family val="2"/>
        <charset val="134"/>
      </rPr>
      <t xml:space="preserve">截至目前，已经输出了</t>
    </r>
    <r>
      <rPr>
        <sz val="11"/>
        <color theme="1"/>
        <rFont val="Calibri"/>
        <family val="2"/>
        <charset val="1"/>
      </rPr>
      <t xml:space="preserve">1*3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的基础数值体系了</t>
    </r>
  </si>
  <si>
    <r>
      <rPr>
        <sz val="11"/>
        <color theme="1"/>
        <rFont val="Noto Sans SC"/>
        <family val="2"/>
        <charset val="134"/>
      </rPr>
      <t xml:space="preserve">可以参考这些内容，设计出标准</t>
    </r>
    <r>
      <rPr>
        <sz val="11"/>
        <color theme="1"/>
        <rFont val="Calibri"/>
        <family val="2"/>
        <charset val="1"/>
      </rPr>
      <t xml:space="preserve">3*5 Line Slots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</si>
  <si>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</si>
  <si>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624382144-01.jpg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</si>
  <si>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624382144-02.jpg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</si>
  <si>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624382144-03.jpg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</si>
  <si>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624382144-04.jpg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</si>
  <si>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624382144-05.jpg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</si>
  <si>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624382144-06.jpg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</si>
  <si>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624382144-07.jpeg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</si>
  <si>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</si>
  <si>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</si>
  <si>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</si>
  <si>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</si>
  <si>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</si>
  <si>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</si>
  <si>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Scatter(4)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https://zhuanlan.zhihu.com/p/624382144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</si>
  <si>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Scatter(4)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</si>
  <si>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】随机卷轴 </t>
    </r>
    <r>
      <rPr>
        <b val="true"/>
        <sz val="11"/>
        <color rgb="FF1F4E79"/>
        <rFont val="Cambria"/>
        <family val="0"/>
        <charset val="1"/>
      </rPr>
      <t xml:space="preserve">vs </t>
    </r>
    <r>
      <rPr>
        <b val="true"/>
        <sz val="11"/>
        <color rgb="FF1F4E79"/>
        <rFont val="Noto Sans SC"/>
        <family val="2"/>
        <charset val="134"/>
      </rPr>
      <t xml:space="preserve">固定卷轴（</t>
    </r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口径差异）</t>
    </r>
  </si>
  <si>
    <t xml:space="preserve">对比项</t>
  </si>
  <si>
    <t xml:space="preserve">固定卷轴</t>
  </si>
  <si>
    <t xml:space="preserve">随机卷轴</t>
  </si>
  <si>
    <r>
      <rPr>
        <sz val="11"/>
        <color theme="1"/>
        <rFont val="Noto Sans SC"/>
        <family val="2"/>
        <charset val="134"/>
      </rPr>
      <t xml:space="preserve">单列可能出现的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组合</t>
    </r>
  </si>
  <si>
    <t xml:space="preserve">只可能是卷轴上排列过的（无三连就不会有三连）</t>
  </si>
  <si>
    <r>
      <rPr>
        <sz val="11"/>
        <color theme="1"/>
        <rFont val="Noto Sans SC"/>
        <family val="2"/>
        <charset val="134"/>
      </rPr>
      <t xml:space="preserve">每个位置都可能出 </t>
    </r>
    <r>
      <rPr>
        <sz val="11"/>
        <color theme="1"/>
        <rFont val="Calibri"/>
        <family val="2"/>
        <charset val="1"/>
      </rPr>
      <t xml:space="preserve">Scatter → 0/1/2/3 </t>
    </r>
    <r>
      <rPr>
        <sz val="11"/>
        <color theme="1"/>
        <rFont val="Noto Sans SC"/>
        <family val="2"/>
        <charset val="134"/>
      </rPr>
      <t xml:space="preserve">个都可能</t>
    </r>
  </si>
  <si>
    <t xml:space="preserve">单列情况数</t>
  </si>
  <si>
    <t xml:space="preserve">受卷轴排列限制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</si>
  <si>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列总情况数</t>
    </r>
  </si>
  <si>
    <t xml:space="preserve">受排列限制</t>
  </si>
  <si>
    <t xml:space="preserve">实际做法</t>
  </si>
  <si>
    <r>
      <rPr>
        <sz val="11"/>
        <color theme="1"/>
        <rFont val="Noto Sans SC"/>
        <family val="2"/>
        <charset val="134"/>
      </rPr>
      <t xml:space="preserve">逐窗口统计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  <charset val="134"/>
      </rPr>
      <t xml:space="preserve">排列组合</t>
    </r>
  </si>
  <si>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：把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  <charset val="134"/>
      </rPr>
      <t xml:space="preserve">个单元格看成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  <charset val="134"/>
      </rPr>
      <t xml:space="preserve">次尝试</t>
    </r>
  </si>
  <si>
    <r>
      <rPr>
        <sz val="11"/>
        <color theme="1"/>
        <rFont val="Noto Sans SC"/>
        <family val="2"/>
        <charset val="134"/>
      </rPr>
      <t xml:space="preserve">参数：单元格数（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SC"/>
        <family val="2"/>
        <charset val="134"/>
      </rPr>
      <t xml:space="preserve">行）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</si>
  <si>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  <charset val="134"/>
      </rPr>
      <t xml:space="preserve">个可能抽到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的位置</t>
    </r>
  </si>
  <si>
    <r>
      <rPr>
        <sz val="11"/>
        <color theme="1"/>
        <rFont val="Noto Sans SC"/>
        <family val="2"/>
        <charset val="134"/>
      </rPr>
      <t xml:space="preserve">参数：单个位置出现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的几率</t>
    </r>
  </si>
  <si>
    <r>
      <rPr>
        <sz val="11"/>
        <color theme="1"/>
        <rFont val="Noto Sans SC"/>
        <family val="2"/>
        <charset val="134"/>
      </rPr>
      <t xml:space="preserve">各列配置需一致，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  <charset val="134"/>
      </rPr>
      <t xml:space="preserve">个位置几率才相同</t>
    </r>
  </si>
  <si>
    <r>
      <rPr>
        <sz val="11"/>
        <color theme="1"/>
        <rFont val="Noto Sans SC"/>
        <family val="2"/>
        <charset val="134"/>
      </rPr>
      <t xml:space="preserve">参数：触发门槛（≥ 几个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</si>
  <si>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原文：≥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个触发免费摇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</si>
  <si>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BINOM.DIST </t>
    </r>
    <r>
      <rPr>
        <b val="true"/>
        <sz val="11"/>
        <color rgb="FF1F4E79"/>
        <rFont val="Noto Sans SC"/>
        <family val="2"/>
        <charset val="134"/>
      </rPr>
      <t xml:space="preserve">计算表：</t>
    </r>
    <r>
      <rPr>
        <b val="true"/>
        <sz val="11"/>
        <color rgb="FF1F4E79"/>
        <rFont val="Cambria"/>
        <family val="0"/>
        <charset val="1"/>
      </rPr>
      <t xml:space="preserve">15 </t>
    </r>
    <r>
      <rPr>
        <b val="true"/>
        <sz val="11"/>
        <color rgb="FF1F4E79"/>
        <rFont val="Noto Sans SC"/>
        <family val="2"/>
        <charset val="134"/>
      </rPr>
      <t xml:space="preserve">个单元格（示意几率可改）</t>
    </r>
  </si>
  <si>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个数 </t>
    </r>
    <r>
      <rPr>
        <b val="true"/>
        <sz val="11"/>
        <color rgb="FF1F4E79"/>
        <rFont val="Cambria"/>
        <family val="0"/>
        <charset val="1"/>
      </rPr>
      <t xml:space="preserve">k</t>
    </r>
  </si>
  <si>
    <t xml:space="preserve">出现该个数的几率</t>
  </si>
  <si>
    <t xml:space="preserve">触发免费摇？</t>
  </si>
  <si>
    <t xml:space="preserve">对应免费摇次数</t>
  </si>
  <si>
    <t xml:space="preserve">几率合计</t>
  </si>
  <si>
    <r>
      <rPr>
        <sz val="11"/>
        <color theme="1"/>
        <rFont val="Noto Sans SC"/>
        <family val="2"/>
        <charset val="134"/>
      </rPr>
      <t xml:space="preserve">应为 </t>
    </r>
    <r>
      <rPr>
        <sz val="11"/>
        <color theme="1"/>
        <rFont val="Calibri"/>
        <family val="2"/>
        <charset val="1"/>
      </rPr>
      <t xml:space="preserve">100%</t>
    </r>
  </si>
  <si>
    <t xml:space="preserve">触发免费摇总几率</t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</si>
  <si>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1 − P(k ≤ 2)</t>
    </r>
    <r>
      <rPr>
        <sz val="11"/>
        <color theme="1"/>
        <rFont val="Noto Sans SC"/>
        <family val="2"/>
        <charset val="134"/>
      </rPr>
      <t xml:space="preserve">，等价于 </t>
    </r>
    <r>
      <rPr>
        <sz val="11"/>
        <color theme="1"/>
        <rFont val="Calibri"/>
        <family val="2"/>
        <charset val="1"/>
      </rPr>
      <t xml:space="preserve">BINOM.DIST.RANGE(15, p, 3, 15)</t>
    </r>
  </si>
  <si>
    <t xml:space="preserve">免费摇次数期望</t>
  </si>
  <si>
    <r>
      <rPr>
        <sz val="11"/>
        <color theme="1"/>
        <rFont val="Noto Sans SC"/>
        <family val="2"/>
        <charset val="134"/>
      </rPr>
      <t xml:space="preserve">各个数几率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对应次数，加总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</si>
  <si>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】免费摇与整体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（与 </t>
    </r>
    <r>
      <rPr>
        <b val="true"/>
        <sz val="11"/>
        <color rgb="FF1F4E79"/>
        <rFont val="Cambria"/>
        <family val="0"/>
        <charset val="1"/>
      </rPr>
      <t xml:space="preserve">17/19 </t>
    </r>
    <r>
      <rPr>
        <b val="true"/>
        <sz val="11"/>
        <color rgb="FF1F4E79"/>
        <rFont val="Noto Sans SC"/>
        <family val="2"/>
        <charset val="134"/>
      </rPr>
      <t xml:space="preserve">篇同构）</t>
    </r>
  </si>
  <si>
    <t xml:space="preserve">项目</t>
  </si>
  <si>
    <t xml:space="preserve">数值</t>
  </si>
  <si>
    <r>
      <rPr>
        <sz val="11"/>
        <color theme="1"/>
        <rFont val="Noto Sans SC"/>
        <family val="2"/>
        <charset val="134"/>
      </rPr>
      <t xml:space="preserve">引自【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</si>
  <si>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免费摇标准图标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（示意）</t>
    </r>
  </si>
  <si>
    <t xml:space="preserve">算法与普通摇相同（百搭加成口径一致）</t>
  </si>
  <si>
    <t xml:space="preserve">单次免费摇的额外次数期望</t>
  </si>
  <si>
    <r>
      <rPr>
        <sz val="11"/>
        <color theme="1"/>
        <rFont val="Noto Sans SC"/>
        <family val="2"/>
        <charset val="134"/>
      </rPr>
      <t xml:space="preserve">用 </t>
    </r>
    <r>
      <rPr>
        <sz val="11"/>
        <color theme="1"/>
        <rFont val="Calibri"/>
        <family val="2"/>
        <charset val="1"/>
      </rPr>
      <t xml:space="preserve">BINOM.DIST </t>
    </r>
    <r>
      <rPr>
        <sz val="11"/>
        <color theme="1"/>
        <rFont val="Noto Sans SC"/>
        <family val="2"/>
        <charset val="134"/>
      </rPr>
      <t xml:space="preserve">算再取期望</t>
    </r>
  </si>
  <si>
    <t xml:space="preserve">综合免费摇次数</t>
  </si>
  <si>
    <t xml:space="preserve">等比无穷级数求和</t>
  </si>
  <si>
    <r>
      <rPr>
        <b val="true"/>
        <sz val="11"/>
        <rFont val="Noto Sans SC"/>
        <family val="2"/>
        <charset val="134"/>
      </rPr>
      <t xml:space="preserve">免费摇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</si>
  <si>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＝ 次数期望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免费摇标准图标 </t>
    </r>
    <r>
      <rPr>
        <sz val="11"/>
        <color theme="1"/>
        <rFont val="Calibri"/>
        <family val="2"/>
        <charset val="1"/>
      </rPr>
      <t xml:space="preserve">RTP × </t>
    </r>
    <r>
      <rPr>
        <sz val="11"/>
        <color theme="1"/>
        <rFont val="Noto Sans SC"/>
        <family val="2"/>
        <charset val="134"/>
      </rPr>
      <t xml:space="preserve">综合额外倍数</t>
    </r>
  </si>
  <si>
    <r>
      <rPr>
        <sz val="11"/>
        <color theme="1"/>
        <rFont val="Noto Sans SC"/>
        <family val="2"/>
        <charset val="134"/>
      </rPr>
      <t xml:space="preserve">普通摇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（示意）</t>
    </r>
  </si>
  <si>
    <r>
      <rPr>
        <sz val="11"/>
        <color theme="1"/>
        <rFont val="Noto Sans SC"/>
        <family val="2"/>
        <charset val="134"/>
      </rPr>
      <t xml:space="preserve">配置图标几率 → 含百搭出现几率 → 中奖率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</t>
    </r>
  </si>
  <si>
    <r>
      <rPr>
        <b val="true"/>
        <sz val="11"/>
        <rFont val="Noto Sans SC"/>
        <family val="2"/>
        <charset val="134"/>
      </rPr>
      <t xml:space="preserve">整体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</si>
  <si>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＝ 普通摇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＋ 免费摇 </t>
    </r>
    <r>
      <rPr>
        <sz val="11"/>
        <color theme="1"/>
        <rFont val="Calibri"/>
        <family val="2"/>
        <charset val="1"/>
      </rPr>
      <t xml:space="preserve">RTP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</si>
  <si>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</si>
  <si>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</si>
  <si>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</si>
  <si>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单列情况数 ＝ 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</si>
  <si>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Calibri"/>
        <family val="2"/>
        <charset val="1"/>
      </rPr>
      <t xml:space="preserve">2³</t>
    </r>
    <r>
      <rPr>
        <sz val="11"/>
        <color theme="1"/>
        <rFont val="Noto Sans SC"/>
        <family val="2"/>
        <charset val="134"/>
      </rPr>
      <t xml:space="preserve">（见【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】）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</si>
  <si>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列情况数 ＝ </t>
    </r>
    <r>
      <rPr>
        <sz val="11"/>
        <color theme="1"/>
        <rFont val="Calibri"/>
        <family val="2"/>
        <charset val="1"/>
      </rPr>
      <t xml:space="preserve">32,768</t>
    </r>
  </si>
  <si>
    <r>
      <rPr>
        <sz val="11"/>
        <color theme="1"/>
        <rFont val="Calibri"/>
        <family val="2"/>
        <charset val="1"/>
      </rPr>
      <t xml:space="preserve">8⁵</t>
    </r>
    <r>
      <rPr>
        <sz val="11"/>
        <color theme="1"/>
        <rFont val="Noto Sans SC"/>
        <family val="2"/>
        <charset val="134"/>
      </rPr>
      <t xml:space="preserve">（见【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】）</t>
    </r>
  </si>
  <si>
    <r>
      <rPr>
        <sz val="11"/>
        <color theme="1"/>
        <rFont val="Calibri"/>
        <family val="2"/>
        <charset val="1"/>
      </rPr>
      <t xml:space="preserve">BINOM </t>
    </r>
    <r>
      <rPr>
        <sz val="11"/>
        <color theme="1"/>
        <rFont val="Noto Sans SC"/>
        <family val="2"/>
        <charset val="134"/>
      </rPr>
      <t xml:space="preserve">各个数几率合计 ＝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</si>
  <si>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</si>
  <si>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Noto Sans SC"/>
        <family val="2"/>
        <charset val="134"/>
      </rPr>
      <t xml:space="preserve">触发几率 ＝ </t>
    </r>
    <r>
      <rPr>
        <sz val="11"/>
        <color theme="1"/>
        <rFont val="Calibri"/>
        <family val="2"/>
        <charset val="1"/>
      </rPr>
      <t xml:space="preserve">1 − P(k≤2)</t>
    </r>
  </si>
  <si>
    <r>
      <rPr>
        <sz val="11"/>
        <color theme="1"/>
        <rFont val="Noto Sans SC"/>
        <family val="2"/>
        <charset val="134"/>
      </rPr>
      <t xml:space="preserve">单元格数 ＝ </t>
    </r>
    <r>
      <rPr>
        <sz val="11"/>
        <color theme="1"/>
        <rFont val="Calibri"/>
        <family val="2"/>
        <charset val="1"/>
      </rPr>
      <t xml:space="preserve">5 × 3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15</t>
    </r>
  </si>
  <si>
    <t xml:space="preserve">参数格</t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</si>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</sst>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00%"/>
    <numFmt numFmtId="168" formatCode="0.0000"/>
    <numFmt numFmtId="169" formatCode="0.0000000000%"/>
  </numFmts>
  <fonts count="16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  <c r="G7" s="3"/>
      <c r="H7" s="3"/>
      <c r="I7" s="3"/>
    </row>
    <row r="8" customFormat="false" ht="15.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29" hidden="false" customHeight="false" outlineLevel="0" collapsed="false">
      <c r="A11" s="29" t="s">
        <v>8</v>
      </c>
    </row>
    <row r="12" customFormat="false" ht="29" hidden="false" customHeight="false" outlineLevel="0" collapsed="false">
      <c r="A12" s="29" t="s">
        <v>9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5" t="s">
        <v>10</v>
      </c>
    </row>
    <row r="15" customFormat="false" ht="15" hidden="false" customHeight="1" outlineLevel="0" collapsed="false">
      <c r="A15" s="30" t="s">
        <v>11</v>
      </c>
      <c r="B15" s="7"/>
      <c r="C15" s="7"/>
    </row>
    <row r="16" customFormat="false" ht="42" hidden="false" customHeight="false" outlineLevel="0" collapsed="false">
      <c r="A16" s="29" t="s">
        <v>12</v>
      </c>
    </row>
    <row r="17" customFormat="false" ht="15" hidden="false" customHeight="1" outlineLevel="0" collapsed="false">
      <c r="A17" s="30" t="s">
        <v>13</v>
      </c>
      <c r="B17" s="7"/>
      <c r="C17" s="7"/>
    </row>
    <row r="18" customFormat="false" ht="15" hidden="false" customHeight="false" outlineLevel="0" collapsed="false">
      <c r="A18" s="6"/>
    </row>
    <row r="19" customFormat="false" ht="15" hidden="false" customHeight="false" outlineLevel="0" collapsed="false">
      <c r="A19" s="5" t="s">
        <v>14</v>
      </c>
    </row>
    <row r="20" customFormat="false" ht="29" hidden="false" customHeight="false" outlineLevel="0" collapsed="false">
      <c r="A20" s="29" t="s">
        <v>15</v>
      </c>
    </row>
    <row r="21" customFormat="false" ht="30" hidden="false" customHeight="false" outlineLevel="0" collapsed="false">
      <c r="A21" s="31" t="s">
        <v>16</v>
      </c>
    </row>
    <row r="22" customFormat="false" ht="29" hidden="false" customHeight="false" outlineLevel="0" collapsed="false">
      <c r="A22" s="31" t="s">
        <v>17</v>
      </c>
    </row>
    <row r="23" customFormat="false" ht="42" hidden="false" customHeight="false" outlineLevel="0" collapsed="false">
      <c r="A23" s="29" t="s">
        <v>18</v>
      </c>
    </row>
    <row r="24" customFormat="false" ht="28" hidden="false" customHeight="false" outlineLevel="0" collapsed="false">
      <c r="A24" s="31" t="s">
        <v>19</v>
      </c>
    </row>
    <row r="25" customFormat="false" ht="30" hidden="false" customHeight="false" outlineLevel="0" collapsed="false">
      <c r="A25" s="29" t="s">
        <v>20</v>
      </c>
    </row>
    <row r="26" customFormat="false" ht="30" hidden="false" customHeight="false" outlineLevel="0" collapsed="false">
      <c r="A26" s="31" t="s">
        <v>21</v>
      </c>
    </row>
    <row r="27" customFormat="false" ht="30" hidden="false" customHeight="false" outlineLevel="0" collapsed="false">
      <c r="A27" s="29" t="s">
        <v>22</v>
      </c>
    </row>
    <row r="28" customFormat="false" ht="29" hidden="false" customHeight="false" outlineLevel="0" collapsed="false">
      <c r="A28" s="29" t="s">
        <v>23</v>
      </c>
    </row>
    <row r="29" customFormat="false" ht="43" hidden="false" customHeight="false" outlineLevel="0" collapsed="false">
      <c r="A29" s="31" t="s">
        <v>24</v>
      </c>
    </row>
    <row r="30" customFormat="false" ht="30" hidden="false" customHeight="false" outlineLevel="0" collapsed="false">
      <c r="A30" s="29" t="s">
        <v>25</v>
      </c>
    </row>
    <row r="32" customFormat="false" ht="15" hidden="false" customHeight="false" outlineLevel="0" collapsed="false">
      <c r="A32" s="5" t="s">
        <v>26</v>
      </c>
    </row>
    <row r="33" customFormat="false" ht="15" hidden="false" customHeight="false" outlineLevel="0" collapsed="false">
      <c r="A33" s="8"/>
    </row>
    <row r="34" customFormat="false" ht="29" hidden="false" customHeight="false" outlineLevel="0" collapsed="false">
      <c r="A34" s="31" t="s">
        <v>27</v>
      </c>
    </row>
    <row r="35" customFormat="false" ht="16" hidden="false" customHeight="false" outlineLevel="0" collapsed="false">
      <c r="A35" s="8" t="s">
        <v>28</v>
      </c>
    </row>
    <row r="36" customFormat="false" ht="29" hidden="false" customHeight="false" outlineLevel="0" collapsed="false">
      <c r="A36" s="31" t="s">
        <v>29</v>
      </c>
    </row>
    <row r="37" customFormat="false" ht="29" hidden="false" customHeight="false" outlineLevel="0" collapsed="false">
      <c r="A37" s="31" t="s">
        <v>30</v>
      </c>
    </row>
    <row r="38" customFormat="false" ht="30" hidden="false" customHeight="false" outlineLevel="0" collapsed="false">
      <c r="A38" s="31" t="s">
        <v>31</v>
      </c>
    </row>
    <row r="39" customFormat="false" ht="29" hidden="false" customHeight="false" outlineLevel="0" collapsed="false">
      <c r="A39" s="31" t="s">
        <v>32</v>
      </c>
    </row>
    <row r="40" customFormat="false" ht="16" hidden="false" customHeight="false" outlineLevel="0" collapsed="false">
      <c r="A40" s="8" t="s">
        <v>33</v>
      </c>
    </row>
    <row r="41" customFormat="false" ht="16" hidden="false" customHeight="false" outlineLevel="0" collapsed="false">
      <c r="A41" s="8" t="s">
        <v>34</v>
      </c>
    </row>
    <row r="42" customFormat="false" ht="28" hidden="false" customHeight="false" outlineLevel="0" collapsed="false">
      <c r="A42" s="31" t="s">
        <v>35</v>
      </c>
    </row>
    <row r="43" customFormat="false" ht="16" hidden="false" customHeight="false" outlineLevel="0" collapsed="false">
      <c r="A43" s="31" t="s">
        <v>36</v>
      </c>
    </row>
    <row r="44" customFormat="false" ht="28" hidden="false" customHeight="false" outlineLevel="0" collapsed="false">
      <c r="A44" s="31" t="s">
        <v>37</v>
      </c>
    </row>
    <row r="45" customFormat="false" ht="15" hidden="false" customHeight="false" outlineLevel="0" collapsed="false">
      <c r="A45" s="8" t="s">
        <v>38</v>
      </c>
    </row>
    <row r="46" customFormat="false" ht="30" hidden="false" customHeight="false" outlineLevel="0" collapsed="false">
      <c r="A46" s="31" t="s">
        <v>39</v>
      </c>
    </row>
    <row r="47" customFormat="false" ht="15" hidden="false" customHeight="false" outlineLevel="0" collapsed="false">
      <c r="A47" s="8" t="s">
        <v>40</v>
      </c>
    </row>
    <row r="48" customFormat="false" ht="16" hidden="false" customHeight="false" outlineLevel="0" collapsed="false">
      <c r="A48" s="6" t="s">
        <v>41</v>
      </c>
    </row>
    <row r="49" customFormat="false" ht="30" hidden="false" customHeight="false" outlineLevel="0" collapsed="false">
      <c r="A49" s="31" t="s">
        <v>42</v>
      </c>
    </row>
    <row r="50" customFormat="false" ht="30" hidden="false" customHeight="false" outlineLevel="0" collapsed="false">
      <c r="A50" s="31" t="s">
        <v>43</v>
      </c>
    </row>
    <row r="51" customFormat="false" ht="15" hidden="false" customHeight="false" outlineLevel="0" collapsed="false">
      <c r="A51" s="8" t="s">
        <v>44</v>
      </c>
    </row>
    <row r="52" customFormat="false" ht="15" hidden="false" customHeight="false" outlineLevel="0" collapsed="false">
      <c r="A52" s="8" t="s">
        <v>45</v>
      </c>
    </row>
    <row r="53" customFormat="false" ht="28" hidden="false" customHeight="false" outlineLevel="0" collapsed="false">
      <c r="A53" s="31" t="s">
        <v>46</v>
      </c>
    </row>
    <row r="54" customFormat="false" ht="15" hidden="false" customHeight="false" outlineLevel="0" collapsed="false">
      <c r="A54" s="8"/>
    </row>
    <row r="55" customFormat="false" ht="16" hidden="false" customHeight="false" outlineLevel="0" collapsed="false">
      <c r="A55" s="8" t="s">
        <v>47</v>
      </c>
    </row>
    <row r="56" customFormat="false" ht="15" hidden="false" customHeight="false" outlineLevel="0" collapsed="false">
      <c r="A56" s="8"/>
    </row>
    <row r="57" customFormat="false" ht="28" hidden="false" customHeight="false" outlineLevel="0" collapsed="false">
      <c r="A57" s="31" t="s">
        <v>48</v>
      </c>
    </row>
    <row r="58" customFormat="false" ht="15" hidden="false" customHeight="false" outlineLevel="0" collapsed="false">
      <c r="A58" s="8"/>
    </row>
    <row r="59" customFormat="false" ht="16" hidden="false" customHeight="false" outlineLevel="0" collapsed="false">
      <c r="A59" s="8" t="s">
        <v>49</v>
      </c>
    </row>
    <row r="60" customFormat="false" ht="15" hidden="false" customHeight="false" outlineLevel="0" collapsed="false">
      <c r="A60" s="8"/>
    </row>
    <row r="61" customFormat="false" ht="16" hidden="false" customHeight="false" outlineLevel="0" collapsed="false">
      <c r="A61" s="8" t="s">
        <v>50</v>
      </c>
    </row>
    <row r="62" customFormat="false" ht="15" hidden="false" customHeight="false" outlineLevel="0" collapsed="false">
      <c r="A62" s="8"/>
    </row>
    <row r="63" customFormat="false" ht="16" hidden="false" customHeight="false" outlineLevel="0" collapsed="false">
      <c r="A63" s="8" t="s">
        <v>51</v>
      </c>
    </row>
    <row r="64" customFormat="false" ht="15" hidden="false" customHeight="false" outlineLevel="0" collapsed="false">
      <c r="A64" s="8"/>
    </row>
    <row r="65" customFormat="false" ht="30" hidden="false" customHeight="false" outlineLevel="0" collapsed="false">
      <c r="A65" s="31" t="s">
        <v>52</v>
      </c>
    </row>
    <row r="66" customFormat="false" ht="29" hidden="false" customHeight="false" outlineLevel="0" collapsed="false">
      <c r="A66" s="31" t="s">
        <v>53</v>
      </c>
    </row>
    <row r="67" customFormat="false" ht="29" hidden="false" customHeight="false" outlineLevel="0" collapsed="false">
      <c r="A67" s="31" t="s">
        <v>54</v>
      </c>
    </row>
    <row r="68" customFormat="false" ht="30" hidden="false" customHeight="false" outlineLevel="0" collapsed="false">
      <c r="A68" s="31" t="s">
        <v>55</v>
      </c>
    </row>
    <row r="69" customFormat="false" ht="16" hidden="false" customHeight="false" outlineLevel="0" collapsed="false">
      <c r="A69" s="8" t="s">
        <v>56</v>
      </c>
    </row>
    <row r="70" customFormat="false" ht="28" hidden="false" customHeight="false" outlineLevel="0" collapsed="false">
      <c r="A70" s="31" t="s">
        <v>57</v>
      </c>
    </row>
    <row r="71" customFormat="false" ht="15" hidden="false" customHeight="false" outlineLevel="0" collapsed="false">
      <c r="A71" s="8"/>
    </row>
    <row r="72" customFormat="false" ht="16" hidden="false" customHeight="false" outlineLevel="0" collapsed="false">
      <c r="A72" s="8" t="s">
        <v>58</v>
      </c>
    </row>
    <row r="73" customFormat="false" ht="15" hidden="false" customHeight="false" outlineLevel="0" collapsed="false">
      <c r="A73" s="8"/>
    </row>
    <row r="74" customFormat="false" ht="16" hidden="false" customHeight="false" outlineLevel="0" collapsed="false">
      <c r="A74" s="8" t="s">
        <v>59</v>
      </c>
    </row>
    <row r="75" customFormat="false" ht="15" hidden="false" customHeight="false" outlineLevel="0" collapsed="false">
      <c r="A75" s="8"/>
    </row>
    <row r="76" customFormat="false" ht="16" hidden="false" customHeight="false" outlineLevel="0" collapsed="false">
      <c r="A76" s="8" t="s">
        <v>60</v>
      </c>
    </row>
    <row r="77" customFormat="false" ht="15" hidden="false" customHeight="false" outlineLevel="0" collapsed="false">
      <c r="A77" s="8"/>
    </row>
    <row r="78" customFormat="false" ht="29" hidden="false" customHeight="false" outlineLevel="0" collapsed="false">
      <c r="A78" s="31" t="s">
        <v>61</v>
      </c>
    </row>
    <row r="79" customFormat="false" ht="29" hidden="false" customHeight="false" outlineLevel="0" collapsed="false">
      <c r="A79" s="31" t="s">
        <v>62</v>
      </c>
    </row>
    <row r="80" customFormat="false" ht="15" hidden="false" customHeight="false" outlineLevel="0" collapsed="false">
      <c r="A80" s="8"/>
    </row>
    <row r="81" customFormat="false" ht="16" hidden="false" customHeight="false" outlineLevel="0" collapsed="false">
      <c r="A81" s="8" t="s">
        <v>63</v>
      </c>
    </row>
    <row r="82" customFormat="false" ht="15" hidden="false" customHeight="false" outlineLevel="0" collapsed="false">
      <c r="A82" s="8"/>
    </row>
    <row r="83" customFormat="false" ht="30" hidden="false" customHeight="false" outlineLevel="0" collapsed="false">
      <c r="A83" s="31" t="s">
        <v>64</v>
      </c>
    </row>
    <row r="84" customFormat="false" ht="30" hidden="false" customHeight="false" outlineLevel="0" collapsed="false">
      <c r="A84" s="31" t="s">
        <v>65</v>
      </c>
    </row>
    <row r="85" customFormat="false" ht="15" hidden="false" customHeight="false" outlineLevel="0" collapsed="false">
      <c r="A85" s="8"/>
    </row>
    <row r="86" customFormat="false" ht="16" hidden="false" customHeight="false" outlineLevel="0" collapsed="false">
      <c r="A86" s="8" t="s">
        <v>66</v>
      </c>
    </row>
    <row r="87" customFormat="false" ht="15" hidden="false" customHeight="false" outlineLevel="0" collapsed="false">
      <c r="A87" s="8"/>
    </row>
    <row r="88" customFormat="false" ht="29" hidden="false" customHeight="false" outlineLevel="0" collapsed="false">
      <c r="A88" s="31" t="s">
        <v>67</v>
      </c>
    </row>
    <row r="89" customFormat="false" ht="29" hidden="false" customHeight="false" outlineLevel="0" collapsed="false">
      <c r="A89" s="31" t="s">
        <v>68</v>
      </c>
    </row>
    <row r="90" customFormat="false" ht="16" hidden="false" customHeight="false" outlineLevel="0" collapsed="false">
      <c r="A90" s="31" t="s">
        <v>69</v>
      </c>
    </row>
    <row r="92" customFormat="false" ht="15.5" hidden="false" customHeight="false" outlineLevel="0" collapsed="false">
      <c r="A92" s="32" t="s">
        <v>70</v>
      </c>
    </row>
    <row r="93" customFormat="false" ht="15.5" hidden="false" customHeight="false" outlineLevel="0" collapsed="false">
      <c r="A93" s="2" t="s">
        <v>71</v>
      </c>
    </row>
    <row r="94" customFormat="false" ht="15.5" hidden="false" customHeight="false" outlineLevel="0" collapsed="false">
      <c r="A94" s="2" t="s">
        <v>72</v>
      </c>
    </row>
    <row r="95" customFormat="false" ht="15.5" hidden="false" customHeight="false" outlineLevel="0" collapsed="false">
      <c r="A95" s="2" t="s">
        <v>73</v>
      </c>
    </row>
    <row r="96" customFormat="false" ht="15.5" hidden="false" customHeight="false" outlineLevel="0" collapsed="false">
      <c r="A96" s="2" t="s">
        <v>74</v>
      </c>
    </row>
    <row r="97" customFormat="false" ht="15.5" hidden="false" customHeight="false" outlineLevel="0" collapsed="false">
      <c r="A97" s="2" t="s">
        <v>75</v>
      </c>
    </row>
    <row r="98" customFormat="false" ht="15.5" hidden="false" customHeight="false" outlineLevel="0" collapsed="false">
      <c r="A98" s="2" t="s">
        <v>76</v>
      </c>
    </row>
    <row r="99" customFormat="false" ht="15.5" hidden="false" customHeight="false" outlineLevel="0" collapsed="false">
      <c r="A99" s="2" t="s">
        <v>77</v>
      </c>
    </row>
    <row r="101" customFormat="false" ht="15" hidden="false" customHeight="false" outlineLevel="0" collapsed="false">
      <c r="A101" s="5" t="s">
        <v>78</v>
      </c>
    </row>
    <row r="102" customFormat="false" ht="30" hidden="false" customHeight="false" outlineLevel="0" collapsed="false">
      <c r="A102" s="31" t="s">
        <v>79</v>
      </c>
    </row>
    <row r="103" customFormat="false" ht="28" hidden="false" customHeight="false" outlineLevel="0" collapsed="false">
      <c r="A103" s="31" t="s">
        <v>80</v>
      </c>
    </row>
    <row r="104" customFormat="false" ht="15" hidden="false" customHeight="false" outlineLevel="0" collapsed="false">
      <c r="A104" s="8"/>
    </row>
    <row r="105" customFormat="false" ht="15" hidden="false" customHeight="false" outlineLevel="0" collapsed="false">
      <c r="A105" s="5" t="s">
        <v>81</v>
      </c>
    </row>
    <row r="106" customFormat="false" ht="28" hidden="false" customHeight="false" outlineLevel="0" collapsed="false">
      <c r="A106" s="31" t="s">
        <v>82</v>
      </c>
    </row>
    <row r="107" customFormat="false" ht="29" hidden="false" customHeight="false" outlineLevel="0" collapsed="false">
      <c r="A107" s="31" t="s">
        <v>83</v>
      </c>
    </row>
    <row r="109" customFormat="false" ht="15.5" hidden="false" customHeight="false" outlineLevel="0" collapsed="false">
      <c r="A109" s="4" t="s">
        <v>84</v>
      </c>
    </row>
  </sheetData>
  <mergeCells count="5">
    <mergeCell ref="A5:L5"/>
    <mergeCell ref="A6:J6"/>
    <mergeCell ref="A7:T7"/>
    <mergeCell ref="A15:I15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N129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9" width="27.31"/>
    <col collapsed="false" customWidth="true" hidden="false" outlineLevel="0" max="7" min="2" style="9" width="14.56"/>
    <col collapsed="false" customWidth="true" hidden="false" outlineLevel="0" max="8" min="8" style="9" width="49.13"/>
  </cols>
  <sheetData>
    <row r="1" customFormat="false" ht="19" hidden="false" customHeight="false" outlineLevel="0" collapsed="false">
      <c r="A1" s="10" t="s">
        <v>85</v>
      </c>
      <c r="B1" s="10"/>
      <c r="C1" s="10"/>
      <c r="D1" s="10"/>
    </row>
    <row r="3" customFormat="false" ht="15.5" hidden="false" customHeight="false" outlineLevel="0" collapsed="false">
      <c r="A3" s="11" t="s">
        <v>86</v>
      </c>
      <c r="B3" s="11"/>
      <c r="C3" s="11"/>
      <c r="D3" s="12"/>
      <c r="E3" s="12"/>
      <c r="F3" s="12"/>
      <c r="G3" s="12"/>
      <c r="H3" s="12"/>
    </row>
    <row r="4" customFormat="false" ht="15" hidden="false" customHeight="false" outlineLevel="0" collapsed="false">
      <c r="A4" s="13" t="s">
        <v>87</v>
      </c>
      <c r="B4" s="13" t="s">
        <v>88</v>
      </c>
      <c r="C4" s="13" t="s">
        <v>89</v>
      </c>
      <c r="D4" s="13"/>
    </row>
    <row r="5" customFormat="false" ht="16" hidden="false" customHeight="false" outlineLevel="0" collapsed="false">
      <c r="A5" s="9" t="s">
        <v>90</v>
      </c>
      <c r="B5" s="9" t="s">
        <v>91</v>
      </c>
      <c r="C5" s="14" t="s">
        <v>92</v>
      </c>
      <c r="D5" s="14"/>
      <c r="E5" s="14"/>
      <c r="F5" s="14"/>
    </row>
    <row r="6" customFormat="false" ht="15" hidden="false" customHeight="false" outlineLevel="0" collapsed="false">
      <c r="A6" s="9" t="s">
        <v>93</v>
      </c>
      <c r="B6" s="9" t="s">
        <v>94</v>
      </c>
      <c r="C6" s="15" t="n">
        <f aca="false">2^3</f>
        <v>8</v>
      </c>
    </row>
    <row r="7" customFormat="false" ht="16" hidden="false" customHeight="false" outlineLevel="0" collapsed="false">
      <c r="A7" s="33">
        <v>5</v>
      </c>
      <c r="B7" s="9" t="s">
        <v>96</v>
      </c>
      <c r="C7" s="15" t="n">
        <f aca="false">2^(3*5)</f>
        <v>32768</v>
      </c>
    </row>
    <row r="8" customFormat="false" ht="16" hidden="false" customHeight="false" outlineLevel="0" collapsed="false">
      <c r="A8" s="9" t="s">
        <v>97</v>
      </c>
      <c r="B8" s="9" t="s">
        <v>98</v>
      </c>
      <c r="C8" s="17" t="s">
        <v>99</v>
      </c>
      <c r="D8" s="17"/>
      <c r="E8" s="17"/>
      <c r="F8" s="17"/>
    </row>
    <row r="9" customFormat="false" ht="16" hidden="false" customHeight="false" outlineLevel="0" collapsed="false">
      <c r="A9" s="9" t="s">
        <v>100</v>
      </c>
      <c r="B9" s="15" t="n">
        <f aca="false">5*3</f>
        <v>15</v>
      </c>
      <c r="C9" s="14" t="s">
        <v>101</v>
      </c>
      <c r="D9" s="14"/>
      <c r="E9" s="14"/>
    </row>
    <row r="10" customFormat="false" ht="16" hidden="false" customHeight="false" outlineLevel="0" collapsed="false">
      <c r="A10" s="9" t="s">
        <v>102</v>
      </c>
      <c r="B10" s="18" t="n">
        <v>0.05</v>
      </c>
      <c r="C10" s="14" t="s">
        <v>103</v>
      </c>
      <c r="D10" s="14"/>
      <c r="E10" s="14"/>
      <c r="F10" s="14"/>
    </row>
    <row r="11" customFormat="false" ht="16" hidden="false" customHeight="false" outlineLevel="0" collapsed="false">
      <c r="A11" s="9" t="s">
        <v>104</v>
      </c>
      <c r="B11" s="19" t="n">
        <v>3</v>
      </c>
      <c r="C11" s="14" t="s">
        <v>105</v>
      </c>
      <c r="D11" s="14"/>
    </row>
    <row r="13" customFormat="false" ht="15.5" hidden="false" customHeight="false" outlineLevel="0" collapsed="false">
      <c r="A13" s="11" t="s">
        <v>106</v>
      </c>
      <c r="B13" s="11"/>
      <c r="C13" s="11"/>
      <c r="D13" s="11"/>
      <c r="E13" s="12"/>
      <c r="F13" s="12"/>
      <c r="G13" s="12"/>
      <c r="H13" s="12"/>
    </row>
    <row r="14" customFormat="false" ht="15.5" hidden="false" customHeight="false" outlineLevel="0" collapsed="false">
      <c r="A14" s="20" t="s">
        <v>107</v>
      </c>
      <c r="B14" s="13" t="s">
        <v>108</v>
      </c>
      <c r="C14" s="13" t="s">
        <v>109</v>
      </c>
      <c r="D14" s="21" t="s">
        <v>110</v>
      </c>
      <c r="E14" s="21"/>
    </row>
    <row r="15" customFormat="false" ht="15" hidden="false" customHeight="false" outlineLevel="0" collapsed="false">
      <c r="A15" s="9" t="n">
        <v>0</v>
      </c>
      <c r="B15" s="35" t="n">
        <f aca="false">BINOMDIST(A15,$B$9,$B$10,FALSE())</f>
        <v>0.463291230159753</v>
      </c>
      <c r="C15" s="23" t="str">
        <f aca="false">IF(A15&gt;=$B$11,"是","—")</f>
        <v>—</v>
      </c>
      <c r="D15" s="19" t="n">
        <v>0</v>
      </c>
    </row>
    <row r="16" customFormat="false" ht="15" hidden="false" customHeight="false" outlineLevel="0" collapsed="false">
      <c r="A16" s="9" t="n">
        <v>1</v>
      </c>
      <c r="B16" s="35" t="n">
        <f aca="false">BINOMDIST(A16,$B$9,$B$10,FALSE())</f>
        <v>0.365756234336647</v>
      </c>
      <c r="C16" s="23" t="str">
        <f aca="false">IF(A16&gt;=$B$11,"是","—")</f>
        <v>—</v>
      </c>
      <c r="D16" s="19" t="n">
        <v>0</v>
      </c>
    </row>
    <row r="17" customFormat="false" ht="15" hidden="false" customHeight="false" outlineLevel="0" collapsed="false">
      <c r="A17" s="9" t="n">
        <v>2</v>
      </c>
      <c r="B17" s="35" t="n">
        <f aca="false">BINOMDIST(A17,$B$9,$B$10,FALSE())</f>
        <v>0.13475229686087</v>
      </c>
      <c r="C17" s="23" t="str">
        <f aca="false">IF(A17&gt;=$B$11,"是","—")</f>
        <v>—</v>
      </c>
      <c r="D17" s="19" t="n">
        <v>0</v>
      </c>
    </row>
    <row r="18" customFormat="false" ht="15" hidden="false" customHeight="false" outlineLevel="0" collapsed="false">
      <c r="A18" s="9" t="n">
        <v>3</v>
      </c>
      <c r="B18" s="35" t="n">
        <f aca="false">BINOMDIST(A18,$B$9,$B$10,FALSE())</f>
        <v>0.0307329799858125</v>
      </c>
      <c r="C18" s="23" t="str">
        <f aca="false">IF(A18&gt;=$B$11,"是","—")</f>
        <v>是</v>
      </c>
      <c r="D18" s="19" t="n">
        <v>10</v>
      </c>
    </row>
    <row r="19" customFormat="false" ht="15" hidden="false" customHeight="false" outlineLevel="0" collapsed="false">
      <c r="A19" s="9" t="n">
        <v>4</v>
      </c>
      <c r="B19" s="35" t="n">
        <f aca="false">BINOMDIST(A19,$B$9,$B$10,FALSE())</f>
        <v>0.00485257578723355</v>
      </c>
      <c r="C19" s="23" t="str">
        <f aca="false">IF(A19&gt;=$B$11,"是","—")</f>
        <v>是</v>
      </c>
      <c r="D19" s="19" t="n">
        <v>15</v>
      </c>
    </row>
    <row r="20" customFormat="false" ht="15" hidden="false" customHeight="false" outlineLevel="0" collapsed="false">
      <c r="A20" s="9" t="n">
        <v>5</v>
      </c>
      <c r="B20" s="35" t="n">
        <f aca="false">BINOMDIST(A20,$B$9,$B$10,FALSE())</f>
        <v>0.000561877196416516</v>
      </c>
      <c r="C20" s="23" t="str">
        <f aca="false">IF(A20&gt;=$B$11,"是","—")</f>
        <v>是</v>
      </c>
      <c r="D20" s="19" t="n">
        <v>20</v>
      </c>
    </row>
    <row r="21" customFormat="false" ht="15" hidden="false" customHeight="false" outlineLevel="0" collapsed="false">
      <c r="A21" s="9" t="n">
        <v>6</v>
      </c>
      <c r="B21" s="35" t="n">
        <f aca="false">BINOMDIST(A21,$B$9,$B$10,FALSE())</f>
        <v>4.92874733698699E-005</v>
      </c>
      <c r="C21" s="23" t="str">
        <f aca="false">IF(A21&gt;=$B$11,"是","—")</f>
        <v>是</v>
      </c>
      <c r="D21" s="19" t="n">
        <v>20</v>
      </c>
    </row>
    <row r="22" customFormat="false" ht="15" hidden="false" customHeight="false" outlineLevel="0" collapsed="false">
      <c r="A22" s="9" t="n">
        <v>7</v>
      </c>
      <c r="B22" s="35" t="n">
        <f aca="false">BINOMDIST(A22,$B$9,$B$10,FALSE())</f>
        <v>3.33524255886337E-006</v>
      </c>
      <c r="C22" s="23" t="str">
        <f aca="false">IF(A22&gt;=$B$11,"是","—")</f>
        <v>是</v>
      </c>
      <c r="D22" s="19" t="n">
        <v>20</v>
      </c>
    </row>
    <row r="23" customFormat="false" ht="15" hidden="false" customHeight="false" outlineLevel="0" collapsed="false">
      <c r="A23" s="9" t="n">
        <v>8</v>
      </c>
      <c r="B23" s="35" t="n">
        <f aca="false">BINOMDIST(A23,$B$9,$B$10,FALSE())</f>
        <v>1.75539082045441E-007</v>
      </c>
      <c r="C23" s="23" t="str">
        <f aca="false">IF(A23&gt;=$B$11,"是","—")</f>
        <v>是</v>
      </c>
      <c r="D23" s="19" t="n">
        <v>20</v>
      </c>
    </row>
    <row r="24" customFormat="false" ht="15" hidden="false" customHeight="false" outlineLevel="0" collapsed="false">
      <c r="A24" s="9" t="n">
        <v>9</v>
      </c>
      <c r="B24" s="35" t="n">
        <f aca="false">BINOMDIST(A24,$B$9,$B$10,FALSE())</f>
        <v>7.18581037612916E-009</v>
      </c>
      <c r="C24" s="23" t="str">
        <f aca="false">IF(A24&gt;=$B$11,"是","—")</f>
        <v>是</v>
      </c>
      <c r="D24" s="19" t="n">
        <v>20</v>
      </c>
    </row>
    <row r="25" customFormat="false" ht="15" hidden="false" customHeight="false" outlineLevel="0" collapsed="false">
      <c r="A25" s="9" t="n">
        <v>10</v>
      </c>
      <c r="B25" s="35" t="n">
        <f aca="false">BINOMDIST(A25,$B$9,$B$10,FALSE())</f>
        <v>2.26920327667236E-010</v>
      </c>
      <c r="C25" s="23" t="str">
        <f aca="false">IF(A25&gt;=$B$11,"是","—")</f>
        <v>是</v>
      </c>
      <c r="D25" s="19" t="n">
        <v>20</v>
      </c>
    </row>
    <row r="26" customFormat="false" ht="15" hidden="false" customHeight="false" outlineLevel="0" collapsed="false">
      <c r="A26" s="9" t="n">
        <v>11</v>
      </c>
      <c r="B26" s="35" t="n">
        <f aca="false">BINOMDIST(A26,$B$9,$B$10,FALSE())</f>
        <v>5.4287159729004E-012</v>
      </c>
      <c r="C26" s="23" t="str">
        <f aca="false">IF(A26&gt;=$B$11,"是","—")</f>
        <v>是</v>
      </c>
      <c r="D26" s="19" t="n">
        <v>20</v>
      </c>
    </row>
    <row r="27" customFormat="false" ht="15" hidden="false" customHeight="false" outlineLevel="0" collapsed="false">
      <c r="A27" s="9" t="n">
        <v>12</v>
      </c>
      <c r="B27" s="35" t="n">
        <f aca="false">BINOMDIST(A27,$B$9,$B$10,FALSE())</f>
        <v>9.52406311035157E-014</v>
      </c>
      <c r="C27" s="23" t="str">
        <f aca="false">IF(A27&gt;=$B$11,"是","—")</f>
        <v>是</v>
      </c>
      <c r="D27" s="19" t="n">
        <v>20</v>
      </c>
    </row>
    <row r="28" customFormat="false" ht="15" hidden="false" customHeight="false" outlineLevel="0" collapsed="false">
      <c r="A28" s="9" t="n">
        <v>13</v>
      </c>
      <c r="B28" s="35" t="n">
        <f aca="false">BINOMDIST(A28,$B$9,$B$10,FALSE())</f>
        <v>1.15676879882813E-015</v>
      </c>
      <c r="C28" s="23" t="str">
        <f aca="false">IF(A28&gt;=$B$11,"是","—")</f>
        <v>是</v>
      </c>
      <c r="D28" s="19" t="n">
        <v>20</v>
      </c>
    </row>
    <row r="29" customFormat="false" ht="15" hidden="false" customHeight="false" outlineLevel="0" collapsed="false">
      <c r="A29" s="9" t="n">
        <v>14</v>
      </c>
      <c r="B29" s="35" t="n">
        <f aca="false">BINOMDIST(A29,$B$9,$B$10,FALSE())</f>
        <v>8.69750976562501E-018</v>
      </c>
      <c r="C29" s="23" t="str">
        <f aca="false">IF(A29&gt;=$B$11,"是","—")</f>
        <v>是</v>
      </c>
      <c r="D29" s="19" t="n">
        <v>20</v>
      </c>
    </row>
    <row r="30" customFormat="false" ht="15" hidden="false" customHeight="false" outlineLevel="0" collapsed="false">
      <c r="A30" s="9" t="n">
        <v>15</v>
      </c>
      <c r="B30" s="35" t="n">
        <f aca="false">BINOMDIST(A30,$B$9,$B$10,FALSE())</f>
        <v>3.0517578125E-020</v>
      </c>
      <c r="C30" s="23" t="str">
        <f aca="false">IF(A30&gt;=$B$11,"是","—")</f>
        <v>是</v>
      </c>
      <c r="D30" s="19" t="n">
        <v>20</v>
      </c>
    </row>
    <row r="31" customFormat="false" ht="16" hidden="false" customHeight="false" outlineLevel="0" collapsed="false">
      <c r="A31" s="24" t="s">
        <v>111</v>
      </c>
      <c r="B31" s="35" t="n">
        <f aca="false">SUM(B15:B30)</f>
        <v>0.999999999999999</v>
      </c>
      <c r="D31" s="9" t="s">
        <v>112</v>
      </c>
    </row>
    <row r="32" customFormat="false" ht="16" hidden="false" customHeight="false" outlineLevel="0" collapsed="false">
      <c r="A32" s="24" t="s">
        <v>113</v>
      </c>
      <c r="B32" s="35" t="n">
        <f aca="false">1-BINOMDIST($B$11-1,$B$9,$B$10,TRUE())</f>
        <v>0.0362002386427298</v>
      </c>
      <c r="C32" s="14" t="s">
        <v>114</v>
      </c>
      <c r="D32" s="14"/>
      <c r="E32" s="14"/>
      <c r="F32" s="14"/>
      <c r="G32" s="14"/>
    </row>
    <row r="33" customFormat="false" ht="16" hidden="false" customHeight="false" outlineLevel="0" collapsed="false">
      <c r="A33" s="24" t="s">
        <v>115</v>
      </c>
      <c r="B33" s="25" t="n">
        <f aca="false">SUMPRODUCT(B15:B30,D15:D30)</f>
        <v>0.39241209406029</v>
      </c>
      <c r="C33" s="14" t="s">
        <v>116</v>
      </c>
      <c r="D33" s="14"/>
      <c r="E33" s="14"/>
    </row>
    <row r="35" customFormat="false" ht="15.5" hidden="false" customHeight="false" outlineLevel="0" collapsed="false">
      <c r="A35" s="11" t="s">
        <v>117</v>
      </c>
      <c r="B35" s="11"/>
      <c r="C35" s="11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13" t="s">
        <v>118</v>
      </c>
      <c r="B36" s="13" t="s">
        <v>119</v>
      </c>
      <c r="C36" s="13" t="s">
        <v>81</v>
      </c>
      <c r="D36" s="13"/>
      <c r="E36" s="13"/>
      <c r="F36" s="13"/>
      <c r="G36" s="13"/>
      <c r="H36" s="13"/>
    </row>
    <row r="37" customFormat="false" ht="16" hidden="false" customHeight="false" outlineLevel="0" collapsed="false">
      <c r="A37" s="9" t="s">
        <v>115</v>
      </c>
      <c r="B37" s="25" t="n">
        <f aca="false">B33</f>
        <v>0.39241209406029</v>
      </c>
      <c r="C37" s="9" t="s">
        <v>120</v>
      </c>
    </row>
    <row r="38" customFormat="false" ht="16" hidden="false" customHeight="false" outlineLevel="0" collapsed="false">
      <c r="A38" s="9" t="s">
        <v>121</v>
      </c>
      <c r="B38" s="26" t="n">
        <v>0.62</v>
      </c>
      <c r="C38" s="14" t="s">
        <v>122</v>
      </c>
      <c r="D38" s="14"/>
      <c r="E38" s="14"/>
      <c r="F38" s="14"/>
    </row>
    <row r="39" customFormat="false" ht="16" hidden="false" customHeight="false" outlineLevel="0" collapsed="false">
      <c r="A39" s="9" t="s">
        <v>123</v>
      </c>
      <c r="B39" s="26" t="n">
        <v>0.06</v>
      </c>
      <c r="C39" s="14" t="s">
        <v>124</v>
      </c>
      <c r="D39" s="14"/>
      <c r="E39" s="14"/>
    </row>
    <row r="40" customFormat="false" ht="15" hidden="false" customHeight="false" outlineLevel="0" collapsed="false">
      <c r="A40" s="24" t="s">
        <v>125</v>
      </c>
      <c r="B40" s="27" t="n">
        <f aca="false">B37/(1-B39)</f>
        <v>0.417459674532224</v>
      </c>
      <c r="C40" s="14" t="s">
        <v>126</v>
      </c>
      <c r="D40" s="14"/>
    </row>
    <row r="41" customFormat="false" ht="16" hidden="false" customHeight="false" outlineLevel="0" collapsed="false">
      <c r="A41" s="24" t="s">
        <v>127</v>
      </c>
      <c r="B41" s="27" t="n">
        <f aca="false">B37*B38*B40</f>
        <v>0.101566059542729</v>
      </c>
      <c r="C41" s="14" t="s">
        <v>128</v>
      </c>
      <c r="D41" s="14"/>
      <c r="E41" s="14"/>
      <c r="F41" s="14"/>
      <c r="G41" s="14"/>
    </row>
    <row r="42" customFormat="false" ht="16" hidden="false" customHeight="false" outlineLevel="0" collapsed="false">
      <c r="A42" s="9" t="s">
        <v>129</v>
      </c>
      <c r="B42" s="26" t="n">
        <v>0.62</v>
      </c>
      <c r="C42" s="14" t="s">
        <v>130</v>
      </c>
      <c r="D42" s="14"/>
      <c r="E42" s="14"/>
      <c r="F42" s="14"/>
      <c r="G42" s="14"/>
    </row>
    <row r="43" customFormat="false" ht="16" hidden="false" customHeight="false" outlineLevel="0" collapsed="false">
      <c r="A43" s="24" t="s">
        <v>131</v>
      </c>
      <c r="B43" s="27" t="n">
        <f aca="false">B42+B41</f>
        <v>0.721566059542729</v>
      </c>
      <c r="C43" s="14" t="s">
        <v>132</v>
      </c>
      <c r="D43" s="14"/>
      <c r="E43" s="14"/>
    </row>
    <row r="45" customFormat="false" ht="15.5" hidden="false" customHeight="false" outlineLevel="0" collapsed="false">
      <c r="A45" s="11" t="s">
        <v>133</v>
      </c>
      <c r="B45" s="11"/>
      <c r="C45" s="11"/>
      <c r="D45" s="12"/>
      <c r="E45" s="12"/>
      <c r="F45" s="12"/>
      <c r="G45" s="12"/>
      <c r="H45" s="12"/>
    </row>
    <row r="46" customFormat="false" ht="15" hidden="false" customHeight="false" outlineLevel="0" collapsed="false">
      <c r="A46" s="13" t="s">
        <v>134</v>
      </c>
      <c r="B46" s="13" t="s">
        <v>135</v>
      </c>
      <c r="C46" s="13" t="s">
        <v>81</v>
      </c>
      <c r="D46" s="13"/>
      <c r="E46" s="13"/>
      <c r="F46" s="13"/>
      <c r="G46" s="13"/>
      <c r="H46" s="13"/>
    </row>
    <row r="47" customFormat="false" ht="16" hidden="false" customHeight="false" outlineLevel="0" collapsed="false">
      <c r="A47" s="9" t="s">
        <v>136</v>
      </c>
      <c r="B47" s="23" t="str">
        <f aca="false">IF(2^3=8,"✓","✗")</f>
        <v>✓</v>
      </c>
      <c r="C47" s="16" t="s">
        <v>137</v>
      </c>
    </row>
    <row r="48" customFormat="false" ht="16" hidden="false" customHeight="false" outlineLevel="0" collapsed="false">
      <c r="A48" s="33">
        <v>5</v>
      </c>
      <c r="B48" s="23" t="str">
        <f aca="false">IF(2^(3*5)=32768,"✓","✗")</f>
        <v>✓</v>
      </c>
      <c r="C48" s="16" t="s">
        <v>139</v>
      </c>
    </row>
    <row r="49" customFormat="false" ht="16" hidden="false" customHeight="false" outlineLevel="0" collapsed="false">
      <c r="A49" s="16" t="s">
        <v>140</v>
      </c>
      <c r="B49" s="23" t="str">
        <f aca="false">IF(ABS(B31-1)&lt;0.0001,"✓","✗")</f>
        <v>✓</v>
      </c>
      <c r="C49" s="9" t="s">
        <v>141</v>
      </c>
    </row>
    <row r="50" customFormat="false" ht="16" hidden="false" customHeight="false" outlineLevel="0" collapsed="false">
      <c r="A50" s="9" t="s">
        <v>142</v>
      </c>
      <c r="B50" s="23" t="str">
        <f aca="false">IF(ABS(B32-(1-BINOMDIST($B$11-1,$B$9,$B$10,TRUE())))&lt;0.000001,"✓","✗")</f>
        <v>✓</v>
      </c>
      <c r="C50" s="9" t="s">
        <v>141</v>
      </c>
    </row>
    <row r="51" customFormat="false" ht="16" hidden="false" customHeight="false" outlineLevel="0" collapsed="false">
      <c r="A51" s="9" t="s">
        <v>143</v>
      </c>
      <c r="B51" s="23" t="str">
        <f aca="false">IF(B9=15,"✓","✗")</f>
        <v>✓</v>
      </c>
      <c r="C51" s="9" t="s">
        <v>144</v>
      </c>
    </row>
    <row r="53" customFormat="false" ht="28" hidden="false" customHeight="true" outlineLevel="0" collapsed="false">
      <c r="A53" s="28" t="s">
        <v>145</v>
      </c>
      <c r="B53" s="28"/>
      <c r="C53" s="28"/>
      <c r="D53" s="28"/>
    </row>
  </sheetData>
  <mergeCells count="20">
    <mergeCell ref="A1:D1"/>
    <mergeCell ref="A3:C3"/>
    <mergeCell ref="C5:F5"/>
    <mergeCell ref="C8:F8"/>
    <mergeCell ref="C9:E9"/>
    <mergeCell ref="C10:F10"/>
    <mergeCell ref="C11:D11"/>
    <mergeCell ref="A13:D13"/>
    <mergeCell ref="D14:E14"/>
    <mergeCell ref="C32:G32"/>
    <mergeCell ref="C33:E33"/>
    <mergeCell ref="A35:C35"/>
    <mergeCell ref="C38:F38"/>
    <mergeCell ref="C39:E39"/>
    <mergeCell ref="C40:D40"/>
    <mergeCell ref="C41:G41"/>
    <mergeCell ref="C42:G42"/>
    <mergeCell ref="C43:E43"/>
    <mergeCell ref="A45:C45"/>
    <mergeCell ref="A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M73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2026-09-29T15:06:26Z</dcterms:created>
  <dc:creator>openpyxl</dc:creator>
  <dc:description/>
  <dc:language>zh-CN</dc:language>
  <cp:lastModifiedBy/>
  <dcterms:modified xsi:type="dcterms:W3CDTF">2026-09-29T15:06:26Z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