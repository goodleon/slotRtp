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<sst xmlns="http://schemas.openxmlformats.org/spreadsheetml/2006/main" count="348" uniqueCount="250">
  <si>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24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Sticky Wild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</si>
  <si>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Sticky Wild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https://zhuanlan.zhihu.com/p/628678396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</si>
  <si>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</si>
  <si>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</si>
  <si>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</si>
  <si>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配表说明：本例把原文 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SC"/>
        <family val="2"/>
        <charset val="134"/>
      </rPr>
      <t xml:space="preserve">个步骤全部做成公式链——卷轴（原文①⑤）→ 事件数（②）→ 标准图标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（③）</t>
    </r>
  </si>
  <si>
    <r>
      <rPr>
        <sz val="11"/>
        <color rgb="FF808080"/>
        <rFont val="Noto Sans SC"/>
        <family val="2"/>
        <charset val="134"/>
      </rPr>
      <t xml:space="preserve">→ 触发几率（④）→ 粘性几率（⑥）→ 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SC"/>
        <family val="2"/>
        <charset val="134"/>
      </rPr>
      <t xml:space="preserve">种分布（⑦）→ 各分布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（⑨）→ 逐局概率与期望（⑧⑩）→ 汇总（⑪）。</t>
    </r>
  </si>
  <si>
    <r>
      <rPr>
        <sz val="11"/>
        <color rgb="FF808080"/>
        <rFont val="Noto Sans SC"/>
        <family val="2"/>
        <charset val="134"/>
      </rPr>
      <t xml:space="preserve">普通摇（原文③）、各分布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（⑨）、各局概率（⑧）、最终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（⑪）均可与原文配图逐格核对。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</si>
  <si>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</si>
  <si>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</si>
  <si>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</si>
  <si>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</si>
  <si>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images/slots/628678396-NN.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</si>
  <si>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</si>
  <si>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</si>
  <si>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</si>
  <si>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案例：</t>
    </r>
    <r>
      <rPr>
        <sz val="11"/>
        <color theme="1"/>
        <rFont val="Calibri"/>
        <family val="2"/>
        <charset val="1"/>
      </rPr>
      <t xml:space="preserve">1*3 Line Slots</t>
    </r>
    <r>
      <rPr>
        <sz val="11"/>
        <color theme="1"/>
        <rFont val="Noto Sans SC"/>
        <family val="2"/>
        <charset val="134"/>
      </rPr>
      <t xml:space="preserve">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个标准图标（</t>
    </r>
    <r>
      <rPr>
        <sz val="11"/>
        <color theme="1"/>
        <rFont val="Calibri"/>
        <family val="2"/>
        <charset val="1"/>
      </rPr>
      <t xml:space="preserve">9/10/J/Q/K</t>
    </r>
    <r>
      <rPr>
        <sz val="11"/>
        <color theme="1"/>
        <rFont val="Noto Sans SC"/>
        <family val="2"/>
        <charset val="134"/>
      </rPr>
      <t xml:space="preserve">）＋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；固定卷轴，</t>
    </r>
  </si>
  <si>
    <r>
      <rPr>
        <sz val="11"/>
        <color theme="1"/>
        <rFont val="Noto Sans SC"/>
        <family val="2"/>
        <charset val="134"/>
      </rPr>
      <t xml:space="preserve">  普通摇与免费摇使用不同卷轴；三列都出现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触发免费摇，免费摇固定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次、其中不会再触发免费摇。</t>
    </r>
  </si>
  <si>
    <r>
      <rPr>
        <sz val="11"/>
        <color theme="1"/>
        <rFont val="Calibri"/>
        <family val="2"/>
        <charset val="1"/>
      </rPr>
      <t xml:space="preserve">· Sticky Wild</t>
    </r>
    <r>
      <rPr>
        <sz val="11"/>
        <color theme="1"/>
        <rFont val="Noto Sans SC"/>
        <family val="2"/>
        <charset val="134"/>
      </rPr>
      <t xml:space="preserve">：免费摇中出现的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会留在卷轴上，直到免费摇结束才消失。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</si>
  <si>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为降低复杂度，本例第一列不设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（否则还要拆分各列均为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的情况）。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</si>
  <si>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步骤：① 普通摇卷轴 → ② 图标分布（标准图标 ＋ 百搭）→ ③ 标准图标 </t>
    </r>
    <r>
      <rPr>
        <sz val="11"/>
        <color theme="1"/>
        <rFont val="Calibri"/>
        <family val="2"/>
        <charset val="1"/>
      </rPr>
      <t xml:space="preserve">RTP 0.4826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</si>
  <si>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④ 触发免费摇几率 ＝ </t>
    </r>
    <r>
      <rPr>
        <sz val="11"/>
        <color theme="1"/>
        <rFont val="Calibri"/>
        <family val="2"/>
        <charset val="1"/>
      </rPr>
      <t xml:space="preserve">9/1,728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0.52%</t>
    </r>
    <r>
      <rPr>
        <sz val="11"/>
        <color theme="1"/>
        <rFont val="Noto Sans SC"/>
        <family val="2"/>
        <charset val="134"/>
      </rPr>
      <t xml:space="preserve">；⑤ 免费摇卷轴（不含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）；</t>
    </r>
  </si>
  <si>
    <r>
      <rPr>
        <sz val="11"/>
        <color theme="1"/>
        <rFont val="Calibri"/>
        <family val="2"/>
        <charset val="1"/>
      </rPr>
      <t xml:space="preserve">  ⑥ Wild </t>
    </r>
    <r>
      <rPr>
        <sz val="11"/>
        <color theme="1"/>
        <rFont val="Noto Sans SC"/>
        <family val="2"/>
        <charset val="134"/>
      </rPr>
      <t xml:space="preserve">粘性几率 ＝ 该列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该列图标总数（列</t>
    </r>
    <r>
      <rPr>
        <sz val="11"/>
        <color theme="1"/>
        <rFont val="Calibri"/>
        <family val="2"/>
        <charset val="1"/>
      </rPr>
      <t xml:space="preserve">1 0%</t>
    </r>
    <r>
      <rPr>
        <sz val="11"/>
        <color theme="1"/>
        <rFont val="Noto Sans SC"/>
        <family val="2"/>
        <charset val="134"/>
      </rPr>
      <t xml:space="preserve">、列</t>
    </r>
    <r>
      <rPr>
        <sz val="11"/>
        <color theme="1"/>
        <rFont val="Calibri"/>
        <family val="2"/>
        <charset val="1"/>
      </rPr>
      <t xml:space="preserve">2/3 50%</t>
    </r>
    <r>
      <rPr>
        <sz val="11"/>
        <color theme="1"/>
        <rFont val="Noto Sans SC"/>
        <family val="2"/>
        <charset val="134"/>
      </rPr>
      <t xml:space="preserve">）；⑦ 列举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  <charset val="134"/>
      </rPr>
      <t xml:space="preserve">种粘性分布（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种不可能）；</t>
    </r>
  </si>
  <si>
    <r>
      <rPr>
        <sz val="11"/>
        <color theme="1"/>
        <rFont val="Noto Sans SC"/>
        <family val="2"/>
        <charset val="134"/>
      </rPr>
      <t xml:space="preserve">  ⑧ 第 </t>
    </r>
    <r>
      <rPr>
        <sz val="11"/>
        <color theme="1"/>
        <rFont val="Calibri"/>
        <family val="2"/>
        <charset val="1"/>
      </rPr>
      <t xml:space="preserve">N+1 </t>
    </r>
    <r>
      <rPr>
        <sz val="11"/>
        <color theme="1"/>
        <rFont val="Noto Sans SC"/>
        <family val="2"/>
        <charset val="134"/>
      </rPr>
      <t xml:space="preserve">局某位置已粘的几率 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SC"/>
        <family val="2"/>
        <charset val="134"/>
      </rPr>
      <t xml:space="preserve">基础不出现几率</t>
    </r>
    <r>
      <rPr>
        <sz val="11"/>
        <color theme="1"/>
        <rFont val="Calibri"/>
        <family val="2"/>
        <charset val="1"/>
      </rPr>
      <t xml:space="preserve">^N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</si>
  <si>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⑨ 各分布的标准图标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（把粘住的列整列视为百搭）；</t>
    </r>
  </si>
  <si>
    <r>
      <rPr>
        <sz val="11"/>
        <color theme="1"/>
        <rFont val="Noto Sans SC"/>
        <family val="2"/>
        <charset val="134"/>
      </rPr>
      <t xml:space="preserve">  ⑩ 用 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SC"/>
        <family val="2"/>
        <charset val="134"/>
      </rPr>
      <t xml:space="preserve">把「本局各分布概率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对应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」求和，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局累加得到免费摇发放倍数期望；</t>
    </r>
  </si>
  <si>
    <r>
      <rPr>
        <sz val="11"/>
        <color theme="1"/>
        <rFont val="Noto Sans SC"/>
        <family val="2"/>
        <charset val="134"/>
      </rPr>
      <t xml:space="preserve">  ⑪ 综合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普通摇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＋ 触发几率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免费摇期望：</t>
    </r>
    <r>
      <rPr>
        <sz val="11"/>
        <color theme="1"/>
        <rFont val="Calibri"/>
        <family val="2"/>
        <charset val="1"/>
      </rPr>
      <t xml:space="preserve">0.4826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0.4400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0.9226</t>
    </r>
    <r>
      <rPr>
        <sz val="11"/>
        <color theme="1"/>
        <rFont val="Noto Sans SC"/>
        <family val="2"/>
        <charset val="134"/>
      </rPr>
      <t xml:space="preserve">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</si>
  <si>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</si>
  <si>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上一篇介绍了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的机制特性和简单的数值计算过程</t>
    </r>
  </si>
  <si>
    <r>
      <rPr>
        <sz val="11"/>
        <color theme="1"/>
        <rFont val="Calibri"/>
        <family val="2"/>
        <charset val="1"/>
      </rPr>
      <t xml:space="preserve">ASlot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Sticky Wild</t>
    </r>
  </si>
  <si>
    <r>
      <rPr>
        <sz val="11"/>
        <color theme="1"/>
        <rFont val="Noto Sans SC"/>
        <family val="2"/>
        <charset val="134"/>
      </rPr>
      <t xml:space="preserve">本篇将从案例出发详细介绍包含</t>
    </r>
    <r>
      <rPr>
        <sz val="11"/>
        <color theme="1"/>
        <rFont val="Calibri"/>
        <family val="2"/>
        <charset val="1"/>
      </rPr>
      <t xml:space="preserve">Sticky Wild Feature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数值体系搭建步骤</t>
    </r>
  </si>
  <si>
    <t xml:space="preserve">游戏基础设定</t>
  </si>
  <si>
    <t xml:space="preserve">本期使用的案例基础属性如下：</t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</si>
  <si>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类型：</t>
    </r>
    <r>
      <rPr>
        <sz val="11"/>
        <color theme="1"/>
        <rFont val="Calibri"/>
        <family val="2"/>
        <charset val="1"/>
      </rPr>
      <t xml:space="preserve">Line Slots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</si>
  <si>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尺寸：</t>
    </r>
    <r>
      <rPr>
        <sz val="11"/>
        <color theme="1"/>
        <rFont val="Calibri"/>
        <family val="2"/>
        <charset val="1"/>
      </rPr>
      <t xml:space="preserve">1*3</t>
    </r>
  </si>
  <si>
    <t xml:space="preserve">图标个数：</t>
  </si>
  <si>
    <r>
      <rPr>
        <sz val="11"/>
        <color theme="1"/>
        <rFont val="Calibri"/>
        <family val="2"/>
        <charset val="1"/>
      </rPr>
      <t xml:space="preserve">l 5 </t>
    </r>
    <r>
      <rPr>
        <sz val="11"/>
        <color theme="1"/>
        <rFont val="Noto Sans SC"/>
        <family val="2"/>
        <charset val="134"/>
      </rPr>
      <t xml:space="preserve">种标准图标：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</si>
  <si>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SC"/>
        <family val="2"/>
        <charset val="134"/>
      </rPr>
      <t xml:space="preserve">两种特殊图标：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 </t>
    </r>
    <r>
      <rPr>
        <sz val="11"/>
        <color theme="1"/>
        <rFont val="Calibri"/>
        <family val="2"/>
        <charset val="1"/>
      </rPr>
      <t xml:space="preserve">Scatter</t>
    </r>
  </si>
  <si>
    <t xml:space="preserve">游戏模式：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</si>
  <si>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SC"/>
        <family val="2"/>
        <charset val="134"/>
      </rPr>
      <t xml:space="preserve">普通摇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</si>
  <si>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SC"/>
        <family val="2"/>
        <charset val="134"/>
      </rPr>
      <t xml:space="preserve">免费摇：当三列均出现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时触发；在免费摇过程中，出现的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会停留在卷轴上，直到免费摇结束时才消失；免费摇次数固定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次</t>
    </r>
  </si>
  <si>
    <t xml:space="preserve">卷轴类型：固定卷轴，普通摇和免费摇使用不同的卷轴</t>
  </si>
  <si>
    <r>
      <rPr>
        <sz val="11"/>
        <color theme="1"/>
        <rFont val="Noto Sans SC"/>
        <family val="2"/>
        <charset val="134"/>
      </rPr>
      <t xml:space="preserve">这里使用的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是结构简单的</t>
    </r>
    <r>
      <rPr>
        <sz val="11"/>
        <color theme="1"/>
        <rFont val="Calibri"/>
        <family val="2"/>
        <charset val="1"/>
      </rPr>
      <t xml:space="preserve">1*3 Line Slots</t>
    </r>
    <r>
      <rPr>
        <sz val="11"/>
        <color theme="1"/>
        <rFont val="Noto Sans SC"/>
        <family val="2"/>
        <charset val="134"/>
      </rPr>
      <t xml:space="preserve">，这是为了减少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分布在卷轴上的事件数</t>
    </r>
  </si>
  <si>
    <r>
      <rPr>
        <sz val="11"/>
        <color theme="1"/>
        <rFont val="Noto Sans SC"/>
        <family val="2"/>
        <charset val="134"/>
      </rPr>
      <t xml:space="preserve">如果使用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，甚至只是 </t>
    </r>
    <r>
      <rPr>
        <sz val="11"/>
        <color theme="1"/>
        <rFont val="Calibri"/>
        <family val="2"/>
        <charset val="1"/>
      </rPr>
      <t xml:space="preserve">3*3 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，本篇剩下的内容就会变成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在卷轴上的排列组合介绍了</t>
    </r>
  </si>
  <si>
    <t xml:space="preserve">实际工作中基本都是使用模拟器跑这类型数值的，本篇主要介绍该数值的逻辑</t>
  </si>
  <si>
    <r>
      <rPr>
        <sz val="11"/>
        <color theme="1"/>
        <rFont val="Noto Sans SC"/>
        <family val="2"/>
        <charset val="134"/>
      </rPr>
      <t xml:space="preserve">感兴趣的话可以尝试一下用尺寸更大的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计算一下</t>
    </r>
  </si>
  <si>
    <t xml:space="preserve">第一步：设置普通摇固定卷轴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</si>
  <si>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628678396-01.png</t>
    </r>
  </si>
  <si>
    <t xml:space="preserve">这里可以发现第一列没有百搭图标</t>
  </si>
  <si>
    <r>
      <rPr>
        <sz val="11"/>
        <color theme="1"/>
        <rFont val="Noto Sans SC"/>
        <family val="2"/>
        <charset val="134"/>
      </rPr>
      <t xml:space="preserve">这是因为如果第一列出现了百搭图标，在之后的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出现事件的基础上还需要拆分各列均为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的情况</t>
    </r>
  </si>
  <si>
    <r>
      <rPr>
        <sz val="11"/>
        <color theme="1"/>
        <rFont val="Noto Sans SC"/>
        <family val="2"/>
        <charset val="134"/>
      </rPr>
      <t xml:space="preserve">这也是导致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计算复杂的原因之一</t>
    </r>
  </si>
  <si>
    <t xml:space="preserve">第二步：读取图标在卷轴上的分布情况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</si>
  <si>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628678396-02.png</t>
    </r>
  </si>
  <si>
    <t xml:space="preserve">这一步也没有比较特殊的地方，注意标准图标出现的事件数需要加上百搭图标的即可</t>
  </si>
  <si>
    <r>
      <rPr>
        <sz val="11"/>
        <color theme="1"/>
        <rFont val="Noto Sans SC"/>
        <family val="2"/>
        <charset val="134"/>
      </rPr>
      <t xml:space="preserve">对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基础数值计算不熟悉的话可以先阅读之前的文章熟悉一下基础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数值计算逻辑：</t>
    </r>
    <r>
      <rPr>
        <sz val="11"/>
        <color theme="1"/>
        <rFont val="Calibri"/>
        <family val="2"/>
        <charset val="1"/>
      </rPr>
      <t xml:space="preserve">https://zhuanlan.zhihu.com/p/623746693</t>
    </r>
  </si>
  <si>
    <r>
      <rPr>
        <sz val="11"/>
        <color theme="1"/>
        <rFont val="Noto Sans SC"/>
        <family val="2"/>
        <charset val="134"/>
      </rPr>
      <t xml:space="preserve">第三步：计算标准图标的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</si>
  <si>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628678396-03.jpg</t>
    </r>
  </si>
  <si>
    <t xml:space="preserve">第四步：计算触发免费摇的几率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</si>
  <si>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628678396-04.jpg</t>
    </r>
  </si>
  <si>
    <t xml:space="preserve">第五步：免费摇固定卷轴的设置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</si>
  <si>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628678396-05.png</t>
    </r>
  </si>
  <si>
    <r>
      <rPr>
        <sz val="11"/>
        <color theme="1"/>
        <rFont val="Noto Sans SC"/>
        <family val="2"/>
        <charset val="134"/>
      </rPr>
      <t xml:space="preserve">这里延续普通摇卷轴设置中首列不存在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的设计</t>
    </r>
  </si>
  <si>
    <r>
      <rPr>
        <sz val="11"/>
        <color theme="1"/>
        <rFont val="Noto Sans SC"/>
        <family val="2"/>
        <charset val="134"/>
      </rPr>
      <t xml:space="preserve">另外，因为该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并不会在免费摇中再次触发免费摇，因此在卷轴设计阶段直接不加入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图标即可</t>
    </r>
  </si>
  <si>
    <r>
      <rPr>
        <sz val="11"/>
        <color theme="1"/>
        <rFont val="Noto Sans SC"/>
        <family val="2"/>
        <charset val="134"/>
      </rPr>
      <t xml:space="preserve">第六步：计算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粘性几率</t>
    </r>
  </si>
  <si>
    <r>
      <rPr>
        <sz val="11"/>
        <color theme="1"/>
        <rFont val="Noto Sans SC"/>
        <family val="2"/>
        <charset val="134"/>
      </rPr>
      <t xml:space="preserve">这里的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的触发机制为在免费摇过程中出现在卷轴上之后才固定在卷轴上</t>
    </r>
  </si>
  <si>
    <r>
      <rPr>
        <sz val="11"/>
        <color theme="1"/>
        <rFont val="Noto Sans SC"/>
        <family val="2"/>
        <charset val="134"/>
      </rPr>
      <t xml:space="preserve">使用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图标个数除以卷轴该列上的图标总数，得到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的基础几率</t>
    </r>
  </si>
  <si>
    <r>
      <rPr>
        <sz val="11"/>
        <color theme="1"/>
        <rFont val="Noto Sans SC"/>
        <family val="2"/>
        <charset val="134"/>
      </rPr>
      <t xml:space="preserve">并使用（</t>
    </r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SC"/>
        <family val="2"/>
        <charset val="134"/>
      </rPr>
      <t xml:space="preserve">触发几率）的计算方式得到基础的不触发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的几率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</si>
  <si>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628678396-06.jpeg</t>
    </r>
  </si>
  <si>
    <r>
      <rPr>
        <sz val="11"/>
        <color theme="1"/>
        <rFont val="Noto Sans SC"/>
        <family val="2"/>
        <charset val="134"/>
      </rPr>
      <t xml:space="preserve">第七步：列举在</t>
    </r>
    <r>
      <rPr>
        <sz val="11"/>
        <color theme="1"/>
        <rFont val="Calibri"/>
        <family val="2"/>
        <charset val="1"/>
      </rPr>
      <t xml:space="preserve">1*3</t>
    </r>
    <r>
      <rPr>
        <sz val="11"/>
        <color theme="1"/>
        <rFont val="Noto Sans SC"/>
        <family val="2"/>
        <charset val="134"/>
      </rPr>
      <t xml:space="preserve">的卷轴可能的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分布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</si>
  <si>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628678396-07.png</t>
    </r>
  </si>
  <si>
    <t xml:space="preserve">置灰部分代表实际上不会出现</t>
  </si>
  <si>
    <r>
      <rPr>
        <sz val="11"/>
        <color theme="1"/>
        <rFont val="Noto Sans SC"/>
        <family val="2"/>
        <charset val="134"/>
      </rPr>
      <t xml:space="preserve">这一步还是比较简单的，因为只有</t>
    </r>
    <r>
      <rPr>
        <sz val="11"/>
        <color theme="1"/>
        <rFont val="Calibri"/>
        <family val="2"/>
        <charset val="1"/>
      </rPr>
      <t xml:space="preserve">1*3</t>
    </r>
    <r>
      <rPr>
        <sz val="11"/>
        <color theme="1"/>
        <rFont val="Noto Sans SC"/>
        <family val="2"/>
        <charset val="134"/>
      </rPr>
      <t xml:space="preserve">的卷轴范围</t>
    </r>
  </si>
  <si>
    <r>
      <rPr>
        <sz val="11"/>
        <color theme="1"/>
        <rFont val="Noto Sans SC"/>
        <family val="2"/>
        <charset val="134"/>
      </rPr>
      <t xml:space="preserve">使用</t>
    </r>
    <r>
      <rPr>
        <sz val="11"/>
        <color theme="1"/>
        <rFont val="Calibri"/>
        <family val="2"/>
        <charset val="1"/>
      </rPr>
      <t xml:space="preserve">COMBIN(3,0) + COMBIN(3,1) + COMBIN(3,2) + COMBIN(3,3) = 8</t>
    </r>
    <r>
      <rPr>
        <sz val="11"/>
        <color theme="1"/>
        <rFont val="Noto Sans SC"/>
        <family val="2"/>
        <charset val="134"/>
      </rPr>
      <t xml:space="preserve">，验算是否列举出来了所有的情况</t>
    </r>
  </si>
  <si>
    <t xml:space="preserve">第八步：计算各分布在各局的出现几率</t>
  </si>
  <si>
    <r>
      <rPr>
        <sz val="11"/>
        <color theme="1"/>
        <rFont val="Noto Sans SC"/>
        <family val="2"/>
        <charset val="134"/>
      </rPr>
      <t xml:space="preserve">根据第六步得到了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单局没有出现的几率，进一步可以得到：</t>
    </r>
  </si>
  <si>
    <r>
      <rPr>
        <sz val="11"/>
        <color theme="1"/>
        <rFont val="Noto Sans SC"/>
        <family val="2"/>
        <charset val="134"/>
      </rPr>
      <t xml:space="preserve">在第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SC"/>
        <family val="2"/>
        <charset val="134"/>
      </rPr>
      <t xml:space="preserve">局时该位置没有出现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的几率为：基础不出现几率 </t>
    </r>
    <r>
      <rPr>
        <sz val="11"/>
        <color theme="1"/>
        <rFont val="Calibri"/>
        <family val="2"/>
        <charset val="1"/>
      </rPr>
      <t xml:space="preserve">^ N</t>
    </r>
  </si>
  <si>
    <r>
      <rPr>
        <sz val="11"/>
        <color theme="1"/>
        <rFont val="Noto Sans SC"/>
        <family val="2"/>
        <charset val="134"/>
      </rPr>
      <t xml:space="preserve">在第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SC"/>
        <family val="2"/>
        <charset val="134"/>
      </rPr>
      <t xml:space="preserve">局时该位置已经出现了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的几率为：</t>
    </r>
    <r>
      <rPr>
        <sz val="11"/>
        <color theme="1"/>
        <rFont val="Calibri"/>
        <family val="2"/>
        <charset val="1"/>
      </rPr>
      <t xml:space="preserve">1 - </t>
    </r>
    <r>
      <rPr>
        <sz val="11"/>
        <color theme="1"/>
        <rFont val="Noto Sans SC"/>
        <family val="2"/>
        <charset val="134"/>
      </rPr>
      <t xml:space="preserve">基础不出现几率 </t>
    </r>
    <r>
      <rPr>
        <sz val="11"/>
        <color theme="1"/>
        <rFont val="Calibri"/>
        <family val="2"/>
        <charset val="1"/>
      </rPr>
      <t xml:space="preserve">^ N</t>
    </r>
  </si>
  <si>
    <r>
      <rPr>
        <sz val="11"/>
        <color theme="1"/>
        <rFont val="Noto Sans SC"/>
        <family val="2"/>
        <charset val="134"/>
      </rPr>
      <t xml:space="preserve">又因为该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在触发免费摇时并没有图标固定在卷轴上，因此可以得到：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</si>
  <si>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628678396-08.jpg</t>
    </r>
  </si>
  <si>
    <t xml:space="preserve">这样就得到各分布在各局出现的几率了</t>
  </si>
  <si>
    <r>
      <rPr>
        <sz val="11"/>
        <color theme="1"/>
        <rFont val="Noto Sans SC"/>
        <family val="2"/>
        <charset val="134"/>
      </rPr>
      <t xml:space="preserve">因为免费摇固定为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局，这里计算到第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局即可</t>
    </r>
  </si>
  <si>
    <r>
      <rPr>
        <sz val="11"/>
        <color theme="1"/>
        <rFont val="Noto Sans SC"/>
        <family val="2"/>
        <charset val="134"/>
      </rPr>
      <t xml:space="preserve">第九步：计算各分布情况的标准图标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</si>
  <si>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算法很简单，只要把固定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的列所有图标均用百搭图标替换即可。计算后得到：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</si>
  <si>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628678396-09.jpg</t>
    </r>
  </si>
  <si>
    <r>
      <rPr>
        <sz val="11"/>
        <color theme="1"/>
        <rFont val="Noto Sans SC"/>
        <family val="2"/>
        <charset val="134"/>
      </rPr>
      <t xml:space="preserve">第十步：计算免费摇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</si>
  <si>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得到了各分布情况的标准图标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和各分布在每局出现的概率</t>
    </r>
  </si>
  <si>
    <r>
      <rPr>
        <sz val="11"/>
        <color theme="1"/>
        <rFont val="Noto Sans SC"/>
        <family val="2"/>
        <charset val="134"/>
      </rPr>
      <t xml:space="preserve">这里使用</t>
    </r>
    <r>
      <rPr>
        <sz val="11"/>
        <color theme="1"/>
        <rFont val="Calibri"/>
        <family val="2"/>
        <charset val="1"/>
      </rPr>
      <t xml:space="preserve">SUMPRODUCT</t>
    </r>
    <r>
      <rPr>
        <sz val="11"/>
        <color theme="1"/>
        <rFont val="Noto Sans SC"/>
        <family val="2"/>
        <charset val="134"/>
      </rPr>
      <t xml:space="preserve">函数将数组求和，即可得到每局的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期望</t>
    </r>
  </si>
  <si>
    <r>
      <rPr>
        <sz val="11"/>
        <color theme="1"/>
        <rFont val="Noto Sans SC"/>
        <family val="2"/>
        <charset val="134"/>
      </rPr>
      <t xml:space="preserve">把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局的期望汇总，得到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局免费摇的发放倍数期望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</si>
  <si>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628678396-10.jpg</t>
    </r>
  </si>
  <si>
    <t xml:space="preserve">第十一步：汇总求和</t>
  </si>
  <si>
    <r>
      <rPr>
        <sz val="11"/>
        <color theme="1"/>
        <rFont val="Noto Sans SC"/>
        <family val="2"/>
        <charset val="134"/>
      </rPr>
      <t xml:space="preserve">最后的收尾工作再使用触发免费摇的几率乘上免费摇的期望，将其和普通摇标准图标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相加，既可以得到该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的综合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</si>
  <si>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628678396-11.jpg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</si>
  <si>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</si>
  <si>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628678396-01.png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</si>
  <si>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628678396-02.png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</si>
  <si>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</si>
  <si>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</si>
  <si>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628678396-05.png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</si>
  <si>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628678396-06.jpeg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</si>
  <si>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628678396-07.png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</si>
  <si>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628678396-08.jpg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</si>
  <si>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09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628678396-09.jpg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</si>
  <si>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628678396-10.jpg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</si>
  <si>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628678396-11.jpg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</si>
  <si>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</si>
  <si>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</si>
  <si>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</si>
  <si>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</si>
  <si>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</si>
  <si>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</si>
  <si>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Sticky Wild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https://zhuanlan.zhihu.com/p/628678396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</si>
  <si>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Sticky Wild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</si>
  <si>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】基本参数</t>
    </r>
  </si>
  <si>
    <t xml:space="preserve">项目</t>
  </si>
  <si>
    <t xml:space="preserve">数值</t>
  </si>
  <si>
    <t xml:space="preserve">玩法</t>
  </si>
  <si>
    <r>
      <rPr>
        <sz val="11"/>
        <color rgb="FF0000FF"/>
        <rFont val="Cambria"/>
        <family val="0"/>
        <charset val="1"/>
      </rPr>
      <t xml:space="preserve">1*3 Line Slots</t>
    </r>
    <r>
      <rPr>
        <sz val="11"/>
        <color rgb="FF0000FF"/>
        <rFont val="Noto Sans SC"/>
        <family val="2"/>
        <charset val="134"/>
      </rPr>
      <t xml:space="preserve">（含 </t>
    </r>
    <r>
      <rPr>
        <sz val="11"/>
        <color rgb="FF0000FF"/>
        <rFont val="Cambria"/>
        <family val="0"/>
        <charset val="1"/>
      </rPr>
      <t xml:space="preserve">Sticky Wild </t>
    </r>
    <r>
      <rPr>
        <sz val="11"/>
        <color rgb="FF0000FF"/>
        <rFont val="Noto Sans SC"/>
        <family val="2"/>
        <charset val="134"/>
      </rPr>
      <t xml:space="preserve">免费摇）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</si>
  <si>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SC"/>
        <family val="2"/>
        <charset val="134"/>
      </rPr>
      <t xml:space="preserve">列；三列齐全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触发免费摇</t>
    </r>
  </si>
  <si>
    <t xml:space="preserve">卷轴列数</t>
  </si>
  <si>
    <t xml:space="preserve">每列停位数</t>
  </si>
  <si>
    <r>
      <rPr>
        <sz val="11"/>
        <color theme="1"/>
        <rFont val="Noto Sans SC"/>
        <family val="2"/>
        <charset val="134"/>
      </rPr>
      <t xml:space="preserve">普通摇与免费摇卷轴都为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SC"/>
        <family val="2"/>
        <charset val="134"/>
      </rPr>
      <t xml:space="preserve">停</t>
    </r>
  </si>
  <si>
    <t xml:space="preserve">总事件数</t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</si>
  <si>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12³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1,728</t>
    </r>
  </si>
  <si>
    <t xml:space="preserve">免费摇局数</t>
  </si>
  <si>
    <r>
      <rPr>
        <sz val="11"/>
        <color theme="1"/>
        <rFont val="Noto Sans SC"/>
        <family val="2"/>
        <charset val="134"/>
      </rPr>
      <t xml:space="preserve">原文：固定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局，且免费摇中不会再触发免费摇</t>
    </r>
  </si>
  <si>
    <t xml:space="preserve">图标集</t>
  </si>
  <si>
    <r>
      <rPr>
        <sz val="11"/>
        <color rgb="FF0000FF"/>
        <rFont val="Cambria"/>
        <family val="0"/>
        <charset val="1"/>
      </rPr>
      <t xml:space="preserve">9 / 10 / J / Q / K </t>
    </r>
    <r>
      <rPr>
        <sz val="11"/>
        <color rgb="FF0000FF"/>
        <rFont val="Noto Sans SC"/>
        <family val="2"/>
        <charset val="134"/>
      </rPr>
      <t xml:space="preserve">＋ </t>
    </r>
    <r>
      <rPr>
        <sz val="11"/>
        <color rgb="FF0000FF"/>
        <rFont val="Cambria"/>
        <family val="0"/>
        <charset val="1"/>
      </rPr>
      <t xml:space="preserve">Wild / Scatter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</si>
  <si>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个标准图标 ＋ 百搭 ＋ </t>
    </r>
    <r>
      <rPr>
        <sz val="11"/>
        <color theme="1"/>
        <rFont val="Calibri"/>
        <family val="2"/>
        <charset val="1"/>
      </rPr>
      <t xml:space="preserve">Scatter</t>
    </r>
  </si>
  <si>
    <t xml:space="preserve">第一列规则</t>
  </si>
  <si>
    <t xml:space="preserve">第一列不设百搭</t>
  </si>
  <si>
    <r>
      <rPr>
        <sz val="11"/>
        <color theme="1"/>
        <rFont val="Noto Sans SC"/>
        <family val="2"/>
        <charset val="134"/>
      </rPr>
      <t xml:space="preserve">否则要额外拆分「各列均为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」的情况，复杂度陡增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</si>
  <si>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】普通摇固定卷轴（</t>
    </r>
    <r>
      <rPr>
        <b val="true"/>
        <sz val="11"/>
        <color rgb="FF1F4E79"/>
        <rFont val="Cambria"/>
        <family val="0"/>
        <charset val="1"/>
      </rPr>
      <t xml:space="preserve">12 </t>
    </r>
    <r>
      <rPr>
        <b val="true"/>
        <sz val="11"/>
        <color rgb="FF1F4E79"/>
        <rFont val="Noto Sans SC"/>
        <family val="2"/>
        <charset val="134"/>
      </rPr>
      <t xml:space="preserve">停 </t>
    </r>
    <r>
      <rPr>
        <b val="true"/>
        <sz val="11"/>
        <color rgb="FF1F4E79"/>
        <rFont val="Cambria"/>
        <family val="0"/>
        <charset val="1"/>
      </rPr>
      <t xml:space="preserve">× 3 </t>
    </r>
    <r>
      <rPr>
        <b val="true"/>
        <sz val="11"/>
        <color rgb="FF1F4E79"/>
        <rFont val="Noto Sans SC"/>
        <family val="2"/>
        <charset val="134"/>
      </rPr>
      <t xml:space="preserve">列，按原文配图转录）</t>
    </r>
  </si>
  <si>
    <t xml:space="preserve">停位</t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</si>
  <si>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</si>
  <si>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</si>
  <si>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</t>
    </r>
  </si>
  <si>
    <t xml:space="preserve">9</t>
  </si>
  <si>
    <t xml:space="preserve">Scatter</t>
  </si>
  <si>
    <r>
      <rPr>
        <sz val="11"/>
        <color theme="1"/>
        <rFont val="Noto Sans SC"/>
        <family val="2"/>
        <charset val="134"/>
      </rPr>
      <t xml:space="preserve">第一列不放 </t>
    </r>
    <r>
      <rPr>
        <sz val="11"/>
        <color theme="1"/>
        <rFont val="Calibri"/>
        <family val="2"/>
        <charset val="1"/>
      </rPr>
      <t xml:space="preserve">Wild</t>
    </r>
  </si>
  <si>
    <t xml:space="preserve">10</t>
  </si>
  <si>
    <t xml:space="preserve">J</t>
  </si>
  <si>
    <t xml:space="preserve">Q</t>
  </si>
  <si>
    <t xml:space="preserve">K</t>
  </si>
  <si>
    <t xml:space="preserve">Wild</t>
  </si>
  <si>
    <t xml:space="preserve">每列格数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</si>
  <si>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】普通摇图标事件数与标准图标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（原文②③）</t>
    </r>
  </si>
  <si>
    <t xml:space="preserve">图标</t>
  </si>
  <si>
    <t xml:space="preserve">中奖事件数</t>
  </si>
  <si>
    <t xml:space="preserve">中奖率</t>
  </si>
  <si>
    <t xml:space="preserve">赔付倍数</t>
  </si>
  <si>
    <t xml:space="preserve">期望</t>
  </si>
  <si>
    <r>
      <rPr>
        <b val="true"/>
        <sz val="11"/>
        <rFont val="Noto Sans SC"/>
        <family val="2"/>
        <charset val="134"/>
      </rPr>
      <t xml:space="preserve">标准图标普通摇 </t>
    </r>
    <r>
      <rPr>
        <b val="true"/>
        <sz val="11"/>
        <rFont val="Cambria"/>
        <family val="0"/>
        <charset val="1"/>
      </rPr>
      <t xml:space="preserve">RTP</t>
    </r>
  </si>
  <si>
    <t xml:space="preserve">合计</t>
  </si>
  <si>
    <r>
      <rPr>
        <sz val="11"/>
        <color rgb="FF808080"/>
        <rFont val="Noto Sans SC"/>
        <family val="2"/>
        <charset val="134"/>
      </rPr>
      <t xml:space="preserve">列</t>
    </r>
    <r>
      <rPr>
        <sz val="11"/>
        <color rgb="FF808080"/>
        <rFont val="Cambria"/>
        <family val="0"/>
        <charset val="1"/>
      </rPr>
      <t xml:space="preserve">1 </t>
    </r>
    <r>
      <rPr>
        <sz val="11"/>
        <color rgb="FF808080"/>
        <rFont val="Noto Sans SC"/>
        <family val="2"/>
        <charset val="134"/>
      </rPr>
      <t xml:space="preserve">无百搭，故 </t>
    </r>
    <r>
      <rPr>
        <sz val="11"/>
        <color rgb="FF808080"/>
        <rFont val="Cambria"/>
        <family val="0"/>
        <charset val="1"/>
      </rPr>
      <t xml:space="preserve">9/10/J/Q/K </t>
    </r>
    <r>
      <rPr>
        <sz val="11"/>
        <color rgb="FF808080"/>
        <rFont val="Noto Sans SC"/>
        <family val="2"/>
        <charset val="134"/>
      </rPr>
      <t xml:space="preserve">在第一列的事件数＝其基础个数（</t>
    </r>
    <r>
      <rPr>
        <sz val="11"/>
        <color rgb="FF808080"/>
        <rFont val="Cambria"/>
        <family val="0"/>
        <charset val="1"/>
      </rPr>
      <t xml:space="preserve">2/2/2/2/3</t>
    </r>
    <r>
      <rPr>
        <sz val="11"/>
        <color rgb="FF808080"/>
        <rFont val="Noto Sans SC"/>
        <family val="2"/>
        <charset val="134"/>
      </rPr>
      <t xml:space="preserve">）；列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SC"/>
        <family val="2"/>
        <charset val="134"/>
      </rPr>
      <t xml:space="preserve">、列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SC"/>
        <family val="2"/>
        <charset val="134"/>
      </rPr>
      <t xml:space="preserve">各加 </t>
    </r>
    <r>
      <rPr>
        <sz val="11"/>
        <color rgb="FF808080"/>
        <rFont val="Cambria"/>
        <family val="0"/>
        <charset val="1"/>
      </rPr>
      <t xml:space="preserve">1 </t>
    </r>
    <r>
      <rPr>
        <sz val="11"/>
        <color rgb="FF808080"/>
        <rFont val="Noto Sans SC"/>
        <family val="2"/>
        <charset val="134"/>
      </rPr>
      <t xml:space="preserve">个百搭。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</si>
  <si>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】触发免费摇的几率（原文④）</t>
    </r>
  </si>
  <si>
    <t xml:space="preserve">中奖组合</t>
  </si>
  <si>
    <t xml:space="preserve">{S,S,S}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</si>
  <si>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】免费摇固定卷轴（</t>
    </r>
    <r>
      <rPr>
        <b val="true"/>
        <sz val="11"/>
        <color rgb="FF1F4E79"/>
        <rFont val="Cambria"/>
        <family val="0"/>
        <charset val="1"/>
      </rPr>
      <t xml:space="preserve">12 </t>
    </r>
    <r>
      <rPr>
        <b val="true"/>
        <sz val="11"/>
        <color rgb="FF1F4E79"/>
        <rFont val="Noto Sans SC"/>
        <family val="2"/>
        <charset val="134"/>
      </rPr>
      <t xml:space="preserve">停 </t>
    </r>
    <r>
      <rPr>
        <b val="true"/>
        <sz val="11"/>
        <color rgb="FF1F4E79"/>
        <rFont val="Cambria"/>
        <family val="0"/>
        <charset val="1"/>
      </rPr>
      <t xml:space="preserve">× 3 </t>
    </r>
    <r>
      <rPr>
        <b val="true"/>
        <sz val="11"/>
        <color rgb="FF1F4E79"/>
        <rFont val="Noto Sans SC"/>
        <family val="2"/>
        <charset val="134"/>
      </rPr>
      <t xml:space="preserve">列；原文：不含 </t>
    </r>
    <r>
      <rPr>
        <b val="true"/>
        <sz val="11"/>
        <color rgb="FF1F4E79"/>
        <rFont val="Cambria"/>
        <family val="0"/>
        <charset val="1"/>
      </rPr>
      <t xml:space="preserve">Scatter</t>
    </r>
    <r>
      <rPr>
        <b val="true"/>
        <sz val="11"/>
        <color rgb="FF1F4E79"/>
        <rFont val="Noto Sans SC"/>
        <family val="2"/>
        <charset val="134"/>
      </rPr>
      <t xml:space="preserve">，故不会再触发免费摇）</t>
    </r>
  </si>
  <si>
    <r>
      <rPr>
        <sz val="11"/>
        <color theme="1"/>
        <rFont val="Noto Sans SC"/>
        <family val="2"/>
        <charset val="134"/>
      </rPr>
      <t xml:space="preserve">列</t>
    </r>
    <r>
      <rPr>
        <sz val="11"/>
        <color theme="1"/>
        <rFont val="Calibri"/>
        <family val="2"/>
        <charset val="1"/>
      </rPr>
      <t xml:space="preserve">2/</t>
    </r>
    <r>
      <rPr>
        <sz val="11"/>
        <color theme="1"/>
        <rFont val="Noto Sans SC"/>
        <family val="2"/>
        <charset val="134"/>
      </rPr>
      <t xml:space="preserve">列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各有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SC"/>
        <family val="2"/>
        <charset val="134"/>
      </rPr>
      <t xml:space="preserve">个百搭（占半列）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</si>
  <si>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Wild </t>
    </r>
    <r>
      <rPr>
        <b val="true"/>
        <sz val="11"/>
        <color rgb="FF1F4E79"/>
        <rFont val="Noto Sans SC"/>
        <family val="2"/>
        <charset val="134"/>
      </rPr>
      <t xml:space="preserve">粘性几率（原文⑥）</t>
    </r>
  </si>
  <si>
    <r>
      <rPr>
        <sz val="11"/>
        <color theme="1"/>
        <rFont val="Noto Sans SC"/>
        <family val="2"/>
        <charset val="134"/>
      </rPr>
      <t xml:space="preserve">出现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的几率</t>
    </r>
  </si>
  <si>
    <r>
      <rPr>
        <sz val="11"/>
        <color theme="1"/>
        <rFont val="Noto Sans SC"/>
        <family val="2"/>
        <charset val="134"/>
      </rPr>
      <t xml:space="preserve">＝ 该列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该列图标总数</t>
    </r>
  </si>
  <si>
    <r>
      <rPr>
        <sz val="11"/>
        <color theme="1"/>
        <rFont val="Noto Sans SC"/>
        <family val="2"/>
        <charset val="134"/>
      </rPr>
      <t xml:space="preserve">不出现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的几率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</si>
  <si>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SC"/>
        <family val="2"/>
        <charset val="134"/>
      </rPr>
      <t xml:space="preserve">触发几率；下文用它的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  <charset val="134"/>
      </rPr>
      <t xml:space="preserve">次幂算「第 </t>
    </r>
    <r>
      <rPr>
        <sz val="11"/>
        <color theme="1"/>
        <rFont val="Calibri"/>
        <family val="2"/>
        <charset val="1"/>
      </rPr>
      <t xml:space="preserve">N+1 </t>
    </r>
    <r>
      <rPr>
        <sz val="11"/>
        <color theme="1"/>
        <rFont val="Noto Sans SC"/>
        <family val="2"/>
        <charset val="134"/>
      </rPr>
      <t xml:space="preserve">局仍未粘」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</si>
  <si>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7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8 </t>
    </r>
    <r>
      <rPr>
        <b val="true"/>
        <sz val="11"/>
        <color rgb="FF1F4E79"/>
        <rFont val="Noto Sans SC"/>
        <family val="2"/>
        <charset val="134"/>
      </rPr>
      <t xml:space="preserve">种粘性分布（原文⑦；置灰行＝列</t>
    </r>
    <r>
      <rPr>
        <b val="true"/>
        <sz val="11"/>
        <color rgb="FF1F4E79"/>
        <rFont val="Cambria"/>
        <family val="0"/>
        <charset val="1"/>
      </rPr>
      <t xml:space="preserve">1 </t>
    </r>
    <r>
      <rPr>
        <b val="true"/>
        <sz val="11"/>
        <color rgb="FF1F4E79"/>
        <rFont val="Noto Sans SC"/>
        <family val="2"/>
        <charset val="134"/>
      </rPr>
      <t xml:space="preserve">不可能出现 </t>
    </r>
    <r>
      <rPr>
        <b val="true"/>
        <sz val="11"/>
        <color rgb="FF1F4E79"/>
        <rFont val="Cambria"/>
        <family val="0"/>
        <charset val="1"/>
      </rPr>
      <t xml:space="preserve">Wild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</si>
  <si>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序号</t>
  </si>
  <si>
    <t xml:space="preserve">是否可能</t>
  </si>
  <si>
    <t xml:space="preserve">可能</t>
  </si>
  <si>
    <r>
      <rPr>
        <sz val="11"/>
        <color theme="1"/>
        <rFont val="Noto Sans SC"/>
        <family val="2"/>
        <charset val="134"/>
      </rPr>
      <t xml:space="preserve">无粘性（本局抽到的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都不固定）</t>
    </r>
  </si>
  <si>
    <t xml:space="preserve">W</t>
  </si>
  <si>
    <t xml:space="preserve">不可能</t>
  </si>
  <si>
    <r>
      <rPr>
        <sz val="11"/>
        <color theme="1"/>
        <rFont val="Noto Sans SC"/>
        <family val="2"/>
        <charset val="134"/>
      </rPr>
      <t xml:space="preserve">列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不设百搭</t>
    </r>
  </si>
  <si>
    <r>
      <rPr>
        <sz val="11"/>
        <color theme="1"/>
        <rFont val="Noto Sans SC"/>
        <family val="2"/>
        <charset val="134"/>
      </rPr>
      <t xml:space="preserve">仅列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粘住</t>
    </r>
  </si>
  <si>
    <r>
      <rPr>
        <sz val="11"/>
        <color theme="1"/>
        <rFont val="Noto Sans SC"/>
        <family val="2"/>
        <charset val="134"/>
      </rPr>
      <t xml:space="preserve">仅列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粘住</t>
    </r>
  </si>
  <si>
    <r>
      <rPr>
        <sz val="11"/>
        <color theme="1"/>
        <rFont val="Noto Sans SC"/>
        <family val="2"/>
        <charset val="134"/>
      </rPr>
      <t xml:space="preserve">列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、列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都粘住</t>
    </r>
  </si>
  <si>
    <t xml:space="preserve">验算</t>
  </si>
  <si>
    <r>
      <rPr>
        <sz val="11"/>
        <color theme="1"/>
        <rFont val="Calibri"/>
        <family val="2"/>
        <charset val="1"/>
      </rPr>
      <t xml:space="preserve">C(3,0)+C(3,1)+C(3,2)+C(3,3)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  <charset val="134"/>
      </rPr>
      <t xml:space="preserve">种，与上表行数一致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</si>
  <si>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8</t>
    </r>
    <r>
      <rPr>
        <b val="true"/>
        <sz val="11"/>
        <color rgb="FF1F4E79"/>
        <rFont val="Noto Sans SC"/>
        <family val="2"/>
        <charset val="134"/>
      </rPr>
      <t xml:space="preserve">】各分布的标准图标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（原文⑨：粘住的列整列视为百搭）</t>
    </r>
  </si>
  <si>
    <r>
      <rPr>
        <b val="true"/>
        <sz val="11"/>
        <color rgb="FF1F4E79"/>
        <rFont val="Noto Sans SC"/>
        <family val="2"/>
        <charset val="134"/>
      </rPr>
      <t xml:space="preserve">分布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图标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</si>
  <si>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 </t>
    </r>
    <r>
      <rPr>
        <b val="true"/>
        <sz val="11"/>
        <color rgb="FF1F4E79"/>
        <rFont val="Noto Sans SC"/>
        <family val="2"/>
        <charset val="134"/>
      </rPr>
      <t xml:space="preserve">粘</t>
    </r>
    <r>
      <rPr>
        <b val="true"/>
        <sz val="11"/>
        <color rgb="FF1F4E79"/>
        <rFont val="Cambria"/>
        <family val="0"/>
        <charset val="1"/>
      </rPr>
      <t xml:space="preserve">=1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</si>
  <si>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 </t>
    </r>
    <r>
      <rPr>
        <b val="true"/>
        <sz val="11"/>
        <color rgb="FF1F4E79"/>
        <rFont val="Noto Sans SC"/>
        <family val="2"/>
        <charset val="134"/>
      </rPr>
      <t xml:space="preserve">粘</t>
    </r>
    <r>
      <rPr>
        <b val="true"/>
        <sz val="11"/>
        <color rgb="FF1F4E79"/>
        <rFont val="Cambria"/>
        <family val="0"/>
        <charset val="1"/>
      </rPr>
      <t xml:space="preserve">=1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</si>
  <si>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 </t>
    </r>
    <r>
      <rPr>
        <b val="true"/>
        <sz val="11"/>
        <color rgb="FF1F4E79"/>
        <rFont val="Noto Sans SC"/>
        <family val="2"/>
        <charset val="134"/>
      </rPr>
      <t xml:space="preserve">事件数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</si>
  <si>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 </t>
    </r>
    <r>
      <rPr>
        <b val="true"/>
        <sz val="11"/>
        <color rgb="FF1F4E79"/>
        <rFont val="Noto Sans SC"/>
        <family val="2"/>
        <charset val="134"/>
      </rPr>
      <t xml:space="preserve">事件数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</si>
  <si>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 </t>
    </r>
    <r>
      <rPr>
        <b val="true"/>
        <sz val="11"/>
        <color rgb="FF1F4E79"/>
        <rFont val="Noto Sans SC"/>
        <family val="2"/>
        <charset val="134"/>
      </rPr>
      <t xml:space="preserve">事件数</t>
    </r>
  </si>
  <si>
    <r>
      <rPr>
        <b val="true"/>
        <sz val="11"/>
        <rFont val="Cambria"/>
        <family val="0"/>
        <charset val="1"/>
      </rPr>
      <t xml:space="preserve">{#W,#W,#W}</t>
    </r>
    <r>
      <rPr>
        <b val="true"/>
        <sz val="11"/>
        <rFont val="Noto Sans SC"/>
        <family val="2"/>
        <charset val="134"/>
      </rPr>
      <t xml:space="preserve">：粘性标志 →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</si>
  <si>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＝ 该列整列视为百搭（事件数取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SC"/>
        <family val="2"/>
        <charset val="134"/>
      </rPr>
      <t xml:space="preserve">）</t>
    </r>
  </si>
  <si>
    <t xml:space="preserve">{#W,#W,#W} · 9</t>
  </si>
  <si>
    <t xml:space="preserve">{#W,#W,#W} · 10</t>
  </si>
  <si>
    <t xml:space="preserve">{#W,#W,#W} · J</t>
  </si>
  <si>
    <t xml:space="preserve">{#W,#W,#W} · Q</t>
  </si>
  <si>
    <t xml:space="preserve">{#W,#W,#W} · K</t>
  </si>
  <si>
    <r>
      <rPr>
        <b val="true"/>
        <sz val="11"/>
        <rFont val="Cambria"/>
        <family val="0"/>
        <charset val="1"/>
      </rPr>
      <t xml:space="preserve">{#W,W,#W}</t>
    </r>
    <r>
      <rPr>
        <b val="true"/>
        <sz val="11"/>
        <rFont val="Noto Sans SC"/>
        <family val="2"/>
        <charset val="134"/>
      </rPr>
      <t xml:space="preserve">：粘性标志 →</t>
    </r>
  </si>
  <si>
    <t xml:space="preserve">{#W,W,#W} · 9</t>
  </si>
  <si>
    <t xml:space="preserve">{#W,W,#W} · 10</t>
  </si>
  <si>
    <t xml:space="preserve">{#W,W,#W} · J</t>
  </si>
  <si>
    <t xml:space="preserve">{#W,W,#W} · Q</t>
  </si>
  <si>
    <t xml:space="preserve">{#W,W,#W} · K</t>
  </si>
  <si>
    <r>
      <rPr>
        <b val="true"/>
        <sz val="11"/>
        <rFont val="Cambria"/>
        <family val="0"/>
        <charset val="1"/>
      </rPr>
      <t xml:space="preserve">{#W,#W,W}</t>
    </r>
    <r>
      <rPr>
        <b val="true"/>
        <sz val="11"/>
        <rFont val="Noto Sans SC"/>
        <family val="2"/>
        <charset val="134"/>
      </rPr>
      <t xml:space="preserve">：粘性标志 →</t>
    </r>
  </si>
  <si>
    <t xml:space="preserve">{#W,#W,W} · 9</t>
  </si>
  <si>
    <t xml:space="preserve">{#W,#W,W} · 10</t>
  </si>
  <si>
    <t xml:space="preserve">{#W,#W,W} · J</t>
  </si>
  <si>
    <t xml:space="preserve">{#W,#W,W} · Q</t>
  </si>
  <si>
    <t xml:space="preserve">{#W,#W,W} · K</t>
  </si>
  <si>
    <r>
      <rPr>
        <b val="true"/>
        <sz val="11"/>
        <rFont val="Cambria"/>
        <family val="0"/>
        <charset val="1"/>
      </rPr>
      <t xml:space="preserve">{W,W,W}</t>
    </r>
    <r>
      <rPr>
        <b val="true"/>
        <sz val="11"/>
        <rFont val="Noto Sans SC"/>
        <family val="2"/>
        <charset val="134"/>
      </rPr>
      <t xml:space="preserve">：粘性标志 →</t>
    </r>
  </si>
  <si>
    <t xml:space="preserve">{W,W,W} · 9</t>
  </si>
  <si>
    <t xml:space="preserve">{W,W,W} · 10</t>
  </si>
  <si>
    <t xml:space="preserve">{W,W,W} · J</t>
  </si>
  <si>
    <t xml:space="preserve">{W,W,W} · Q</t>
  </si>
  <si>
    <t xml:space="preserve">{W,W,W} · K</t>
  </si>
  <si>
    <r>
      <rPr>
        <sz val="11"/>
        <color rgb="FF808080"/>
        <rFont val="Noto Sans SC"/>
        <family val="2"/>
        <charset val="134"/>
      </rPr>
      <t xml:space="preserve">说明：每个分布先给两个「粘性标志」（</t>
    </r>
    <r>
      <rPr>
        <sz val="11"/>
        <color rgb="FF808080"/>
        <rFont val="Cambria"/>
        <family val="0"/>
        <charset val="1"/>
      </rPr>
      <t xml:space="preserve">1 </t>
    </r>
    <r>
      <rPr>
        <sz val="11"/>
        <color rgb="FF808080"/>
        <rFont val="Noto Sans SC"/>
        <family val="2"/>
        <charset val="134"/>
      </rPr>
      <t xml:space="preserve">＝ 该列整列视为百搭，事件数直接取每列停位数 </t>
    </r>
    <r>
      <rPr>
        <sz val="11"/>
        <color rgb="FF808080"/>
        <rFont val="Cambria"/>
        <family val="0"/>
        <charset val="1"/>
      </rPr>
      <t xml:space="preserve">12</t>
    </r>
    <r>
      <rPr>
        <sz val="11"/>
        <color rgb="FF808080"/>
        <rFont val="Noto Sans SC"/>
        <family val="2"/>
        <charset val="134"/>
      </rPr>
      <t xml:space="preserve">），下面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SC"/>
        <family val="2"/>
        <charset val="134"/>
      </rPr>
      <t xml:space="preserve">行是该分布下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SC"/>
        <family val="2"/>
        <charset val="134"/>
      </rPr>
      <t xml:space="preserve">个标准图标的期望；每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SC"/>
        <family val="2"/>
        <charset val="134"/>
      </rPr>
      <t xml:space="preserve">行期望之和即该分布的标准图标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（原文⑨：</t>
    </r>
    <r>
      <rPr>
        <sz val="11"/>
        <color rgb="FF808080"/>
        <rFont val="Cambria"/>
        <family val="0"/>
        <charset val="1"/>
      </rPr>
      <t xml:space="preserve">3.9838 / 6.1944 / 6.1944 / 9.6667</t>
    </r>
    <r>
      <rPr>
        <sz val="11"/>
        <color rgb="FF808080"/>
        <rFont val="Noto Sans SC"/>
        <family val="2"/>
        <charset val="134"/>
      </rPr>
      <t xml:space="preserve">）。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</si>
  <si>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9</t>
    </r>
    <r>
      <rPr>
        <b val="true"/>
        <sz val="11"/>
        <color rgb="FF1F4E79"/>
        <rFont val="Noto Sans SC"/>
        <family val="2"/>
        <charset val="134"/>
      </rPr>
      <t xml:space="preserve">】逐局概率与每局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（原文⑧⑩；第 </t>
    </r>
    <r>
      <rPr>
        <b val="true"/>
        <sz val="11"/>
        <color rgb="FF1F4E79"/>
        <rFont val="Cambria"/>
        <family val="0"/>
        <charset val="1"/>
      </rPr>
      <t xml:space="preserve">N+1 </t>
    </r>
    <r>
      <rPr>
        <b val="true"/>
        <sz val="11"/>
        <color rgb="FF1F4E79"/>
        <rFont val="Noto Sans SC"/>
        <family val="2"/>
        <charset val="134"/>
      </rPr>
      <t xml:space="preserve">局已粘几率 ＝ </t>
    </r>
    <r>
      <rPr>
        <b val="true"/>
        <sz val="11"/>
        <color rgb="FF1F4E79"/>
        <rFont val="Cambria"/>
        <family val="0"/>
        <charset val="1"/>
      </rPr>
      <t xml:space="preserve">1 − </t>
    </r>
    <r>
      <rPr>
        <b val="true"/>
        <sz val="11"/>
        <color rgb="FF1F4E79"/>
        <rFont val="Noto Sans SC"/>
        <family val="2"/>
        <charset val="134"/>
      </rPr>
      <t xml:space="preserve">不出现几率</t>
    </r>
    <r>
      <rPr>
        <b val="true"/>
        <sz val="11"/>
        <color rgb="FF1F4E79"/>
        <rFont val="Cambria"/>
        <family val="0"/>
        <charset val="1"/>
      </rPr>
      <t xml:space="preserve">^N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</si>
  <si>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局</t>
  </si>
  <si>
    <r>
      <rPr>
        <b val="true"/>
        <sz val="11"/>
        <color rgb="FF1F4E79"/>
        <rFont val="Cambria"/>
        <family val="0"/>
        <charset val="1"/>
      </rPr>
      <t xml:space="preserve">P(</t>
    </r>
    <r>
      <rPr>
        <b val="true"/>
        <sz val="11"/>
        <color rgb="FF1F4E79"/>
        <rFont val="Noto Sans SC"/>
        <family val="2"/>
        <charset val="134"/>
      </rPr>
      <t xml:space="preserve">无粘</t>
    </r>
    <r>
      <rPr>
        <b val="true"/>
        <sz val="11"/>
        <color rgb="FF1F4E79"/>
        <rFont val="Cambria"/>
        <family val="0"/>
        <charset val="1"/>
      </rPr>
      <t xml:space="preserve">)</t>
    </r>
  </si>
  <si>
    <r>
      <rPr>
        <b val="true"/>
        <sz val="11"/>
        <color rgb="FF1F4E79"/>
        <rFont val="Cambria"/>
        <family val="0"/>
        <charset val="1"/>
      </rPr>
      <t xml:space="preserve">P(</t>
    </r>
    <r>
      <rPr>
        <b val="true"/>
        <sz val="11"/>
        <color rgb="FF1F4E79"/>
        <rFont val="Noto Sans SC"/>
        <family val="2"/>
        <charset val="134"/>
      </rPr>
      <t xml:space="preserve">仅列</t>
    </r>
    <r>
      <rPr>
        <b val="true"/>
        <sz val="11"/>
        <color rgb="FF1F4E79"/>
        <rFont val="Cambria"/>
        <family val="0"/>
        <charset val="1"/>
      </rPr>
      <t xml:space="preserve">2)</t>
    </r>
  </si>
  <si>
    <r>
      <rPr>
        <b val="true"/>
        <sz val="11"/>
        <color rgb="FF1F4E79"/>
        <rFont val="Cambria"/>
        <family val="0"/>
        <charset val="1"/>
      </rPr>
      <t xml:space="preserve">P(</t>
    </r>
    <r>
      <rPr>
        <b val="true"/>
        <sz val="11"/>
        <color rgb="FF1F4E79"/>
        <rFont val="Noto Sans SC"/>
        <family val="2"/>
        <charset val="134"/>
      </rPr>
      <t xml:space="preserve">仅列</t>
    </r>
    <r>
      <rPr>
        <b val="true"/>
        <sz val="11"/>
        <color rgb="FF1F4E79"/>
        <rFont val="Cambria"/>
        <family val="0"/>
        <charset val="1"/>
      </rPr>
      <t xml:space="preserve">3)</t>
    </r>
  </si>
  <si>
    <r>
      <rPr>
        <b val="true"/>
        <sz val="11"/>
        <color rgb="FF1F4E79"/>
        <rFont val="Cambria"/>
        <family val="0"/>
        <charset val="1"/>
      </rPr>
      <t xml:space="preserve">P(</t>
    </r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2+</t>
    </r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3)</t>
    </r>
  </si>
  <si>
    <r>
      <rPr>
        <b val="true"/>
        <sz val="11"/>
        <color rgb="FF1F4E79"/>
        <rFont val="Noto Sans SC"/>
        <family val="2"/>
        <charset val="134"/>
      </rPr>
      <t xml:space="preserve">本局 </t>
    </r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期望</t>
    </r>
  </si>
  <si>
    <r>
      <rPr>
        <sz val="11"/>
        <color theme="1"/>
        <rFont val="Noto Sans SC"/>
        <family val="2"/>
        <charset val="134"/>
      </rPr>
      <t xml:space="preserve">本局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SC"/>
        <family val="2"/>
        <charset val="134"/>
      </rPr>
      <t xml:space="preserve">（该分布概率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该分布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）</t>
    </r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</si>
  <si>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SC"/>
        <family val="2"/>
        <charset val="134"/>
      </rPr>
      <t xml:space="preserve">局 </t>
    </r>
    <r>
      <rPr>
        <b val="true"/>
        <sz val="11"/>
        <rFont val="Cambria"/>
        <family val="0"/>
        <charset val="1"/>
      </rPr>
      <t xml:space="preserve">RTP </t>
    </r>
    <r>
      <rPr>
        <b val="true"/>
        <sz val="11"/>
        <rFont val="Noto Sans SC"/>
        <family val="2"/>
        <charset val="134"/>
      </rPr>
      <t xml:space="preserve">合计（免费摇发放倍数期望）</t>
    </r>
  </si>
  <si>
    <t xml:space="preserve">原文⑩</t>
  </si>
  <si>
    <r>
      <rPr>
        <b val="true"/>
        <sz val="11"/>
        <rFont val="Noto Sans SC"/>
        <family val="2"/>
        <charset val="134"/>
      </rPr>
      <t xml:space="preserve">免费摇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</si>
  <si>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＝ 触发几率 </t>
    </r>
    <r>
      <rPr>
        <sz val="11"/>
        <color theme="1"/>
        <rFont val="Calibri"/>
        <family val="2"/>
        <charset val="1"/>
      </rPr>
      <t xml:space="preserve">0.52% × </t>
    </r>
    <r>
      <rPr>
        <sz val="11"/>
        <color theme="1"/>
        <rFont val="Noto Sans SC"/>
        <family val="2"/>
        <charset val="134"/>
      </rPr>
      <t xml:space="preserve">合计</t>
    </r>
  </si>
  <si>
    <r>
      <rPr>
        <b val="true"/>
        <sz val="11"/>
        <rFont val="Noto Sans SC"/>
        <family val="2"/>
        <charset val="134"/>
      </rPr>
      <t xml:space="preserve">普通摇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</si>
  <si>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原文③：</t>
    </r>
    <r>
      <rPr>
        <sz val="11"/>
        <color theme="1"/>
        <rFont val="Calibri"/>
        <family val="2"/>
        <charset val="1"/>
      </rPr>
      <t xml:space="preserve">0.4826</t>
    </r>
  </si>
  <si>
    <r>
      <rPr>
        <b val="true"/>
        <sz val="11"/>
        <rFont val="Noto Sans SC"/>
        <family val="2"/>
        <charset val="134"/>
      </rPr>
      <t xml:space="preserve">综合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</si>
  <si>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原文⑪：</t>
    </r>
    <r>
      <rPr>
        <sz val="11"/>
        <color theme="1"/>
        <rFont val="Calibri"/>
        <family val="2"/>
        <charset val="1"/>
      </rPr>
      <t xml:space="preserve">0.9226</t>
    </r>
  </si>
  <si>
    <r>
      <rPr>
        <sz val="11"/>
        <color rgb="FF808080"/>
        <rFont val="Noto Sans SC"/>
        <family val="2"/>
        <charset val="134"/>
      </rPr>
      <t xml:space="preserve">原文⑧给出的各局概率：无粘在第 </t>
    </r>
    <r>
      <rPr>
        <sz val="11"/>
        <color rgb="FF808080"/>
        <rFont val="Cambria"/>
        <family val="0"/>
        <charset val="1"/>
      </rPr>
      <t xml:space="preserve">1/2/3 </t>
    </r>
    <r>
      <rPr>
        <sz val="11"/>
        <color rgb="FF808080"/>
        <rFont val="Noto Sans SC"/>
        <family val="2"/>
        <charset val="134"/>
      </rPr>
      <t xml:space="preserve">局为 </t>
    </r>
    <r>
      <rPr>
        <sz val="11"/>
        <color rgb="FF808080"/>
        <rFont val="Cambria"/>
        <family val="0"/>
        <charset val="1"/>
      </rPr>
      <t xml:space="preserve">100% / 25% / 6.25%</t>
    </r>
    <r>
      <rPr>
        <sz val="11"/>
        <color rgb="FF808080"/>
        <rFont val="Noto Sans SC"/>
        <family val="2"/>
        <charset val="134"/>
      </rPr>
      <t xml:space="preserve">（＝</t>
    </r>
    <r>
      <rPr>
        <sz val="11"/>
        <color rgb="FF808080"/>
        <rFont val="Cambria"/>
        <family val="0"/>
        <charset val="1"/>
      </rPr>
      <t xml:space="preserve">0.5^(2(N−1))</t>
    </r>
    <r>
      <rPr>
        <sz val="11"/>
        <color rgb="FF808080"/>
        <rFont val="Noto Sans SC"/>
        <family val="2"/>
        <charset val="134"/>
      </rPr>
      <t xml:space="preserve">）；仅列</t>
    </r>
    <r>
      <rPr>
        <sz val="11"/>
        <color rgb="FF808080"/>
        <rFont val="Cambria"/>
        <family val="0"/>
        <charset val="1"/>
      </rPr>
      <t xml:space="preserve">2 </t>
    </r>
    <r>
      <rPr>
        <sz val="11"/>
        <color rgb="FF808080"/>
        <rFont val="Noto Sans SC"/>
        <family val="2"/>
        <charset val="134"/>
      </rPr>
      <t xml:space="preserve">或仅列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SC"/>
        <family val="2"/>
        <charset val="134"/>
      </rPr>
      <t xml:space="preserve">为 </t>
    </r>
    <r>
      <rPr>
        <sz val="11"/>
        <color rgb="FF808080"/>
        <rFont val="Cambria"/>
        <family val="0"/>
        <charset val="1"/>
      </rPr>
      <t xml:space="preserve">0% / 25% / 18.75%</t>
    </r>
    <r>
      <rPr>
        <sz val="11"/>
        <color rgb="FF808080"/>
        <rFont val="Noto Sans SC"/>
        <family val="2"/>
        <charset val="134"/>
      </rPr>
      <t xml:space="preserve">；两列都粘为 </t>
    </r>
    <r>
      <rPr>
        <sz val="11"/>
        <color rgb="FF808080"/>
        <rFont val="Cambria"/>
        <family val="0"/>
        <charset val="1"/>
      </rPr>
      <t xml:space="preserve">0% / 25% / 56.25% —— </t>
    </r>
    <r>
      <rPr>
        <sz val="11"/>
        <color rgb="FF808080"/>
        <rFont val="Noto Sans SC"/>
        <family val="2"/>
        <charset val="134"/>
      </rPr>
      <t xml:space="preserve">本表公式与之完全一致。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</si>
  <si>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10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</si>
  <si>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</si>
  <si>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</si>
  <si>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总事件数 ＝ </t>
    </r>
    <r>
      <rPr>
        <sz val="11"/>
        <color theme="1"/>
        <rFont val="Calibri"/>
        <family val="2"/>
        <charset val="1"/>
      </rPr>
      <t xml:space="preserve">1,728</t>
    </r>
  </si>
  <si>
    <t xml:space="preserve">12³</t>
  </si>
  <si>
    <r>
      <rPr>
        <sz val="11"/>
        <color theme="1"/>
        <rFont val="Noto Sans SC"/>
        <family val="2"/>
        <charset val="134"/>
      </rPr>
      <t xml:space="preserve">普通摇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个标准图标事件数 ＝ 原文②</t>
    </r>
  </si>
  <si>
    <r>
      <rPr>
        <sz val="11"/>
        <color theme="1"/>
        <rFont val="Noto Sans SC"/>
        <family val="2"/>
        <charset val="134"/>
      </rPr>
      <t xml:space="preserve">原文②：列</t>
    </r>
    <r>
      <rPr>
        <sz val="11"/>
        <color theme="1"/>
        <rFont val="Calibri"/>
        <family val="2"/>
        <charset val="1"/>
      </rPr>
      <t xml:space="preserve">1 2/2/2/2/3</t>
    </r>
  </si>
  <si>
    <r>
      <rPr>
        <sz val="11"/>
        <color theme="1"/>
        <rFont val="Noto Sans SC"/>
        <family val="2"/>
        <charset val="134"/>
      </rPr>
      <t xml:space="preserve">普通摇标准图标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0.4826</t>
    </r>
  </si>
  <si>
    <t xml:space="preserve">原文③</t>
  </si>
  <si>
    <r>
      <rPr>
        <sz val="11"/>
        <color theme="1"/>
        <rFont val="Noto Sans SC"/>
        <family val="2"/>
        <charset val="134"/>
      </rPr>
      <t xml:space="preserve">触发免费摇几率 ＝ 原文 </t>
    </r>
    <r>
      <rPr>
        <sz val="11"/>
        <color theme="1"/>
        <rFont val="Calibri"/>
        <family val="2"/>
        <charset val="1"/>
      </rPr>
      <t xml:space="preserve">0.52%</t>
    </r>
  </si>
  <si>
    <t xml:space="preserve">9 / 1,728</t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</si>
  <si>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粘性几率 ＝ 原文 </t>
    </r>
    <r>
      <rPr>
        <sz val="11"/>
        <color theme="1"/>
        <rFont val="Calibri"/>
        <family val="2"/>
        <charset val="1"/>
      </rPr>
      <t xml:space="preserve">0% / 50% / 50%</t>
    </r>
  </si>
  <si>
    <t xml:space="preserve">原文⑥</t>
  </si>
  <si>
    <r>
      <rPr>
        <sz val="11"/>
        <color theme="1"/>
        <rFont val="Noto Sans SC"/>
        <family val="2"/>
        <charset val="134"/>
      </rPr>
      <t xml:space="preserve">分布情况数 ＝ 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</si>
  <si>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Noto Sans SC"/>
        <family val="2"/>
        <charset val="134"/>
      </rPr>
      <t xml:space="preserve">原文⑦：</t>
    </r>
    <r>
      <rPr>
        <sz val="11"/>
        <color theme="1"/>
        <rFont val="Calibri"/>
        <family val="2"/>
        <charset val="1"/>
      </rPr>
      <t xml:space="preserve">C(3,0)+…+C(3,3)</t>
    </r>
  </si>
  <si>
    <r>
      <rPr>
        <sz val="11"/>
        <color theme="1"/>
        <rFont val="Noto Sans SC"/>
        <family val="2"/>
        <charset val="134"/>
      </rPr>
      <t xml:space="preserve">各分布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3.9838 / 6.1944 / 9.6667</t>
    </r>
  </si>
  <si>
    <t xml:space="preserve">原文⑨</t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</si>
  <si>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局无粘概率 ＝ </t>
    </r>
    <r>
      <rPr>
        <sz val="11"/>
        <color theme="1"/>
        <rFont val="Calibri"/>
        <family val="2"/>
        <charset val="1"/>
      </rPr>
      <t xml:space="preserve">25%</t>
    </r>
  </si>
  <si>
    <t xml:space="preserve">原文⑧</t>
  </si>
  <si>
    <r>
      <rPr>
        <sz val="11"/>
        <color theme="1"/>
        <rFont val="Noto Sans SC"/>
        <family val="2"/>
        <charset val="134"/>
      </rPr>
      <t xml:space="preserve">免费摇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0.4400</t>
    </r>
  </si>
  <si>
    <t xml:space="preserve">原文⑪</t>
  </si>
  <si>
    <r>
      <rPr>
        <sz val="11"/>
        <color theme="1"/>
        <rFont val="Noto Sans SC"/>
        <family val="2"/>
        <charset val="134"/>
      </rPr>
      <t xml:space="preserve">综合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原文 </t>
    </r>
    <r>
      <rPr>
        <sz val="11"/>
        <color theme="1"/>
        <rFont val="Calibri"/>
        <family val="2"/>
        <charset val="1"/>
      </rPr>
      <t xml:space="preserve">0.9226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</si>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</sst>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00"/>
    <numFmt numFmtId="168" formatCode="0.0000%"/>
    <numFmt numFmtId="169" formatCode="0.000000000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2" t="s">
        <v>5</v>
      </c>
    </row>
    <row r="8" customFormat="false" ht="15.5" hidden="false" customHeight="false" outlineLevel="0" collapsed="false">
      <c r="A8" s="2" t="s">
        <v>6</v>
      </c>
    </row>
    <row r="9" customFormat="false" ht="15.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29" hidden="false" customHeight="false" outlineLevel="0" collapsed="false">
      <c r="A12" s="31" t="s">
        <v>9</v>
      </c>
    </row>
    <row r="13" customFormat="false" ht="29" hidden="false" customHeight="false" outlineLevel="0" collapsed="false">
      <c r="A13" s="31" t="s">
        <v>10</v>
      </c>
    </row>
    <row r="14" customFormat="false" ht="15" hidden="false" customHeight="false" outlineLevel="0" collapsed="false">
      <c r="A14" s="5"/>
    </row>
    <row r="15" customFormat="false" ht="15" hidden="false" customHeight="false" outlineLevel="0" collapsed="false">
      <c r="A15" s="4" t="s">
        <v>11</v>
      </c>
    </row>
    <row r="16" customFormat="false" ht="15" hidden="false" customHeight="1" outlineLevel="0" collapsed="false">
      <c r="A16" s="32" t="s">
        <v>12</v>
      </c>
      <c r="B16" s="6"/>
      <c r="C16" s="6"/>
    </row>
    <row r="17" customFormat="false" ht="42" hidden="false" customHeight="false" outlineLevel="0" collapsed="false">
      <c r="A17" s="31" t="s">
        <v>13</v>
      </c>
    </row>
    <row r="18" customFormat="false" ht="15" hidden="false" customHeight="1" outlineLevel="0" collapsed="false">
      <c r="A18" s="32" t="s">
        <v>14</v>
      </c>
      <c r="B18" s="6"/>
      <c r="C18" s="6"/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4" t="s">
        <v>15</v>
      </c>
    </row>
    <row r="21" customFormat="false" ht="30" hidden="false" customHeight="false" outlineLevel="0" collapsed="false">
      <c r="A21" s="31" t="s">
        <v>16</v>
      </c>
    </row>
    <row r="22" customFormat="false" ht="43" hidden="false" customHeight="false" outlineLevel="0" collapsed="false">
      <c r="A22" s="33" t="s">
        <v>17</v>
      </c>
    </row>
    <row r="23" customFormat="false" ht="29" hidden="false" customHeight="false" outlineLevel="0" collapsed="false">
      <c r="A23" s="31" t="s">
        <v>18</v>
      </c>
    </row>
    <row r="24" customFormat="false" ht="30" hidden="false" customHeight="false" outlineLevel="0" collapsed="false">
      <c r="A24" s="31" t="s">
        <v>19</v>
      </c>
    </row>
    <row r="25" customFormat="false" ht="30" hidden="false" customHeight="false" outlineLevel="0" collapsed="false">
      <c r="A25" s="31" t="s">
        <v>20</v>
      </c>
    </row>
    <row r="26" customFormat="false" ht="30" hidden="false" customHeight="false" outlineLevel="0" collapsed="false">
      <c r="A26" s="33" t="s">
        <v>21</v>
      </c>
    </row>
    <row r="27" customFormat="false" ht="15" hidden="false" customHeight="1" outlineLevel="0" collapsed="false">
      <c r="A27" s="32" t="s">
        <v>22</v>
      </c>
      <c r="B27" s="6"/>
      <c r="C27" s="6"/>
    </row>
    <row r="28" customFormat="false" ht="30" hidden="false" customHeight="false" outlineLevel="0" collapsed="false">
      <c r="A28" s="33" t="s">
        <v>23</v>
      </c>
    </row>
    <row r="29" customFormat="false" ht="29" hidden="false" customHeight="false" outlineLevel="0" collapsed="false">
      <c r="A29" s="33" t="s">
        <v>24</v>
      </c>
    </row>
    <row r="30" customFormat="false" ht="30" hidden="false" customHeight="false" outlineLevel="0" collapsed="false">
      <c r="A30" s="33" t="s">
        <v>25</v>
      </c>
    </row>
    <row r="31" customFormat="false" ht="30" hidden="false" customHeight="false" outlineLevel="0" collapsed="false">
      <c r="A31" s="33" t="s">
        <v>26</v>
      </c>
    </row>
    <row r="33" customFormat="false" ht="15" hidden="false" customHeight="false" outlineLevel="0" collapsed="false">
      <c r="A33" s="4" t="s">
        <v>27</v>
      </c>
    </row>
    <row r="34" customFormat="false" ht="15" hidden="false" customHeight="false" outlineLevel="0" collapsed="false">
      <c r="A34" s="7"/>
    </row>
    <row r="35" customFormat="false" ht="29" hidden="false" customHeight="false" outlineLevel="0" collapsed="false">
      <c r="A35" s="33" t="s">
        <v>28</v>
      </c>
    </row>
    <row r="36" customFormat="false" ht="16" hidden="false" customHeight="false" outlineLevel="0" collapsed="false">
      <c r="A36" s="5" t="s">
        <v>29</v>
      </c>
    </row>
    <row r="37" customFormat="false" ht="30" hidden="false" customHeight="false" outlineLevel="0" collapsed="false">
      <c r="A37" s="33" t="s">
        <v>30</v>
      </c>
    </row>
    <row r="38" customFormat="false" ht="15" hidden="false" customHeight="false" outlineLevel="0" collapsed="false">
      <c r="A38" s="7" t="s">
        <v>31</v>
      </c>
    </row>
    <row r="39" customFormat="false" ht="15" hidden="false" customHeight="false" outlineLevel="0" collapsed="false">
      <c r="A39" s="7" t="s">
        <v>32</v>
      </c>
    </row>
    <row r="40" customFormat="false" ht="16" hidden="false" customHeight="false" outlineLevel="0" collapsed="false">
      <c r="A40" s="5" t="s">
        <v>33</v>
      </c>
    </row>
    <row r="41" customFormat="false" ht="16" hidden="false" customHeight="false" outlineLevel="0" collapsed="false">
      <c r="A41" s="5" t="s">
        <v>34</v>
      </c>
    </row>
    <row r="42" customFormat="false" ht="15" hidden="false" customHeight="false" outlineLevel="0" collapsed="false">
      <c r="A42" s="7" t="s">
        <v>35</v>
      </c>
    </row>
    <row r="43" customFormat="false" ht="16" hidden="false" customHeight="false" outlineLevel="0" collapsed="false">
      <c r="A43" s="5" t="s">
        <v>36</v>
      </c>
    </row>
    <row r="44" customFormat="false" ht="16" hidden="false" customHeight="false" outlineLevel="0" collapsed="false">
      <c r="A44" s="5" t="s">
        <v>37</v>
      </c>
    </row>
    <row r="45" customFormat="false" ht="15" hidden="false" customHeight="false" outlineLevel="0" collapsed="false">
      <c r="A45" s="7" t="s">
        <v>38</v>
      </c>
    </row>
    <row r="46" customFormat="false" ht="16" hidden="false" customHeight="false" outlineLevel="0" collapsed="false">
      <c r="A46" s="5" t="s">
        <v>39</v>
      </c>
    </row>
    <row r="47" customFormat="false" ht="15" hidden="false" customHeight="1" outlineLevel="0" collapsed="false">
      <c r="A47" s="32" t="s">
        <v>40</v>
      </c>
      <c r="B47" s="6"/>
      <c r="C47" s="6"/>
      <c r="D47" s="6"/>
    </row>
    <row r="48" customFormat="false" ht="28" hidden="false" customHeight="false" outlineLevel="0" collapsed="false">
      <c r="A48" s="33" t="s">
        <v>41</v>
      </c>
    </row>
    <row r="49" customFormat="false" ht="30" hidden="false" customHeight="false" outlineLevel="0" collapsed="false">
      <c r="A49" s="33" t="s">
        <v>42</v>
      </c>
    </row>
    <row r="50" customFormat="false" ht="43" hidden="false" customHeight="false" outlineLevel="0" collapsed="false">
      <c r="A50" s="33" t="s">
        <v>43</v>
      </c>
    </row>
    <row r="51" customFormat="false" ht="28" hidden="false" customHeight="false" outlineLevel="0" collapsed="false">
      <c r="A51" s="33" t="s">
        <v>44</v>
      </c>
    </row>
    <row r="52" customFormat="false" ht="16" hidden="false" customHeight="false" outlineLevel="0" collapsed="false">
      <c r="A52" s="33" t="s">
        <v>45</v>
      </c>
    </row>
    <row r="53" customFormat="false" ht="15" hidden="false" customHeight="false" outlineLevel="0" collapsed="false">
      <c r="A53" s="7" t="s">
        <v>46</v>
      </c>
    </row>
    <row r="54" customFormat="false" ht="15" hidden="false" customHeight="false" outlineLevel="0" collapsed="false">
      <c r="A54" s="7"/>
    </row>
    <row r="55" customFormat="false" ht="16" hidden="false" customHeight="false" outlineLevel="0" collapsed="false">
      <c r="A55" s="7" t="s">
        <v>47</v>
      </c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 t="s">
        <v>48</v>
      </c>
    </row>
    <row r="58" customFormat="false" ht="30" hidden="false" customHeight="false" outlineLevel="0" collapsed="false">
      <c r="A58" s="33" t="s">
        <v>49</v>
      </c>
    </row>
    <row r="59" customFormat="false" ht="16" hidden="false" customHeight="false" outlineLevel="0" collapsed="false">
      <c r="A59" s="7" t="s">
        <v>50</v>
      </c>
    </row>
    <row r="60" customFormat="false" ht="15" hidden="false" customHeight="false" outlineLevel="0" collapsed="false">
      <c r="A60" s="7" t="s">
        <v>51</v>
      </c>
    </row>
    <row r="61" customFormat="false" ht="15" hidden="false" customHeight="false" outlineLevel="0" collapsed="false">
      <c r="A61" s="7"/>
    </row>
    <row r="62" customFormat="false" ht="16" hidden="false" customHeight="false" outlineLevel="0" collapsed="false">
      <c r="A62" s="7" t="s">
        <v>52</v>
      </c>
    </row>
    <row r="63" customFormat="false" ht="15" hidden="false" customHeight="false" outlineLevel="0" collapsed="false">
      <c r="A63" s="7"/>
    </row>
    <row r="64" customFormat="false" ht="28" hidden="false" customHeight="false" outlineLevel="0" collapsed="false">
      <c r="A64" s="33" t="s">
        <v>53</v>
      </c>
    </row>
    <row r="65" customFormat="false" ht="15" hidden="false" customHeight="1" outlineLevel="0" collapsed="false">
      <c r="A65" s="34" t="s">
        <v>54</v>
      </c>
      <c r="B65" s="8"/>
      <c r="C65" s="8"/>
    </row>
    <row r="66" customFormat="false" ht="16" hidden="false" customHeight="false" outlineLevel="0" collapsed="false">
      <c r="A66" s="7" t="s">
        <v>55</v>
      </c>
    </row>
    <row r="67" customFormat="false" ht="15" hidden="false" customHeight="false" outlineLevel="0" collapsed="false">
      <c r="A67" s="7"/>
    </row>
    <row r="68" customFormat="false" ht="16" hidden="false" customHeight="false" outlineLevel="0" collapsed="false">
      <c r="A68" s="7" t="s">
        <v>56</v>
      </c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 t="s">
        <v>57</v>
      </c>
    </row>
    <row r="71" customFormat="false" ht="15" hidden="false" customHeight="false" outlineLevel="0" collapsed="false">
      <c r="A71" s="7"/>
    </row>
    <row r="72" customFormat="false" ht="16" hidden="false" customHeight="false" outlineLevel="0" collapsed="false">
      <c r="A72" s="7" t="s">
        <v>58</v>
      </c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 t="s">
        <v>59</v>
      </c>
    </row>
    <row r="75" customFormat="false" ht="15" hidden="false" customHeight="false" outlineLevel="0" collapsed="false">
      <c r="A75" s="7"/>
    </row>
    <row r="76" customFormat="false" ht="16" hidden="false" customHeight="false" outlineLevel="0" collapsed="false">
      <c r="A76" s="7" t="s">
        <v>60</v>
      </c>
    </row>
    <row r="77" customFormat="false" ht="15" hidden="false" customHeight="false" outlineLevel="0" collapsed="false">
      <c r="A77" s="7"/>
    </row>
    <row r="78" customFormat="false" ht="16" hidden="false" customHeight="false" outlineLevel="0" collapsed="false">
      <c r="A78" s="33" t="s">
        <v>61</v>
      </c>
    </row>
    <row r="79" customFormat="false" ht="30" hidden="false" customHeight="false" outlineLevel="0" collapsed="false">
      <c r="A79" s="33" t="s">
        <v>62</v>
      </c>
    </row>
    <row r="80" customFormat="false" ht="16" hidden="false" customHeight="false" outlineLevel="0" collapsed="false">
      <c r="A80" s="7" t="s">
        <v>63</v>
      </c>
    </row>
    <row r="81" customFormat="false" ht="29" hidden="false" customHeight="false" outlineLevel="0" collapsed="false">
      <c r="A81" s="33" t="s">
        <v>64</v>
      </c>
    </row>
    <row r="82" customFormat="false" ht="30" hidden="false" customHeight="false" outlineLevel="0" collapsed="false">
      <c r="A82" s="33" t="s">
        <v>65</v>
      </c>
    </row>
    <row r="83" customFormat="false" ht="30" hidden="false" customHeight="false" outlineLevel="0" collapsed="false">
      <c r="A83" s="33" t="s">
        <v>66</v>
      </c>
    </row>
    <row r="84" customFormat="false" ht="15" hidden="false" customHeight="false" outlineLevel="0" collapsed="false">
      <c r="A84" s="7"/>
    </row>
    <row r="85" customFormat="false" ht="16" hidden="false" customHeight="false" outlineLevel="0" collapsed="false">
      <c r="A85" s="7" t="s">
        <v>67</v>
      </c>
    </row>
    <row r="86" customFormat="false" ht="15" hidden="false" customHeight="false" outlineLevel="0" collapsed="false">
      <c r="A86" s="7"/>
    </row>
    <row r="87" customFormat="false" ht="16" hidden="false" customHeight="false" outlineLevel="0" collapsed="false">
      <c r="A87" s="33" t="s">
        <v>68</v>
      </c>
    </row>
    <row r="88" customFormat="false" ht="15" hidden="false" customHeight="false" outlineLevel="0" collapsed="false">
      <c r="A88" s="7"/>
    </row>
    <row r="89" customFormat="false" ht="16" hidden="false" customHeight="false" outlineLevel="0" collapsed="false">
      <c r="A89" s="7" t="s">
        <v>69</v>
      </c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 t="s">
        <v>70</v>
      </c>
    </row>
    <row r="92" customFormat="false" ht="15" hidden="false" customHeight="false" outlineLevel="0" collapsed="false">
      <c r="A92" s="7"/>
    </row>
    <row r="93" customFormat="false" ht="16" hidden="false" customHeight="false" outlineLevel="0" collapsed="false">
      <c r="A93" s="33" t="s">
        <v>71</v>
      </c>
    </row>
    <row r="94" customFormat="false" ht="30" hidden="false" customHeight="false" outlineLevel="0" collapsed="false">
      <c r="A94" s="33" t="s">
        <v>72</v>
      </c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 t="s">
        <v>73</v>
      </c>
    </row>
    <row r="97" customFormat="false" ht="29" hidden="false" customHeight="false" outlineLevel="0" collapsed="false">
      <c r="A97" s="33" t="s">
        <v>74</v>
      </c>
    </row>
    <row r="98" customFormat="false" ht="30" hidden="false" customHeight="false" outlineLevel="0" collapsed="false">
      <c r="A98" s="33" t="s">
        <v>75</v>
      </c>
    </row>
    <row r="99" customFormat="false" ht="30" hidden="false" customHeight="false" outlineLevel="0" collapsed="false">
      <c r="A99" s="33" t="s">
        <v>76</v>
      </c>
    </row>
    <row r="100" customFormat="false" ht="29" hidden="false" customHeight="false" outlineLevel="0" collapsed="false">
      <c r="A100" s="33" t="s">
        <v>77</v>
      </c>
    </row>
    <row r="101" customFormat="false" ht="15" hidden="false" customHeight="false" outlineLevel="0" collapsed="false">
      <c r="A101" s="7"/>
    </row>
    <row r="102" customFormat="false" ht="16" hidden="false" customHeight="false" outlineLevel="0" collapsed="false">
      <c r="A102" s="7" t="s">
        <v>78</v>
      </c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 t="s">
        <v>79</v>
      </c>
    </row>
    <row r="105" customFormat="false" ht="16" hidden="false" customHeight="false" outlineLevel="0" collapsed="false">
      <c r="A105" s="33" t="s">
        <v>80</v>
      </c>
    </row>
    <row r="106" customFormat="false" ht="15" hidden="false" customHeight="false" outlineLevel="0" collapsed="false">
      <c r="A106" s="7"/>
    </row>
    <row r="107" customFormat="false" ht="16" hidden="false" customHeight="false" outlineLevel="0" collapsed="false">
      <c r="A107" s="7" t="s">
        <v>81</v>
      </c>
    </row>
    <row r="108" customFormat="false" ht="29" hidden="false" customHeight="false" outlineLevel="0" collapsed="false">
      <c r="A108" s="33" t="s">
        <v>82</v>
      </c>
    </row>
    <row r="109" customFormat="false" ht="15" hidden="false" customHeight="false" outlineLevel="0" collapsed="false">
      <c r="A109" s="7"/>
    </row>
    <row r="110" customFormat="false" ht="16" hidden="false" customHeight="false" outlineLevel="0" collapsed="false">
      <c r="A110" s="7" t="s">
        <v>83</v>
      </c>
    </row>
    <row r="111" customFormat="false" ht="15" hidden="false" customHeight="false" outlineLevel="0" collapsed="false">
      <c r="A111" s="7"/>
    </row>
    <row r="112" customFormat="false" ht="16" hidden="false" customHeight="false" outlineLevel="0" collapsed="false">
      <c r="A112" s="7" t="s">
        <v>84</v>
      </c>
    </row>
    <row r="113" customFormat="false" ht="29" hidden="false" customHeight="false" outlineLevel="0" collapsed="false">
      <c r="A113" s="33" t="s">
        <v>85</v>
      </c>
    </row>
    <row r="114" customFormat="false" ht="30" hidden="false" customHeight="false" outlineLevel="0" collapsed="false">
      <c r="A114" s="33" t="s">
        <v>86</v>
      </c>
    </row>
    <row r="115" customFormat="false" ht="29" hidden="false" customHeight="false" outlineLevel="0" collapsed="false">
      <c r="A115" s="33" t="s">
        <v>87</v>
      </c>
    </row>
    <row r="116" customFormat="false" ht="15" hidden="false" customHeight="false" outlineLevel="0" collapsed="false">
      <c r="A116" s="7"/>
    </row>
    <row r="117" customFormat="false" ht="16" hidden="false" customHeight="false" outlineLevel="0" collapsed="false">
      <c r="A117" s="7" t="s">
        <v>88</v>
      </c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 t="s">
        <v>89</v>
      </c>
    </row>
    <row r="120" customFormat="false" ht="15" hidden="false" customHeight="1" outlineLevel="0" collapsed="false">
      <c r="A120" s="34" t="s">
        <v>90</v>
      </c>
      <c r="B120" s="8"/>
      <c r="C120" s="8"/>
    </row>
    <row r="121" customFormat="false" ht="15" hidden="false" customHeight="false" outlineLevel="0" collapsed="false">
      <c r="A121" s="7"/>
    </row>
    <row r="122" customFormat="false" ht="16" hidden="false" customHeight="false" outlineLevel="0" collapsed="false">
      <c r="A122" s="7" t="s">
        <v>91</v>
      </c>
    </row>
    <row r="124" customFormat="false" ht="29" hidden="false" customHeight="false" outlineLevel="0" collapsed="false">
      <c r="A124" s="35" t="s">
        <v>92</v>
      </c>
    </row>
    <row r="125" customFormat="false" ht="15.5" hidden="false" customHeight="false" outlineLevel="0" collapsed="false">
      <c r="A125" s="2" t="s">
        <v>93</v>
      </c>
    </row>
    <row r="126" customFormat="false" ht="15.5" hidden="false" customHeight="false" outlineLevel="0" collapsed="false">
      <c r="A126" s="2" t="s">
        <v>94</v>
      </c>
    </row>
    <row r="127" customFormat="false" ht="15.5" hidden="false" customHeight="false" outlineLevel="0" collapsed="false">
      <c r="A127" s="2" t="s">
        <v>95</v>
      </c>
    </row>
    <row r="128" customFormat="false" ht="15.5" hidden="false" customHeight="false" outlineLevel="0" collapsed="false">
      <c r="A128" s="2" t="s">
        <v>96</v>
      </c>
    </row>
    <row r="129" customFormat="false" ht="15.5" hidden="false" customHeight="false" outlineLevel="0" collapsed="false">
      <c r="A129" s="2" t="s">
        <v>97</v>
      </c>
    </row>
    <row r="130" customFormat="false" ht="15.5" hidden="false" customHeight="false" outlineLevel="0" collapsed="false">
      <c r="A130" s="2" t="s">
        <v>98</v>
      </c>
    </row>
    <row r="131" customFormat="false" ht="15.5" hidden="false" customHeight="false" outlineLevel="0" collapsed="false">
      <c r="A131" s="2" t="s">
        <v>99</v>
      </c>
    </row>
    <row r="132" customFormat="false" ht="15.5" hidden="false" customHeight="false" outlineLevel="0" collapsed="false">
      <c r="A132" s="2" t="s">
        <v>100</v>
      </c>
    </row>
    <row r="133" customFormat="false" ht="15.5" hidden="false" customHeight="false" outlineLevel="0" collapsed="false">
      <c r="A133" s="2" t="s">
        <v>101</v>
      </c>
    </row>
    <row r="134" customFormat="false" ht="15.5" hidden="false" customHeight="false" outlineLevel="0" collapsed="false">
      <c r="A134" s="2" t="s">
        <v>102</v>
      </c>
    </row>
    <row r="135" customFormat="false" ht="15.5" hidden="false" customHeight="false" outlineLevel="0" collapsed="false">
      <c r="A135" s="2" t="s">
        <v>103</v>
      </c>
    </row>
    <row r="137" customFormat="false" ht="15" hidden="false" customHeight="false" outlineLevel="0" collapsed="false">
      <c r="A137" s="4" t="s">
        <v>104</v>
      </c>
    </row>
    <row r="138" customFormat="false" ht="30" hidden="false" customHeight="false" outlineLevel="0" collapsed="false">
      <c r="A138" s="33" t="s">
        <v>105</v>
      </c>
    </row>
    <row r="139" customFormat="false" ht="28" hidden="false" customHeight="false" outlineLevel="0" collapsed="false">
      <c r="A139" s="33" t="s">
        <v>106</v>
      </c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4" t="s">
        <v>107</v>
      </c>
    </row>
    <row r="142" customFormat="false" ht="28" hidden="false" customHeight="false" outlineLevel="0" collapsed="false">
      <c r="A142" s="33" t="s">
        <v>108</v>
      </c>
    </row>
    <row r="143" customFormat="false" ht="29" hidden="false" customHeight="false" outlineLevel="0" collapsed="false">
      <c r="A143" s="33" t="s">
        <v>109</v>
      </c>
    </row>
    <row r="145" customFormat="false" ht="15.5" hidden="false" customHeight="false" outlineLevel="0" collapsed="false">
      <c r="A145" s="9" t="s">
        <v>110</v>
      </c>
    </row>
  </sheetData>
  <mergeCells count="8">
    <mergeCell ref="A5:L5"/>
    <mergeCell ref="A6:J6"/>
    <mergeCell ref="A16:I16"/>
    <mergeCell ref="A18:J18"/>
    <mergeCell ref="A27:I27"/>
    <mergeCell ref="A47:K47"/>
    <mergeCell ref="A65:J65"/>
    <mergeCell ref="A120:I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I165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111</v>
      </c>
      <c r="B1" s="11"/>
      <c r="C1" s="11"/>
      <c r="D1" s="11"/>
      <c r="E1" s="11"/>
      <c r="F1" s="11"/>
      <c r="G1" s="11"/>
      <c r="H1" s="11"/>
    </row>
    <row r="3" customFormat="false" ht="15.5" hidden="false" customHeight="false" outlineLevel="0" collapsed="false">
      <c r="A3" s="12" t="s">
        <v>112</v>
      </c>
      <c r="B3" s="12"/>
      <c r="C3" s="12"/>
      <c r="D3" s="13"/>
      <c r="E3" s="13"/>
      <c r="F3" s="13"/>
      <c r="G3" s="13"/>
      <c r="H3" s="13"/>
    </row>
    <row r="4" customFormat="false" ht="15" hidden="false" customHeight="false" outlineLevel="0" collapsed="false">
      <c r="A4" s="14" t="s">
        <v>113</v>
      </c>
      <c r="B4" s="14" t="s">
        <v>114</v>
      </c>
      <c r="C4" s="14" t="s">
        <v>107</v>
      </c>
      <c r="D4" s="14"/>
      <c r="E4" s="14"/>
      <c r="F4" s="14"/>
      <c r="G4" s="14"/>
      <c r="H4" s="14"/>
    </row>
    <row r="5" customFormat="false" ht="16" hidden="false" customHeight="false" outlineLevel="0" collapsed="false">
      <c r="A5" s="10" t="s">
        <v>115</v>
      </c>
      <c r="B5" s="15" t="s">
        <v>116</v>
      </c>
      <c r="C5" s="36">
        <v>1</v>
      </c>
      <c r="D5" s="16"/>
      <c r="E5" s="16"/>
      <c r="F5" s="16"/>
    </row>
    <row r="6" customFormat="false" ht="15" hidden="false" customHeight="false" outlineLevel="0" collapsed="false">
      <c r="A6" s="10" t="s">
        <v>118</v>
      </c>
      <c r="B6" s="15" t="n">
        <v>3</v>
      </c>
    </row>
    <row r="7" customFormat="false" ht="16" hidden="false" customHeight="false" outlineLevel="0" collapsed="false">
      <c r="A7" s="10" t="s">
        <v>119</v>
      </c>
      <c r="B7" s="15" t="n">
        <v>12</v>
      </c>
      <c r="C7" s="17" t="s">
        <v>120</v>
      </c>
      <c r="D7" s="17"/>
      <c r="E7" s="17"/>
    </row>
    <row r="8" customFormat="false" ht="16" hidden="false" customHeight="false" outlineLevel="0" collapsed="false">
      <c r="A8" s="10" t="s">
        <v>121</v>
      </c>
      <c r="B8" s="18" t="n">
        <f aca="false">B7^B6</f>
        <v>1728</v>
      </c>
      <c r="C8" s="17" t="s">
        <v>122</v>
      </c>
      <c r="D8" s="17"/>
    </row>
    <row r="9" customFormat="false" ht="16" hidden="false" customHeight="false" outlineLevel="0" collapsed="false">
      <c r="A9" s="10" t="s">
        <v>123</v>
      </c>
      <c r="B9" s="15" t="n">
        <v>10</v>
      </c>
      <c r="C9" s="17" t="s">
        <v>124</v>
      </c>
      <c r="D9" s="17"/>
      <c r="E9" s="17"/>
      <c r="F9" s="17"/>
    </row>
    <row r="10" customFormat="false" ht="16" hidden="false" customHeight="false" outlineLevel="0" collapsed="false">
      <c r="A10" s="10" t="s">
        <v>125</v>
      </c>
      <c r="B10" s="15" t="s">
        <v>126</v>
      </c>
      <c r="C10" s="36">
        <v>5</v>
      </c>
      <c r="D10" s="16"/>
      <c r="E10" s="16"/>
    </row>
    <row r="11" customFormat="false" ht="16" hidden="false" customHeight="false" outlineLevel="0" collapsed="false">
      <c r="A11" s="10" t="s">
        <v>128</v>
      </c>
      <c r="B11" s="19" t="s">
        <v>129</v>
      </c>
      <c r="C11" s="17" t="s">
        <v>130</v>
      </c>
      <c r="D11" s="17"/>
      <c r="E11" s="17"/>
      <c r="F11" s="17"/>
      <c r="G11" s="17"/>
    </row>
    <row r="13" customFormat="false" ht="15.5" hidden="false" customHeight="false" outlineLevel="0" collapsed="false">
      <c r="A13" s="12" t="s">
        <v>131</v>
      </c>
      <c r="B13" s="12"/>
      <c r="C13" s="12"/>
      <c r="D13" s="12"/>
      <c r="E13" s="12"/>
      <c r="F13" s="12"/>
      <c r="G13" s="13"/>
      <c r="H13" s="13"/>
    </row>
    <row r="14" customFormat="false" ht="15.5" hidden="false" customHeight="false" outlineLevel="0" collapsed="false">
      <c r="A14" s="14" t="s">
        <v>132</v>
      </c>
      <c r="B14" s="14" t="s">
        <v>133</v>
      </c>
      <c r="C14" s="14" t="s">
        <v>134</v>
      </c>
      <c r="D14" s="14" t="s">
        <v>135</v>
      </c>
      <c r="E14" s="14"/>
      <c r="F14" s="14" t="s">
        <v>107</v>
      </c>
    </row>
    <row r="15" customFormat="false" ht="16" hidden="false" customHeight="false" outlineLevel="0" collapsed="false">
      <c r="A15" s="10" t="n">
        <v>1</v>
      </c>
      <c r="B15" s="37">
        <v>9</v>
      </c>
      <c r="C15" s="15" t="s">
        <v>137</v>
      </c>
      <c r="D15" s="37">
        <v>9</v>
      </c>
      <c r="G15" s="17" t="s">
        <v>138</v>
      </c>
      <c r="H15" s="17"/>
    </row>
    <row r="16" customFormat="false" ht="15" hidden="false" customHeight="false" outlineLevel="0" collapsed="false">
      <c r="A16" s="10" t="n">
        <v>2</v>
      </c>
      <c r="B16" s="37">
        <v>10</v>
      </c>
      <c r="C16" s="37">
        <v>10</v>
      </c>
      <c r="D16" s="15" t="s">
        <v>137</v>
      </c>
    </row>
    <row r="17" customFormat="false" ht="15" hidden="false" customHeight="false" outlineLevel="0" collapsed="false">
      <c r="A17" s="10" t="n">
        <v>3</v>
      </c>
      <c r="B17" s="15" t="s">
        <v>140</v>
      </c>
      <c r="C17" s="15" t="s">
        <v>140</v>
      </c>
      <c r="D17" s="15" t="s">
        <v>140</v>
      </c>
    </row>
    <row r="18" customFormat="false" ht="15" hidden="false" customHeight="false" outlineLevel="0" collapsed="false">
      <c r="A18" s="10" t="n">
        <v>4</v>
      </c>
      <c r="B18" s="15" t="s">
        <v>141</v>
      </c>
      <c r="C18" s="15" t="s">
        <v>141</v>
      </c>
      <c r="D18" s="15" t="s">
        <v>141</v>
      </c>
    </row>
    <row r="19" customFormat="false" ht="15" hidden="false" customHeight="false" outlineLevel="0" collapsed="false">
      <c r="A19" s="10" t="n">
        <v>5</v>
      </c>
      <c r="B19" s="15" t="s">
        <v>142</v>
      </c>
      <c r="C19" s="15" t="s">
        <v>142</v>
      </c>
      <c r="D19" s="15" t="s">
        <v>142</v>
      </c>
    </row>
    <row r="20" customFormat="false" ht="15" hidden="false" customHeight="false" outlineLevel="0" collapsed="false">
      <c r="A20" s="10" t="n">
        <v>6</v>
      </c>
      <c r="B20" s="15" t="s">
        <v>142</v>
      </c>
      <c r="C20" s="15" t="s">
        <v>143</v>
      </c>
      <c r="D20" s="15" t="s">
        <v>143</v>
      </c>
    </row>
    <row r="21" customFormat="false" ht="15" hidden="false" customHeight="false" outlineLevel="0" collapsed="false">
      <c r="A21" s="10" t="n">
        <v>7</v>
      </c>
      <c r="B21" s="15" t="s">
        <v>137</v>
      </c>
      <c r="C21" s="15" t="s">
        <v>137</v>
      </c>
      <c r="D21" s="15" t="s">
        <v>137</v>
      </c>
    </row>
    <row r="22" customFormat="false" ht="15" hidden="false" customHeight="false" outlineLevel="0" collapsed="false">
      <c r="A22" s="10" t="n">
        <v>8</v>
      </c>
      <c r="B22" s="37">
        <v>9</v>
      </c>
      <c r="C22" s="37">
        <v>9</v>
      </c>
      <c r="D22" s="15" t="s">
        <v>137</v>
      </c>
    </row>
    <row r="23" customFormat="false" ht="15" hidden="false" customHeight="false" outlineLevel="0" collapsed="false">
      <c r="A23" s="10" t="n">
        <v>9</v>
      </c>
      <c r="B23" s="37">
        <v>10</v>
      </c>
      <c r="C23" s="15" t="s">
        <v>137</v>
      </c>
      <c r="D23" s="37">
        <v>10</v>
      </c>
    </row>
    <row r="24" customFormat="false" ht="15" hidden="false" customHeight="false" outlineLevel="0" collapsed="false">
      <c r="A24" s="10" t="n">
        <v>10</v>
      </c>
      <c r="B24" s="15" t="s">
        <v>140</v>
      </c>
      <c r="C24" s="15" t="s">
        <v>140</v>
      </c>
      <c r="D24" s="15" t="s">
        <v>140</v>
      </c>
    </row>
    <row r="25" customFormat="false" ht="15" hidden="false" customHeight="false" outlineLevel="0" collapsed="false">
      <c r="A25" s="10" t="n">
        <v>11</v>
      </c>
      <c r="B25" s="15" t="s">
        <v>141</v>
      </c>
      <c r="C25" s="15" t="s">
        <v>141</v>
      </c>
      <c r="D25" s="15" t="s">
        <v>141</v>
      </c>
    </row>
    <row r="26" customFormat="false" ht="15" hidden="false" customHeight="false" outlineLevel="0" collapsed="false">
      <c r="A26" s="10" t="n">
        <v>12</v>
      </c>
      <c r="B26" s="15" t="s">
        <v>142</v>
      </c>
      <c r="C26" s="15" t="s">
        <v>142</v>
      </c>
      <c r="D26" s="15" t="s">
        <v>142</v>
      </c>
    </row>
    <row r="27" customFormat="false" ht="15" hidden="false" customHeight="false" outlineLevel="0" collapsed="false">
      <c r="A27" s="10" t="s">
        <v>144</v>
      </c>
      <c r="B27" s="18" t="n">
        <f aca="false">COUNTA(B15:B26)</f>
        <v>12</v>
      </c>
      <c r="C27" s="18" t="n">
        <f aca="false">COUNTA(C15:C26)</f>
        <v>12</v>
      </c>
      <c r="D27" s="18" t="n">
        <f aca="false">COUNTA(D15:D26)</f>
        <v>12</v>
      </c>
    </row>
    <row r="29" customFormat="false" ht="15.5" hidden="false" customHeight="false" outlineLevel="0" collapsed="false">
      <c r="A29" s="12" t="s">
        <v>145</v>
      </c>
      <c r="B29" s="12"/>
      <c r="C29" s="12"/>
      <c r="D29" s="12"/>
      <c r="E29" s="12"/>
      <c r="F29" s="12"/>
      <c r="G29" s="13"/>
      <c r="H29" s="13"/>
    </row>
    <row r="30" customFormat="false" ht="15.5" hidden="false" customHeight="false" outlineLevel="0" collapsed="false">
      <c r="A30" s="14" t="s">
        <v>146</v>
      </c>
      <c r="B30" s="14" t="s">
        <v>133</v>
      </c>
      <c r="C30" s="14" t="s">
        <v>134</v>
      </c>
      <c r="D30" s="14" t="s">
        <v>135</v>
      </c>
      <c r="E30" s="14" t="s">
        <v>147</v>
      </c>
      <c r="F30" s="14" t="s">
        <v>148</v>
      </c>
      <c r="G30" s="14" t="s">
        <v>149</v>
      </c>
      <c r="H30" s="14" t="s">
        <v>150</v>
      </c>
    </row>
    <row r="31" customFormat="false" ht="15" hidden="false" customHeight="false" outlineLevel="0" collapsed="false">
      <c r="A31" s="38">
        <v>9</v>
      </c>
      <c r="B31" s="18" t="n">
        <f aca="false">COUNTIF(B15:B26,"9")+COUNTIF(B15:B26,"Wild")</f>
        <v>2</v>
      </c>
      <c r="C31" s="18" t="n">
        <f aca="false">COUNTIF(C15:C26,"9")+COUNTIF(C15:C26,"Wild")</f>
        <v>2</v>
      </c>
      <c r="D31" s="18" t="n">
        <f aca="false">COUNTIF(D15:D26,"9")+COUNTIF(D15:D26,"Wild")</f>
        <v>2</v>
      </c>
      <c r="E31" s="18" t="n">
        <f aca="false">B31*C31*D31</f>
        <v>8</v>
      </c>
      <c r="F31" s="40" t="n">
        <f aca="false">E31/$B$8</f>
        <v>0.00462962962962963</v>
      </c>
      <c r="G31" s="15" t="n">
        <v>1</v>
      </c>
      <c r="H31" s="22" t="n">
        <f aca="false">F31*G31</f>
        <v>0.00462962962962963</v>
      </c>
    </row>
    <row r="32" customFormat="false" ht="15" hidden="false" customHeight="false" outlineLevel="0" collapsed="false">
      <c r="A32" s="38">
        <v>10</v>
      </c>
      <c r="B32" s="18" t="n">
        <f aca="false">COUNTIF(B15:B26,"10")+COUNTIF(B15:B26,"Wild")</f>
        <v>2</v>
      </c>
      <c r="C32" s="18" t="n">
        <f aca="false">COUNTIF(C15:C26,"10")+COUNTIF(C15:C26,"Wild")</f>
        <v>2</v>
      </c>
      <c r="D32" s="18" t="n">
        <f aca="false">COUNTIF(D15:D26,"10")+COUNTIF(D15:D26,"Wild")</f>
        <v>2</v>
      </c>
      <c r="E32" s="18" t="n">
        <f aca="false">B32*C32*D32</f>
        <v>8</v>
      </c>
      <c r="F32" s="40" t="n">
        <f aca="false">E32/$B$8</f>
        <v>0.00462962962962963</v>
      </c>
      <c r="G32" s="15" t="n">
        <v>2</v>
      </c>
      <c r="H32" s="22" t="n">
        <f aca="false">F32*G32</f>
        <v>0.00925925925925926</v>
      </c>
    </row>
    <row r="33" customFormat="false" ht="15" hidden="false" customHeight="false" outlineLevel="0" collapsed="false">
      <c r="A33" s="20" t="s">
        <v>140</v>
      </c>
      <c r="B33" s="18" t="n">
        <f aca="false">COUNTIF(B15:B26,"J")+COUNTIF(B15:B26,"Wild")</f>
        <v>2</v>
      </c>
      <c r="C33" s="18" t="n">
        <f aca="false">COUNTIF(C15:C26,"J")+COUNTIF(C15:C26,"Wild")</f>
        <v>3</v>
      </c>
      <c r="D33" s="18" t="n">
        <f aca="false">COUNTIF(D15:D26,"J")+COUNTIF(D15:D26,"Wild")</f>
        <v>3</v>
      </c>
      <c r="E33" s="18" t="n">
        <f aca="false">B33*C33*D33</f>
        <v>18</v>
      </c>
      <c r="F33" s="40" t="n">
        <f aca="false">E33/$B$8</f>
        <v>0.0104166666666667</v>
      </c>
      <c r="G33" s="15" t="n">
        <v>5</v>
      </c>
      <c r="H33" s="22" t="n">
        <f aca="false">F33*G33</f>
        <v>0.0520833333333333</v>
      </c>
    </row>
    <row r="34" customFormat="false" ht="15" hidden="false" customHeight="false" outlineLevel="0" collapsed="false">
      <c r="A34" s="20" t="s">
        <v>141</v>
      </c>
      <c r="B34" s="18" t="n">
        <f aca="false">COUNTIF(B15:B26,"Q")+COUNTIF(B15:B26,"Wild")</f>
        <v>2</v>
      </c>
      <c r="C34" s="18" t="n">
        <f aca="false">COUNTIF(C15:C26,"Q")+COUNTIF(C15:C26,"Wild")</f>
        <v>3</v>
      </c>
      <c r="D34" s="18" t="n">
        <f aca="false">COUNTIF(D15:D26,"Q")+COUNTIF(D15:D26,"Wild")</f>
        <v>3</v>
      </c>
      <c r="E34" s="18" t="n">
        <f aca="false">B34*C34*D34</f>
        <v>18</v>
      </c>
      <c r="F34" s="40" t="n">
        <f aca="false">E34/$B$8</f>
        <v>0.0104166666666667</v>
      </c>
      <c r="G34" s="15" t="n">
        <v>10</v>
      </c>
      <c r="H34" s="22" t="n">
        <f aca="false">F34*G34</f>
        <v>0.104166666666667</v>
      </c>
    </row>
    <row r="35" customFormat="false" ht="15" hidden="false" customHeight="false" outlineLevel="0" collapsed="false">
      <c r="A35" s="20" t="s">
        <v>142</v>
      </c>
      <c r="B35" s="18" t="n">
        <f aca="false">COUNTIF(B15:B26,"K")+COUNTIF(B15:B26,"Wild")</f>
        <v>3</v>
      </c>
      <c r="C35" s="18" t="n">
        <f aca="false">COUNTIF(C15:C26,"K")+COUNTIF(C15:C26,"Wild")</f>
        <v>3</v>
      </c>
      <c r="D35" s="18" t="n">
        <f aca="false">COUNTIF(D15:D26,"K")+COUNTIF(D15:D26,"Wild")</f>
        <v>3</v>
      </c>
      <c r="E35" s="18" t="n">
        <f aca="false">B35*C35*D35</f>
        <v>27</v>
      </c>
      <c r="F35" s="40" t="n">
        <f aca="false">E35/$B$8</f>
        <v>0.015625</v>
      </c>
      <c r="G35" s="15" t="n">
        <v>20</v>
      </c>
      <c r="H35" s="22" t="n">
        <f aca="false">F35*G35</f>
        <v>0.3125</v>
      </c>
    </row>
    <row r="36" customFormat="false" ht="15.5" hidden="false" customHeight="false" outlineLevel="0" collapsed="false">
      <c r="A36" s="23" t="s">
        <v>151</v>
      </c>
      <c r="F36" s="23" t="s">
        <v>152</v>
      </c>
      <c r="H36" s="22" t="n">
        <f aca="false">SUM(H31:H35)</f>
        <v>0.482638888888889</v>
      </c>
    </row>
    <row r="37" customFormat="false" ht="15.5" hidden="false" customHeight="true" outlineLevel="0" collapsed="false">
      <c r="A37" s="24" t="s">
        <v>153</v>
      </c>
      <c r="B37" s="24"/>
      <c r="C37" s="24"/>
      <c r="D37" s="24"/>
      <c r="E37" s="24"/>
      <c r="F37" s="24"/>
      <c r="G37" s="24"/>
    </row>
    <row r="39" customFormat="false" ht="15.5" hidden="false" customHeight="false" outlineLevel="0" collapsed="false">
      <c r="A39" s="12" t="s">
        <v>154</v>
      </c>
      <c r="B39" s="12"/>
      <c r="C39" s="12"/>
      <c r="D39" s="12"/>
      <c r="E39" s="12"/>
      <c r="F39" s="13"/>
      <c r="G39" s="13"/>
      <c r="H39" s="13"/>
    </row>
    <row r="40" customFormat="false" ht="15" hidden="false" customHeight="false" outlineLevel="0" collapsed="false">
      <c r="A40" s="14" t="s">
        <v>146</v>
      </c>
      <c r="B40" s="14" t="s">
        <v>155</v>
      </c>
      <c r="C40" s="14" t="s">
        <v>147</v>
      </c>
      <c r="D40" s="14" t="s">
        <v>121</v>
      </c>
      <c r="E40" s="14" t="s">
        <v>148</v>
      </c>
      <c r="F40" s="14"/>
      <c r="G40" s="14"/>
      <c r="H40" s="14"/>
    </row>
    <row r="41" customFormat="false" ht="15" hidden="false" customHeight="false" outlineLevel="0" collapsed="false">
      <c r="A41" s="20" t="s">
        <v>137</v>
      </c>
      <c r="B41" s="20" t="s">
        <v>156</v>
      </c>
      <c r="C41" s="18" t="n">
        <f aca="false">COUNTIF(B15:B26,"Scatter")*COUNTIF(C15:C26,"Scatter")*COUNTIF(D15:D26,"Scatter")</f>
        <v>9</v>
      </c>
      <c r="D41" s="18" t="n">
        <f aca="false">$B$8</f>
        <v>1728</v>
      </c>
      <c r="E41" s="41" t="n">
        <f aca="false">C41/D41</f>
        <v>0.00520833333333333</v>
      </c>
    </row>
    <row r="43" customFormat="false" ht="15.5" hidden="false" customHeight="false" outlineLevel="0" collapsed="false">
      <c r="A43" s="12" t="s">
        <v>157</v>
      </c>
      <c r="B43" s="12"/>
      <c r="C43" s="12"/>
      <c r="D43" s="12"/>
      <c r="E43" s="12"/>
      <c r="F43" s="12"/>
      <c r="G43" s="13"/>
      <c r="H43" s="13"/>
    </row>
    <row r="44" customFormat="false" ht="15.5" hidden="false" customHeight="false" outlineLevel="0" collapsed="false">
      <c r="A44" s="14" t="s">
        <v>132</v>
      </c>
      <c r="B44" s="14" t="s">
        <v>133</v>
      </c>
      <c r="C44" s="14" t="s">
        <v>134</v>
      </c>
      <c r="D44" s="14" t="s">
        <v>135</v>
      </c>
      <c r="E44" s="14"/>
      <c r="F44" s="14" t="s">
        <v>107</v>
      </c>
    </row>
    <row r="45" customFormat="false" ht="16" hidden="false" customHeight="false" outlineLevel="0" collapsed="false">
      <c r="A45" s="10" t="n">
        <v>1</v>
      </c>
      <c r="B45" s="37">
        <v>9</v>
      </c>
      <c r="C45" s="15" t="s">
        <v>143</v>
      </c>
      <c r="D45" s="15" t="s">
        <v>143</v>
      </c>
      <c r="G45" s="17" t="s">
        <v>158</v>
      </c>
      <c r="H45" s="17"/>
    </row>
    <row r="46" customFormat="false" ht="15" hidden="false" customHeight="false" outlineLevel="0" collapsed="false">
      <c r="A46" s="10" t="n">
        <v>2</v>
      </c>
      <c r="B46" s="37">
        <v>10</v>
      </c>
      <c r="C46" s="15" t="s">
        <v>143</v>
      </c>
      <c r="D46" s="15" t="s">
        <v>143</v>
      </c>
    </row>
    <row r="47" customFormat="false" ht="15" hidden="false" customHeight="false" outlineLevel="0" collapsed="false">
      <c r="A47" s="10" t="n">
        <v>3</v>
      </c>
      <c r="B47" s="15" t="s">
        <v>140</v>
      </c>
      <c r="C47" s="15" t="s">
        <v>143</v>
      </c>
      <c r="D47" s="15" t="s">
        <v>143</v>
      </c>
    </row>
    <row r="48" customFormat="false" ht="15" hidden="false" customHeight="false" outlineLevel="0" collapsed="false">
      <c r="A48" s="10" t="n">
        <v>4</v>
      </c>
      <c r="B48" s="15" t="s">
        <v>141</v>
      </c>
      <c r="C48" s="15" t="s">
        <v>143</v>
      </c>
      <c r="D48" s="15" t="s">
        <v>143</v>
      </c>
    </row>
    <row r="49" customFormat="false" ht="15" hidden="false" customHeight="false" outlineLevel="0" collapsed="false">
      <c r="A49" s="10" t="n">
        <v>5</v>
      </c>
      <c r="B49" s="15" t="s">
        <v>142</v>
      </c>
      <c r="C49" s="15" t="s">
        <v>143</v>
      </c>
      <c r="D49" s="15" t="s">
        <v>143</v>
      </c>
    </row>
    <row r="50" customFormat="false" ht="15" hidden="false" customHeight="false" outlineLevel="0" collapsed="false">
      <c r="A50" s="10" t="n">
        <v>6</v>
      </c>
      <c r="B50" s="15" t="s">
        <v>142</v>
      </c>
      <c r="C50" s="15" t="s">
        <v>143</v>
      </c>
      <c r="D50" s="15" t="s">
        <v>143</v>
      </c>
    </row>
    <row r="51" customFormat="false" ht="15" hidden="false" customHeight="false" outlineLevel="0" collapsed="false">
      <c r="A51" s="10" t="n">
        <v>7</v>
      </c>
      <c r="B51" s="15" t="s">
        <v>142</v>
      </c>
      <c r="C51" s="15" t="s">
        <v>142</v>
      </c>
      <c r="D51" s="15" t="s">
        <v>142</v>
      </c>
    </row>
    <row r="52" customFormat="false" ht="15" hidden="false" customHeight="false" outlineLevel="0" collapsed="false">
      <c r="A52" s="10" t="n">
        <v>8</v>
      </c>
      <c r="B52" s="37">
        <v>9</v>
      </c>
      <c r="C52" s="37">
        <v>9</v>
      </c>
      <c r="D52" s="37">
        <v>9</v>
      </c>
    </row>
    <row r="53" customFormat="false" ht="15" hidden="false" customHeight="false" outlineLevel="0" collapsed="false">
      <c r="A53" s="10" t="n">
        <v>9</v>
      </c>
      <c r="B53" s="37">
        <v>10</v>
      </c>
      <c r="C53" s="37">
        <v>10</v>
      </c>
      <c r="D53" s="37">
        <v>10</v>
      </c>
    </row>
    <row r="54" customFormat="false" ht="15" hidden="false" customHeight="false" outlineLevel="0" collapsed="false">
      <c r="A54" s="10" t="n">
        <v>10</v>
      </c>
      <c r="B54" s="15" t="s">
        <v>140</v>
      </c>
      <c r="C54" s="15" t="s">
        <v>140</v>
      </c>
      <c r="D54" s="15" t="s">
        <v>140</v>
      </c>
    </row>
    <row r="55" customFormat="false" ht="15" hidden="false" customHeight="false" outlineLevel="0" collapsed="false">
      <c r="A55" s="10" t="n">
        <v>11</v>
      </c>
      <c r="B55" s="15" t="s">
        <v>141</v>
      </c>
      <c r="C55" s="15" t="s">
        <v>141</v>
      </c>
      <c r="D55" s="15" t="s">
        <v>141</v>
      </c>
    </row>
    <row r="56" customFormat="false" ht="15" hidden="false" customHeight="false" outlineLevel="0" collapsed="false">
      <c r="A56" s="10" t="n">
        <v>12</v>
      </c>
      <c r="B56" s="15" t="s">
        <v>142</v>
      </c>
      <c r="C56" s="15" t="s">
        <v>142</v>
      </c>
      <c r="D56" s="15" t="s">
        <v>142</v>
      </c>
    </row>
    <row r="57" customFormat="false" ht="15" hidden="false" customHeight="false" outlineLevel="0" collapsed="false">
      <c r="A57" s="10" t="s">
        <v>144</v>
      </c>
      <c r="B57" s="18" t="n">
        <f aca="false">COUNTA(B45:B56)</f>
        <v>12</v>
      </c>
      <c r="C57" s="18" t="n">
        <f aca="false">COUNTA(C45:C56)</f>
        <v>12</v>
      </c>
      <c r="D57" s="18" t="n">
        <f aca="false">COUNTA(D45:D56)</f>
        <v>12</v>
      </c>
    </row>
    <row r="59" customFormat="false" ht="15.5" hidden="false" customHeight="false" outlineLevel="0" collapsed="false">
      <c r="A59" s="12" t="s">
        <v>159</v>
      </c>
      <c r="B59" s="12"/>
      <c r="C59" s="12"/>
      <c r="D59" s="12"/>
      <c r="E59" s="12"/>
      <c r="F59" s="13"/>
      <c r="G59" s="13"/>
      <c r="H59" s="13"/>
    </row>
    <row r="60" customFormat="false" ht="15.5" hidden="false" customHeight="false" outlineLevel="0" collapsed="false">
      <c r="A60" s="14" t="s">
        <v>113</v>
      </c>
      <c r="B60" s="14" t="s">
        <v>133</v>
      </c>
      <c r="C60" s="14" t="s">
        <v>134</v>
      </c>
      <c r="D60" s="14" t="s">
        <v>135</v>
      </c>
      <c r="E60" s="14" t="s">
        <v>107</v>
      </c>
      <c r="F60" s="14"/>
      <c r="G60" s="14"/>
      <c r="H60" s="14"/>
    </row>
    <row r="61" customFormat="false" ht="16" hidden="false" customHeight="false" outlineLevel="0" collapsed="false">
      <c r="A61" s="10" t="s">
        <v>160</v>
      </c>
      <c r="B61" s="40" t="n">
        <f aca="false">COUNTIF(B45:B56,"Wild")/B57</f>
        <v>0</v>
      </c>
      <c r="C61" s="40" t="n">
        <f aca="false">COUNTIF(C45:C56,"Wild")/C57</f>
        <v>0.5</v>
      </c>
      <c r="D61" s="40" t="n">
        <f aca="false">COUNTIF(D45:D56,"Wild")/D57</f>
        <v>0.5</v>
      </c>
      <c r="E61" s="17" t="s">
        <v>161</v>
      </c>
      <c r="F61" s="17"/>
      <c r="G61" s="17"/>
    </row>
    <row r="62" customFormat="false" ht="16" hidden="false" customHeight="false" outlineLevel="0" collapsed="false">
      <c r="A62" s="10" t="s">
        <v>162</v>
      </c>
      <c r="B62" s="40" t="n">
        <f aca="false">1-B61</f>
        <v>1</v>
      </c>
      <c r="C62" s="40" t="n">
        <f aca="false">1-C61</f>
        <v>0.5</v>
      </c>
      <c r="D62" s="40" t="n">
        <f aca="false">1-D61</f>
        <v>0.5</v>
      </c>
      <c r="E62" s="17" t="s">
        <v>163</v>
      </c>
      <c r="F62" s="17"/>
      <c r="G62" s="17"/>
      <c r="H62" s="17"/>
    </row>
    <row r="64" customFormat="false" ht="15.5" hidden="false" customHeight="false" outlineLevel="0" collapsed="false">
      <c r="A64" s="12" t="s">
        <v>164</v>
      </c>
      <c r="B64" s="12"/>
      <c r="C64" s="12"/>
      <c r="D64" s="12"/>
      <c r="E64" s="12"/>
      <c r="F64" s="12"/>
      <c r="G64" s="13"/>
      <c r="H64" s="13"/>
    </row>
    <row r="65" customFormat="false" ht="15.5" hidden="false" customHeight="false" outlineLevel="0" collapsed="false">
      <c r="A65" s="14" t="s">
        <v>165</v>
      </c>
      <c r="B65" s="14" t="s">
        <v>133</v>
      </c>
      <c r="C65" s="14" t="s">
        <v>134</v>
      </c>
      <c r="D65" s="14" t="s">
        <v>135</v>
      </c>
      <c r="E65" s="14" t="s">
        <v>166</v>
      </c>
      <c r="F65" s="14" t="s">
        <v>107</v>
      </c>
      <c r="G65" s="14"/>
      <c r="H65" s="14"/>
    </row>
    <row r="66" customFormat="false" ht="16" hidden="false" customHeight="false" outlineLevel="0" collapsed="false">
      <c r="A66" s="10" t="n">
        <v>1</v>
      </c>
      <c r="E66" s="23" t="s">
        <v>167</v>
      </c>
      <c r="F66" s="17" t="s">
        <v>168</v>
      </c>
      <c r="G66" s="17"/>
      <c r="H66" s="17"/>
    </row>
    <row r="67" customFormat="false" ht="16" hidden="false" customHeight="false" outlineLevel="0" collapsed="false">
      <c r="A67" s="10" t="n">
        <v>2</v>
      </c>
      <c r="B67" s="20" t="s">
        <v>169</v>
      </c>
      <c r="E67" s="23" t="s">
        <v>170</v>
      </c>
      <c r="F67" s="10" t="s">
        <v>171</v>
      </c>
    </row>
    <row r="68" customFormat="false" ht="16" hidden="false" customHeight="false" outlineLevel="0" collapsed="false">
      <c r="A68" s="10" t="n">
        <v>3</v>
      </c>
      <c r="C68" s="20" t="s">
        <v>169</v>
      </c>
      <c r="E68" s="23" t="s">
        <v>167</v>
      </c>
      <c r="F68" s="10" t="s">
        <v>172</v>
      </c>
    </row>
    <row r="69" customFormat="false" ht="16" hidden="false" customHeight="false" outlineLevel="0" collapsed="false">
      <c r="A69" s="10" t="n">
        <v>4</v>
      </c>
      <c r="D69" s="20" t="s">
        <v>169</v>
      </c>
      <c r="E69" s="23" t="s">
        <v>167</v>
      </c>
      <c r="F69" s="10" t="s">
        <v>173</v>
      </c>
    </row>
    <row r="70" customFormat="false" ht="16" hidden="false" customHeight="false" outlineLevel="0" collapsed="false">
      <c r="A70" s="10" t="n">
        <v>5</v>
      </c>
      <c r="B70" s="20" t="s">
        <v>169</v>
      </c>
      <c r="C70" s="20" t="s">
        <v>169</v>
      </c>
      <c r="E70" s="23" t="s">
        <v>170</v>
      </c>
      <c r="F70" s="10" t="s">
        <v>171</v>
      </c>
    </row>
    <row r="71" customFormat="false" ht="16" hidden="false" customHeight="false" outlineLevel="0" collapsed="false">
      <c r="A71" s="10" t="n">
        <v>6</v>
      </c>
      <c r="B71" s="20" t="s">
        <v>169</v>
      </c>
      <c r="D71" s="20" t="s">
        <v>169</v>
      </c>
      <c r="E71" s="23" t="s">
        <v>170</v>
      </c>
      <c r="F71" s="10" t="s">
        <v>171</v>
      </c>
    </row>
    <row r="72" customFormat="false" ht="16" hidden="false" customHeight="false" outlineLevel="0" collapsed="false">
      <c r="A72" s="10" t="n">
        <v>7</v>
      </c>
      <c r="C72" s="20" t="s">
        <v>169</v>
      </c>
      <c r="D72" s="20" t="s">
        <v>169</v>
      </c>
      <c r="E72" s="23" t="s">
        <v>167</v>
      </c>
      <c r="F72" s="17" t="s">
        <v>174</v>
      </c>
      <c r="G72" s="17"/>
    </row>
    <row r="73" customFormat="false" ht="16" hidden="false" customHeight="false" outlineLevel="0" collapsed="false">
      <c r="A73" s="10" t="n">
        <v>8</v>
      </c>
      <c r="B73" s="20" t="s">
        <v>169</v>
      </c>
      <c r="C73" s="20" t="s">
        <v>169</v>
      </c>
      <c r="D73" s="20" t="s">
        <v>169</v>
      </c>
      <c r="E73" s="23" t="s">
        <v>170</v>
      </c>
      <c r="F73" s="10" t="s">
        <v>171</v>
      </c>
    </row>
    <row r="74" customFormat="false" ht="16" hidden="false" customHeight="false" outlineLevel="0" collapsed="false">
      <c r="A74" s="23" t="s">
        <v>175</v>
      </c>
      <c r="B74" s="18" t="n">
        <f aca="false">COMBIN(3,0)+COMBIN(3,1)+COMBIN(3,2)+COMBIN(3,3)</f>
        <v>8</v>
      </c>
      <c r="F74" s="16" t="s">
        <v>176</v>
      </c>
      <c r="G74" s="16"/>
      <c r="H74" s="16"/>
    </row>
    <row r="76" customFormat="false" ht="15.5" hidden="false" customHeight="false" outlineLevel="0" collapsed="false">
      <c r="A76" s="12" t="s">
        <v>177</v>
      </c>
      <c r="B76" s="12"/>
      <c r="C76" s="12"/>
      <c r="D76" s="12"/>
      <c r="E76" s="12"/>
      <c r="F76" s="12"/>
      <c r="G76" s="13"/>
      <c r="H76" s="13"/>
    </row>
    <row r="77" customFormat="false" ht="15.5" hidden="false" customHeight="false" outlineLevel="0" collapsed="false">
      <c r="A77" s="14" t="s">
        <v>178</v>
      </c>
      <c r="B77" s="14" t="s">
        <v>179</v>
      </c>
      <c r="C77" s="14" t="s">
        <v>180</v>
      </c>
      <c r="D77" s="14" t="s">
        <v>181</v>
      </c>
      <c r="E77" s="14" t="s">
        <v>182</v>
      </c>
      <c r="F77" s="14" t="s">
        <v>183</v>
      </c>
      <c r="G77" s="14" t="s">
        <v>147</v>
      </c>
      <c r="H77" s="14" t="s">
        <v>150</v>
      </c>
    </row>
    <row r="78" customFormat="false" ht="16" hidden="false" customHeight="false" outlineLevel="0" collapsed="false">
      <c r="A78" s="26" t="s">
        <v>184</v>
      </c>
      <c r="B78" s="15" t="n">
        <v>0</v>
      </c>
      <c r="C78" s="15" t="n">
        <v>0</v>
      </c>
      <c r="H78" s="38">
        <v>1</v>
      </c>
    </row>
    <row r="79" customFormat="false" ht="15" hidden="false" customHeight="false" outlineLevel="0" collapsed="false">
      <c r="A79" s="26" t="s">
        <v>186</v>
      </c>
      <c r="D79" s="18" t="n">
        <f aca="false">COUNTIF(B45:B56,"9")+COUNTIF(B45:B56,"Wild")</f>
        <v>2</v>
      </c>
      <c r="E79" s="18" t="n">
        <f aca="false">IF($B$78=1,$B$7,COUNTIF(C45:C56,"9")+COUNTIF(C45:C56,"Wild"))</f>
        <v>7</v>
      </c>
      <c r="F79" s="18" t="n">
        <f aca="false">IF($C$78=1,$B$7,COUNTIF(D45:D56,"9")+COUNTIF(D45:D56,"Wild"))</f>
        <v>7</v>
      </c>
      <c r="G79" s="18" t="n">
        <f aca="false">D79*E79*F79</f>
        <v>98</v>
      </c>
      <c r="H79" s="22" t="n">
        <f aca="false">G79/$B$8*1</f>
        <v>0.056712962962963</v>
      </c>
    </row>
    <row r="80" customFormat="false" ht="15" hidden="false" customHeight="false" outlineLevel="0" collapsed="false">
      <c r="A80" s="26" t="s">
        <v>187</v>
      </c>
      <c r="D80" s="18" t="n">
        <f aca="false">COUNTIF(B45:B56,"10")+COUNTIF(B45:B56,"Wild")</f>
        <v>2</v>
      </c>
      <c r="E80" s="18" t="n">
        <f aca="false">IF($B$78=1,$B$7,COUNTIF(C45:C56,"10")+COUNTIF(C45:C56,"Wild"))</f>
        <v>7</v>
      </c>
      <c r="F80" s="18" t="n">
        <f aca="false">IF($C$78=1,$B$7,COUNTIF(D45:D56,"10")+COUNTIF(D45:D56,"Wild"))</f>
        <v>7</v>
      </c>
      <c r="G80" s="18" t="n">
        <f aca="false">D80*E80*F80</f>
        <v>98</v>
      </c>
      <c r="H80" s="22" t="n">
        <f aca="false">G80/$B$8*2</f>
        <v>0.113425925925926</v>
      </c>
    </row>
    <row r="81" customFormat="false" ht="15" hidden="false" customHeight="false" outlineLevel="0" collapsed="false">
      <c r="A81" s="26" t="s">
        <v>188</v>
      </c>
      <c r="D81" s="18" t="n">
        <f aca="false">COUNTIF(B45:B56,"J")+COUNTIF(B45:B56,"Wild")</f>
        <v>2</v>
      </c>
      <c r="E81" s="18" t="n">
        <f aca="false">IF($B$78=1,$B$7,COUNTIF(C45:C56,"J")+COUNTIF(C45:C56,"Wild"))</f>
        <v>7</v>
      </c>
      <c r="F81" s="18" t="n">
        <f aca="false">IF($C$78=1,$B$7,COUNTIF(D45:D56,"J")+COUNTIF(D45:D56,"Wild"))</f>
        <v>7</v>
      </c>
      <c r="G81" s="18" t="n">
        <f aca="false">D81*E81*F81</f>
        <v>98</v>
      </c>
      <c r="H81" s="22" t="n">
        <f aca="false">G81/$B$8*5</f>
        <v>0.283564814814815</v>
      </c>
    </row>
    <row r="82" customFormat="false" ht="15" hidden="false" customHeight="false" outlineLevel="0" collapsed="false">
      <c r="A82" s="26" t="s">
        <v>189</v>
      </c>
      <c r="D82" s="18" t="n">
        <f aca="false">COUNTIF(B45:B56,"Q")+COUNTIF(B45:B56,"Wild")</f>
        <v>2</v>
      </c>
      <c r="E82" s="18" t="n">
        <f aca="false">IF($B$78=1,$B$7,COUNTIF(C45:C56,"Q")+COUNTIF(C45:C56,"Wild"))</f>
        <v>7</v>
      </c>
      <c r="F82" s="18" t="n">
        <f aca="false">IF($C$78=1,$B$7,COUNTIF(D45:D56,"Q")+COUNTIF(D45:D56,"Wild"))</f>
        <v>7</v>
      </c>
      <c r="G82" s="18" t="n">
        <f aca="false">D82*E82*F82</f>
        <v>98</v>
      </c>
      <c r="H82" s="22" t="n">
        <f aca="false">G82/$B$8*10</f>
        <v>0.56712962962963</v>
      </c>
    </row>
    <row r="83" customFormat="false" ht="15" hidden="false" customHeight="false" outlineLevel="0" collapsed="false">
      <c r="A83" s="26" t="s">
        <v>190</v>
      </c>
      <c r="D83" s="18" t="n">
        <f aca="false">COUNTIF(B45:B56,"K")+COUNTIF(B45:B56,"Wild")</f>
        <v>4</v>
      </c>
      <c r="E83" s="18" t="n">
        <f aca="false">IF($B$78=1,$B$7,COUNTIF(C45:C56,"K")+COUNTIF(C45:C56,"Wild"))</f>
        <v>8</v>
      </c>
      <c r="F83" s="18" t="n">
        <f aca="false">IF($C$78=1,$B$7,COUNTIF(D45:D56,"K")+COUNTIF(D45:D56,"Wild"))</f>
        <v>8</v>
      </c>
      <c r="G83" s="18" t="n">
        <f aca="false">D83*E83*F83</f>
        <v>256</v>
      </c>
      <c r="H83" s="22" t="n">
        <f aca="false">G83/$B$8*20</f>
        <v>2.96296296296296</v>
      </c>
    </row>
    <row r="84" customFormat="false" ht="16" hidden="false" customHeight="false" outlineLevel="0" collapsed="false">
      <c r="A84" s="26" t="s">
        <v>191</v>
      </c>
      <c r="B84" s="15" t="n">
        <v>1</v>
      </c>
      <c r="C84" s="15" t="n">
        <v>0</v>
      </c>
      <c r="H84" s="38">
        <v>1</v>
      </c>
    </row>
    <row r="85" customFormat="false" ht="15" hidden="false" customHeight="false" outlineLevel="0" collapsed="false">
      <c r="A85" s="26" t="s">
        <v>192</v>
      </c>
      <c r="D85" s="18" t="n">
        <f aca="false">COUNTIF(B45:B56,"9")+COUNTIF(B45:B56,"Wild")</f>
        <v>2</v>
      </c>
      <c r="E85" s="18" t="n">
        <f aca="false">IF($B$84=1,$B$7,COUNTIF(C45:C56,"9")+COUNTIF(C45:C56,"Wild"))</f>
        <v>12</v>
      </c>
      <c r="F85" s="18" t="n">
        <f aca="false">IF($C$84=1,$B$7,COUNTIF(D45:D56,"9")+COUNTIF(D45:D56,"Wild"))</f>
        <v>7</v>
      </c>
      <c r="G85" s="18" t="n">
        <f aca="false">D85*E85*F85</f>
        <v>168</v>
      </c>
      <c r="H85" s="22" t="n">
        <f aca="false">G85/$B$8*1</f>
        <v>0.0972222222222222</v>
      </c>
    </row>
    <row r="86" customFormat="false" ht="15" hidden="false" customHeight="false" outlineLevel="0" collapsed="false">
      <c r="A86" s="26" t="s">
        <v>193</v>
      </c>
      <c r="D86" s="18" t="n">
        <f aca="false">COUNTIF(B45:B56,"10")+COUNTIF(B45:B56,"Wild")</f>
        <v>2</v>
      </c>
      <c r="E86" s="18" t="n">
        <f aca="false">IF($B$84=1,$B$7,COUNTIF(C45:C56,"10")+COUNTIF(C45:C56,"Wild"))</f>
        <v>12</v>
      </c>
      <c r="F86" s="18" t="n">
        <f aca="false">IF($C$84=1,$B$7,COUNTIF(D45:D56,"10")+COUNTIF(D45:D56,"Wild"))</f>
        <v>7</v>
      </c>
      <c r="G86" s="18" t="n">
        <f aca="false">D86*E86*F86</f>
        <v>168</v>
      </c>
      <c r="H86" s="22" t="n">
        <f aca="false">G86/$B$8*2</f>
        <v>0.194444444444444</v>
      </c>
    </row>
    <row r="87" customFormat="false" ht="15" hidden="false" customHeight="false" outlineLevel="0" collapsed="false">
      <c r="A87" s="26" t="s">
        <v>194</v>
      </c>
      <c r="D87" s="18" t="n">
        <f aca="false">COUNTIF(B45:B56,"J")+COUNTIF(B45:B56,"Wild")</f>
        <v>2</v>
      </c>
      <c r="E87" s="18" t="n">
        <f aca="false">IF($B$84=1,$B$7,COUNTIF(C45:C56,"J")+COUNTIF(C45:C56,"Wild"))</f>
        <v>12</v>
      </c>
      <c r="F87" s="18" t="n">
        <f aca="false">IF($C$84=1,$B$7,COUNTIF(D45:D56,"J")+COUNTIF(D45:D56,"Wild"))</f>
        <v>7</v>
      </c>
      <c r="G87" s="18" t="n">
        <f aca="false">D87*E87*F87</f>
        <v>168</v>
      </c>
      <c r="H87" s="22" t="n">
        <f aca="false">G87/$B$8*5</f>
        <v>0.486111111111111</v>
      </c>
    </row>
    <row r="88" customFormat="false" ht="15" hidden="false" customHeight="false" outlineLevel="0" collapsed="false">
      <c r="A88" s="26" t="s">
        <v>195</v>
      </c>
      <c r="D88" s="18" t="n">
        <f aca="false">COUNTIF(B45:B56,"Q")+COUNTIF(B45:B56,"Wild")</f>
        <v>2</v>
      </c>
      <c r="E88" s="18" t="n">
        <f aca="false">IF($B$84=1,$B$7,COUNTIF(C45:C56,"Q")+COUNTIF(C45:C56,"Wild"))</f>
        <v>12</v>
      </c>
      <c r="F88" s="18" t="n">
        <f aca="false">IF($C$84=1,$B$7,COUNTIF(D45:D56,"Q")+COUNTIF(D45:D56,"Wild"))</f>
        <v>7</v>
      </c>
      <c r="G88" s="18" t="n">
        <f aca="false">D88*E88*F88</f>
        <v>168</v>
      </c>
      <c r="H88" s="22" t="n">
        <f aca="false">G88/$B$8*10</f>
        <v>0.972222222222222</v>
      </c>
    </row>
    <row r="89" customFormat="false" ht="15" hidden="false" customHeight="false" outlineLevel="0" collapsed="false">
      <c r="A89" s="26" t="s">
        <v>196</v>
      </c>
      <c r="D89" s="18" t="n">
        <f aca="false">COUNTIF(B45:B56,"K")+COUNTIF(B45:B56,"Wild")</f>
        <v>4</v>
      </c>
      <c r="E89" s="18" t="n">
        <f aca="false">IF($B$84=1,$B$7,COUNTIF(C45:C56,"K")+COUNTIF(C45:C56,"Wild"))</f>
        <v>12</v>
      </c>
      <c r="F89" s="18" t="n">
        <f aca="false">IF($C$84=1,$B$7,COUNTIF(D45:D56,"K")+COUNTIF(D45:D56,"Wild"))</f>
        <v>8</v>
      </c>
      <c r="G89" s="18" t="n">
        <f aca="false">D89*E89*F89</f>
        <v>384</v>
      </c>
      <c r="H89" s="22" t="n">
        <f aca="false">G89/$B$8*20</f>
        <v>4.44444444444445</v>
      </c>
    </row>
    <row r="90" customFormat="false" ht="16" hidden="false" customHeight="false" outlineLevel="0" collapsed="false">
      <c r="A90" s="26" t="s">
        <v>197</v>
      </c>
      <c r="B90" s="15" t="n">
        <v>0</v>
      </c>
      <c r="C90" s="15" t="n">
        <v>1</v>
      </c>
      <c r="H90" s="38">
        <v>1</v>
      </c>
    </row>
    <row r="91" customFormat="false" ht="15" hidden="false" customHeight="false" outlineLevel="0" collapsed="false">
      <c r="A91" s="26" t="s">
        <v>198</v>
      </c>
      <c r="D91" s="18" t="n">
        <f aca="false">COUNTIF(B45:B56,"9")+COUNTIF(B45:B56,"Wild")</f>
        <v>2</v>
      </c>
      <c r="E91" s="18" t="n">
        <f aca="false">IF($B$90=1,$B$7,COUNTIF(C45:C56,"9")+COUNTIF(C45:C56,"Wild"))</f>
        <v>7</v>
      </c>
      <c r="F91" s="18" t="n">
        <f aca="false">IF($C$90=1,$B$7,COUNTIF(D45:D56,"9")+COUNTIF(D45:D56,"Wild"))</f>
        <v>12</v>
      </c>
      <c r="G91" s="18" t="n">
        <f aca="false">D91*E91*F91</f>
        <v>168</v>
      </c>
      <c r="H91" s="22" t="n">
        <f aca="false">G91/$B$8*1</f>
        <v>0.0972222222222222</v>
      </c>
    </row>
    <row r="92" customFormat="false" ht="15" hidden="false" customHeight="false" outlineLevel="0" collapsed="false">
      <c r="A92" s="26" t="s">
        <v>199</v>
      </c>
      <c r="D92" s="18" t="n">
        <f aca="false">COUNTIF(B45:B56,"10")+COUNTIF(B45:B56,"Wild")</f>
        <v>2</v>
      </c>
      <c r="E92" s="18" t="n">
        <f aca="false">IF($B$90=1,$B$7,COUNTIF(C45:C56,"10")+COUNTIF(C45:C56,"Wild"))</f>
        <v>7</v>
      </c>
      <c r="F92" s="18" t="n">
        <f aca="false">IF($C$90=1,$B$7,COUNTIF(D45:D56,"10")+COUNTIF(D45:D56,"Wild"))</f>
        <v>12</v>
      </c>
      <c r="G92" s="18" t="n">
        <f aca="false">D92*E92*F92</f>
        <v>168</v>
      </c>
      <c r="H92" s="22" t="n">
        <f aca="false">G92/$B$8*2</f>
        <v>0.194444444444444</v>
      </c>
    </row>
    <row r="93" customFormat="false" ht="15" hidden="false" customHeight="false" outlineLevel="0" collapsed="false">
      <c r="A93" s="26" t="s">
        <v>200</v>
      </c>
      <c r="D93" s="18" t="n">
        <f aca="false">COUNTIF(B45:B56,"J")+COUNTIF(B45:B56,"Wild")</f>
        <v>2</v>
      </c>
      <c r="E93" s="18" t="n">
        <f aca="false">IF($B$90=1,$B$7,COUNTIF(C45:C56,"J")+COUNTIF(C45:C56,"Wild"))</f>
        <v>7</v>
      </c>
      <c r="F93" s="18" t="n">
        <f aca="false">IF($C$90=1,$B$7,COUNTIF(D45:D56,"J")+COUNTIF(D45:D56,"Wild"))</f>
        <v>12</v>
      </c>
      <c r="G93" s="18" t="n">
        <f aca="false">D93*E93*F93</f>
        <v>168</v>
      </c>
      <c r="H93" s="22" t="n">
        <f aca="false">G93/$B$8*5</f>
        <v>0.486111111111111</v>
      </c>
    </row>
    <row r="94" customFormat="false" ht="15" hidden="false" customHeight="false" outlineLevel="0" collapsed="false">
      <c r="A94" s="26" t="s">
        <v>201</v>
      </c>
      <c r="D94" s="18" t="n">
        <f aca="false">COUNTIF(B45:B56,"Q")+COUNTIF(B45:B56,"Wild")</f>
        <v>2</v>
      </c>
      <c r="E94" s="18" t="n">
        <f aca="false">IF($B$90=1,$B$7,COUNTIF(C45:C56,"Q")+COUNTIF(C45:C56,"Wild"))</f>
        <v>7</v>
      </c>
      <c r="F94" s="18" t="n">
        <f aca="false">IF($C$90=1,$B$7,COUNTIF(D45:D56,"Q")+COUNTIF(D45:D56,"Wild"))</f>
        <v>12</v>
      </c>
      <c r="G94" s="18" t="n">
        <f aca="false">D94*E94*F94</f>
        <v>168</v>
      </c>
      <c r="H94" s="22" t="n">
        <f aca="false">G94/$B$8*10</f>
        <v>0.972222222222222</v>
      </c>
    </row>
    <row r="95" customFormat="false" ht="15" hidden="false" customHeight="false" outlineLevel="0" collapsed="false">
      <c r="A95" s="26" t="s">
        <v>202</v>
      </c>
      <c r="D95" s="18" t="n">
        <f aca="false">COUNTIF(B45:B56,"K")+COUNTIF(B45:B56,"Wild")</f>
        <v>4</v>
      </c>
      <c r="E95" s="18" t="n">
        <f aca="false">IF($B$90=1,$B$7,COUNTIF(C45:C56,"K")+COUNTIF(C45:C56,"Wild"))</f>
        <v>8</v>
      </c>
      <c r="F95" s="18" t="n">
        <f aca="false">IF($C$90=1,$B$7,COUNTIF(D45:D56,"K")+COUNTIF(D45:D56,"Wild"))</f>
        <v>12</v>
      </c>
      <c r="G95" s="18" t="n">
        <f aca="false">D95*E95*F95</f>
        <v>384</v>
      </c>
      <c r="H95" s="22" t="n">
        <f aca="false">G95/$B$8*20</f>
        <v>4.44444444444445</v>
      </c>
    </row>
    <row r="96" customFormat="false" ht="16" hidden="false" customHeight="false" outlineLevel="0" collapsed="false">
      <c r="A96" s="26" t="s">
        <v>203</v>
      </c>
      <c r="B96" s="15" t="n">
        <v>1</v>
      </c>
      <c r="C96" s="15" t="n">
        <v>1</v>
      </c>
      <c r="H96" s="38">
        <v>1</v>
      </c>
    </row>
    <row r="97" customFormat="false" ht="15" hidden="false" customHeight="false" outlineLevel="0" collapsed="false">
      <c r="A97" s="26" t="s">
        <v>204</v>
      </c>
      <c r="D97" s="18" t="n">
        <f aca="false">COUNTIF(B45:B56,"9")+COUNTIF(B45:B56,"Wild")</f>
        <v>2</v>
      </c>
      <c r="E97" s="18" t="n">
        <f aca="false">IF($B$96=1,$B$7,COUNTIF(C45:C56,"9")+COUNTIF(C45:C56,"Wild"))</f>
        <v>12</v>
      </c>
      <c r="F97" s="18" t="n">
        <f aca="false">IF($C$96=1,$B$7,COUNTIF(D45:D56,"9")+COUNTIF(D45:D56,"Wild"))</f>
        <v>12</v>
      </c>
      <c r="G97" s="18" t="n">
        <f aca="false">D97*E97*F97</f>
        <v>288</v>
      </c>
      <c r="H97" s="22" t="n">
        <f aca="false">G97/$B$8*1</f>
        <v>0.166666666666667</v>
      </c>
    </row>
    <row r="98" customFormat="false" ht="15" hidden="false" customHeight="false" outlineLevel="0" collapsed="false">
      <c r="A98" s="26" t="s">
        <v>205</v>
      </c>
      <c r="D98" s="18" t="n">
        <f aca="false">COUNTIF(B45:B56,"10")+COUNTIF(B45:B56,"Wild")</f>
        <v>2</v>
      </c>
      <c r="E98" s="18" t="n">
        <f aca="false">IF($B$96=1,$B$7,COUNTIF(C45:C56,"10")+COUNTIF(C45:C56,"Wild"))</f>
        <v>12</v>
      </c>
      <c r="F98" s="18" t="n">
        <f aca="false">IF($C$96=1,$B$7,COUNTIF(D45:D56,"10")+COUNTIF(D45:D56,"Wild"))</f>
        <v>12</v>
      </c>
      <c r="G98" s="18" t="n">
        <f aca="false">D98*E98*F98</f>
        <v>288</v>
      </c>
      <c r="H98" s="22" t="n">
        <f aca="false">G98/$B$8*2</f>
        <v>0.333333333333333</v>
      </c>
    </row>
    <row r="99" customFormat="false" ht="15" hidden="false" customHeight="false" outlineLevel="0" collapsed="false">
      <c r="A99" s="26" t="s">
        <v>206</v>
      </c>
      <c r="D99" s="18" t="n">
        <f aca="false">COUNTIF(B45:B56,"J")+COUNTIF(B45:B56,"Wild")</f>
        <v>2</v>
      </c>
      <c r="E99" s="18" t="n">
        <f aca="false">IF($B$96=1,$B$7,COUNTIF(C45:C56,"J")+COUNTIF(C45:C56,"Wild"))</f>
        <v>12</v>
      </c>
      <c r="F99" s="18" t="n">
        <f aca="false">IF($C$96=1,$B$7,COUNTIF(D45:D56,"J")+COUNTIF(D45:D56,"Wild"))</f>
        <v>12</v>
      </c>
      <c r="G99" s="18" t="n">
        <f aca="false">D99*E99*F99</f>
        <v>288</v>
      </c>
      <c r="H99" s="22" t="n">
        <f aca="false">G99/$B$8*5</f>
        <v>0.833333333333333</v>
      </c>
    </row>
    <row r="100" customFormat="false" ht="15" hidden="false" customHeight="false" outlineLevel="0" collapsed="false">
      <c r="A100" s="26" t="s">
        <v>207</v>
      </c>
      <c r="D100" s="18" t="n">
        <f aca="false">COUNTIF(B45:B56,"Q")+COUNTIF(B45:B56,"Wild")</f>
        <v>2</v>
      </c>
      <c r="E100" s="18" t="n">
        <f aca="false">IF($B$96=1,$B$7,COUNTIF(C45:C56,"Q")+COUNTIF(C45:C56,"Wild"))</f>
        <v>12</v>
      </c>
      <c r="F100" s="18" t="n">
        <f aca="false">IF($C$96=1,$B$7,COUNTIF(D45:D56,"Q")+COUNTIF(D45:D56,"Wild"))</f>
        <v>12</v>
      </c>
      <c r="G100" s="18" t="n">
        <f aca="false">D100*E100*F100</f>
        <v>288</v>
      </c>
      <c r="H100" s="22" t="n">
        <f aca="false">G100/$B$8*10</f>
        <v>1.66666666666667</v>
      </c>
    </row>
    <row r="101" customFormat="false" ht="15" hidden="false" customHeight="false" outlineLevel="0" collapsed="false">
      <c r="A101" s="26" t="s">
        <v>208</v>
      </c>
      <c r="D101" s="18" t="n">
        <f aca="false">COUNTIF(B45:B56,"K")+COUNTIF(B45:B56,"Wild")</f>
        <v>4</v>
      </c>
      <c r="E101" s="18" t="n">
        <f aca="false">IF($B$96=1,$B$7,COUNTIF(C45:C56,"K")+COUNTIF(C45:C56,"Wild"))</f>
        <v>12</v>
      </c>
      <c r="F101" s="18" t="n">
        <f aca="false">IF($C$96=1,$B$7,COUNTIF(D45:D56,"K")+COUNTIF(D45:D56,"Wild"))</f>
        <v>12</v>
      </c>
      <c r="G101" s="18" t="n">
        <f aca="false">D101*E101*F101</f>
        <v>576</v>
      </c>
      <c r="H101" s="22" t="n">
        <f aca="false">G101/$B$8*20</f>
        <v>6.66666666666667</v>
      </c>
    </row>
    <row r="102" customFormat="false" ht="29" hidden="false" customHeight="true" outlineLevel="0" collapsed="false">
      <c r="A102" s="24" t="s">
        <v>209</v>
      </c>
      <c r="B102" s="24"/>
      <c r="C102" s="24"/>
      <c r="D102" s="24"/>
      <c r="E102" s="24"/>
      <c r="F102" s="24"/>
      <c r="G102" s="24"/>
      <c r="H102" s="24"/>
    </row>
    <row r="104" customFormat="false" ht="15.5" hidden="false" customHeight="false" outlineLevel="0" collapsed="false">
      <c r="A104" s="12" t="s">
        <v>210</v>
      </c>
      <c r="B104" s="12"/>
      <c r="C104" s="12"/>
      <c r="D104" s="12"/>
      <c r="E104" s="12"/>
      <c r="F104" s="12"/>
      <c r="G104" s="13"/>
      <c r="H104" s="13"/>
    </row>
    <row r="105" customFormat="false" ht="15.5" hidden="false" customHeight="false" outlineLevel="0" collapsed="false">
      <c r="A105" s="14" t="s">
        <v>211</v>
      </c>
      <c r="B105" s="27" t="s">
        <v>212</v>
      </c>
      <c r="C105" s="27" t="s">
        <v>213</v>
      </c>
      <c r="D105" s="27" t="s">
        <v>214</v>
      </c>
      <c r="E105" s="27" t="s">
        <v>215</v>
      </c>
      <c r="F105" s="14" t="s">
        <v>216</v>
      </c>
      <c r="G105" s="14" t="s">
        <v>107</v>
      </c>
      <c r="H105" s="14"/>
    </row>
    <row r="106" customFormat="false" ht="16" hidden="false" customHeight="false" outlineLevel="0" collapsed="false">
      <c r="A106" s="10" t="n">
        <v>1</v>
      </c>
      <c r="B106" s="41" t="n">
        <f aca="false">$C$62^(A106-1)*$D$62^(A106-1)</f>
        <v>1</v>
      </c>
      <c r="C106" s="41" t="n">
        <f aca="false">(1-$C$62^(A106-1))*$D$62^(A106-1)</f>
        <v>0</v>
      </c>
      <c r="D106" s="41" t="n">
        <f aca="false">$C$62^(A106-1)*(1-$D$62^(A106-1))</f>
        <v>0</v>
      </c>
      <c r="E106" s="41" t="n">
        <f aca="false">(1-$C$62^(A106-1))*(1-$D$62^(A106-1))</f>
        <v>0</v>
      </c>
      <c r="F106" s="28" t="n">
        <f aca="false">B106*SUM($H$79:$H$83)+C106*SUM($H$85:$H$89)+D106*SUM($H$91:$H$95)+E106*SUM($H$97:$H$101)</f>
        <v>3.9837962962963</v>
      </c>
      <c r="G106" s="17" t="s">
        <v>217</v>
      </c>
      <c r="H106" s="17"/>
    </row>
    <row r="107" customFormat="false" ht="15" hidden="false" customHeight="false" outlineLevel="0" collapsed="false">
      <c r="A107" s="10" t="n">
        <v>2</v>
      </c>
      <c r="B107" s="41" t="n">
        <f aca="false">$C$62^(A107-1)*$D$62^(A107-1)</f>
        <v>0.25</v>
      </c>
      <c r="C107" s="41" t="n">
        <f aca="false">(1-$C$62^(A107-1))*$D$62^(A107-1)</f>
        <v>0.25</v>
      </c>
      <c r="D107" s="41" t="n">
        <f aca="false">$C$62^(A107-1)*(1-$D$62^(A107-1))</f>
        <v>0.25</v>
      </c>
      <c r="E107" s="41" t="n">
        <f aca="false">(1-$C$62^(A107-1))*(1-$D$62^(A107-1))</f>
        <v>0.25</v>
      </c>
      <c r="F107" s="28" t="n">
        <f aca="false">B107*SUM($H$79:$H$83)+C107*SUM($H$85:$H$89)+D107*SUM($H$91:$H$95)+E107*SUM($H$97:$H$101)</f>
        <v>6.50983796296296</v>
      </c>
    </row>
    <row r="108" customFormat="false" ht="15" hidden="false" customHeight="false" outlineLevel="0" collapsed="false">
      <c r="A108" s="10" t="n">
        <v>3</v>
      </c>
      <c r="B108" s="41" t="n">
        <f aca="false">$C$62^(A108-1)*$D$62^(A108-1)</f>
        <v>0.0625</v>
      </c>
      <c r="C108" s="41" t="n">
        <f aca="false">(1-$C$62^(A108-1))*$D$62^(A108-1)</f>
        <v>0.1875</v>
      </c>
      <c r="D108" s="41" t="n">
        <f aca="false">$C$62^(A108-1)*(1-$D$62^(A108-1))</f>
        <v>0.1875</v>
      </c>
      <c r="E108" s="41" t="n">
        <f aca="false">(1-$C$62^(A108-1))*(1-$D$62^(A108-1))</f>
        <v>0.5625</v>
      </c>
      <c r="F108" s="28" t="n">
        <f aca="false">B108*SUM($H$79:$H$83)+C108*SUM($H$85:$H$89)+D108*SUM($H$91:$H$95)+E108*SUM($H$97:$H$101)</f>
        <v>8.00940393518519</v>
      </c>
    </row>
    <row r="109" customFormat="false" ht="15" hidden="false" customHeight="false" outlineLevel="0" collapsed="false">
      <c r="A109" s="10" t="n">
        <v>4</v>
      </c>
      <c r="B109" s="41" t="n">
        <f aca="false">$C$62^(A109-1)*$D$62^(A109-1)</f>
        <v>0.015625</v>
      </c>
      <c r="C109" s="41" t="n">
        <f aca="false">(1-$C$62^(A109-1))*$D$62^(A109-1)</f>
        <v>0.109375</v>
      </c>
      <c r="D109" s="41" t="n">
        <f aca="false">$C$62^(A109-1)*(1-$D$62^(A109-1))</f>
        <v>0.109375</v>
      </c>
      <c r="E109" s="41" t="n">
        <f aca="false">(1-$C$62^(A109-1))*(1-$D$62^(A109-1))</f>
        <v>0.765625</v>
      </c>
      <c r="F109" s="28" t="n">
        <f aca="false">B109*SUM($H$79:$H$83)+C109*SUM($H$85:$H$89)+D109*SUM($H$91:$H$95)+E109*SUM($H$97:$H$101)</f>
        <v>8.81832320601852</v>
      </c>
    </row>
    <row r="110" customFormat="false" ht="15" hidden="false" customHeight="false" outlineLevel="0" collapsed="false">
      <c r="A110" s="10" t="n">
        <v>5</v>
      </c>
      <c r="B110" s="41" t="n">
        <f aca="false">$C$62^(A110-1)*$D$62^(A110-1)</f>
        <v>0.00390625</v>
      </c>
      <c r="C110" s="41" t="n">
        <f aca="false">(1-$C$62^(A110-1))*$D$62^(A110-1)</f>
        <v>0.05859375</v>
      </c>
      <c r="D110" s="41" t="n">
        <f aca="false">$C$62^(A110-1)*(1-$D$62^(A110-1))</f>
        <v>0.05859375</v>
      </c>
      <c r="E110" s="41" t="n">
        <f aca="false">(1-$C$62^(A110-1))*(1-$D$62^(A110-1))</f>
        <v>0.87890625</v>
      </c>
      <c r="F110" s="28" t="n">
        <f aca="false">B110*SUM($H$79:$H$83)+C110*SUM($H$85:$H$89)+D110*SUM($H$91:$H$95)+E110*SUM($H$97:$H$101)</f>
        <v>9.23756691261574</v>
      </c>
    </row>
    <row r="111" customFormat="false" ht="15" hidden="false" customHeight="false" outlineLevel="0" collapsed="false">
      <c r="A111" s="10" t="n">
        <v>6</v>
      </c>
      <c r="B111" s="41" t="n">
        <f aca="false">$C$62^(A111-1)*$D$62^(A111-1)</f>
        <v>0.0009765625</v>
      </c>
      <c r="C111" s="41" t="n">
        <f aca="false">(1-$C$62^(A111-1))*$D$62^(A111-1)</f>
        <v>0.0302734375</v>
      </c>
      <c r="D111" s="41" t="n">
        <f aca="false">$C$62^(A111-1)*(1-$D$62^(A111-1))</f>
        <v>0.0302734375</v>
      </c>
      <c r="E111" s="41" t="n">
        <f aca="false">(1-$C$62^(A111-1))*(1-$D$62^(A111-1))</f>
        <v>0.9384765625</v>
      </c>
      <c r="F111" s="28" t="n">
        <f aca="false">B111*SUM($H$79:$H$83)+C111*SUM($H$85:$H$89)+D111*SUM($H$91:$H$95)+E111*SUM($H$97:$H$101)</f>
        <v>9.45088478370949</v>
      </c>
    </row>
    <row r="112" customFormat="false" ht="15" hidden="false" customHeight="false" outlineLevel="0" collapsed="false">
      <c r="A112" s="10" t="n">
        <v>7</v>
      </c>
      <c r="B112" s="41" t="n">
        <f aca="false">$C$62^(A112-1)*$D$62^(A112-1)</f>
        <v>0.000244140625</v>
      </c>
      <c r="C112" s="41" t="n">
        <f aca="false">(1-$C$62^(A112-1))*$D$62^(A112-1)</f>
        <v>0.015380859375</v>
      </c>
      <c r="D112" s="41" t="n">
        <f aca="false">$C$62^(A112-1)*(1-$D$62^(A112-1))</f>
        <v>0.015380859375</v>
      </c>
      <c r="E112" s="41" t="n">
        <f aca="false">(1-$C$62^(A112-1))*(1-$D$62^(A112-1))</f>
        <v>0.968994140625</v>
      </c>
      <c r="F112" s="28" t="n">
        <f aca="false">B112*SUM($H$79:$H$83)+C112*SUM($H$85:$H$89)+D112*SUM($H$91:$H$95)+E112*SUM($H$97:$H$101)</f>
        <v>9.55846772370515</v>
      </c>
    </row>
    <row r="113" customFormat="false" ht="15" hidden="false" customHeight="false" outlineLevel="0" collapsed="false">
      <c r="A113" s="10" t="n">
        <v>8</v>
      </c>
      <c r="B113" s="41" t="n">
        <f aca="false">$C$62^(A113-1)*$D$62^(A113-1)</f>
        <v>6.103515625E-005</v>
      </c>
      <c r="C113" s="41" t="n">
        <f aca="false">(1-$C$62^(A113-1))*$D$62^(A113-1)</f>
        <v>0.00775146484375</v>
      </c>
      <c r="D113" s="41" t="n">
        <f aca="false">$C$62^(A113-1)*(1-$D$62^(A113-1))</f>
        <v>0.00775146484375</v>
      </c>
      <c r="E113" s="41" t="n">
        <f aca="false">(1-$C$62^(A113-1))*(1-$D$62^(A113-1))</f>
        <v>0.98443603515625</v>
      </c>
      <c r="F113" s="28" t="n">
        <f aca="false">B113*SUM($H$79:$H$83)+C113*SUM($H$85:$H$89)+D113*SUM($H$91:$H$95)+E113*SUM($H$97:$H$101)</f>
        <v>9.61249019481518</v>
      </c>
    </row>
    <row r="114" customFormat="false" ht="15" hidden="false" customHeight="false" outlineLevel="0" collapsed="false">
      <c r="A114" s="10" t="n">
        <v>9</v>
      </c>
      <c r="B114" s="41" t="n">
        <f aca="false">$C$62^(A114-1)*$D$62^(A114-1)</f>
        <v>1.52587890625E-005</v>
      </c>
      <c r="C114" s="41" t="n">
        <f aca="false">(1-$C$62^(A114-1))*$D$62^(A114-1)</f>
        <v>0.0038909912109375</v>
      </c>
      <c r="D114" s="41" t="n">
        <f aca="false">$C$62^(A114-1)*(1-$D$62^(A114-1))</f>
        <v>0.0038909912109375</v>
      </c>
      <c r="E114" s="41" t="n">
        <f aca="false">(1-$C$62^(A114-1))*(1-$D$62^(A114-1))</f>
        <v>0.992202758789063</v>
      </c>
      <c r="F114" s="28" t="n">
        <f aca="false">B114*SUM($H$79:$H$83)+C114*SUM($H$85:$H$89)+D114*SUM($H$91:$H$95)+E114*SUM($H$97:$H$101)</f>
        <v>9.63955918064824</v>
      </c>
    </row>
    <row r="115" customFormat="false" ht="15" hidden="false" customHeight="false" outlineLevel="0" collapsed="false">
      <c r="A115" s="10" t="n">
        <v>10</v>
      </c>
      <c r="B115" s="41" t="n">
        <f aca="false">$C$62^(A115-1)*$D$62^(A115-1)</f>
        <v>3.814697265625E-006</v>
      </c>
      <c r="C115" s="41" t="n">
        <f aca="false">(1-$C$62^(A115-1))*$D$62^(A115-1)</f>
        <v>0.00194931030273438</v>
      </c>
      <c r="D115" s="41" t="n">
        <f aca="false">$C$62^(A115-1)*(1-$D$62^(A115-1))</f>
        <v>0.00194931030273438</v>
      </c>
      <c r="E115" s="41" t="n">
        <f aca="false">(1-$C$62^(A115-1))*(1-$D$62^(A115-1))</f>
        <v>0.996097564697266</v>
      </c>
      <c r="F115" s="28" t="n">
        <f aca="false">B115*SUM($H$79:$H$83)+C115*SUM($H$85:$H$89)+D115*SUM($H$91:$H$95)+E115*SUM($H$97:$H$101)</f>
        <v>9.65310811113428</v>
      </c>
    </row>
    <row r="116" customFormat="false" ht="15.5" hidden="false" customHeight="false" outlineLevel="0" collapsed="false">
      <c r="A116" s="39">
        <v>10</v>
      </c>
      <c r="B116" s="29"/>
      <c r="F116" s="22" t="n">
        <f aca="false">SUM(F106:F115)</f>
        <v>84.473438307091</v>
      </c>
      <c r="G116" s="10" t="s">
        <v>219</v>
      </c>
    </row>
    <row r="117" customFormat="false" ht="16" hidden="false" customHeight="false" outlineLevel="0" collapsed="false">
      <c r="A117" s="23" t="s">
        <v>220</v>
      </c>
      <c r="F117" s="22" t="n">
        <f aca="false">E41*F116</f>
        <v>0.439965824516099</v>
      </c>
      <c r="G117" s="17" t="s">
        <v>221</v>
      </c>
      <c r="H117" s="17"/>
    </row>
    <row r="118" customFormat="false" ht="16" hidden="false" customHeight="false" outlineLevel="0" collapsed="false">
      <c r="A118" s="23" t="s">
        <v>222</v>
      </c>
      <c r="F118" s="22" t="n">
        <f aca="false">H36</f>
        <v>0.482638888888889</v>
      </c>
      <c r="G118" s="10" t="s">
        <v>223</v>
      </c>
    </row>
    <row r="119" customFormat="false" ht="16" hidden="false" customHeight="false" outlineLevel="0" collapsed="false">
      <c r="A119" s="23" t="s">
        <v>224</v>
      </c>
      <c r="F119" s="22" t="n">
        <f aca="false">F117+F118</f>
        <v>0.922604713404988</v>
      </c>
      <c r="G119" s="10" t="s">
        <v>225</v>
      </c>
    </row>
    <row r="120" customFormat="false" ht="15.5" hidden="false" customHeight="true" outlineLevel="0" collapsed="false">
      <c r="A120" s="24" t="s">
        <v>226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</row>
    <row r="122" customFormat="false" ht="15.5" hidden="false" customHeight="false" outlineLevel="0" collapsed="false">
      <c r="A122" s="12" t="s">
        <v>227</v>
      </c>
      <c r="B122" s="12"/>
      <c r="C122" s="12"/>
      <c r="D122" s="13"/>
      <c r="E122" s="13"/>
      <c r="F122" s="13"/>
      <c r="G122" s="13"/>
      <c r="H122" s="13"/>
    </row>
    <row r="123" customFormat="false" ht="15" hidden="false" customHeight="false" outlineLevel="0" collapsed="false">
      <c r="A123" s="14" t="s">
        <v>228</v>
      </c>
      <c r="B123" s="14" t="s">
        <v>229</v>
      </c>
      <c r="C123" s="14" t="s">
        <v>107</v>
      </c>
      <c r="D123" s="14"/>
      <c r="E123" s="14"/>
      <c r="F123" s="14"/>
      <c r="G123" s="14"/>
      <c r="H123" s="14"/>
    </row>
    <row r="124" customFormat="false" ht="16" hidden="false" customHeight="false" outlineLevel="0" collapsed="false">
      <c r="A124" s="10" t="s">
        <v>230</v>
      </c>
      <c r="B124" s="30" t="str">
        <f aca="false">IF(B8=1728,"✓","✗")</f>
        <v>✓</v>
      </c>
      <c r="C124" s="20" t="s">
        <v>231</v>
      </c>
    </row>
    <row r="125" customFormat="false" ht="16" hidden="false" customHeight="false" outlineLevel="0" collapsed="false">
      <c r="A125" s="10" t="s">
        <v>232</v>
      </c>
      <c r="B125" s="30" t="str">
        <f aca="false">IF(AND(B31=2,B32=2,B33=2,B34=2,B35=3,C31=2,C33=3),"✓","✗")</f>
        <v>✓</v>
      </c>
      <c r="C125" s="17" t="s">
        <v>233</v>
      </c>
      <c r="D125" s="17"/>
    </row>
    <row r="126" customFormat="false" ht="16" hidden="false" customHeight="false" outlineLevel="0" collapsed="false">
      <c r="A126" s="10" t="s">
        <v>234</v>
      </c>
      <c r="B126" s="30" t="str">
        <f aca="false">IF(ABS(H36-0.4826)&lt;0.001,"✓","✗")</f>
        <v>✓</v>
      </c>
      <c r="C126" s="10" t="s">
        <v>235</v>
      </c>
    </row>
    <row r="127" customFormat="false" ht="16" hidden="false" customHeight="false" outlineLevel="0" collapsed="false">
      <c r="A127" s="10" t="s">
        <v>236</v>
      </c>
      <c r="B127" s="30" t="str">
        <f aca="false">IF(ABS(E41-0.0052)&lt;0.0001,"✓","✗")</f>
        <v>✓</v>
      </c>
      <c r="C127" s="20" t="s">
        <v>237</v>
      </c>
    </row>
    <row r="128" customFormat="false" ht="16" hidden="false" customHeight="false" outlineLevel="0" collapsed="false">
      <c r="A128" s="20" t="s">
        <v>238</v>
      </c>
      <c r="B128" s="30" t="str">
        <f aca="false">IF(AND(ABS(B61)&lt;0.0001,ABS(C61-0.5)&lt;0.0001,ABS(D61-0.5)&lt;0.0001),"✓","✗")</f>
        <v>✓</v>
      </c>
      <c r="C128" s="10" t="s">
        <v>239</v>
      </c>
    </row>
    <row r="129" customFormat="false" ht="16" hidden="false" customHeight="false" outlineLevel="0" collapsed="false">
      <c r="A129" s="10" t="s">
        <v>240</v>
      </c>
      <c r="B129" s="30" t="str">
        <f aca="false">IF(COUNTA($A$66:$A$73)=8,"✓","✗")</f>
        <v>✓</v>
      </c>
      <c r="C129" s="17" t="s">
        <v>241</v>
      </c>
      <c r="D129" s="17"/>
    </row>
    <row r="130" customFormat="false" ht="16" hidden="false" customHeight="false" outlineLevel="0" collapsed="false">
      <c r="A130" s="10" t="s">
        <v>242</v>
      </c>
      <c r="B130" s="30" t="str">
        <f aca="false">IF(AND(ABS(SUM(H79:H83)-3.9838)&lt;0.002,ABS(SUM(H85:H89)-6.1944)&lt;0.002,ABS(SUM(H97:H101)-9.6667)&lt;0.002),"✓","✗")</f>
        <v>✓</v>
      </c>
      <c r="C130" s="10" t="s">
        <v>243</v>
      </c>
    </row>
    <row r="131" customFormat="false" ht="16" hidden="false" customHeight="false" outlineLevel="0" collapsed="false">
      <c r="A131" s="10" t="s">
        <v>244</v>
      </c>
      <c r="B131" s="30" t="str">
        <f aca="false">IF(ABS(B107-0.25)&lt;0.0001,"✓","✗")</f>
        <v>✓</v>
      </c>
      <c r="C131" s="10" t="s">
        <v>245</v>
      </c>
    </row>
    <row r="132" customFormat="false" ht="16" hidden="false" customHeight="false" outlineLevel="0" collapsed="false">
      <c r="A132" s="10" t="s">
        <v>246</v>
      </c>
      <c r="B132" s="30" t="str">
        <f aca="false">IF(ABS(F117-0.44)&lt;0.002,"✓","✗")</f>
        <v>✓</v>
      </c>
      <c r="C132" s="10" t="s">
        <v>247</v>
      </c>
    </row>
    <row r="133" customFormat="false" ht="16" hidden="false" customHeight="false" outlineLevel="0" collapsed="false">
      <c r="A133" s="10" t="s">
        <v>248</v>
      </c>
      <c r="B133" s="30" t="str">
        <f aca="false">IF(ABS(F119-0.9226)&lt;0.002,"✓","✗")</f>
        <v>✓</v>
      </c>
      <c r="C133" s="10" t="s">
        <v>247</v>
      </c>
    </row>
    <row r="135" customFormat="false" ht="15" hidden="false" customHeight="true" outlineLevel="0" collapsed="false">
      <c r="A135" s="24" t="s">
        <v>249</v>
      </c>
      <c r="B135" s="24"/>
      <c r="C135" s="24"/>
      <c r="D135" s="24"/>
      <c r="E135" s="24"/>
      <c r="F135" s="24"/>
      <c r="G135" s="24"/>
      <c r="H135" s="24"/>
    </row>
  </sheetData>
  <mergeCells count="33">
    <mergeCell ref="A1:H1"/>
    <mergeCell ref="A3:C3"/>
    <mergeCell ref="C5:F5"/>
    <mergeCell ref="C7:E7"/>
    <mergeCell ref="C8:D8"/>
    <mergeCell ref="C9:F9"/>
    <mergeCell ref="C10:E10"/>
    <mergeCell ref="C11:G11"/>
    <mergeCell ref="A13:F13"/>
    <mergeCell ref="G15:H15"/>
    <mergeCell ref="A29:F29"/>
    <mergeCell ref="A37:G37"/>
    <mergeCell ref="A39:E39"/>
    <mergeCell ref="A43:F43"/>
    <mergeCell ref="G45:H45"/>
    <mergeCell ref="A59:E59"/>
    <mergeCell ref="E61:G61"/>
    <mergeCell ref="E62:H62"/>
    <mergeCell ref="A64:F64"/>
    <mergeCell ref="F66:H66"/>
    <mergeCell ref="F72:G72"/>
    <mergeCell ref="F74:H74"/>
    <mergeCell ref="A76:F76"/>
    <mergeCell ref="A102:H102"/>
    <mergeCell ref="A104:F104"/>
    <mergeCell ref="G106:H106"/>
    <mergeCell ref="A116:B116"/>
    <mergeCell ref="G117:H117"/>
    <mergeCell ref="A120:K120"/>
    <mergeCell ref="A122:C122"/>
    <mergeCell ref="C125:D125"/>
    <mergeCell ref="C129:D129"/>
    <mergeCell ref="A135:H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P155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2026-09-29T15:06:26Z</dcterms:created>
  <dc:creator>openpyxl</dc:creator>
  <dc:description/>
  <dc:language>zh-CN</dc:language>
  <cp:lastModifiedBy/>
  <dcterms:modified xsi:type="dcterms:W3CDTF">2026-09-29T15:06:26Z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