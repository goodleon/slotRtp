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说明" sheetId="1" state="visible" r:id="rId3"/>
    <sheet name="数据配表" sheetId="2" state="visible" r:id="rId4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<sst xmlns="http://schemas.openxmlformats.org/spreadsheetml/2006/main" count="195" uniqueCount="184">
  <si>
    <r>
      <rPr>
        <b val="true"/>
        <sz val="14"/>
        <color rgb="FF1F4E79"/>
        <rFont val="Noto Sans SC"/>
        <family val="2"/>
        <charset val="134"/>
      </rPr>
      <t xml:space="preserve">从零开始学</t>
    </r>
    <r>
      <rPr>
        <b val="true"/>
        <sz val="14"/>
        <color rgb="FF1F4E79"/>
        <rFont val="Cambria"/>
        <family val="0"/>
        <charset val="1"/>
      </rPr>
      <t xml:space="preserve">Slots 11 —— </t>
    </r>
    <r>
      <rPr>
        <b val="true"/>
        <sz val="14"/>
        <color rgb="FF1F4E79"/>
        <rFont val="Noto Sans SC"/>
        <family val="2"/>
        <charset val="134"/>
      </rPr>
      <t xml:space="preserve">数值篇：</t>
    </r>
    <r>
      <rPr>
        <b val="true"/>
        <sz val="14"/>
        <color rgb="FF1F4E79"/>
        <rFont val="Cambria"/>
        <family val="0"/>
        <charset val="1"/>
      </rPr>
      <t xml:space="preserve">Scatter(3)</t>
    </r>
  </si>
  <si>
    <r>
      <rPr>
        <sz val="11"/>
        <color rgb="FF808080"/>
        <rFont val="Noto Sans SC"/>
        <family val="2"/>
        <charset val="134"/>
      </rPr>
      <t xml:space="preserve">来源：知乎《</t>
    </r>
    <r>
      <rPr>
        <sz val="11"/>
        <color rgb="FF808080"/>
        <rFont val="Cambria"/>
        <family val="0"/>
        <charset val="1"/>
      </rPr>
      <t xml:space="preserve">Slots</t>
    </r>
    <r>
      <rPr>
        <sz val="11"/>
        <color rgb="FF808080"/>
        <rFont val="Noto Sans SC"/>
        <family val="2"/>
        <charset val="134"/>
      </rPr>
      <t xml:space="preserve">数值篇——</t>
    </r>
    <r>
      <rPr>
        <sz val="11"/>
        <color rgb="FF808080"/>
        <rFont val="Cambria"/>
        <family val="0"/>
        <charset val="1"/>
      </rPr>
      <t xml:space="preserve">Scatter(3)</t>
    </r>
    <r>
      <rPr>
        <sz val="11"/>
        <color rgb="FF808080"/>
        <rFont val="Noto Sans SC"/>
        <family val="2"/>
        <charset val="134"/>
      </rPr>
      <t xml:space="preserve">》  </t>
    </r>
    <r>
      <rPr>
        <sz val="11"/>
        <color rgb="FF808080"/>
        <rFont val="Cambria"/>
        <family val="0"/>
        <charset val="1"/>
      </rPr>
      <t xml:space="preserve">https://zhuanlan.zhihu.com/p/624381718</t>
    </r>
  </si>
  <si>
    <r>
      <rPr>
        <sz val="11"/>
        <color rgb="FF808080"/>
        <rFont val="Noto Sans SC"/>
        <family val="2"/>
        <charset val="134"/>
      </rPr>
      <t xml:space="preserve">专栏：从零开始学</t>
    </r>
    <r>
      <rPr>
        <sz val="11"/>
        <color rgb="FF808080"/>
        <rFont val="Cambria"/>
        <family val="0"/>
        <charset val="1"/>
      </rPr>
      <t xml:space="preserve">Slots https://zhuanlan.zhihu.com/c_1645024821070356480 </t>
    </r>
    <r>
      <rPr>
        <sz val="11"/>
        <color rgb="FF808080"/>
        <rFont val="Noto Sans SC"/>
        <family val="2"/>
        <charset val="134"/>
      </rPr>
      <t xml:space="preserve">｜ 作者：</t>
    </r>
    <r>
      <rPr>
        <sz val="11"/>
        <color rgb="FF808080"/>
        <rFont val="Cambria"/>
        <family val="0"/>
        <charset val="1"/>
      </rPr>
      <t xml:space="preserve">ASlot</t>
    </r>
  </si>
  <si>
    <r>
      <rPr>
        <sz val="11"/>
        <color rgb="FF808080"/>
        <rFont val="Noto Sans SC"/>
        <family val="2"/>
        <charset val="134"/>
      </rPr>
      <t xml:space="preserve">正文：用户在本机离线保存的网页原件（浏览器「另存为 → 网页，全部」）；本页『原文整理』即该文全文，原文配图已取回 </t>
    </r>
    <r>
      <rPr>
        <sz val="11"/>
        <color rgb="FF808080"/>
        <rFont val="Cambria"/>
        <family val="0"/>
        <charset val="1"/>
      </rPr>
      <t xml:space="preserve">images/slots/</t>
    </r>
    <r>
      <rPr>
        <sz val="11"/>
        <color rgb="FF808080"/>
        <rFont val="Noto Sans SC"/>
        <family val="2"/>
        <charset val="134"/>
      </rPr>
      <t xml:space="preserve">。</t>
    </r>
  </si>
  <si>
    <r>
      <rPr>
        <sz val="11"/>
        <color rgb="FF808080"/>
        <rFont val="Noto Sans SC"/>
        <family val="2"/>
        <charset val="134"/>
      </rPr>
      <t xml:space="preserve">样式模板：捕鱼游戏数学</t>
    </r>
    <r>
      <rPr>
        <sz val="11"/>
        <color rgb="FF808080"/>
        <rFont val="Cambria"/>
        <family val="0"/>
        <charset val="1"/>
      </rPr>
      <t xml:space="preserve">-PartII-</t>
    </r>
    <r>
      <rPr>
        <sz val="11"/>
        <color rgb="FF808080"/>
        <rFont val="Noto Sans SC"/>
        <family val="2"/>
        <charset val="134"/>
      </rPr>
      <t xml:space="preserve">特殊炮模型</t>
    </r>
    <r>
      <rPr>
        <sz val="11"/>
        <color rgb="FF808080"/>
        <rFont val="Cambria"/>
        <family val="0"/>
        <charset val="1"/>
      </rPr>
      <t xml:space="preserve">.xlsx</t>
    </r>
    <r>
      <rPr>
        <sz val="11"/>
        <color rgb="FF808080"/>
        <rFont val="Noto Sans SC"/>
        <family val="2"/>
        <charset val="134"/>
      </rPr>
      <t xml:space="preserve">（分节深蓝底 </t>
    </r>
    <r>
      <rPr>
        <sz val="11"/>
        <color rgb="FF808080"/>
        <rFont val="Cambria"/>
        <family val="0"/>
        <charset val="1"/>
      </rPr>
      <t xml:space="preserve">+ </t>
    </r>
    <r>
      <rPr>
        <sz val="11"/>
        <color rgb="FF808080"/>
        <rFont val="Noto Sans SC"/>
        <family val="2"/>
        <charset val="134"/>
      </rPr>
      <t xml:space="preserve">表头浅蓝底 </t>
    </r>
    <r>
      <rPr>
        <sz val="11"/>
        <color rgb="FF808080"/>
        <rFont val="Cambria"/>
        <family val="0"/>
        <charset val="1"/>
      </rPr>
      <t xml:space="preserve">+ </t>
    </r>
    <r>
      <rPr>
        <sz val="11"/>
        <color rgb="FF808080"/>
        <rFont val="Noto Sans SC"/>
        <family val="2"/>
        <charset val="134"/>
      </rPr>
      <t xml:space="preserve">蓝字可改输入 </t>
    </r>
    <r>
      <rPr>
        <sz val="11"/>
        <color rgb="FF808080"/>
        <rFont val="Cambria"/>
        <family val="0"/>
        <charset val="1"/>
      </rPr>
      <t xml:space="preserve">+ </t>
    </r>
    <r>
      <rPr>
        <sz val="11"/>
        <color rgb="FF808080"/>
        <rFont val="Noto Sans SC"/>
        <family val="2"/>
        <charset val="134"/>
      </rPr>
      <t xml:space="preserve">黑字公式 </t>
    </r>
    <r>
      <rPr>
        <sz val="11"/>
        <color rgb="FF808080"/>
        <rFont val="Cambria"/>
        <family val="0"/>
        <charset val="1"/>
      </rPr>
      <t xml:space="preserve">+ </t>
    </r>
    <r>
      <rPr>
        <sz val="11"/>
        <color rgb="FF808080"/>
        <rFont val="Noto Sans SC"/>
        <family val="2"/>
        <charset val="134"/>
      </rPr>
      <t xml:space="preserve">黄底关键结果）</t>
    </r>
  </si>
  <si>
    <r>
      <rPr>
        <sz val="11"/>
        <color rgb="FF808080"/>
        <rFont val="Noto Sans SC"/>
        <family val="2"/>
        <charset val="134"/>
      </rPr>
      <t xml:space="preserve">配表说明：原文的卷轴（</t>
    </r>
    <r>
      <rPr>
        <sz val="11"/>
        <color rgb="FF808080"/>
        <rFont val="Cambria"/>
        <family val="0"/>
        <charset val="1"/>
      </rPr>
      <t xml:space="preserve">80+ </t>
    </r>
    <r>
      <rPr>
        <sz val="11"/>
        <color rgb="FF808080"/>
        <rFont val="Noto Sans SC"/>
        <family val="2"/>
        <charset val="134"/>
      </rPr>
      <t xml:space="preserve">行）与统计表是超大截图，本表用一段 </t>
    </r>
    <r>
      <rPr>
        <sz val="11"/>
        <color rgb="FF808080"/>
        <rFont val="Cambria"/>
        <family val="0"/>
        <charset val="1"/>
      </rPr>
      <t xml:space="preserve">10 </t>
    </r>
    <r>
      <rPr>
        <sz val="11"/>
        <color rgb="FF808080"/>
        <rFont val="Noto Sans SC"/>
        <family val="2"/>
        <charset val="134"/>
      </rPr>
      <t xml:space="preserve">停的示意卷轴把「预留两行 </t>
    </r>
    <r>
      <rPr>
        <sz val="11"/>
        <color rgb="FF808080"/>
        <rFont val="Cambria"/>
        <family val="0"/>
        <charset val="1"/>
      </rPr>
      <t xml:space="preserve">+ </t>
    </r>
    <r>
      <rPr>
        <sz val="11"/>
        <color rgb="FF808080"/>
        <rFont val="Noto Sans SC"/>
        <family val="2"/>
        <charset val="134"/>
      </rPr>
      <t xml:space="preserve">连续三行窗口遍历 </t>
    </r>
    <r>
      <rPr>
        <sz val="11"/>
        <color rgb="FF808080"/>
        <rFont val="Cambria"/>
        <family val="0"/>
        <charset val="1"/>
      </rPr>
      <t xml:space="preserve">+ 1/2/3 </t>
    </r>
    <r>
      <rPr>
        <sz val="11"/>
        <color rgb="FF808080"/>
        <rFont val="Noto Sans SC"/>
        <family val="2"/>
        <charset val="134"/>
      </rPr>
      <t xml:space="preserve">个 </t>
    </r>
    <r>
      <rPr>
        <sz val="11"/>
        <color rgb="FF808080"/>
        <rFont val="Cambria"/>
        <family val="0"/>
        <charset val="1"/>
      </rPr>
      <t xml:space="preserve">Scatter </t>
    </r>
    <r>
      <rPr>
        <sz val="11"/>
        <color rgb="FF808080"/>
        <rFont val="Noto Sans SC"/>
        <family val="2"/>
        <charset val="134"/>
      </rPr>
      <t xml:space="preserve">计数」做成可算表（数值可改）。</t>
    </r>
  </si>
  <si>
    <r>
      <rPr>
        <sz val="11"/>
        <color rgb="FF808080"/>
        <rFont val="Noto Sans SC"/>
        <family val="2"/>
        <charset val="134"/>
      </rPr>
      <t xml:space="preserve">原文的关键事实（第三列 </t>
    </r>
    <r>
      <rPr>
        <sz val="11"/>
        <color rgb="FF808080"/>
        <rFont val="Cambria"/>
        <family val="0"/>
        <charset val="1"/>
      </rPr>
      <t xml:space="preserve">84~86 </t>
    </r>
    <r>
      <rPr>
        <sz val="11"/>
        <color rgb="FF808080"/>
        <rFont val="Noto Sans SC"/>
        <family val="2"/>
        <charset val="134"/>
      </rPr>
      <t xml:space="preserve">行为三连 </t>
    </r>
    <r>
      <rPr>
        <sz val="11"/>
        <color rgb="FF808080"/>
        <rFont val="Cambria"/>
        <family val="0"/>
        <charset val="1"/>
      </rPr>
      <t xml:space="preserve">Scatter</t>
    </r>
    <r>
      <rPr>
        <sz val="11"/>
        <color rgb="FF808080"/>
        <rFont val="Noto Sans SC"/>
        <family val="2"/>
        <charset val="134"/>
      </rPr>
      <t xml:space="preserve">、需要预留两行、</t>
    </r>
    <r>
      <rPr>
        <sz val="11"/>
        <color rgb="FF808080"/>
        <rFont val="Cambria"/>
        <family val="0"/>
        <charset val="1"/>
      </rPr>
      <t xml:space="preserve">Scatter </t>
    </r>
    <r>
      <rPr>
        <sz val="11"/>
        <color rgb="FF808080"/>
        <rFont val="Noto Sans SC"/>
        <family val="2"/>
        <charset val="134"/>
      </rPr>
      <t xml:space="preserve">用实际个数不乘行数）均已写进表内；组合与免费摇部分给出与 </t>
    </r>
    <r>
      <rPr>
        <sz val="11"/>
        <color rgb="FF808080"/>
        <rFont val="Cambria"/>
        <family val="0"/>
        <charset val="1"/>
      </rPr>
      <t xml:space="preserve">17 </t>
    </r>
    <r>
      <rPr>
        <sz val="11"/>
        <color rgb="FF808080"/>
        <rFont val="Noto Sans SC"/>
        <family val="2"/>
        <charset val="134"/>
      </rPr>
      <t xml:space="preserve">篇同构的计算结构。</t>
    </r>
  </si>
  <si>
    <t xml:space="preserve">页签</t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</si>
  <si>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说明：本文整理 —— 来源、用法、要点、原文全文、配图清单、校验与声明。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</si>
  <si>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数据配表：把原文讲到的方法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SC"/>
        <family val="2"/>
        <charset val="134"/>
      </rPr>
      <t xml:space="preserve">机制做成可改数值的配表（蓝字可改，公式自动联动）。</t>
    </r>
  </si>
  <si>
    <t xml:space="preserve">用法</t>
  </si>
  <si>
    <r>
      <rPr>
        <sz val="11"/>
        <color theme="1"/>
        <rFont val="Calibri"/>
        <family val="2"/>
        <charset val="1"/>
      </rPr>
      <t xml:space="preserve">1) </t>
    </r>
    <r>
      <rPr>
        <sz val="11"/>
        <color theme="1"/>
        <rFont val="Noto Sans SC"/>
        <family val="2"/>
        <charset val="134"/>
      </rPr>
      <t xml:space="preserve">先看本页『原文整理』，对照原文小标题读一遍；配图编号 ［配图 </t>
    </r>
    <r>
      <rPr>
        <sz val="11"/>
        <color theme="1"/>
        <rFont val="Calibri"/>
        <family val="2"/>
        <charset val="1"/>
      </rPr>
      <t xml:space="preserve">NN</t>
    </r>
    <r>
      <rPr>
        <sz val="11"/>
        <color theme="1"/>
        <rFont val="Noto Sans SC"/>
        <family val="2"/>
        <charset val="134"/>
      </rPr>
      <t xml:space="preserve">］ 对应 </t>
    </r>
    <r>
      <rPr>
        <sz val="11"/>
        <color theme="1"/>
        <rFont val="Calibri"/>
        <family val="2"/>
        <charset val="1"/>
      </rPr>
      <t xml:space="preserve">images/slots/624381718-NN.</t>
    </r>
    <r>
      <rPr>
        <sz val="11"/>
        <color theme="1"/>
        <rFont val="Noto Sans SC"/>
        <family val="2"/>
        <charset val="134"/>
      </rPr>
      <t xml:space="preserve">原扩展名。</t>
    </r>
  </si>
  <si>
    <r>
      <rPr>
        <sz val="11"/>
        <color theme="1"/>
        <rFont val="Calibri"/>
        <family val="2"/>
        <charset val="1"/>
      </rPr>
      <t xml:space="preserve">2) </t>
    </r>
    <r>
      <rPr>
        <sz val="11"/>
        <color theme="1"/>
        <rFont val="Noto Sans SC"/>
        <family val="2"/>
        <charset val="134"/>
      </rPr>
      <t xml:space="preserve">再看第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SC"/>
        <family val="2"/>
        <charset val="134"/>
      </rPr>
      <t xml:space="preserve">个页签『数据配表』：蓝字＝可改配置，黑字＝公式，黄底＝结果；改配置后各表自动联动。</t>
    </r>
  </si>
  <si>
    <r>
      <rPr>
        <sz val="11"/>
        <color theme="1"/>
        <rFont val="Calibri"/>
        <family val="2"/>
        <charset val="1"/>
      </rPr>
      <t xml:space="preserve">3) </t>
    </r>
    <r>
      <rPr>
        <sz val="11"/>
        <color theme="1"/>
        <rFont val="Noto Sans SC"/>
        <family val="2"/>
        <charset val="134"/>
      </rPr>
      <t xml:space="preserve">表内数值取自原文示例；原文只给方法而未给数值的部分，用同项目《老虎机数学入门 </t>
    </r>
    <r>
      <rPr>
        <sz val="11"/>
        <color theme="1"/>
        <rFont val="Calibri"/>
        <family val="2"/>
        <charset val="1"/>
      </rPr>
      <t xml:space="preserve">Part Ⅰ/Ⅱ</t>
    </r>
    <r>
      <rPr>
        <sz val="11"/>
        <color theme="1"/>
        <rFont val="Noto Sans SC"/>
        <family val="2"/>
        <charset val="134"/>
      </rPr>
      <t xml:space="preserve">》的示例数值（蓝字可改）。</t>
    </r>
  </si>
  <si>
    <t xml:space="preserve">要点</t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</si>
  <si>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前两篇的前提是「每列只有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SC"/>
        <family val="2"/>
        <charset val="134"/>
      </rPr>
      <t xml:space="preserve">个 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」；当固定卷轴上出现</t>
    </r>
    <r>
      <rPr>
        <sz val="11"/>
        <color theme="1"/>
        <rFont val="Calibri"/>
        <family val="2"/>
        <charset val="1"/>
      </rPr>
      <t xml:space="preserve">**</t>
    </r>
    <r>
      <rPr>
        <sz val="11"/>
        <color theme="1"/>
        <rFont val="Noto Sans SC"/>
        <family val="2"/>
        <charset val="134"/>
      </rPr>
      <t xml:space="preserve">相连 </t>
    </r>
    <r>
      <rPr>
        <sz val="11"/>
        <color theme="1"/>
        <rFont val="Calibri"/>
        <family val="2"/>
        <charset val="1"/>
      </rPr>
      <t xml:space="preserve">Scatter**</t>
    </r>
  </si>
  <si>
    <r>
      <rPr>
        <sz val="11"/>
        <color theme="1"/>
        <rFont val="Noto Sans SC"/>
        <family val="2"/>
        <charset val="134"/>
      </rPr>
      <t xml:space="preserve">  （原文例：第三列卷轴 </t>
    </r>
    <r>
      <rPr>
        <sz val="11"/>
        <color theme="1"/>
        <rFont val="Calibri"/>
        <family val="2"/>
        <charset val="1"/>
      </rPr>
      <t xml:space="preserve">84~86 </t>
    </r>
    <r>
      <rPr>
        <sz val="11"/>
        <color theme="1"/>
        <rFont val="Noto Sans SC"/>
        <family val="2"/>
        <charset val="134"/>
      </rPr>
      <t xml:space="preserve">行出现三连 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）时，旧做法会漏掉「单列出现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SC"/>
        <family val="2"/>
        <charset val="134"/>
      </rPr>
      <t xml:space="preserve">个以上 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」的情况。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</si>
  <si>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因此这类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要换更细致的算法：先读取该列卷轴上出现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SC"/>
        <family val="2"/>
        <charset val="134"/>
      </rPr>
      <t xml:space="preserve">个 </t>
    </r>
    <r>
      <rPr>
        <sz val="11"/>
        <color theme="1"/>
        <rFont val="Calibri"/>
        <family val="2"/>
        <charset val="1"/>
      </rPr>
      <t xml:space="preserve">/ 2 </t>
    </r>
    <r>
      <rPr>
        <sz val="11"/>
        <color theme="1"/>
        <rFont val="Noto Sans SC"/>
        <family val="2"/>
        <charset val="134"/>
      </rPr>
      <t xml:space="preserve">个 </t>
    </r>
    <r>
      <rPr>
        <sz val="11"/>
        <color theme="1"/>
        <rFont val="Calibri"/>
        <family val="2"/>
        <charset val="1"/>
      </rPr>
      <t xml:space="preserve">/ 3 </t>
    </r>
    <r>
      <rPr>
        <sz val="11"/>
        <color theme="1"/>
        <rFont val="Noto Sans SC"/>
        <family val="2"/>
        <charset val="134"/>
      </rPr>
      <t xml:space="preserve">个 </t>
    </r>
    <r>
      <rPr>
        <sz val="11"/>
        <color theme="1"/>
        <rFont val="Calibri"/>
        <family val="2"/>
        <charset val="1"/>
      </rPr>
      <t xml:space="preserve">Scatter </t>
    </r>
    <r>
      <rPr>
        <sz val="11"/>
        <color theme="1"/>
        <rFont val="Noto Sans SC"/>
        <family val="2"/>
        <charset val="134"/>
      </rPr>
      <t xml:space="preserve">的事件个数，</t>
    </r>
  </si>
  <si>
    <t xml:space="preserve">  再按排列组合求触发免费摇的事件数。</t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</si>
  <si>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读取技巧：① 在卷轴下方</t>
    </r>
    <r>
      <rPr>
        <sz val="11"/>
        <color theme="1"/>
        <rFont val="Calibri"/>
        <family val="2"/>
        <charset val="1"/>
      </rPr>
      <t xml:space="preserve">**</t>
    </r>
    <r>
      <rPr>
        <sz val="11"/>
        <color theme="1"/>
        <rFont val="Noto Sans SC"/>
        <family val="2"/>
        <charset val="134"/>
      </rPr>
      <t xml:space="preserve">预留两行</t>
    </r>
    <r>
      <rPr>
        <sz val="11"/>
        <color theme="1"/>
        <rFont val="Calibri"/>
        <family val="2"/>
        <charset val="1"/>
      </rPr>
      <t xml:space="preserve">**</t>
    </r>
    <r>
      <rPr>
        <sz val="11"/>
        <color theme="1"/>
        <rFont val="Noto Sans SC"/>
        <family val="2"/>
        <charset val="134"/>
      </rPr>
      <t xml:space="preserve">（＝卷轴第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SC"/>
        <family val="2"/>
        <charset val="134"/>
      </rPr>
      <t xml:space="preserve">行的副本），用来模拟卷轴首尾相连；</t>
    </r>
  </si>
  <si>
    <r>
      <rPr>
        <sz val="11"/>
        <color theme="1"/>
        <rFont val="Noto Sans SC"/>
        <family val="2"/>
        <charset val="134"/>
      </rPr>
      <t xml:space="preserve">  ② 用 </t>
    </r>
    <r>
      <rPr>
        <sz val="11"/>
        <color theme="1"/>
        <rFont val="Calibri"/>
        <family val="2"/>
        <charset val="1"/>
      </rPr>
      <t xml:space="preserve">IF </t>
    </r>
    <r>
      <rPr>
        <sz val="11"/>
        <color theme="1"/>
        <rFont val="Noto Sans SC"/>
        <family val="2"/>
        <charset val="134"/>
      </rPr>
      <t xml:space="preserve">数组对「连续三行」遍历，统计窗口内 </t>
    </r>
    <r>
      <rPr>
        <sz val="11"/>
        <color theme="1"/>
        <rFont val="Calibri"/>
        <family val="2"/>
        <charset val="1"/>
      </rPr>
      <t xml:space="preserve">Scatter </t>
    </r>
    <r>
      <rPr>
        <sz val="11"/>
        <color theme="1"/>
        <rFont val="Noto Sans SC"/>
        <family val="2"/>
        <charset val="134"/>
      </rPr>
      <t xml:space="preserve">个数 → 得到各列 </t>
    </r>
    <r>
      <rPr>
        <sz val="11"/>
        <color theme="1"/>
        <rFont val="Calibri"/>
        <family val="2"/>
        <charset val="1"/>
      </rPr>
      <t xml:space="preserve">1/2/3 </t>
    </r>
    <r>
      <rPr>
        <sz val="11"/>
        <color theme="1"/>
        <rFont val="Noto Sans SC"/>
        <family val="2"/>
        <charset val="134"/>
      </rPr>
      <t xml:space="preserve">个的事件数。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</si>
  <si>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注意：这一步的 </t>
    </r>
    <r>
      <rPr>
        <sz val="11"/>
        <color theme="1"/>
        <rFont val="Calibri"/>
        <family val="2"/>
        <charset val="1"/>
      </rPr>
      <t xml:space="preserve">Scatter </t>
    </r>
    <r>
      <rPr>
        <sz val="11"/>
        <color theme="1"/>
        <rFont val="Noto Sans SC"/>
        <family val="2"/>
        <charset val="134"/>
      </rPr>
      <t xml:space="preserve">个数用的是</t>
    </r>
    <r>
      <rPr>
        <sz val="11"/>
        <color theme="1"/>
        <rFont val="Calibri"/>
        <family val="2"/>
        <charset val="1"/>
      </rPr>
      <t xml:space="preserve">**</t>
    </r>
    <r>
      <rPr>
        <sz val="11"/>
        <color theme="1"/>
        <rFont val="Noto Sans SC"/>
        <family val="2"/>
        <charset val="134"/>
      </rPr>
      <t xml:space="preserve">实际个数</t>
    </r>
    <r>
      <rPr>
        <sz val="11"/>
        <color theme="1"/>
        <rFont val="Calibri"/>
        <family val="2"/>
        <charset val="1"/>
      </rPr>
      <t xml:space="preserve">**</t>
    </r>
    <r>
      <rPr>
        <sz val="11"/>
        <color theme="1"/>
        <rFont val="Noto Sans SC"/>
        <family val="2"/>
        <charset val="134"/>
      </rPr>
      <t xml:space="preserve">，不再乘「该列行数」（与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SC"/>
        <family val="2"/>
        <charset val="134"/>
      </rPr>
      <t xml:space="preserve">篇不同，因为已是逐窗口统计）。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</si>
  <si>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之后：各组合出现几率 → 乘人工设置的免费摇次数 → 免费摇次数期望；</t>
    </r>
  </si>
  <si>
    <r>
      <rPr>
        <sz val="11"/>
        <color theme="1"/>
        <rFont val="Noto Sans SC"/>
        <family val="2"/>
        <charset val="134"/>
      </rPr>
      <t xml:space="preserve">  再算免费摇标准图标 </t>
    </r>
    <r>
      <rPr>
        <sz val="11"/>
        <color theme="1"/>
        <rFont val="Calibri"/>
        <family val="2"/>
        <charset val="1"/>
      </rPr>
      <t xml:space="preserve">RTP</t>
    </r>
    <r>
      <rPr>
        <sz val="11"/>
        <color theme="1"/>
        <rFont val="Noto Sans SC"/>
        <family val="2"/>
        <charset val="134"/>
      </rPr>
      <t xml:space="preserve">（本例普通摇与免费摇共用同一条卷轴）、次均额外次数（等比级数），</t>
    </r>
  </si>
  <si>
    <r>
      <rPr>
        <sz val="11"/>
        <color theme="1"/>
        <rFont val="Noto Sans SC"/>
        <family val="2"/>
        <charset val="134"/>
      </rPr>
      <t xml:space="preserve">  最后与普通摇 </t>
    </r>
    <r>
      <rPr>
        <sz val="11"/>
        <color theme="1"/>
        <rFont val="Calibri"/>
        <family val="2"/>
        <charset val="1"/>
      </rPr>
      <t xml:space="preserve">RTP </t>
    </r>
    <r>
      <rPr>
        <sz val="11"/>
        <color theme="1"/>
        <rFont val="Noto Sans SC"/>
        <family val="2"/>
        <charset val="134"/>
      </rPr>
      <t xml:space="preserve">相加得到玩法 </t>
    </r>
    <r>
      <rPr>
        <sz val="11"/>
        <color theme="1"/>
        <rFont val="Calibri"/>
        <family val="2"/>
        <charset val="1"/>
      </rPr>
      <t xml:space="preserve">RTP</t>
    </r>
    <r>
      <rPr>
        <sz val="11"/>
        <color theme="1"/>
        <rFont val="Noto Sans SC"/>
        <family val="2"/>
        <charset val="134"/>
      </rPr>
      <t xml:space="preserve">。</t>
    </r>
  </si>
  <si>
    <r>
      <rPr>
        <sz val="11"/>
        <color theme="1"/>
        <rFont val="Calibri"/>
        <family val="2"/>
        <charset val="1"/>
      </rPr>
      <t xml:space="preserve">· </t>
    </r>
    <r>
      <rPr>
        <sz val="11"/>
        <color theme="1"/>
        <rFont val="Noto Sans SC"/>
        <family val="2"/>
        <charset val="134"/>
      </rPr>
      <t xml:space="preserve">该方法同样适用于没有相连 </t>
    </r>
    <r>
      <rPr>
        <sz val="11"/>
        <color theme="1"/>
        <rFont val="Calibri"/>
        <family val="2"/>
        <charset val="1"/>
      </rPr>
      <t xml:space="preserve">Scatter </t>
    </r>
    <r>
      <rPr>
        <sz val="11"/>
        <color theme="1"/>
        <rFont val="Noto Sans SC"/>
        <family val="2"/>
        <charset val="134"/>
      </rPr>
      <t xml:space="preserve">的固定卷轴，只是此时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SC"/>
        <family val="2"/>
        <charset val="134"/>
      </rPr>
      <t xml:space="preserve">个</t>
    </r>
    <r>
      <rPr>
        <sz val="11"/>
        <color theme="1"/>
        <rFont val="Calibri"/>
        <family val="2"/>
        <charset val="1"/>
      </rPr>
      <t xml:space="preserve">/3 </t>
    </r>
    <r>
      <rPr>
        <sz val="11"/>
        <color theme="1"/>
        <rFont val="Noto Sans SC"/>
        <family val="2"/>
        <charset val="134"/>
      </rPr>
      <t xml:space="preserve">个窗口数都为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SC"/>
        <family val="2"/>
        <charset val="134"/>
      </rPr>
      <t xml:space="preserve">。</t>
    </r>
  </si>
  <si>
    <t xml:space="preserve">原文整理（全文，按原文小标题分段）</t>
  </si>
  <si>
    <r>
      <rPr>
        <sz val="11"/>
        <color theme="1"/>
        <rFont val="Noto Sans SC"/>
        <family val="2"/>
        <charset val="134"/>
      </rPr>
      <t xml:space="preserve">在之前的内容里介绍了带有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的固定卷轴</t>
    </r>
    <r>
      <rPr>
        <sz val="11"/>
        <color theme="1"/>
        <rFont val="Calibri"/>
        <family val="2"/>
        <charset val="1"/>
      </rPr>
      <t xml:space="preserve">Line Slots</t>
    </r>
    <r>
      <rPr>
        <sz val="11"/>
        <color theme="1"/>
        <rFont val="Noto Sans SC"/>
        <family val="2"/>
        <charset val="134"/>
      </rPr>
      <t xml:space="preserve">数值计算方法</t>
    </r>
  </si>
  <si>
    <r>
      <rPr>
        <sz val="11"/>
        <color theme="1"/>
        <rFont val="Noto Sans SC"/>
        <family val="2"/>
        <charset val="134"/>
      </rPr>
      <t xml:space="preserve">以及</t>
    </r>
    <r>
      <rPr>
        <sz val="11"/>
        <color theme="1"/>
        <rFont val="Calibri"/>
        <family val="2"/>
        <charset val="1"/>
      </rPr>
      <t xml:space="preserve">BINOM.DIST</t>
    </r>
    <r>
      <rPr>
        <sz val="11"/>
        <color theme="1"/>
        <rFont val="Noto Sans SC"/>
        <family val="2"/>
        <charset val="134"/>
      </rPr>
      <t xml:space="preserve">函数在计算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触发免费摇几率中的应用</t>
    </r>
  </si>
  <si>
    <r>
      <rPr>
        <sz val="11"/>
        <color theme="1"/>
        <rFont val="Noto Sans SC"/>
        <family val="2"/>
        <charset val="134"/>
      </rPr>
      <t xml:space="preserve">本期将介绍不适用前篇方法的固定卷轴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带有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图标时的数值计算方式</t>
    </r>
  </si>
  <si>
    <r>
      <rPr>
        <sz val="11"/>
        <color theme="1"/>
        <rFont val="Noto Sans SC"/>
        <family val="2"/>
        <charset val="134"/>
      </rPr>
      <t xml:space="preserve">当固定卷轴上连续出现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时，如果使用之前的计算方式，会漏掉单列出现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SC"/>
        <family val="2"/>
        <charset val="134"/>
      </rPr>
      <t xml:space="preserve">个以上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情况</t>
    </r>
  </si>
  <si>
    <r>
      <rPr>
        <sz val="11"/>
        <color theme="1"/>
        <rFont val="Noto Sans SC"/>
        <family val="2"/>
        <charset val="134"/>
      </rPr>
      <t xml:space="preserve">对于这类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，在计算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的出现几率时，需要使用更细致的计算方式</t>
    </r>
  </si>
  <si>
    <t xml:space="preserve">数值计算</t>
  </si>
  <si>
    <r>
      <rPr>
        <sz val="11"/>
        <color theme="1"/>
        <rFont val="Noto Sans SC"/>
        <family val="2"/>
        <charset val="134"/>
      </rPr>
      <t xml:space="preserve">第一步：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设定</t>
    </r>
  </si>
  <si>
    <r>
      <rPr>
        <sz val="11"/>
        <color theme="1"/>
        <rFont val="Noto Sans SC"/>
        <family val="2"/>
        <charset val="134"/>
      </rPr>
      <t xml:space="preserve">卷轴尺寸：</t>
    </r>
    <r>
      <rPr>
        <sz val="11"/>
        <color theme="1"/>
        <rFont val="Calibri"/>
        <family val="2"/>
        <charset val="1"/>
      </rPr>
      <t xml:space="preserve">3*5</t>
    </r>
  </si>
  <si>
    <r>
      <rPr>
        <sz val="11"/>
        <color theme="1"/>
        <rFont val="Noto Sans SC"/>
        <family val="2"/>
        <charset val="134"/>
      </rPr>
      <t xml:space="preserve">标准图标：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Q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K</t>
    </r>
  </si>
  <si>
    <r>
      <rPr>
        <sz val="11"/>
        <color theme="1"/>
        <rFont val="Noto Sans SC"/>
        <family val="2"/>
        <charset val="134"/>
      </rPr>
      <t xml:space="preserve">功能图标：</t>
    </r>
    <r>
      <rPr>
        <sz val="11"/>
        <color theme="1"/>
        <rFont val="Calibri"/>
        <family val="2"/>
        <charset val="1"/>
      </rPr>
      <t xml:space="preserve">Wild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Scatter</t>
    </r>
  </si>
  <si>
    <t xml:space="preserve">卷轴类型：固定卷轴</t>
  </si>
  <si>
    <t xml:space="preserve">固定卷轴上的图标分布如下图所示：</t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</si>
  <si>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01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624381718-01.jpg</t>
    </r>
  </si>
  <si>
    <t xml:space="preserve">可以注意到固定卷轴下方还留了两行图标</t>
  </si>
  <si>
    <t xml:space="preserve">这两行图标分别对应第一行和第二行</t>
  </si>
  <si>
    <t xml:space="preserve">放在这里模拟卷轴首尾相连的排列方式，为之后的计算做准备</t>
  </si>
  <si>
    <t xml:space="preserve">第二步：读取卷轴数据</t>
  </si>
  <si>
    <t xml:space="preserve">这一步和之前的处理比较类似，读取卷轴上的图标分布信息</t>
  </si>
  <si>
    <t xml:space="preserve">计算出图标出现的事件数和不出现的事件数</t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</si>
  <si>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02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624381718-02.jpg</t>
    </r>
  </si>
  <si>
    <r>
      <rPr>
        <sz val="11"/>
        <color theme="1"/>
        <rFont val="Noto Sans SC"/>
        <family val="2"/>
        <charset val="134"/>
      </rPr>
      <t xml:space="preserve">这里的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个数使用的是实际个数，并没有乘上每列能够出现的图标个数</t>
    </r>
  </si>
  <si>
    <r>
      <rPr>
        <sz val="11"/>
        <color theme="1"/>
        <rFont val="Noto Sans SC"/>
        <family val="2"/>
        <charset val="134"/>
      </rPr>
      <t xml:space="preserve">第三步：使用卷轴数据计算标准图标出现概率和</t>
    </r>
    <r>
      <rPr>
        <sz val="11"/>
        <color theme="1"/>
        <rFont val="Calibri"/>
        <family val="2"/>
        <charset val="1"/>
      </rPr>
      <t xml:space="preserve">RTP</t>
    </r>
  </si>
  <si>
    <t xml:space="preserve">这两步和之前的方法没有差异，就不再重复介绍了</t>
  </si>
  <si>
    <r>
      <rPr>
        <sz val="11"/>
        <color theme="1"/>
        <rFont val="Noto Sans SC"/>
        <family val="2"/>
        <charset val="134"/>
      </rPr>
      <t xml:space="preserve">第四步：读取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倍数分布（重点）</t>
    </r>
  </si>
  <si>
    <r>
      <rPr>
        <sz val="11"/>
        <color theme="1"/>
        <rFont val="Noto Sans SC"/>
        <family val="2"/>
        <charset val="134"/>
      </rPr>
      <t xml:space="preserve">本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存在相连的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图标，例如在第三列卷轴的</t>
    </r>
    <r>
      <rPr>
        <sz val="11"/>
        <color theme="1"/>
        <rFont val="Calibri"/>
        <family val="2"/>
        <charset val="1"/>
      </rPr>
      <t xml:space="preserve">84~86</t>
    </r>
    <r>
      <rPr>
        <sz val="11"/>
        <color theme="1"/>
        <rFont val="Noto Sans SC"/>
        <family val="2"/>
        <charset val="134"/>
      </rPr>
      <t xml:space="preserve">行出现了三连</t>
    </r>
    <r>
      <rPr>
        <sz val="11"/>
        <color theme="1"/>
        <rFont val="Calibri"/>
        <family val="2"/>
        <charset val="1"/>
      </rPr>
      <t xml:space="preserve">Scatter</t>
    </r>
  </si>
  <si>
    <r>
      <rPr>
        <sz val="11"/>
        <color theme="1"/>
        <rFont val="Noto Sans SC"/>
        <family val="2"/>
        <charset val="134"/>
      </rPr>
      <t xml:space="preserve">相连的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代表该列会出现大于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SC"/>
        <family val="2"/>
        <charset val="134"/>
      </rPr>
      <t xml:space="preserve">个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的情况</t>
    </r>
  </si>
  <si>
    <t xml:space="preserve">使用之前那种每列只出现一个的计算方式会漏掉部分情况</t>
  </si>
  <si>
    <r>
      <rPr>
        <sz val="11"/>
        <color theme="1"/>
        <rFont val="Noto Sans SC"/>
        <family val="2"/>
        <charset val="134"/>
      </rPr>
      <t xml:space="preserve">对于存在相连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的固定卷轴</t>
    </r>
    <r>
      <rPr>
        <sz val="11"/>
        <color theme="1"/>
        <rFont val="Calibri"/>
        <family val="2"/>
        <charset val="1"/>
      </rPr>
      <t xml:space="preserve">Line Slots</t>
    </r>
  </si>
  <si>
    <r>
      <rPr>
        <sz val="11"/>
        <color theme="1"/>
        <rFont val="Noto Sans SC"/>
        <family val="2"/>
        <charset val="134"/>
      </rPr>
      <t xml:space="preserve">在计算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的出现几率前，需要先读取该列卷轴上出现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SC"/>
        <family val="2"/>
        <charset val="134"/>
      </rPr>
      <t xml:space="preserve">个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的事件个数</t>
    </r>
  </si>
  <si>
    <r>
      <rPr>
        <sz val="11"/>
        <color theme="1"/>
        <rFont val="Noto Sans SC"/>
        <family val="2"/>
        <charset val="134"/>
      </rPr>
      <t xml:space="preserve">读取方式为使用</t>
    </r>
    <r>
      <rPr>
        <sz val="11"/>
        <color theme="1"/>
        <rFont val="Calibri"/>
        <family val="2"/>
        <charset val="1"/>
      </rPr>
      <t xml:space="preserve">if</t>
    </r>
    <r>
      <rPr>
        <sz val="11"/>
        <color theme="1"/>
        <rFont val="Noto Sans SC"/>
        <family val="2"/>
        <charset val="134"/>
      </rPr>
      <t xml:space="preserve">函数的数组，读取连续三行的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分布个数</t>
    </r>
  </si>
  <si>
    <t xml:space="preserve">此时就要用到之前预留的两行两行图标，作为最后一行图标停留在卷轴首行时的第二和第三行</t>
  </si>
  <si>
    <t xml:space="preserve">读取后得到以下数据：</t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</si>
  <si>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03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624381718-03.jpg</t>
    </r>
  </si>
  <si>
    <t xml:space="preserve">第五步：计算各组合出现概率</t>
  </si>
  <si>
    <r>
      <rPr>
        <sz val="11"/>
        <color theme="1"/>
        <rFont val="Noto Sans SC"/>
        <family val="2"/>
        <charset val="134"/>
      </rPr>
      <t xml:space="preserve">得到各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个数的事件数之后，依据排列组合的方式计算得出触发免费摇事件个数</t>
    </r>
  </si>
  <si>
    <t xml:space="preserve">并且将可能的排列都列出来，和触发免费摇事件个数对比，如果一致且不重复，代表列清了所有可能性</t>
  </si>
  <si>
    <t xml:space="preserve">这样就能够计算得出所有排列的出现几率。具体如下：</t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</si>
  <si>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04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624381718-04.jpg</t>
    </r>
  </si>
  <si>
    <t xml:space="preserve">第六步：计算次数期望</t>
  </si>
  <si>
    <t xml:space="preserve">得到各组合的出现几率之后，乘上人工设置的摇奖次数，就可以得到最终的免费摇次数期望</t>
  </si>
  <si>
    <t xml:space="preserve">至此普通摇的计算告一段落</t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</si>
  <si>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05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624381718-05.jpg</t>
    </r>
  </si>
  <si>
    <r>
      <rPr>
        <sz val="11"/>
        <color theme="1"/>
        <rFont val="Noto Sans SC"/>
        <family val="2"/>
        <charset val="134"/>
      </rPr>
      <t xml:space="preserve">第七步：计算免费摇标准图标</t>
    </r>
    <r>
      <rPr>
        <sz val="11"/>
        <color theme="1"/>
        <rFont val="Calibri"/>
        <family val="2"/>
        <charset val="1"/>
      </rPr>
      <t xml:space="preserve">RTP</t>
    </r>
  </si>
  <si>
    <r>
      <rPr>
        <sz val="11"/>
        <color theme="1"/>
        <rFont val="Noto Sans SC"/>
        <family val="2"/>
        <charset val="134"/>
      </rPr>
      <t xml:space="preserve">因为该 </t>
    </r>
    <r>
      <rPr>
        <sz val="11"/>
        <color theme="1"/>
        <rFont val="Calibri"/>
        <family val="2"/>
        <charset val="1"/>
      </rPr>
      <t xml:space="preserve">Slots </t>
    </r>
    <r>
      <rPr>
        <sz val="11"/>
        <color theme="1"/>
        <rFont val="Noto Sans SC"/>
        <family val="2"/>
        <charset val="134"/>
      </rPr>
      <t xml:space="preserve">的设定是实体固定卷轴 </t>
    </r>
    <r>
      <rPr>
        <sz val="11"/>
        <color theme="1"/>
        <rFont val="Calibri"/>
        <family val="2"/>
        <charset val="1"/>
      </rPr>
      <t xml:space="preserve">Slots</t>
    </r>
  </si>
  <si>
    <t xml:space="preserve">免费摇和普通摇使用同一条卷轴</t>
  </si>
  <si>
    <r>
      <rPr>
        <sz val="11"/>
        <color theme="1"/>
        <rFont val="Noto Sans SC"/>
        <family val="2"/>
        <charset val="134"/>
      </rPr>
      <t xml:space="preserve">按照步骤计算出免费摇标准图标</t>
    </r>
    <r>
      <rPr>
        <sz val="11"/>
        <color theme="1"/>
        <rFont val="Calibri"/>
        <family val="2"/>
        <charset val="1"/>
      </rPr>
      <t xml:space="preserve">RTP</t>
    </r>
    <r>
      <rPr>
        <sz val="11"/>
        <color theme="1"/>
        <rFont val="Noto Sans SC"/>
        <family val="2"/>
        <charset val="134"/>
      </rPr>
      <t xml:space="preserve">即可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</si>
  <si>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624381718-06.jpg</t>
    </r>
  </si>
  <si>
    <t xml:space="preserve">第八步：计算免费摇次均额外次数</t>
  </si>
  <si>
    <t xml:space="preserve">按照普通摇的计算方法计算得出免费摇期望次数后</t>
  </si>
  <si>
    <t xml:space="preserve">套用收敛的等比无穷级数求和公式得到免费摇次均额外次数</t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</si>
  <si>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07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624381718-07.jpg</t>
    </r>
  </si>
  <si>
    <r>
      <rPr>
        <sz val="11"/>
        <color theme="1"/>
        <rFont val="Noto Sans SC"/>
        <family val="2"/>
        <charset val="134"/>
      </rPr>
      <t xml:space="preserve">第九步：得到玩法</t>
    </r>
    <r>
      <rPr>
        <sz val="11"/>
        <color theme="1"/>
        <rFont val="Calibri"/>
        <family val="2"/>
        <charset val="1"/>
      </rPr>
      <t xml:space="preserve">RTP</t>
    </r>
  </si>
  <si>
    <r>
      <rPr>
        <sz val="11"/>
        <color theme="1"/>
        <rFont val="Noto Sans SC"/>
        <family val="2"/>
        <charset val="134"/>
      </rPr>
      <t xml:space="preserve">整合求出普通摇和免费摇的</t>
    </r>
    <r>
      <rPr>
        <sz val="11"/>
        <color theme="1"/>
        <rFont val="Calibri"/>
        <family val="2"/>
        <charset val="1"/>
      </rPr>
      <t xml:space="preserve">RTP</t>
    </r>
    <r>
      <rPr>
        <sz val="11"/>
        <color theme="1"/>
        <rFont val="Noto Sans SC"/>
        <family val="2"/>
        <charset val="134"/>
      </rPr>
      <t xml:space="preserve">，得到最终玩法</t>
    </r>
    <r>
      <rPr>
        <sz val="11"/>
        <color theme="1"/>
        <rFont val="Calibri"/>
        <family val="2"/>
        <charset val="1"/>
      </rPr>
      <t xml:space="preserve">RTP</t>
    </r>
  </si>
  <si>
    <r>
      <rPr>
        <sz val="11"/>
        <color theme="1"/>
        <rFont val="Noto Sans SC"/>
        <family val="2"/>
        <charset val="134"/>
      </rPr>
      <t xml:space="preserve">［配图 </t>
    </r>
    <r>
      <rPr>
        <sz val="11"/>
        <color theme="1"/>
        <rFont val="Calibri"/>
        <family val="2"/>
        <charset val="1"/>
      </rPr>
      <t xml:space="preserve">08</t>
    </r>
    <r>
      <rPr>
        <sz val="11"/>
        <color theme="1"/>
        <rFont val="Noto Sans SC"/>
        <family val="2"/>
        <charset val="134"/>
      </rPr>
      <t xml:space="preserve">］</t>
    </r>
    <r>
      <rPr>
        <sz val="11"/>
        <color theme="1"/>
        <rFont val="Calibri"/>
        <family val="2"/>
        <charset val="1"/>
      </rPr>
      <t xml:space="preserve">624381718-08.jpg</t>
    </r>
  </si>
  <si>
    <r>
      <rPr>
        <sz val="11"/>
        <color theme="1"/>
        <rFont val="Noto Sans SC"/>
        <family val="2"/>
        <charset val="134"/>
      </rPr>
      <t xml:space="preserve">以上内容就是存在相连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时的固定卷轴</t>
    </r>
    <r>
      <rPr>
        <sz val="11"/>
        <color theme="1"/>
        <rFont val="Calibri"/>
        <family val="2"/>
        <charset val="1"/>
      </rPr>
      <t xml:space="preserve">Line Slots</t>
    </r>
    <r>
      <rPr>
        <sz val="11"/>
        <color theme="1"/>
        <rFont val="Noto Sans SC"/>
        <family val="2"/>
        <charset val="134"/>
      </rPr>
      <t xml:space="preserve">数值计算方式</t>
    </r>
  </si>
  <si>
    <r>
      <rPr>
        <sz val="11"/>
        <color theme="1"/>
        <rFont val="Noto Sans SC"/>
        <family val="2"/>
        <charset val="134"/>
      </rPr>
      <t xml:space="preserve">其实该方法也可以用语不存在相连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的固定卷轴</t>
    </r>
    <r>
      <rPr>
        <sz val="11"/>
        <color theme="1"/>
        <rFont val="Calibri"/>
        <family val="2"/>
        <charset val="1"/>
      </rPr>
      <t xml:space="preserve">Line Slots</t>
    </r>
    <r>
      <rPr>
        <sz val="11"/>
        <color theme="1"/>
        <rFont val="Noto Sans SC"/>
        <family val="2"/>
        <charset val="134"/>
      </rPr>
      <t xml:space="preserve">数值计算，可以按照上述步骤进行尝试</t>
    </r>
  </si>
  <si>
    <r>
      <rPr>
        <b val="true"/>
        <sz val="11"/>
        <rFont val="Noto Sans SC"/>
        <family val="2"/>
        <charset val="134"/>
      </rPr>
      <t xml:space="preserve">原文配图清单（共 </t>
    </r>
    <r>
      <rPr>
        <b val="true"/>
        <sz val="11"/>
        <rFont val="Cambria"/>
        <family val="0"/>
        <charset val="1"/>
      </rPr>
      <t xml:space="preserve">8 </t>
    </r>
    <r>
      <rPr>
        <b val="true"/>
        <sz val="11"/>
        <rFont val="Noto Sans SC"/>
        <family val="2"/>
        <charset val="134"/>
      </rPr>
      <t xml:space="preserve">张，已保存到 </t>
    </r>
    <r>
      <rPr>
        <b val="true"/>
        <sz val="11"/>
        <rFont val="Cambria"/>
        <family val="0"/>
        <charset val="1"/>
      </rPr>
      <t xml:space="preserve">images/slots/</t>
    </r>
    <r>
      <rPr>
        <b val="true"/>
        <sz val="11"/>
        <rFont val="Noto Sans SC"/>
        <family val="2"/>
        <charset val="134"/>
      </rPr>
      <t xml:space="preserve">）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</si>
  <si>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01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624381718-01.jpg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</si>
  <si>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02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624381718-02.jpg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</si>
  <si>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03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624381718-03.jpg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</si>
  <si>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04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624381718-04.jpg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</si>
  <si>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05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624381718-05.jpg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</si>
  <si>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06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624381718-06.jpg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</si>
  <si>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07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624381718-07.jpg</t>
    </r>
  </si>
  <si>
    <r>
      <rPr>
        <sz val="11"/>
        <color rgb="FF808080"/>
        <rFont val="Noto Sans SC"/>
        <family val="2"/>
        <charset val="134"/>
      </rPr>
      <t xml:space="preserve">［配图 </t>
    </r>
    <r>
      <rPr>
        <sz val="11"/>
        <color rgb="FF808080"/>
        <rFont val="Cambria"/>
        <family val="0"/>
        <charset val="1"/>
      </rPr>
      <t xml:space="preserve">08</t>
    </r>
    <r>
      <rPr>
        <sz val="11"/>
        <color rgb="FF808080"/>
        <rFont val="Noto Sans SC"/>
        <family val="2"/>
        <charset val="134"/>
      </rPr>
      <t xml:space="preserve">］</t>
    </r>
    <r>
      <rPr>
        <sz val="11"/>
        <color rgb="FF808080"/>
        <rFont val="Cambria"/>
        <family val="0"/>
        <charset val="1"/>
      </rPr>
      <t xml:space="preserve">624381718-08.jpg</t>
    </r>
  </si>
  <si>
    <t xml:space="preserve">校验</t>
  </si>
  <si>
    <r>
      <rPr>
        <sz val="11"/>
        <color theme="1"/>
        <rFont val="Noto Sans SC"/>
        <family val="2"/>
        <charset val="134"/>
      </rPr>
      <t xml:space="preserve">① 本簿由 </t>
    </r>
    <r>
      <rPr>
        <sz val="11"/>
        <color theme="1"/>
        <rFont val="Calibri"/>
        <family val="2"/>
        <charset val="1"/>
      </rPr>
      <t xml:space="preserve">openpyxl </t>
    </r>
    <r>
      <rPr>
        <sz val="11"/>
        <color theme="1"/>
        <rFont val="Noto Sans SC"/>
        <family val="2"/>
        <charset val="134"/>
      </rPr>
      <t xml:space="preserve">生成并已开启打开时重算；② 另用 </t>
    </r>
    <r>
      <rPr>
        <sz val="11"/>
        <color theme="1"/>
        <rFont val="Calibri"/>
        <family val="2"/>
        <charset val="1"/>
      </rPr>
      <t xml:space="preserve">LibreOffice </t>
    </r>
    <r>
      <rPr>
        <sz val="11"/>
        <color theme="1"/>
        <rFont val="Noto Sans SC"/>
        <family val="2"/>
        <charset val="134"/>
      </rPr>
      <t xml:space="preserve">独立重算复核，公式错误值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SC"/>
        <family val="2"/>
        <charset val="134"/>
      </rPr>
      <t xml:space="preserve">个；</t>
    </r>
  </si>
  <si>
    <t xml:space="preserve">③ 正文与原文逐句一致（用户离线保存的网页原件），配图按正文出现顺序编号。</t>
  </si>
  <si>
    <t xml:space="preserve">说明</t>
  </si>
  <si>
    <t xml:space="preserve">本簿是原文的整理与配表实现，非原文替代品；原文未提供的数值一律标注来源，不臆造。</t>
  </si>
  <si>
    <r>
      <rPr>
        <sz val="11"/>
        <color theme="1"/>
        <rFont val="Noto Sans SC"/>
        <family val="2"/>
        <charset val="134"/>
      </rPr>
      <t xml:space="preserve">原文版权归作者 </t>
    </r>
    <r>
      <rPr>
        <sz val="11"/>
        <color theme="1"/>
        <rFont val="Calibri"/>
        <family val="2"/>
        <charset val="1"/>
      </rPr>
      <t xml:space="preserve">ASlot </t>
    </r>
    <r>
      <rPr>
        <sz val="11"/>
        <color theme="1"/>
        <rFont val="Noto Sans SC"/>
        <family val="2"/>
        <charset val="134"/>
      </rPr>
      <t xml:space="preserve">与知乎所有，本簿仅供个人学习整理使用。</t>
    </r>
  </si>
  <si>
    <r>
      <rPr>
        <sz val="11"/>
        <color rgb="FF808080"/>
        <rFont val="Cambria"/>
        <family val="0"/>
        <charset val="1"/>
      </rPr>
      <t xml:space="preserve">Source: zhihu.com</t>
    </r>
    <r>
      <rPr>
        <sz val="11"/>
        <color rgb="FF808080"/>
        <rFont val="Noto Sans SC"/>
        <family val="2"/>
        <charset val="134"/>
      </rPr>
      <t xml:space="preserve">《</t>
    </r>
    <r>
      <rPr>
        <sz val="11"/>
        <color rgb="FF808080"/>
        <rFont val="Cambria"/>
        <family val="0"/>
        <charset val="1"/>
      </rPr>
      <t xml:space="preserve">Slots</t>
    </r>
    <r>
      <rPr>
        <sz val="11"/>
        <color rgb="FF808080"/>
        <rFont val="Noto Sans SC"/>
        <family val="2"/>
        <charset val="134"/>
      </rPr>
      <t xml:space="preserve">数值篇——</t>
    </r>
    <r>
      <rPr>
        <sz val="11"/>
        <color rgb="FF808080"/>
        <rFont val="Cambria"/>
        <family val="0"/>
        <charset val="1"/>
      </rPr>
      <t xml:space="preserve">Scatter(3)</t>
    </r>
    <r>
      <rPr>
        <sz val="11"/>
        <color rgb="FF808080"/>
        <rFont val="Noto Sans SC"/>
        <family val="2"/>
        <charset val="134"/>
      </rPr>
      <t xml:space="preserve">》</t>
    </r>
    <r>
      <rPr>
        <sz val="11"/>
        <color rgb="FF808080"/>
        <rFont val="Cambria"/>
        <family val="0"/>
        <charset val="1"/>
      </rPr>
      <t xml:space="preserve">, https://zhuanlan.zhihu.com/p/624381718</t>
    </r>
  </si>
  <si>
    <r>
      <rPr>
        <b val="true"/>
        <sz val="14"/>
        <color rgb="FF1F4E79"/>
        <rFont val="Noto Sans SC"/>
        <family val="2"/>
        <charset val="134"/>
      </rPr>
      <t xml:space="preserve">数值篇 </t>
    </r>
    <r>
      <rPr>
        <b val="true"/>
        <sz val="14"/>
        <color rgb="FF1F4E79"/>
        <rFont val="Cambria"/>
        <family val="0"/>
        <charset val="1"/>
      </rPr>
      <t xml:space="preserve">· Scatter(3) —— </t>
    </r>
    <r>
      <rPr>
        <b val="true"/>
        <sz val="14"/>
        <color rgb="FF1F4E79"/>
        <rFont val="Noto Sans SC"/>
        <family val="2"/>
        <charset val="134"/>
      </rPr>
      <t xml:space="preserve">数据配表（蓝字＝可改 </t>
    </r>
    <r>
      <rPr>
        <b val="true"/>
        <sz val="14"/>
        <color rgb="FF1F4E79"/>
        <rFont val="Cambria"/>
        <family val="0"/>
        <charset val="1"/>
      </rPr>
      <t xml:space="preserve">/ </t>
    </r>
    <r>
      <rPr>
        <b val="true"/>
        <sz val="14"/>
        <color rgb="FF1F4E79"/>
        <rFont val="Noto Sans SC"/>
        <family val="2"/>
        <charset val="134"/>
      </rPr>
      <t xml:space="preserve">黑字＝公式 </t>
    </r>
    <r>
      <rPr>
        <b val="true"/>
        <sz val="14"/>
        <color rgb="FF1F4E79"/>
        <rFont val="Cambria"/>
        <family val="0"/>
        <charset val="1"/>
      </rPr>
      <t xml:space="preserve">/ </t>
    </r>
    <r>
      <rPr>
        <b val="true"/>
        <sz val="14"/>
        <color rgb="FF1F4E79"/>
        <rFont val="Noto Sans SC"/>
        <family val="2"/>
        <charset val="134"/>
      </rPr>
      <t xml:space="preserve">黄底＝结果）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</si>
  <si>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1</t>
    </r>
    <r>
      <rPr>
        <b val="true"/>
        <sz val="11"/>
        <color rgb="FF1F4E79"/>
        <rFont val="Noto Sans SC"/>
        <family val="2"/>
        <charset val="134"/>
      </rPr>
      <t xml:space="preserve">】本例设定与难点</t>
    </r>
  </si>
  <si>
    <t xml:space="preserve">项目</t>
  </si>
  <si>
    <t xml:space="preserve">内容</t>
  </si>
  <si>
    <t xml:space="preserve">卷轴尺寸</t>
  </si>
  <si>
    <r>
      <rPr>
        <sz val="11"/>
        <color theme="1"/>
        <rFont val="Calibri"/>
        <family val="2"/>
        <charset val="1"/>
      </rPr>
      <t xml:space="preserve">3*5 </t>
    </r>
    <r>
      <rPr>
        <sz val="11"/>
        <color theme="1"/>
        <rFont val="Noto Sans SC"/>
        <family val="2"/>
        <charset val="134"/>
      </rPr>
      <t xml:space="preserve">固定卷轴（</t>
    </r>
    <r>
      <rPr>
        <sz val="11"/>
        <color theme="1"/>
        <rFont val="Calibri"/>
        <family val="2"/>
        <charset val="1"/>
      </rPr>
      <t xml:space="preserve">J/Q/K </t>
    </r>
    <r>
      <rPr>
        <sz val="11"/>
        <color theme="1"/>
        <rFont val="Noto Sans SC"/>
        <family val="2"/>
        <charset val="134"/>
      </rPr>
      <t xml:space="preserve">＋ </t>
    </r>
    <r>
      <rPr>
        <sz val="11"/>
        <color theme="1"/>
        <rFont val="Calibri"/>
        <family val="2"/>
        <charset val="1"/>
      </rPr>
      <t xml:space="preserve">Wild </t>
    </r>
    <r>
      <rPr>
        <sz val="11"/>
        <color theme="1"/>
        <rFont val="Noto Sans SC"/>
        <family val="2"/>
        <charset val="134"/>
      </rPr>
      <t xml:space="preserve">＋ 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）</t>
    </r>
  </si>
  <si>
    <t xml:space="preserve">难点</t>
  </si>
  <si>
    <r>
      <rPr>
        <sz val="11"/>
        <color theme="1"/>
        <rFont val="Noto Sans SC"/>
        <family val="2"/>
        <charset val="134"/>
      </rPr>
      <t xml:space="preserve">卷轴存在相连 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（原文：第三列 </t>
    </r>
    <r>
      <rPr>
        <sz val="11"/>
        <color theme="1"/>
        <rFont val="Calibri"/>
        <family val="2"/>
        <charset val="1"/>
      </rPr>
      <t xml:space="preserve">84~86 </t>
    </r>
    <r>
      <rPr>
        <sz val="11"/>
        <color theme="1"/>
        <rFont val="Noto Sans SC"/>
        <family val="2"/>
        <charset val="134"/>
      </rPr>
      <t xml:space="preserve">行为三连 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）</t>
    </r>
  </si>
  <si>
    <t xml:space="preserve">旧做法的问题</t>
  </si>
  <si>
    <r>
      <rPr>
        <sz val="11"/>
        <color theme="1"/>
        <rFont val="Noto Sans SC"/>
        <family val="2"/>
        <charset val="134"/>
      </rPr>
      <t xml:space="preserve">按「每列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SC"/>
        <family val="2"/>
        <charset val="134"/>
      </rPr>
      <t xml:space="preserve">个 </t>
    </r>
    <r>
      <rPr>
        <sz val="11"/>
        <color theme="1"/>
        <rFont val="Calibri"/>
        <family val="2"/>
        <charset val="1"/>
      </rPr>
      <t xml:space="preserve">Scatter × </t>
    </r>
    <r>
      <rPr>
        <sz val="11"/>
        <color theme="1"/>
        <rFont val="Noto Sans SC"/>
        <family val="2"/>
        <charset val="134"/>
      </rPr>
      <t xml:space="preserve">行数」计算，会漏掉单列出现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SC"/>
        <family val="2"/>
        <charset val="134"/>
      </rPr>
      <t xml:space="preserve">个、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SC"/>
        <family val="2"/>
        <charset val="134"/>
      </rPr>
      <t xml:space="preserve">个 </t>
    </r>
    <r>
      <rPr>
        <sz val="11"/>
        <color theme="1"/>
        <rFont val="Calibri"/>
        <family val="2"/>
        <charset val="1"/>
      </rPr>
      <t xml:space="preserve">Scatter </t>
    </r>
    <r>
      <rPr>
        <sz val="11"/>
        <color theme="1"/>
        <rFont val="Noto Sans SC"/>
        <family val="2"/>
        <charset val="134"/>
      </rPr>
      <t xml:space="preserve">的情况</t>
    </r>
  </si>
  <si>
    <t xml:space="preserve">解决思路</t>
  </si>
  <si>
    <r>
      <rPr>
        <sz val="11"/>
        <color theme="1"/>
        <rFont val="Noto Sans SC"/>
        <family val="2"/>
        <charset val="134"/>
      </rPr>
      <t xml:space="preserve">预留两行模拟首尾相连 → 连续三行遍历统计 </t>
    </r>
    <r>
      <rPr>
        <sz val="11"/>
        <color theme="1"/>
        <rFont val="Calibri"/>
        <family val="2"/>
        <charset val="1"/>
      </rPr>
      <t xml:space="preserve">1/2/3 </t>
    </r>
    <r>
      <rPr>
        <sz val="11"/>
        <color theme="1"/>
        <rFont val="Noto Sans SC"/>
        <family val="2"/>
        <charset val="134"/>
      </rPr>
      <t xml:space="preserve">个 </t>
    </r>
    <r>
      <rPr>
        <sz val="11"/>
        <color theme="1"/>
        <rFont val="Calibri"/>
        <family val="2"/>
        <charset val="1"/>
      </rPr>
      <t xml:space="preserve">Scatter </t>
    </r>
    <r>
      <rPr>
        <sz val="11"/>
        <color theme="1"/>
        <rFont val="Noto Sans SC"/>
        <family val="2"/>
        <charset val="134"/>
      </rPr>
      <t xml:space="preserve">的窗口数 → 排列组合求触发事件数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</si>
  <si>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2</t>
    </r>
    <r>
      <rPr>
        <b val="true"/>
        <sz val="11"/>
        <color rgb="FF1F4E79"/>
        <rFont val="Noto Sans SC"/>
        <family val="2"/>
        <charset val="134"/>
      </rPr>
      <t xml:space="preserve">】示意：卷轴 </t>
    </r>
    <r>
      <rPr>
        <b val="true"/>
        <sz val="11"/>
        <color rgb="FF1F4E79"/>
        <rFont val="Cambria"/>
        <family val="0"/>
        <charset val="1"/>
      </rPr>
      <t xml:space="preserve">+ </t>
    </r>
    <r>
      <rPr>
        <b val="true"/>
        <sz val="11"/>
        <color rgb="FF1F4E79"/>
        <rFont val="Noto Sans SC"/>
        <family val="2"/>
        <charset val="134"/>
      </rPr>
      <t xml:space="preserve">预留两行 </t>
    </r>
    <r>
      <rPr>
        <b val="true"/>
        <sz val="11"/>
        <color rgb="FF1F4E79"/>
        <rFont val="Cambria"/>
        <family val="0"/>
        <charset val="1"/>
      </rPr>
      <t xml:space="preserve">+ </t>
    </r>
    <r>
      <rPr>
        <b val="true"/>
        <sz val="11"/>
        <color rgb="FF1F4E79"/>
        <rFont val="Noto Sans SC"/>
        <family val="2"/>
        <charset val="134"/>
      </rPr>
      <t xml:space="preserve">连续三行窗口遍历（数值可改）</t>
    </r>
  </si>
  <si>
    <t xml:space="preserve">停位</t>
  </si>
  <si>
    <t xml:space="preserve">列（示意）</t>
  </si>
  <si>
    <t xml:space="preserve">S</t>
  </si>
  <si>
    <r>
      <rPr>
        <sz val="11"/>
        <color theme="1"/>
        <rFont val="Calibri"/>
        <family val="2"/>
        <charset val="1"/>
      </rPr>
      <t xml:space="preserve">S </t>
    </r>
    <r>
      <rPr>
        <sz val="11"/>
        <color theme="1"/>
        <rFont val="Noto Sans SC"/>
        <family val="2"/>
        <charset val="134"/>
      </rPr>
      <t xml:space="preserve">＝ </t>
    </r>
    <r>
      <rPr>
        <sz val="11"/>
        <color theme="1"/>
        <rFont val="Calibri"/>
        <family val="2"/>
        <charset val="1"/>
      </rPr>
      <t xml:space="preserve">Scatter</t>
    </r>
  </si>
  <si>
    <r>
      <rPr>
        <sz val="11"/>
        <color theme="1"/>
        <rFont val="Noto Sans SC"/>
        <family val="2"/>
        <charset val="134"/>
      </rPr>
      <t xml:space="preserve">预留第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SC"/>
        <family val="2"/>
        <charset val="134"/>
      </rPr>
      <t xml:space="preserve">行（＝卷轴第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SC"/>
        <family val="2"/>
        <charset val="134"/>
      </rPr>
      <t xml:space="preserve">行，模拟首尾相连）</t>
    </r>
  </si>
  <si>
    <r>
      <rPr>
        <sz val="11"/>
        <color theme="1"/>
        <rFont val="Noto Sans SC"/>
        <family val="2"/>
        <charset val="134"/>
      </rPr>
      <t xml:space="preserve">预留第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SC"/>
        <family val="2"/>
        <charset val="134"/>
      </rPr>
      <t xml:space="preserve">行（＝卷轴第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SC"/>
        <family val="2"/>
        <charset val="134"/>
      </rPr>
      <t xml:space="preserve">行）</t>
    </r>
  </si>
  <si>
    <r>
      <rPr>
        <sz val="11"/>
        <color rgb="FF808080"/>
        <rFont val="Noto Sans SC"/>
        <family val="2"/>
        <charset val="134"/>
      </rPr>
      <t xml:space="preserve">原文做法：卷轴下方多留两行，分别对应第 </t>
    </r>
    <r>
      <rPr>
        <sz val="11"/>
        <color rgb="FF808080"/>
        <rFont val="Cambria"/>
        <family val="0"/>
        <charset val="1"/>
      </rPr>
      <t xml:space="preserve">1 </t>
    </r>
    <r>
      <rPr>
        <sz val="11"/>
        <color rgb="FF808080"/>
        <rFont val="Noto Sans SC"/>
        <family val="2"/>
        <charset val="134"/>
      </rPr>
      <t xml:space="preserve">行、第 </t>
    </r>
    <r>
      <rPr>
        <sz val="11"/>
        <color rgb="FF808080"/>
        <rFont val="Cambria"/>
        <family val="0"/>
        <charset val="1"/>
      </rPr>
      <t xml:space="preserve">2 </t>
    </r>
    <r>
      <rPr>
        <sz val="11"/>
        <color rgb="FF808080"/>
        <rFont val="Noto Sans SC"/>
        <family val="2"/>
        <charset val="134"/>
      </rPr>
      <t xml:space="preserve">行——这样「跨过卷轴末尾再回到开头」的三连窗口也能被统计到。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</si>
  <si>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3</t>
    </r>
    <r>
      <rPr>
        <b val="true"/>
        <sz val="11"/>
        <color rgb="FF1F4E79"/>
        <rFont val="Noto Sans SC"/>
        <family val="2"/>
        <charset val="134"/>
      </rPr>
      <t xml:space="preserve">】连续三行窗口统计（原文第二步、第四步的核心）</t>
    </r>
  </si>
  <si>
    <t xml:space="preserve">窗口起始行</t>
  </si>
  <si>
    <t xml:space="preserve">窗口覆盖的行</t>
  </si>
  <si>
    <r>
      <rPr>
        <b val="true"/>
        <sz val="11"/>
        <color rgb="FF1F4E79"/>
        <rFont val="Noto Sans SC"/>
        <family val="2"/>
        <charset val="134"/>
      </rPr>
      <t xml:space="preserve">窗口内 </t>
    </r>
    <r>
      <rPr>
        <b val="true"/>
        <sz val="11"/>
        <color rgb="FF1F4E79"/>
        <rFont val="Cambria"/>
        <family val="0"/>
        <charset val="1"/>
      </rPr>
      <t xml:space="preserve">Scatter </t>
    </r>
    <r>
      <rPr>
        <b val="true"/>
        <sz val="11"/>
        <color rgb="FF1F4E79"/>
        <rFont val="Noto Sans SC"/>
        <family val="2"/>
        <charset val="134"/>
      </rPr>
      <t xml:space="preserve">个数</t>
    </r>
  </si>
  <si>
    <r>
      <rPr>
        <sz val="11"/>
        <color theme="1"/>
        <rFont val="Noto Sans SC"/>
        <family val="2"/>
        <charset val="134"/>
      </rPr>
      <t xml:space="preserve">第 </t>
    </r>
    <r>
      <rPr>
        <sz val="11"/>
        <color theme="1"/>
        <rFont val="Calibri"/>
        <family val="2"/>
        <charset val="1"/>
      </rPr>
      <t xml:space="preserve">1 ~ 3 </t>
    </r>
    <r>
      <rPr>
        <sz val="11"/>
        <color theme="1"/>
        <rFont val="Noto Sans SC"/>
        <family val="2"/>
        <charset val="134"/>
      </rPr>
      <t xml:space="preserve">行</t>
    </r>
  </si>
  <si>
    <r>
      <rPr>
        <sz val="11"/>
        <color theme="1"/>
        <rFont val="Noto Sans SC"/>
        <family val="2"/>
        <charset val="134"/>
      </rPr>
      <t xml:space="preserve">第 </t>
    </r>
    <r>
      <rPr>
        <sz val="11"/>
        <color theme="1"/>
        <rFont val="Calibri"/>
        <family val="2"/>
        <charset val="1"/>
      </rPr>
      <t xml:space="preserve">2 ~ 4 </t>
    </r>
    <r>
      <rPr>
        <sz val="11"/>
        <color theme="1"/>
        <rFont val="Noto Sans SC"/>
        <family val="2"/>
        <charset val="134"/>
      </rPr>
      <t xml:space="preserve">行</t>
    </r>
  </si>
  <si>
    <r>
      <rPr>
        <sz val="11"/>
        <color theme="1"/>
        <rFont val="Noto Sans SC"/>
        <family val="2"/>
        <charset val="134"/>
      </rPr>
      <t xml:space="preserve">第 </t>
    </r>
    <r>
      <rPr>
        <sz val="11"/>
        <color theme="1"/>
        <rFont val="Calibri"/>
        <family val="2"/>
        <charset val="1"/>
      </rPr>
      <t xml:space="preserve">3 ~ 5 </t>
    </r>
    <r>
      <rPr>
        <sz val="11"/>
        <color theme="1"/>
        <rFont val="Noto Sans SC"/>
        <family val="2"/>
        <charset val="134"/>
      </rPr>
      <t xml:space="preserve">行</t>
    </r>
  </si>
  <si>
    <r>
      <rPr>
        <sz val="11"/>
        <color theme="1"/>
        <rFont val="Noto Sans SC"/>
        <family val="2"/>
        <charset val="134"/>
      </rPr>
      <t xml:space="preserve">第 </t>
    </r>
    <r>
      <rPr>
        <sz val="11"/>
        <color theme="1"/>
        <rFont val="Calibri"/>
        <family val="2"/>
        <charset val="1"/>
      </rPr>
      <t xml:space="preserve">4 ~ 6 </t>
    </r>
    <r>
      <rPr>
        <sz val="11"/>
        <color theme="1"/>
        <rFont val="Noto Sans SC"/>
        <family val="2"/>
        <charset val="134"/>
      </rPr>
      <t xml:space="preserve">行</t>
    </r>
  </si>
  <si>
    <r>
      <rPr>
        <sz val="11"/>
        <color theme="1"/>
        <rFont val="Noto Sans SC"/>
        <family val="2"/>
        <charset val="134"/>
      </rPr>
      <t xml:space="preserve">第 </t>
    </r>
    <r>
      <rPr>
        <sz val="11"/>
        <color theme="1"/>
        <rFont val="Calibri"/>
        <family val="2"/>
        <charset val="1"/>
      </rPr>
      <t xml:space="preserve">5 ~ 7 </t>
    </r>
    <r>
      <rPr>
        <sz val="11"/>
        <color theme="1"/>
        <rFont val="Noto Sans SC"/>
        <family val="2"/>
        <charset val="134"/>
      </rPr>
      <t xml:space="preserve">行</t>
    </r>
  </si>
  <si>
    <r>
      <rPr>
        <sz val="11"/>
        <color theme="1"/>
        <rFont val="Noto Sans SC"/>
        <family val="2"/>
        <charset val="134"/>
      </rPr>
      <t xml:space="preserve">第 </t>
    </r>
    <r>
      <rPr>
        <sz val="11"/>
        <color theme="1"/>
        <rFont val="Calibri"/>
        <family val="2"/>
        <charset val="1"/>
      </rPr>
      <t xml:space="preserve">6 ~ 8 </t>
    </r>
    <r>
      <rPr>
        <sz val="11"/>
        <color theme="1"/>
        <rFont val="Noto Sans SC"/>
        <family val="2"/>
        <charset val="134"/>
      </rPr>
      <t xml:space="preserve">行</t>
    </r>
  </si>
  <si>
    <r>
      <rPr>
        <sz val="11"/>
        <color theme="1"/>
        <rFont val="Noto Sans SC"/>
        <family val="2"/>
        <charset val="134"/>
      </rPr>
      <t xml:space="preserve">第 </t>
    </r>
    <r>
      <rPr>
        <sz val="11"/>
        <color theme="1"/>
        <rFont val="Calibri"/>
        <family val="2"/>
        <charset val="1"/>
      </rPr>
      <t xml:space="preserve">7 ~ 9 </t>
    </r>
    <r>
      <rPr>
        <sz val="11"/>
        <color theme="1"/>
        <rFont val="Noto Sans SC"/>
        <family val="2"/>
        <charset val="134"/>
      </rPr>
      <t xml:space="preserve">行</t>
    </r>
  </si>
  <si>
    <r>
      <rPr>
        <sz val="11"/>
        <color theme="1"/>
        <rFont val="Noto Sans SC"/>
        <family val="2"/>
        <charset val="134"/>
      </rPr>
      <t xml:space="preserve">第 </t>
    </r>
    <r>
      <rPr>
        <sz val="11"/>
        <color theme="1"/>
        <rFont val="Calibri"/>
        <family val="2"/>
        <charset val="1"/>
      </rPr>
      <t xml:space="preserve">8 ~ 10 </t>
    </r>
    <r>
      <rPr>
        <sz val="11"/>
        <color theme="1"/>
        <rFont val="Noto Sans SC"/>
        <family val="2"/>
        <charset val="134"/>
      </rPr>
      <t xml:space="preserve">行</t>
    </r>
  </si>
  <si>
    <r>
      <rPr>
        <sz val="11"/>
        <color theme="1"/>
        <rFont val="Noto Sans SC"/>
        <family val="2"/>
        <charset val="134"/>
      </rPr>
      <t xml:space="preserve">第 </t>
    </r>
    <r>
      <rPr>
        <sz val="11"/>
        <color theme="1"/>
        <rFont val="Calibri"/>
        <family val="2"/>
        <charset val="1"/>
      </rPr>
      <t xml:space="preserve">9 ~ 11 </t>
    </r>
    <r>
      <rPr>
        <sz val="11"/>
        <color theme="1"/>
        <rFont val="Noto Sans SC"/>
        <family val="2"/>
        <charset val="134"/>
      </rPr>
      <t xml:space="preserve">行</t>
    </r>
  </si>
  <si>
    <r>
      <rPr>
        <sz val="11"/>
        <color theme="1"/>
        <rFont val="Noto Sans SC"/>
        <family val="2"/>
        <charset val="134"/>
      </rPr>
      <t xml:space="preserve">第 </t>
    </r>
    <r>
      <rPr>
        <sz val="11"/>
        <color theme="1"/>
        <rFont val="Calibri"/>
        <family val="2"/>
        <charset val="1"/>
      </rPr>
      <t xml:space="preserve">10 ~ 12 </t>
    </r>
    <r>
      <rPr>
        <sz val="11"/>
        <color theme="1"/>
        <rFont val="Noto Sans SC"/>
        <family val="2"/>
        <charset val="134"/>
      </rPr>
      <t xml:space="preserve">行</t>
    </r>
  </si>
  <si>
    <r>
      <rPr>
        <b val="true"/>
        <sz val="11"/>
        <color rgb="FF1F4E79"/>
        <rFont val="Noto Sans SC"/>
        <family val="2"/>
        <charset val="134"/>
      </rPr>
      <t xml:space="preserve">该列 </t>
    </r>
    <r>
      <rPr>
        <b val="true"/>
        <sz val="11"/>
        <color rgb="FF1F4E79"/>
        <rFont val="Cambria"/>
        <family val="0"/>
        <charset val="1"/>
      </rPr>
      <t xml:space="preserve">Scatter </t>
    </r>
    <r>
      <rPr>
        <b val="true"/>
        <sz val="11"/>
        <color rgb="FF1F4E79"/>
        <rFont val="Noto Sans SC"/>
        <family val="2"/>
        <charset val="134"/>
      </rPr>
      <t xml:space="preserve">个数（窗口口径）</t>
    </r>
  </si>
  <si>
    <t xml:space="preserve">窗口数</t>
  </si>
  <si>
    <r>
      <rPr>
        <sz val="11"/>
        <color theme="1"/>
        <rFont val="Noto Sans SC"/>
        <family val="2"/>
        <charset val="134"/>
      </rPr>
      <t xml:space="preserve">仅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SC"/>
        <family val="2"/>
        <charset val="134"/>
      </rPr>
      <t xml:space="preserve">个 </t>
    </r>
    <r>
      <rPr>
        <sz val="11"/>
        <color theme="1"/>
        <rFont val="Calibri"/>
        <family val="2"/>
        <charset val="1"/>
      </rPr>
      <t xml:space="preserve">Scatter </t>
    </r>
    <r>
      <rPr>
        <sz val="11"/>
        <color theme="1"/>
        <rFont val="Noto Sans SC"/>
        <family val="2"/>
        <charset val="134"/>
      </rPr>
      <t xml:space="preserve">的窗口数</t>
    </r>
  </si>
  <si>
    <r>
      <rPr>
        <sz val="11"/>
        <color theme="1"/>
        <rFont val="Noto Sans SC"/>
        <family val="2"/>
        <charset val="134"/>
      </rPr>
      <t xml:space="preserve">相连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SC"/>
        <family val="2"/>
        <charset val="134"/>
      </rPr>
      <t xml:space="preserve">个 </t>
    </r>
    <r>
      <rPr>
        <sz val="11"/>
        <color theme="1"/>
        <rFont val="Calibri"/>
        <family val="2"/>
        <charset val="1"/>
      </rPr>
      <t xml:space="preserve">Scatter</t>
    </r>
  </si>
  <si>
    <r>
      <rPr>
        <sz val="11"/>
        <color theme="1"/>
        <rFont val="Noto Sans SC"/>
        <family val="2"/>
        <charset val="134"/>
      </rPr>
      <t xml:space="preserve">相连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SC"/>
        <family val="2"/>
        <charset val="134"/>
      </rPr>
      <t xml:space="preserve">个 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（原文例）</t>
    </r>
  </si>
  <si>
    <t xml:space="preserve">窗口合计</t>
  </si>
  <si>
    <r>
      <rPr>
        <sz val="11"/>
        <color theme="1"/>
        <rFont val="Noto Sans SC"/>
        <family val="2"/>
        <charset val="134"/>
      </rPr>
      <t xml:space="preserve">应等于该列停位数（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SC"/>
        <family val="2"/>
        <charset val="134"/>
      </rPr>
      <t xml:space="preserve">）</t>
    </r>
  </si>
  <si>
    <r>
      <rPr>
        <sz val="11"/>
        <color rgb="FF808080"/>
        <rFont val="Noto Sans SC"/>
        <family val="2"/>
        <charset val="134"/>
      </rPr>
      <t xml:space="preserve">说明：</t>
    </r>
    <r>
      <rPr>
        <sz val="11"/>
        <color rgb="FF808080"/>
        <rFont val="Cambria"/>
        <family val="0"/>
        <charset val="1"/>
      </rPr>
      <t xml:space="preserve">B </t>
    </r>
    <r>
      <rPr>
        <sz val="11"/>
        <color rgb="FF808080"/>
        <rFont val="Noto Sans SC"/>
        <family val="2"/>
        <charset val="134"/>
      </rPr>
      <t xml:space="preserve">列的「</t>
    </r>
    <r>
      <rPr>
        <sz val="11"/>
        <color rgb="FF808080"/>
        <rFont val="Cambria"/>
        <family val="0"/>
        <charset val="1"/>
      </rPr>
      <t xml:space="preserve">S/</t>
    </r>
    <r>
      <rPr>
        <sz val="11"/>
        <color rgb="FF808080"/>
        <rFont val="Noto Sans SC"/>
        <family val="2"/>
        <charset val="134"/>
      </rPr>
      <t xml:space="preserve">空」是示意卷轴（</t>
    </r>
    <r>
      <rPr>
        <sz val="11"/>
        <color rgb="FF808080"/>
        <rFont val="Cambria"/>
        <family val="0"/>
        <charset val="1"/>
      </rPr>
      <t xml:space="preserve">10 </t>
    </r>
    <r>
      <rPr>
        <sz val="11"/>
        <color rgb="FF808080"/>
        <rFont val="Noto Sans SC"/>
        <family val="2"/>
        <charset val="134"/>
      </rPr>
      <t xml:space="preserve">停），第 </t>
    </r>
    <r>
      <rPr>
        <sz val="11"/>
        <color rgb="FF808080"/>
        <rFont val="Cambria"/>
        <family val="0"/>
        <charset val="1"/>
      </rPr>
      <t xml:space="preserve">11</t>
    </r>
    <r>
      <rPr>
        <sz val="11"/>
        <color rgb="FF808080"/>
        <rFont val="Noto Sans SC"/>
        <family val="2"/>
        <charset val="134"/>
      </rPr>
      <t xml:space="preserve">、</t>
    </r>
    <r>
      <rPr>
        <sz val="11"/>
        <color rgb="FF808080"/>
        <rFont val="Cambria"/>
        <family val="0"/>
        <charset val="1"/>
      </rPr>
      <t xml:space="preserve">12 </t>
    </r>
    <r>
      <rPr>
        <sz val="11"/>
        <color rgb="FF808080"/>
        <rFont val="Noto Sans SC"/>
        <family val="2"/>
        <charset val="134"/>
      </rPr>
      <t xml:space="preserve">行是预留的首两行副本；本示意中第 </t>
    </r>
    <r>
      <rPr>
        <sz val="11"/>
        <color rgb="FF808080"/>
        <rFont val="Cambria"/>
        <family val="0"/>
        <charset val="1"/>
      </rPr>
      <t xml:space="preserve">9</t>
    </r>
    <r>
      <rPr>
        <sz val="11"/>
        <color rgb="FF808080"/>
        <rFont val="Noto Sans SC"/>
        <family val="2"/>
        <charset val="134"/>
      </rPr>
      <t xml:space="preserve">、</t>
    </r>
    <r>
      <rPr>
        <sz val="11"/>
        <color rgb="FF808080"/>
        <rFont val="Cambria"/>
        <family val="0"/>
        <charset val="1"/>
      </rPr>
      <t xml:space="preserve">10</t>
    </r>
    <r>
      <rPr>
        <sz val="11"/>
        <color rgb="FF808080"/>
        <rFont val="Noto Sans SC"/>
        <family val="2"/>
        <charset val="134"/>
      </rPr>
      <t xml:space="preserve">、</t>
    </r>
    <r>
      <rPr>
        <sz val="11"/>
        <color rgb="FF808080"/>
        <rFont val="Cambria"/>
        <family val="0"/>
        <charset val="1"/>
      </rPr>
      <t xml:space="preserve">11 </t>
    </r>
    <r>
      <rPr>
        <sz val="11"/>
        <color rgb="FF808080"/>
        <rFont val="Noto Sans SC"/>
        <family val="2"/>
        <charset val="134"/>
      </rPr>
      <t xml:space="preserve">行构成一个三连 </t>
    </r>
    <r>
      <rPr>
        <sz val="11"/>
        <color rgb="FF808080"/>
        <rFont val="Cambria"/>
        <family val="0"/>
        <charset val="1"/>
      </rPr>
      <t xml:space="preserve">Scatter </t>
    </r>
    <r>
      <rPr>
        <sz val="11"/>
        <color rgb="FF808080"/>
        <rFont val="Noto Sans SC"/>
        <family val="2"/>
        <charset val="134"/>
      </rPr>
      <t xml:space="preserve">窗口——正是原文「相连 </t>
    </r>
    <r>
      <rPr>
        <sz val="11"/>
        <color rgb="FF808080"/>
        <rFont val="Cambria"/>
        <family val="0"/>
        <charset val="1"/>
      </rPr>
      <t xml:space="preserve">Scatter</t>
    </r>
    <r>
      <rPr>
        <sz val="11"/>
        <color rgb="FF808080"/>
        <rFont val="Noto Sans SC"/>
        <family val="2"/>
        <charset val="134"/>
      </rPr>
      <t xml:space="preserve">」的情形。原文实际卷轴有 </t>
    </r>
    <r>
      <rPr>
        <sz val="11"/>
        <color rgb="FF808080"/>
        <rFont val="Cambria"/>
        <family val="0"/>
        <charset val="1"/>
      </rPr>
      <t xml:space="preserve">80+ </t>
    </r>
    <r>
      <rPr>
        <sz val="11"/>
        <color rgb="FF808080"/>
        <rFont val="Noto Sans SC"/>
        <family val="2"/>
        <charset val="134"/>
      </rPr>
      <t xml:space="preserve">行、每列停位数更多，读取方式与此完全相同。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</si>
  <si>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4</t>
    </r>
    <r>
      <rPr>
        <b val="true"/>
        <sz val="11"/>
        <color rgb="FF1F4E79"/>
        <rFont val="Noto Sans SC"/>
        <family val="2"/>
        <charset val="134"/>
      </rPr>
      <t xml:space="preserve">】由窗口数到触发事件数（排列组合）</t>
    </r>
  </si>
  <si>
    <r>
      <rPr>
        <b val="true"/>
        <sz val="11"/>
        <color rgb="FF1F4E79"/>
        <rFont val="Noto Sans SC"/>
        <family val="2"/>
        <charset val="134"/>
      </rPr>
      <t xml:space="preserve">组合（各列 </t>
    </r>
    <r>
      <rPr>
        <b val="true"/>
        <sz val="11"/>
        <color rgb="FF1F4E79"/>
        <rFont val="Cambria"/>
        <family val="0"/>
        <charset val="1"/>
      </rPr>
      <t xml:space="preserve">Scatter </t>
    </r>
    <r>
      <rPr>
        <b val="true"/>
        <sz val="11"/>
        <color rgb="FF1F4E79"/>
        <rFont val="Noto Sans SC"/>
        <family val="2"/>
        <charset val="134"/>
      </rPr>
      <t xml:space="preserve">数）</t>
    </r>
  </si>
  <si>
    <t xml:space="preserve">该组合事件数</t>
  </si>
  <si>
    <t xml:space="preserve">对应免费摇次数</t>
  </si>
  <si>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SC"/>
        <family val="2"/>
        <charset val="134"/>
      </rPr>
      <t xml:space="preserve">列均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SC"/>
        <family val="2"/>
        <charset val="134"/>
      </rPr>
      <t xml:space="preserve">个</t>
    </r>
  </si>
  <si>
    <r>
      <rPr>
        <sz val="11"/>
        <color theme="1"/>
        <rFont val="Noto Sans SC"/>
        <family val="2"/>
        <charset val="134"/>
      </rPr>
      <t xml:space="preserve">示例：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SC"/>
        <family val="2"/>
        <charset val="134"/>
      </rPr>
      <t xml:space="preserve">个 </t>
    </r>
    <r>
      <rPr>
        <sz val="11"/>
        <color theme="1"/>
        <rFont val="Calibri"/>
        <family val="2"/>
        <charset val="1"/>
      </rPr>
      <t xml:space="preserve">Scatter </t>
    </r>
    <r>
      <rPr>
        <sz val="11"/>
        <color theme="1"/>
        <rFont val="Noto Sans SC"/>
        <family val="2"/>
        <charset val="134"/>
      </rPr>
      <t xml:space="preserve">触发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SC"/>
        <family val="2"/>
        <charset val="134"/>
      </rPr>
      <t xml:space="preserve">次</t>
    </r>
  </si>
  <si>
    <r>
      <rPr>
        <sz val="11"/>
        <color theme="1"/>
        <rFont val="Noto Sans SC"/>
        <family val="2"/>
        <charset val="134"/>
      </rPr>
      <t xml:space="preserve">列</t>
    </r>
    <r>
      <rPr>
        <sz val="11"/>
        <color theme="1"/>
        <rFont val="Calibri"/>
        <family val="2"/>
        <charset val="1"/>
      </rPr>
      <t xml:space="preserve">1 = 2 </t>
    </r>
    <r>
      <rPr>
        <sz val="11"/>
        <color theme="1"/>
        <rFont val="Noto Sans SC"/>
        <family val="2"/>
        <charset val="134"/>
      </rPr>
      <t xml:space="preserve">个、列</t>
    </r>
    <r>
      <rPr>
        <sz val="11"/>
        <color theme="1"/>
        <rFont val="Calibri"/>
        <family val="2"/>
        <charset val="1"/>
      </rPr>
      <t xml:space="preserve">2/3 </t>
    </r>
    <r>
      <rPr>
        <sz val="11"/>
        <color theme="1"/>
        <rFont val="Noto Sans SC"/>
        <family val="2"/>
        <charset val="134"/>
      </rPr>
      <t xml:space="preserve">各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SC"/>
        <family val="2"/>
        <charset val="134"/>
      </rPr>
      <t xml:space="preserve">个</t>
    </r>
  </si>
  <si>
    <r>
      <rPr>
        <sz val="11"/>
        <color theme="1"/>
        <rFont val="Noto Sans SC"/>
        <family val="2"/>
        <charset val="134"/>
      </rPr>
      <t xml:space="preserve">列</t>
    </r>
    <r>
      <rPr>
        <sz val="11"/>
        <color theme="1"/>
        <rFont val="Calibri"/>
        <family val="2"/>
        <charset val="1"/>
      </rPr>
      <t xml:space="preserve">1 = 3 </t>
    </r>
    <r>
      <rPr>
        <sz val="11"/>
        <color theme="1"/>
        <rFont val="Noto Sans SC"/>
        <family val="2"/>
        <charset val="134"/>
      </rPr>
      <t xml:space="preserve">个（相连三连）</t>
    </r>
  </si>
  <si>
    <t xml:space="preserve">触发事件数合计</t>
  </si>
  <si>
    <t xml:space="preserve">触发几率（示例口径，仅供演示组合方式）</t>
  </si>
  <si>
    <r>
      <rPr>
        <sz val="11"/>
        <color rgb="FF808080"/>
        <rFont val="Noto Sans SC"/>
        <family val="2"/>
        <charset val="134"/>
      </rPr>
      <t xml:space="preserve">原文把「所有排列」逐条列出并与触发事件数对比：一致且不重复，才说明列全了可能性——这是排查漏项</t>
    </r>
    <r>
      <rPr>
        <sz val="11"/>
        <color rgb="FF808080"/>
        <rFont val="Cambria"/>
        <family val="0"/>
        <charset val="1"/>
      </rPr>
      <t xml:space="preserve">/</t>
    </r>
    <r>
      <rPr>
        <sz val="11"/>
        <color rgb="FF808080"/>
        <rFont val="Noto Sans SC"/>
        <family val="2"/>
        <charset val="134"/>
      </rPr>
      <t xml:space="preserve">重复项的常用手段。本表用 </t>
    </r>
    <r>
      <rPr>
        <sz val="11"/>
        <color rgb="FF808080"/>
        <rFont val="Cambria"/>
        <family val="0"/>
        <charset val="1"/>
      </rPr>
      <t xml:space="preserve">3 </t>
    </r>
    <r>
      <rPr>
        <sz val="11"/>
        <color rgb="FF808080"/>
        <rFont val="Noto Sans SC"/>
        <family val="2"/>
        <charset val="134"/>
      </rPr>
      <t xml:space="preserve">列示意组合方式，实际按列数扩展即可。</t>
    </r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</si>
  <si>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5</t>
    </r>
    <r>
      <rPr>
        <b val="true"/>
        <sz val="11"/>
        <color rgb="FF1F4E79"/>
        <rFont val="Noto Sans SC"/>
        <family val="2"/>
        <charset val="134"/>
      </rPr>
      <t xml:space="preserve">】免费摇与整体 </t>
    </r>
    <r>
      <rPr>
        <b val="true"/>
        <sz val="11"/>
        <color rgb="FF1F4E79"/>
        <rFont val="Cambria"/>
        <family val="0"/>
        <charset val="1"/>
      </rPr>
      <t xml:space="preserve">RTP</t>
    </r>
    <r>
      <rPr>
        <b val="true"/>
        <sz val="11"/>
        <color rgb="FF1F4E79"/>
        <rFont val="Noto Sans SC"/>
        <family val="2"/>
        <charset val="134"/>
      </rPr>
      <t xml:space="preserve">（与 </t>
    </r>
    <r>
      <rPr>
        <b val="true"/>
        <sz val="11"/>
        <color rgb="FF1F4E79"/>
        <rFont val="Cambria"/>
        <family val="0"/>
        <charset val="1"/>
      </rPr>
      <t xml:space="preserve">17 </t>
    </r>
    <r>
      <rPr>
        <b val="true"/>
        <sz val="11"/>
        <color rgb="FF1F4E79"/>
        <rFont val="Noto Sans SC"/>
        <family val="2"/>
        <charset val="134"/>
      </rPr>
      <t xml:space="preserve">篇同构）</t>
    </r>
  </si>
  <si>
    <t xml:space="preserve">数值</t>
  </si>
  <si>
    <r>
      <rPr>
        <sz val="11"/>
        <color theme="1"/>
        <rFont val="Noto Sans SC"/>
        <family val="2"/>
        <charset val="134"/>
      </rPr>
      <t xml:space="preserve">免费摇基础次数（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SC"/>
        <family val="2"/>
        <charset val="134"/>
      </rPr>
      <t xml:space="preserve">个 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）</t>
    </r>
  </si>
  <si>
    <t xml:space="preserve">人工设置</t>
  </si>
  <si>
    <t xml:space="preserve">免费摇中再触发几率</t>
  </si>
  <si>
    <t xml:space="preserve">沿用普通摇的触发几率做示意</t>
  </si>
  <si>
    <t xml:space="preserve">每次再触发给的次数</t>
  </si>
  <si>
    <t xml:space="preserve">示意</t>
  </si>
  <si>
    <t xml:space="preserve">综合免费摇次数</t>
  </si>
  <si>
    <t xml:space="preserve">等比无穷级数求和</t>
  </si>
  <si>
    <r>
      <rPr>
        <sz val="11"/>
        <color theme="1"/>
        <rFont val="Noto Sans SC"/>
        <family val="2"/>
        <charset val="134"/>
      </rPr>
      <t xml:space="preserve">免费摇单局 </t>
    </r>
    <r>
      <rPr>
        <sz val="11"/>
        <color theme="1"/>
        <rFont val="Calibri"/>
        <family val="2"/>
        <charset val="1"/>
      </rPr>
      <t xml:space="preserve">RTP</t>
    </r>
    <r>
      <rPr>
        <sz val="11"/>
        <color theme="1"/>
        <rFont val="Noto Sans SC"/>
        <family val="2"/>
        <charset val="134"/>
      </rPr>
      <t xml:space="preserve">（示意）</t>
    </r>
  </si>
  <si>
    <t xml:space="preserve">普通摇与免费摇共用同一条卷轴 → 两者相近</t>
  </si>
  <si>
    <r>
      <rPr>
        <b val="true"/>
        <sz val="11"/>
        <rFont val="Noto Sans SC"/>
        <family val="2"/>
        <charset val="134"/>
      </rPr>
      <t xml:space="preserve">免费摇 </t>
    </r>
    <r>
      <rPr>
        <b val="true"/>
        <sz val="11"/>
        <rFont val="Cambria"/>
        <family val="0"/>
        <charset val="1"/>
      </rPr>
      <t xml:space="preserve">RTP</t>
    </r>
  </si>
  <si>
    <r>
      <rPr>
        <sz val="11"/>
        <color theme="1"/>
        <rFont val="Noto Sans SC"/>
        <family val="2"/>
        <charset val="134"/>
      </rPr>
      <t xml:space="preserve">＝ 触发几率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SC"/>
        <family val="2"/>
        <charset val="134"/>
      </rPr>
      <t xml:space="preserve">综合次数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SC"/>
        <family val="2"/>
        <charset val="134"/>
      </rPr>
      <t xml:space="preserve">单局 </t>
    </r>
    <r>
      <rPr>
        <sz val="11"/>
        <color theme="1"/>
        <rFont val="Calibri"/>
        <family val="2"/>
        <charset val="1"/>
      </rPr>
      <t xml:space="preserve">RTP</t>
    </r>
  </si>
  <si>
    <r>
      <rPr>
        <sz val="11"/>
        <color theme="1"/>
        <rFont val="Noto Sans SC"/>
        <family val="2"/>
        <charset val="134"/>
      </rPr>
      <t xml:space="preserve">普通摇 </t>
    </r>
    <r>
      <rPr>
        <sz val="11"/>
        <color theme="1"/>
        <rFont val="Calibri"/>
        <family val="2"/>
        <charset val="1"/>
      </rPr>
      <t xml:space="preserve">RTP</t>
    </r>
    <r>
      <rPr>
        <sz val="11"/>
        <color theme="1"/>
        <rFont val="Noto Sans SC"/>
        <family val="2"/>
        <charset val="134"/>
      </rPr>
      <t xml:space="preserve">（示意）</t>
    </r>
  </si>
  <si>
    <r>
      <rPr>
        <sz val="11"/>
        <color theme="1"/>
        <rFont val="Noto Sans SC"/>
        <family val="2"/>
        <charset val="134"/>
      </rPr>
      <t xml:space="preserve">由中奖率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SC"/>
        <family val="2"/>
        <charset val="134"/>
      </rPr>
      <t xml:space="preserve">赔付倍数加总得到</t>
    </r>
  </si>
  <si>
    <r>
      <rPr>
        <b val="true"/>
        <sz val="11"/>
        <rFont val="Noto Sans SC"/>
        <family val="2"/>
        <charset val="134"/>
      </rPr>
      <t xml:space="preserve">玩法整体 </t>
    </r>
    <r>
      <rPr>
        <b val="true"/>
        <sz val="11"/>
        <rFont val="Cambria"/>
        <family val="0"/>
        <charset val="1"/>
      </rPr>
      <t xml:space="preserve">RTP</t>
    </r>
  </si>
  <si>
    <t xml:space="preserve">＝ 普通摇 ＋ 免费摇</t>
  </si>
  <si>
    <r>
      <rPr>
        <b val="true"/>
        <sz val="11"/>
        <color rgb="FF1F4E79"/>
        <rFont val="Noto Sans SC"/>
        <family val="2"/>
        <charset val="134"/>
      </rPr>
      <t xml:space="preserve">【</t>
    </r>
    <r>
      <rPr>
        <b val="true"/>
        <sz val="11"/>
        <color rgb="FF1F4E79"/>
        <rFont val="Cambria"/>
        <family val="0"/>
        <charset val="1"/>
      </rPr>
      <t xml:space="preserve">6</t>
    </r>
    <r>
      <rPr>
        <b val="true"/>
        <sz val="11"/>
        <color rgb="FF1F4E79"/>
        <rFont val="Noto Sans SC"/>
        <family val="2"/>
        <charset val="134"/>
      </rPr>
      <t xml:space="preserve">】自检</t>
    </r>
  </si>
  <si>
    <t xml:space="preserve">检查项</t>
  </si>
  <si>
    <t xml:space="preserve">结果</t>
  </si>
  <si>
    <r>
      <rPr>
        <sz val="11"/>
        <color theme="1"/>
        <rFont val="Noto Sans SC"/>
        <family val="2"/>
        <charset val="134"/>
      </rPr>
      <t xml:space="preserve">预留两行 ＝ 卷轴第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SC"/>
        <family val="2"/>
        <charset val="134"/>
      </rPr>
      <t xml:space="preserve">行</t>
    </r>
  </si>
  <si>
    <t xml:space="preserve">模拟首尾相连</t>
  </si>
  <si>
    <r>
      <rPr>
        <sz val="11"/>
        <color theme="1"/>
        <rFont val="Noto Sans SC"/>
        <family val="2"/>
        <charset val="134"/>
      </rPr>
      <t xml:space="preserve">含 </t>
    </r>
    <r>
      <rPr>
        <sz val="11"/>
        <color theme="1"/>
        <rFont val="Calibri"/>
        <family val="2"/>
        <charset val="1"/>
      </rPr>
      <t xml:space="preserve">Scatter </t>
    </r>
    <r>
      <rPr>
        <sz val="11"/>
        <color theme="1"/>
        <rFont val="Noto Sans SC"/>
        <family val="2"/>
        <charset val="134"/>
      </rPr>
      <t xml:space="preserve">的窗口合计 ＝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SC"/>
        <family val="2"/>
        <charset val="134"/>
      </rPr>
      <t xml:space="preserve">（另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SC"/>
        <family val="2"/>
        <charset val="134"/>
      </rPr>
      <t xml:space="preserve">个窗口无 </t>
    </r>
    <r>
      <rPr>
        <sz val="11"/>
        <color theme="1"/>
        <rFont val="Calibri"/>
        <family val="2"/>
        <charset val="1"/>
      </rPr>
      <t xml:space="preserve">Scatter</t>
    </r>
    <r>
      <rPr>
        <sz val="11"/>
        <color theme="1"/>
        <rFont val="Noto Sans SC"/>
        <family val="2"/>
        <charset val="134"/>
      </rPr>
      <t xml:space="preserve">）</t>
    </r>
  </si>
  <si>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SC"/>
        <family val="2"/>
        <charset val="134"/>
      </rPr>
      <t xml:space="preserve">个三行窗口中有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SC"/>
        <family val="2"/>
        <charset val="134"/>
      </rPr>
      <t xml:space="preserve">个至少含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SC"/>
        <family val="2"/>
        <charset val="134"/>
      </rPr>
      <t xml:space="preserve">个 </t>
    </r>
    <r>
      <rPr>
        <sz val="11"/>
        <color theme="1"/>
        <rFont val="Calibri"/>
        <family val="2"/>
        <charset val="1"/>
      </rPr>
      <t xml:space="preserve">Scatter</t>
    </r>
  </si>
  <si>
    <r>
      <rPr>
        <sz val="11"/>
        <color theme="1"/>
        <rFont val="Noto Sans SC"/>
        <family val="2"/>
        <charset val="134"/>
      </rPr>
      <t xml:space="preserve">三连窗口被识别（＝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SC"/>
        <family val="2"/>
        <charset val="134"/>
      </rPr>
      <t xml:space="preserve">个）</t>
    </r>
  </si>
  <si>
    <r>
      <rPr>
        <sz val="11"/>
        <color theme="1"/>
        <rFont val="Noto Sans SC"/>
        <family val="2"/>
        <charset val="134"/>
      </rPr>
      <t xml:space="preserve">第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SC"/>
        <family val="2"/>
        <charset val="134"/>
      </rPr>
      <t xml:space="preserve">行（跨过卷轴末尾）</t>
    </r>
  </si>
  <si>
    <r>
      <rPr>
        <sz val="11"/>
        <color theme="1"/>
        <rFont val="Noto Sans SC"/>
        <family val="2"/>
        <charset val="134"/>
      </rPr>
      <t xml:space="preserve">相连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SC"/>
        <family val="2"/>
        <charset val="134"/>
      </rPr>
      <t xml:space="preserve">个窗口被识别（＝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SC"/>
        <family val="2"/>
        <charset val="134"/>
      </rPr>
      <t xml:space="preserve">个）</t>
    </r>
  </si>
  <si>
    <r>
      <rPr>
        <sz val="11"/>
        <color theme="1"/>
        <rFont val="Noto Sans SC"/>
        <family val="2"/>
        <charset val="134"/>
      </rPr>
      <t xml:space="preserve">起始行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10</t>
    </r>
  </si>
  <si>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SC"/>
        <family val="2"/>
        <charset val="134"/>
      </rPr>
      <t xml:space="preserve">个 </t>
    </r>
    <r>
      <rPr>
        <sz val="11"/>
        <color theme="1"/>
        <rFont val="Calibri"/>
        <family val="2"/>
        <charset val="1"/>
      </rPr>
      <t xml:space="preserve">Scatter </t>
    </r>
    <r>
      <rPr>
        <sz val="11"/>
        <color theme="1"/>
        <rFont val="Noto Sans SC"/>
        <family val="2"/>
        <charset val="134"/>
      </rPr>
      <t xml:space="preserve">窗口 ＝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SC"/>
        <family val="2"/>
        <charset val="134"/>
      </rPr>
      <t xml:space="preserve">个</t>
    </r>
  </si>
  <si>
    <r>
      <rPr>
        <sz val="11"/>
        <color theme="1"/>
        <rFont val="Noto Sans SC"/>
        <family val="2"/>
        <charset val="134"/>
      </rPr>
      <t xml:space="preserve">起始行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SC"/>
        <family val="2"/>
        <charset val="134"/>
      </rPr>
      <t xml:space="preserve">、</t>
    </r>
    <r>
      <rPr>
        <sz val="11"/>
        <color theme="1"/>
        <rFont val="Calibri"/>
        <family val="2"/>
        <charset val="1"/>
      </rPr>
      <t xml:space="preserve">7</t>
    </r>
  </si>
  <si>
    <t xml:space="preserve">说明：本页为按原文方法落地的配表实现；表内示例数值取自原文，原文未给的部分沿用同项目示例（蓝字可改）。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</si>
</sst>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00%"/>
    <numFmt numFmtId="167" formatCode="0.0000"/>
    <numFmt numFmtId="168" formatCode="0.0000000000%"/>
  </numFmts>
  <fonts count="16">
    <font>
      <sz val="11"/>
      <color theme="1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b val="true"/>
      <sz val="14"/>
      <color rgb="FF1F4E79"/>
      <name val="Noto Sans SC"/>
      <family val="2"/>
      <charset val="134"/>
    </font>
    <font>
      <b val="true"/>
      <sz val="14"/>
      <color rgb="FF1F4E79"/>
      <name val="Cambria"/>
      <family val="0"/>
      <charset val="1"/>
    </font>
    <font>
      <sz val="11"/>
      <color rgb="FF808080"/>
      <name val="Noto Sans SC"/>
      <family val="2"/>
      <charset val="134"/>
    </font>
    <font>
      <sz val="11"/>
      <color rgb="FF808080"/>
      <name val="Cambria"/>
      <family val="0"/>
      <charset val="1"/>
    </font>
    <font>
      <b val="true"/>
      <sz val="11"/>
      <name val="Noto Sans SC"/>
      <family val="2"/>
      <charset val="134"/>
    </font>
    <font>
      <sz val="11"/>
      <color theme="1"/>
      <name val="Calibri"/>
      <family val="2"/>
      <charset val="1"/>
    </font>
    <font>
      <b val="true"/>
      <sz val="11"/>
      <name val="Cambria"/>
      <family val="0"/>
      <charset val="1"/>
    </font>
    <font>
      <b val="true"/>
      <sz val="11"/>
      <color rgb="FF1F4E79"/>
      <name val="Noto Sans SC"/>
      <family val="2"/>
      <charset val="134"/>
    </font>
    <font>
      <b val="true"/>
      <sz val="11"/>
      <color rgb="FF1F4E79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sz val="11"/>
      <color rgb="FF000000"/>
      <name val="Noto Sans SC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B4C7E7"/>
        <bgColor rgb="FFCCCCFF"/>
      </patternFill>
    </fill>
    <fill>
      <patternFill patternType="solid">
        <fgColor rgb="FFDEEBF7"/>
        <bgColor rgb="FFCC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indent="0" shrinkToFit="false"/>
      <protection locked="true" hidden="false"/>
    </xf>
    <xf numFmtId="0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0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applyNumberFormat="1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9140625" defaultRowHeight="15" customHeight="false" zeroHeight="false" outlineLevelRow="0" outlineLevelCol="0"/>
  <cols>
    <col collapsed="false" customWidth="true" hidden="false" outlineLevel="0" max="1" min="1" style="0" width="42.14"/>
  </cols>
  <sheetData>
    <row r="1" customFormat="false" ht="19" hidden="false" customHeight="false" outlineLevel="0" collapsed="false">
      <c r="A1" s="1" t="s">
        <v>0</v>
      </c>
    </row>
    <row r="3" customFormat="false" ht="15.5" hidden="false" customHeight="false" outlineLevel="0" collapsed="false">
      <c r="A3" s="2" t="s">
        <v>1</v>
      </c>
    </row>
    <row r="4" customFormat="false" ht="15.5" hidden="false" customHeight="false" outlineLevel="0" collapsed="false">
      <c r="A4" s="2" t="s">
        <v>2</v>
      </c>
    </row>
    <row r="5" customFormat="false" ht="15.5" hidden="false" customHeight="false" outlineLevel="0" collapsed="false">
      <c r="A5" s="3" t="s">
        <v>3</v>
      </c>
      <c r="B5" s="3"/>
      <c r="C5" s="3"/>
      <c r="D5" s="3"/>
    </row>
    <row r="6" customFormat="false" ht="15.5" hidden="false" customHeight="false" outlineLevel="0" collapsed="false">
      <c r="A6" s="3" t="s">
        <v>4</v>
      </c>
      <c r="B6" s="3"/>
      <c r="C6" s="3"/>
    </row>
    <row r="7" customFormat="false" ht="15.5" hidden="false" customHeight="false" outlineLevel="0" collapsed="false">
      <c r="A7" s="3" t="s">
        <v>5</v>
      </c>
      <c r="B7" s="3"/>
      <c r="C7" s="3"/>
      <c r="D7" s="3"/>
      <c r="E7" s="3"/>
      <c r="F7" s="3"/>
    </row>
    <row r="8" customFormat="false" ht="15.5" hidden="false" customHeight="false" outlineLevel="0" collapsed="false">
      <c r="A8" s="3" t="s">
        <v>6</v>
      </c>
      <c r="B8" s="3"/>
      <c r="C8" s="3"/>
      <c r="D8" s="3"/>
      <c r="E8" s="3"/>
      <c r="F8" s="3"/>
    </row>
    <row r="10" customFormat="false" ht="15" hidden="false" customHeight="false" outlineLevel="0" collapsed="false">
      <c r="A10" s="4" t="s">
        <v>7</v>
      </c>
    </row>
    <row r="11" customFormat="false" ht="29" hidden="false" customHeight="false" outlineLevel="0" collapsed="false">
      <c r="A11" s="26" t="s">
        <v>8</v>
      </c>
    </row>
    <row r="12" customFormat="false" ht="29" hidden="false" customHeight="false" outlineLevel="0" collapsed="false">
      <c r="A12" s="26" t="s">
        <v>9</v>
      </c>
    </row>
    <row r="13" customFormat="false" ht="15" hidden="false" customHeight="false" outlineLevel="0" collapsed="false">
      <c r="A13" s="5"/>
    </row>
    <row r="14" customFormat="false" ht="15" hidden="false" customHeight="false" outlineLevel="0" collapsed="false">
      <c r="A14" s="4" t="s">
        <v>10</v>
      </c>
    </row>
    <row r="15" customFormat="false" ht="15" hidden="false" customHeight="1" outlineLevel="0" collapsed="false">
      <c r="A15" s="27" t="s">
        <v>11</v>
      </c>
      <c r="B15" s="6"/>
      <c r="C15" s="6"/>
    </row>
    <row r="16" customFormat="false" ht="42" hidden="false" customHeight="false" outlineLevel="0" collapsed="false">
      <c r="A16" s="26" t="s">
        <v>12</v>
      </c>
    </row>
    <row r="17" customFormat="false" ht="15" hidden="false" customHeight="1" outlineLevel="0" collapsed="false">
      <c r="A17" s="27" t="s">
        <v>13</v>
      </c>
      <c r="B17" s="6"/>
      <c r="C17" s="6"/>
    </row>
    <row r="18" customFormat="false" ht="15" hidden="false" customHeight="false" outlineLevel="0" collapsed="false">
      <c r="A18" s="5"/>
    </row>
    <row r="19" customFormat="false" ht="15" hidden="false" customHeight="false" outlineLevel="0" collapsed="false">
      <c r="A19" s="4" t="s">
        <v>14</v>
      </c>
    </row>
    <row r="20" customFormat="false" ht="30" hidden="false" customHeight="false" outlineLevel="0" collapsed="false">
      <c r="A20" s="26" t="s">
        <v>15</v>
      </c>
    </row>
    <row r="21" customFormat="false" ht="43" hidden="false" customHeight="false" outlineLevel="0" collapsed="false">
      <c r="A21" s="28" t="s">
        <v>16</v>
      </c>
    </row>
    <row r="22" customFormat="false" ht="30" hidden="false" customHeight="false" outlineLevel="0" collapsed="false">
      <c r="A22" s="26" t="s">
        <v>17</v>
      </c>
    </row>
    <row r="23" customFormat="false" ht="15" hidden="false" customHeight="false" outlineLevel="0" collapsed="false">
      <c r="A23" s="7" t="s">
        <v>18</v>
      </c>
    </row>
    <row r="24" customFormat="false" ht="30" hidden="false" customHeight="false" outlineLevel="0" collapsed="false">
      <c r="A24" s="26" t="s">
        <v>19</v>
      </c>
    </row>
    <row r="25" customFormat="false" ht="30" hidden="false" customHeight="false" outlineLevel="0" collapsed="false">
      <c r="A25" s="28" t="s">
        <v>20</v>
      </c>
    </row>
    <row r="26" customFormat="false" ht="43" hidden="false" customHeight="false" outlineLevel="0" collapsed="false">
      <c r="A26" s="26" t="s">
        <v>21</v>
      </c>
    </row>
    <row r="27" customFormat="false" ht="29" hidden="false" customHeight="false" outlineLevel="0" collapsed="false">
      <c r="A27" s="26" t="s">
        <v>22</v>
      </c>
    </row>
    <row r="28" customFormat="false" ht="29" hidden="false" customHeight="false" outlineLevel="0" collapsed="false">
      <c r="A28" s="28" t="s">
        <v>23</v>
      </c>
    </row>
    <row r="29" customFormat="false" ht="16" hidden="false" customHeight="false" outlineLevel="0" collapsed="false">
      <c r="A29" s="7" t="s">
        <v>24</v>
      </c>
    </row>
    <row r="30" customFormat="false" ht="30" hidden="false" customHeight="false" outlineLevel="0" collapsed="false">
      <c r="A30" s="26" t="s">
        <v>25</v>
      </c>
    </row>
    <row r="32" customFormat="false" ht="15" hidden="false" customHeight="false" outlineLevel="0" collapsed="false">
      <c r="A32" s="4" t="s">
        <v>26</v>
      </c>
    </row>
    <row r="33" customFormat="false" ht="15" hidden="false" customHeight="false" outlineLevel="0" collapsed="false">
      <c r="A33" s="7"/>
    </row>
    <row r="34" customFormat="false" ht="30" hidden="false" customHeight="false" outlineLevel="0" collapsed="false">
      <c r="A34" s="28" t="s">
        <v>27</v>
      </c>
    </row>
    <row r="35" customFormat="false" ht="29" hidden="false" customHeight="false" outlineLevel="0" collapsed="false">
      <c r="A35" s="28" t="s">
        <v>28</v>
      </c>
    </row>
    <row r="36" customFormat="false" ht="30" hidden="false" customHeight="false" outlineLevel="0" collapsed="false">
      <c r="A36" s="28" t="s">
        <v>29</v>
      </c>
    </row>
    <row r="37" customFormat="false" ht="30" hidden="false" customHeight="false" outlineLevel="0" collapsed="false">
      <c r="A37" s="28" t="s">
        <v>30</v>
      </c>
    </row>
    <row r="38" customFormat="false" ht="29" hidden="false" customHeight="false" outlineLevel="0" collapsed="false">
      <c r="A38" s="28" t="s">
        <v>31</v>
      </c>
    </row>
    <row r="39" customFormat="false" ht="15" hidden="false" customHeight="false" outlineLevel="0" collapsed="false">
      <c r="A39" s="7" t="s">
        <v>32</v>
      </c>
    </row>
    <row r="40" customFormat="false" ht="16" hidden="false" customHeight="false" outlineLevel="0" collapsed="false">
      <c r="A40" s="7" t="s">
        <v>33</v>
      </c>
    </row>
    <row r="41" customFormat="false" ht="16" hidden="false" customHeight="false" outlineLevel="0" collapsed="false">
      <c r="A41" s="7" t="s">
        <v>34</v>
      </c>
    </row>
    <row r="42" customFormat="false" ht="16" hidden="false" customHeight="false" outlineLevel="0" collapsed="false">
      <c r="A42" s="7" t="s">
        <v>35</v>
      </c>
    </row>
    <row r="43" customFormat="false" ht="16" hidden="false" customHeight="false" outlineLevel="0" collapsed="false">
      <c r="A43" s="7" t="s">
        <v>36</v>
      </c>
    </row>
    <row r="44" customFormat="false" ht="15" hidden="false" customHeight="false" outlineLevel="0" collapsed="false">
      <c r="A44" s="7" t="s">
        <v>37</v>
      </c>
    </row>
    <row r="45" customFormat="false" ht="15" hidden="false" customHeight="false" outlineLevel="0" collapsed="false">
      <c r="A45" s="7" t="s">
        <v>38</v>
      </c>
    </row>
    <row r="46" customFormat="false" ht="15" hidden="false" customHeight="false" outlineLevel="0" collapsed="false">
      <c r="A46" s="7"/>
    </row>
    <row r="47" customFormat="false" ht="16" hidden="false" customHeight="false" outlineLevel="0" collapsed="false">
      <c r="A47" s="7" t="s">
        <v>39</v>
      </c>
    </row>
    <row r="48" customFormat="false" ht="15" hidden="false" customHeight="false" outlineLevel="0" collapsed="false">
      <c r="A48" s="7"/>
    </row>
    <row r="49" customFormat="false" ht="15" hidden="false" customHeight="false" outlineLevel="0" collapsed="false">
      <c r="A49" s="7" t="s">
        <v>40</v>
      </c>
    </row>
    <row r="50" customFormat="false" ht="15" hidden="false" customHeight="false" outlineLevel="0" collapsed="false">
      <c r="A50" s="7" t="s">
        <v>41</v>
      </c>
    </row>
    <row r="51" customFormat="false" ht="28" hidden="false" customHeight="false" outlineLevel="0" collapsed="false">
      <c r="A51" s="28" t="s">
        <v>42</v>
      </c>
    </row>
    <row r="52" customFormat="false" ht="15" hidden="false" customHeight="false" outlineLevel="0" collapsed="false">
      <c r="A52" s="7" t="s">
        <v>43</v>
      </c>
    </row>
    <row r="53" customFormat="false" ht="28" hidden="false" customHeight="false" outlineLevel="0" collapsed="false">
      <c r="A53" s="28" t="s">
        <v>44</v>
      </c>
    </row>
    <row r="54" customFormat="false" ht="15" hidden="false" customHeight="false" outlineLevel="0" collapsed="false">
      <c r="A54" s="7" t="s">
        <v>45</v>
      </c>
    </row>
    <row r="55" customFormat="false" ht="15" hidden="false" customHeight="false" outlineLevel="0" collapsed="false">
      <c r="A55" s="7"/>
    </row>
    <row r="56" customFormat="false" ht="16" hidden="false" customHeight="false" outlineLevel="0" collapsed="false">
      <c r="A56" s="7" t="s">
        <v>46</v>
      </c>
    </row>
    <row r="57" customFormat="false" ht="15" hidden="false" customHeight="false" outlineLevel="0" collapsed="false">
      <c r="A57" s="7"/>
    </row>
    <row r="58" customFormat="false" ht="29" hidden="false" customHeight="false" outlineLevel="0" collapsed="false">
      <c r="A58" s="28" t="s">
        <v>47</v>
      </c>
    </row>
    <row r="59" customFormat="false" ht="16" hidden="false" customHeight="false" outlineLevel="0" collapsed="false">
      <c r="A59" s="28" t="s">
        <v>48</v>
      </c>
    </row>
    <row r="60" customFormat="false" ht="15" hidden="false" customHeight="false" outlineLevel="0" collapsed="false">
      <c r="A60" s="28" t="s">
        <v>49</v>
      </c>
    </row>
    <row r="61" customFormat="false" ht="16" hidden="false" customHeight="false" outlineLevel="0" collapsed="false">
      <c r="A61" s="7" t="s">
        <v>50</v>
      </c>
    </row>
    <row r="62" customFormat="false" ht="30" hidden="false" customHeight="false" outlineLevel="0" collapsed="false">
      <c r="A62" s="28" t="s">
        <v>51</v>
      </c>
    </row>
    <row r="63" customFormat="false" ht="16" hidden="false" customHeight="false" outlineLevel="0" collapsed="false">
      <c r="A63" s="28" t="s">
        <v>52</v>
      </c>
    </row>
    <row r="64" customFormat="false" ht="28" hidden="false" customHeight="false" outlineLevel="0" collapsed="false">
      <c r="A64" s="28" t="s">
        <v>53</v>
      </c>
    </row>
    <row r="65" customFormat="false" ht="16" hidden="false" customHeight="false" outlineLevel="0" collapsed="false">
      <c r="A65" s="7" t="s">
        <v>54</v>
      </c>
    </row>
    <row r="66" customFormat="false" ht="30" hidden="false" customHeight="false" outlineLevel="0" collapsed="false">
      <c r="A66" s="28" t="s">
        <v>55</v>
      </c>
    </row>
    <row r="67" customFormat="false" ht="30" hidden="false" customHeight="false" outlineLevel="0" collapsed="false">
      <c r="A67" s="28" t="s">
        <v>56</v>
      </c>
    </row>
    <row r="68" customFormat="false" ht="28" hidden="false" customHeight="false" outlineLevel="0" collapsed="false">
      <c r="A68" s="28" t="s">
        <v>57</v>
      </c>
    </row>
    <row r="69" customFormat="false" ht="15" hidden="false" customHeight="false" outlineLevel="0" collapsed="false">
      <c r="A69" s="7" t="s">
        <v>58</v>
      </c>
    </row>
    <row r="70" customFormat="false" ht="15" hidden="false" customHeight="false" outlineLevel="0" collapsed="false">
      <c r="A70" s="7"/>
    </row>
    <row r="71" customFormat="false" ht="16" hidden="false" customHeight="false" outlineLevel="0" collapsed="false">
      <c r="A71" s="7" t="s">
        <v>59</v>
      </c>
    </row>
    <row r="72" customFormat="false" ht="15" hidden="false" customHeight="false" outlineLevel="0" collapsed="false">
      <c r="A72" s="7"/>
    </row>
    <row r="73" customFormat="false" ht="15" hidden="false" customHeight="false" outlineLevel="0" collapsed="false">
      <c r="A73" s="7" t="s">
        <v>60</v>
      </c>
    </row>
    <row r="74" customFormat="false" ht="29" hidden="false" customHeight="false" outlineLevel="0" collapsed="false">
      <c r="A74" s="28" t="s">
        <v>61</v>
      </c>
    </row>
    <row r="75" customFormat="false" ht="41" hidden="false" customHeight="false" outlineLevel="0" collapsed="false">
      <c r="A75" s="28" t="s">
        <v>62</v>
      </c>
    </row>
    <row r="76" customFormat="false" ht="28" hidden="false" customHeight="false" outlineLevel="0" collapsed="false">
      <c r="A76" s="28" t="s">
        <v>63</v>
      </c>
    </row>
    <row r="77" customFormat="false" ht="15" hidden="false" customHeight="false" outlineLevel="0" collapsed="false">
      <c r="A77" s="7"/>
    </row>
    <row r="78" customFormat="false" ht="16" hidden="false" customHeight="false" outlineLevel="0" collapsed="false">
      <c r="A78" s="7" t="s">
        <v>64</v>
      </c>
    </row>
    <row r="79" customFormat="false" ht="15" hidden="false" customHeight="false" outlineLevel="0" collapsed="false">
      <c r="A79" s="7"/>
    </row>
    <row r="80" customFormat="false" ht="15" hidden="false" customHeight="false" outlineLevel="0" collapsed="false">
      <c r="A80" s="7" t="s">
        <v>65</v>
      </c>
    </row>
    <row r="81" customFormat="false" ht="28" hidden="false" customHeight="false" outlineLevel="0" collapsed="false">
      <c r="A81" s="28" t="s">
        <v>66</v>
      </c>
    </row>
    <row r="82" customFormat="false" ht="15" hidden="false" customHeight="false" outlineLevel="0" collapsed="false">
      <c r="A82" s="7" t="s">
        <v>67</v>
      </c>
    </row>
    <row r="83" customFormat="false" ht="15" hidden="false" customHeight="false" outlineLevel="0" collapsed="false">
      <c r="A83" s="7"/>
    </row>
    <row r="84" customFormat="false" ht="16" hidden="false" customHeight="false" outlineLevel="0" collapsed="false">
      <c r="A84" s="7" t="s">
        <v>68</v>
      </c>
    </row>
    <row r="85" customFormat="false" ht="15" hidden="false" customHeight="false" outlineLevel="0" collapsed="false">
      <c r="A85" s="7"/>
    </row>
    <row r="86" customFormat="false" ht="16" hidden="false" customHeight="false" outlineLevel="0" collapsed="false">
      <c r="A86" s="7" t="s">
        <v>69</v>
      </c>
    </row>
    <row r="87" customFormat="false" ht="16" hidden="false" customHeight="false" outlineLevel="0" collapsed="false">
      <c r="A87" s="7" t="s">
        <v>70</v>
      </c>
    </row>
    <row r="88" customFormat="false" ht="15" hidden="false" customHeight="false" outlineLevel="0" collapsed="false">
      <c r="A88" s="7" t="s">
        <v>71</v>
      </c>
    </row>
    <row r="89" customFormat="false" ht="16" hidden="false" customHeight="false" outlineLevel="0" collapsed="false">
      <c r="A89" s="7" t="s">
        <v>72</v>
      </c>
    </row>
    <row r="90" customFormat="false" ht="15" hidden="false" customHeight="false" outlineLevel="0" collapsed="false">
      <c r="A90" s="7"/>
    </row>
    <row r="91" customFormat="false" ht="16" hidden="false" customHeight="false" outlineLevel="0" collapsed="false">
      <c r="A91" s="7" t="s">
        <v>73</v>
      </c>
    </row>
    <row r="92" customFormat="false" ht="15" hidden="false" customHeight="false" outlineLevel="0" collapsed="false">
      <c r="A92" s="7"/>
    </row>
    <row r="93" customFormat="false" ht="15" hidden="false" customHeight="false" outlineLevel="0" collapsed="false">
      <c r="A93" s="7" t="s">
        <v>74</v>
      </c>
    </row>
    <row r="94" customFormat="false" ht="15" hidden="false" customHeight="false" outlineLevel="0" collapsed="false">
      <c r="A94" s="28" t="s">
        <v>75</v>
      </c>
    </row>
    <row r="95" customFormat="false" ht="28" hidden="false" customHeight="false" outlineLevel="0" collapsed="false">
      <c r="A95" s="28" t="s">
        <v>76</v>
      </c>
    </row>
    <row r="96" customFormat="false" ht="15" hidden="false" customHeight="false" outlineLevel="0" collapsed="false">
      <c r="A96" s="7"/>
    </row>
    <row r="97" customFormat="false" ht="16" hidden="false" customHeight="false" outlineLevel="0" collapsed="false">
      <c r="A97" s="7" t="s">
        <v>77</v>
      </c>
    </row>
    <row r="98" customFormat="false" ht="15" hidden="false" customHeight="false" outlineLevel="0" collapsed="false">
      <c r="A98" s="7"/>
    </row>
    <row r="99" customFormat="false" ht="16" hidden="false" customHeight="false" outlineLevel="0" collapsed="false">
      <c r="A99" s="7" t="s">
        <v>78</v>
      </c>
    </row>
    <row r="100" customFormat="false" ht="16" hidden="false" customHeight="false" outlineLevel="0" collapsed="false">
      <c r="A100" s="28" t="s">
        <v>79</v>
      </c>
    </row>
    <row r="101" customFormat="false" ht="15" hidden="false" customHeight="false" outlineLevel="0" collapsed="false">
      <c r="A101" s="7"/>
    </row>
    <row r="102" customFormat="false" ht="16" hidden="false" customHeight="false" outlineLevel="0" collapsed="false">
      <c r="A102" s="7" t="s">
        <v>80</v>
      </c>
    </row>
    <row r="103" customFormat="false" ht="15" hidden="false" customHeight="false" outlineLevel="0" collapsed="false">
      <c r="A103" s="7"/>
    </row>
    <row r="104" customFormat="false" ht="29" hidden="false" customHeight="false" outlineLevel="0" collapsed="false">
      <c r="A104" s="28" t="s">
        <v>81</v>
      </c>
    </row>
    <row r="105" customFormat="false" ht="30" hidden="false" customHeight="false" outlineLevel="0" collapsed="false">
      <c r="A105" s="28" t="s">
        <v>82</v>
      </c>
    </row>
    <row r="107" customFormat="false" ht="15.5" hidden="false" customHeight="false" outlineLevel="0" collapsed="false">
      <c r="A107" s="29" t="s">
        <v>83</v>
      </c>
    </row>
    <row r="108" customFormat="false" ht="15.5" hidden="false" customHeight="false" outlineLevel="0" collapsed="false">
      <c r="A108" s="2" t="s">
        <v>84</v>
      </c>
    </row>
    <row r="109" customFormat="false" ht="15.5" hidden="false" customHeight="false" outlineLevel="0" collapsed="false">
      <c r="A109" s="2" t="s">
        <v>85</v>
      </c>
    </row>
    <row r="110" customFormat="false" ht="15.5" hidden="false" customHeight="false" outlineLevel="0" collapsed="false">
      <c r="A110" s="2" t="s">
        <v>86</v>
      </c>
    </row>
    <row r="111" customFormat="false" ht="15.5" hidden="false" customHeight="false" outlineLevel="0" collapsed="false">
      <c r="A111" s="2" t="s">
        <v>87</v>
      </c>
    </row>
    <row r="112" customFormat="false" ht="15.5" hidden="false" customHeight="false" outlineLevel="0" collapsed="false">
      <c r="A112" s="2" t="s">
        <v>88</v>
      </c>
    </row>
    <row r="113" customFormat="false" ht="15.5" hidden="false" customHeight="false" outlineLevel="0" collapsed="false">
      <c r="A113" s="2" t="s">
        <v>89</v>
      </c>
    </row>
    <row r="114" customFormat="false" ht="15.5" hidden="false" customHeight="false" outlineLevel="0" collapsed="false">
      <c r="A114" s="2" t="s">
        <v>90</v>
      </c>
    </row>
    <row r="115" customFormat="false" ht="15.5" hidden="false" customHeight="false" outlineLevel="0" collapsed="false">
      <c r="A115" s="2" t="s">
        <v>91</v>
      </c>
    </row>
    <row r="117" customFormat="false" ht="15" hidden="false" customHeight="false" outlineLevel="0" collapsed="false">
      <c r="A117" s="4" t="s">
        <v>92</v>
      </c>
    </row>
    <row r="118" customFormat="false" ht="30" hidden="false" customHeight="false" outlineLevel="0" collapsed="false">
      <c r="A118" s="28" t="s">
        <v>93</v>
      </c>
    </row>
    <row r="119" customFormat="false" ht="28" hidden="false" customHeight="false" outlineLevel="0" collapsed="false">
      <c r="A119" s="28" t="s">
        <v>94</v>
      </c>
    </row>
    <row r="120" customFormat="false" ht="15" hidden="false" customHeight="false" outlineLevel="0" collapsed="false">
      <c r="A120" s="7"/>
    </row>
    <row r="121" customFormat="false" ht="15" hidden="false" customHeight="false" outlineLevel="0" collapsed="false">
      <c r="A121" s="4" t="s">
        <v>95</v>
      </c>
    </row>
    <row r="122" customFormat="false" ht="28" hidden="false" customHeight="false" outlineLevel="0" collapsed="false">
      <c r="A122" s="28" t="s">
        <v>96</v>
      </c>
    </row>
    <row r="123" customFormat="false" ht="29" hidden="false" customHeight="false" outlineLevel="0" collapsed="false">
      <c r="A123" s="28" t="s">
        <v>97</v>
      </c>
    </row>
    <row r="125" customFormat="false" ht="15.5" hidden="false" customHeight="false" outlineLevel="0" collapsed="false">
      <c r="A125" s="8" t="s">
        <v>98</v>
      </c>
    </row>
  </sheetData>
  <mergeCells count="6">
    <mergeCell ref="A5:L5"/>
    <mergeCell ref="A6:J6"/>
    <mergeCell ref="A7:O7"/>
    <mergeCell ref="A8:N8"/>
    <mergeCell ref="A15:I15"/>
    <mergeCell ref="A17:J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ignoredErrors>
    <ignoredError sqref="A1:K145" evalError="1" twoDigitTextYear="1" numberStoredAsText="1" formula="1" formulaRange="1" unlockedFormula="1" emptyCellReference="1" listDataValidation="1" calculatedColum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9140625" defaultRowHeight="15" customHeight="false" zeroHeight="false" outlineLevelRow="0" outlineLevelCol="0"/>
  <cols>
    <col collapsed="false" customWidth="true" hidden="false" outlineLevel="0" max="1" min="1" style="9" width="27.31"/>
    <col collapsed="false" customWidth="true" hidden="false" outlineLevel="0" max="7" min="2" style="9" width="14.56"/>
    <col collapsed="false" customWidth="true" hidden="false" outlineLevel="0" max="8" min="8" style="9" width="49.13"/>
  </cols>
  <sheetData>
    <row r="1" customFormat="false" ht="19" hidden="false" customHeight="false" outlineLevel="0" collapsed="false">
      <c r="A1" s="10" t="s">
        <v>99</v>
      </c>
      <c r="B1" s="10"/>
      <c r="C1" s="10"/>
      <c r="D1" s="10"/>
    </row>
    <row r="3" customFormat="false" ht="15.5" hidden="false" customHeight="false" outlineLevel="0" collapsed="false">
      <c r="A3" s="11" t="s">
        <v>100</v>
      </c>
      <c r="B3" s="11"/>
      <c r="C3" s="11"/>
      <c r="D3" s="12"/>
      <c r="E3" s="12"/>
      <c r="F3" s="12"/>
      <c r="G3" s="12"/>
      <c r="H3" s="12"/>
    </row>
    <row r="4" customFormat="false" ht="15" hidden="false" customHeight="false" outlineLevel="0" collapsed="false">
      <c r="A4" s="13" t="s">
        <v>101</v>
      </c>
      <c r="B4" s="13" t="s">
        <v>102</v>
      </c>
      <c r="C4" s="13"/>
      <c r="D4" s="13"/>
    </row>
    <row r="5" customFormat="false" ht="16" hidden="false" customHeight="false" outlineLevel="0" collapsed="false">
      <c r="A5" s="9" t="s">
        <v>103</v>
      </c>
      <c r="B5" s="14" t="s">
        <v>104</v>
      </c>
      <c r="C5" s="14"/>
      <c r="D5" s="14"/>
      <c r="E5" s="14"/>
    </row>
    <row r="6" customFormat="false" ht="16" hidden="false" customHeight="false" outlineLevel="0" collapsed="false">
      <c r="A6" s="9" t="s">
        <v>105</v>
      </c>
      <c r="B6" s="15" t="s">
        <v>106</v>
      </c>
      <c r="C6" s="15"/>
      <c r="D6" s="15"/>
      <c r="E6" s="15"/>
      <c r="F6" s="15"/>
      <c r="G6" s="15"/>
    </row>
    <row r="7" customFormat="false" ht="16" hidden="false" customHeight="false" outlineLevel="0" collapsed="false">
      <c r="A7" s="9" t="s">
        <v>107</v>
      </c>
      <c r="B7" s="15" t="s">
        <v>108</v>
      </c>
      <c r="C7" s="15"/>
      <c r="D7" s="15"/>
      <c r="E7" s="15"/>
      <c r="F7" s="15"/>
      <c r="G7" s="15"/>
      <c r="H7" s="15"/>
    </row>
    <row r="8" customFormat="false" ht="16" hidden="false" customHeight="false" outlineLevel="0" collapsed="false">
      <c r="A8" s="9" t="s">
        <v>109</v>
      </c>
      <c r="B8" s="15" t="s">
        <v>110</v>
      </c>
      <c r="C8" s="15"/>
      <c r="D8" s="15"/>
      <c r="E8" s="15"/>
      <c r="F8" s="15"/>
      <c r="G8" s="15"/>
      <c r="H8" s="15"/>
    </row>
    <row r="10" customFormat="false" ht="15.5" hidden="false" customHeight="false" outlineLevel="0" collapsed="false">
      <c r="A10" s="11" t="s">
        <v>111</v>
      </c>
      <c r="B10" s="11"/>
      <c r="C10" s="11"/>
      <c r="D10" s="12"/>
      <c r="E10" s="12"/>
      <c r="F10" s="12"/>
      <c r="G10" s="12"/>
      <c r="H10" s="12"/>
    </row>
    <row r="11" customFormat="false" ht="15" hidden="false" customHeight="false" outlineLevel="0" collapsed="false">
      <c r="A11" s="13" t="s">
        <v>112</v>
      </c>
      <c r="B11" s="13" t="s">
        <v>113</v>
      </c>
      <c r="C11" s="13" t="s">
        <v>95</v>
      </c>
      <c r="D11" s="13"/>
    </row>
    <row r="12" customFormat="false" ht="16" hidden="false" customHeight="false" outlineLevel="0" collapsed="false">
      <c r="A12" s="9" t="n">
        <v>1</v>
      </c>
      <c r="B12" s="16" t="s">
        <v>114</v>
      </c>
      <c r="C12" s="17" t="s">
        <v>115</v>
      </c>
    </row>
    <row r="13" customFormat="false" ht="15" hidden="false" customHeight="false" outlineLevel="0" collapsed="false">
      <c r="A13" s="9" t="n">
        <v>2</v>
      </c>
      <c r="B13" s="16"/>
    </row>
    <row r="14" customFormat="false" ht="15" hidden="false" customHeight="false" outlineLevel="0" collapsed="false">
      <c r="A14" s="9" t="n">
        <v>3</v>
      </c>
      <c r="B14" s="16"/>
    </row>
    <row r="15" customFormat="false" ht="15" hidden="false" customHeight="false" outlineLevel="0" collapsed="false">
      <c r="A15" s="9" t="n">
        <v>4</v>
      </c>
      <c r="B15" s="16"/>
    </row>
    <row r="16" customFormat="false" ht="16" hidden="false" customHeight="false" outlineLevel="0" collapsed="false">
      <c r="A16" s="9" t="n">
        <v>5</v>
      </c>
      <c r="B16" s="16" t="s">
        <v>114</v>
      </c>
      <c r="C16" s="17" t="s">
        <v>115</v>
      </c>
    </row>
    <row r="17" customFormat="false" ht="16" hidden="false" customHeight="false" outlineLevel="0" collapsed="false">
      <c r="A17" s="9" t="n">
        <v>6</v>
      </c>
      <c r="B17" s="16" t="s">
        <v>114</v>
      </c>
      <c r="C17" s="17" t="s">
        <v>115</v>
      </c>
    </row>
    <row r="18" customFormat="false" ht="15" hidden="false" customHeight="false" outlineLevel="0" collapsed="false">
      <c r="A18" s="9" t="n">
        <v>7</v>
      </c>
      <c r="B18" s="16"/>
    </row>
    <row r="19" customFormat="false" ht="15" hidden="false" customHeight="false" outlineLevel="0" collapsed="false">
      <c r="A19" s="9" t="n">
        <v>8</v>
      </c>
      <c r="B19" s="16"/>
    </row>
    <row r="20" customFormat="false" ht="16" hidden="false" customHeight="false" outlineLevel="0" collapsed="false">
      <c r="A20" s="9" t="n">
        <v>9</v>
      </c>
      <c r="B20" s="16" t="s">
        <v>114</v>
      </c>
      <c r="C20" s="17" t="s">
        <v>115</v>
      </c>
    </row>
    <row r="21" customFormat="false" ht="16" hidden="false" customHeight="false" outlineLevel="0" collapsed="false">
      <c r="A21" s="9" t="n">
        <v>10</v>
      </c>
      <c r="B21" s="16" t="s">
        <v>114</v>
      </c>
      <c r="C21" s="17" t="s">
        <v>115</v>
      </c>
    </row>
    <row r="22" customFormat="false" ht="16" hidden="false" customHeight="false" outlineLevel="0" collapsed="false">
      <c r="A22" s="9" t="n">
        <v>11</v>
      </c>
      <c r="B22" s="18" t="str">
        <f aca="false">B12</f>
        <v>S</v>
      </c>
      <c r="C22" s="15" t="s">
        <v>116</v>
      </c>
      <c r="D22" s="15"/>
      <c r="E22" s="15"/>
      <c r="F22" s="15"/>
    </row>
    <row r="23" customFormat="false" ht="16" hidden="false" customHeight="false" outlineLevel="0" collapsed="false">
      <c r="A23" s="9" t="n">
        <v>12</v>
      </c>
      <c r="B23" s="18" t="n">
        <f aca="false">B13</f>
        <v>0</v>
      </c>
      <c r="C23" s="15" t="s">
        <v>117</v>
      </c>
      <c r="D23" s="15"/>
      <c r="E23" s="15"/>
    </row>
    <row r="24" customFormat="false" ht="15.5" hidden="false" customHeight="true" outlineLevel="0" collapsed="false">
      <c r="A24" s="19" t="s">
        <v>118</v>
      </c>
      <c r="B24" s="19"/>
      <c r="C24" s="19"/>
      <c r="D24" s="19"/>
      <c r="E24" s="19"/>
      <c r="F24" s="19"/>
      <c r="G24" s="19"/>
      <c r="H24" s="19"/>
    </row>
    <row r="26" customFormat="false" ht="15.5" hidden="false" customHeight="false" outlineLevel="0" collapsed="false">
      <c r="A26" s="11" t="s">
        <v>119</v>
      </c>
      <c r="B26" s="11"/>
      <c r="C26" s="11"/>
      <c r="D26" s="12"/>
      <c r="E26" s="12"/>
      <c r="F26" s="12"/>
      <c r="G26" s="12"/>
      <c r="H26" s="12"/>
    </row>
    <row r="27" customFormat="false" ht="15.5" hidden="false" customHeight="false" outlineLevel="0" collapsed="false">
      <c r="A27" s="13" t="s">
        <v>120</v>
      </c>
      <c r="B27" s="13" t="s">
        <v>121</v>
      </c>
      <c r="C27" s="20" t="s">
        <v>122</v>
      </c>
      <c r="D27" s="20"/>
    </row>
    <row r="28" customFormat="false" ht="16" hidden="false" customHeight="false" outlineLevel="0" collapsed="false">
      <c r="A28" s="9" t="n">
        <v>1</v>
      </c>
      <c r="B28" s="9" t="s">
        <v>123</v>
      </c>
      <c r="C28" s="18" t="n">
        <f aca="false">COUNTIF(B12:B14,"S")</f>
        <v>1</v>
      </c>
    </row>
    <row r="29" customFormat="false" ht="16" hidden="false" customHeight="false" outlineLevel="0" collapsed="false">
      <c r="A29" s="9" t="n">
        <v>2</v>
      </c>
      <c r="B29" s="9" t="s">
        <v>124</v>
      </c>
      <c r="C29" s="18" t="n">
        <f aca="false">COUNTIF(B13:B15,"S")</f>
        <v>0</v>
      </c>
    </row>
    <row r="30" customFormat="false" ht="16" hidden="false" customHeight="false" outlineLevel="0" collapsed="false">
      <c r="A30" s="9" t="n">
        <v>3</v>
      </c>
      <c r="B30" s="9" t="s">
        <v>125</v>
      </c>
      <c r="C30" s="18" t="n">
        <f aca="false">COUNTIF(B14:B16,"S")</f>
        <v>1</v>
      </c>
    </row>
    <row r="31" customFormat="false" ht="16" hidden="false" customHeight="false" outlineLevel="0" collapsed="false">
      <c r="A31" s="9" t="n">
        <v>4</v>
      </c>
      <c r="B31" s="9" t="s">
        <v>126</v>
      </c>
      <c r="C31" s="18" t="n">
        <f aca="false">COUNTIF(B15:B17,"S")</f>
        <v>2</v>
      </c>
    </row>
    <row r="32" customFormat="false" ht="16" hidden="false" customHeight="false" outlineLevel="0" collapsed="false">
      <c r="A32" s="9" t="n">
        <v>5</v>
      </c>
      <c r="B32" s="9" t="s">
        <v>127</v>
      </c>
      <c r="C32" s="18" t="n">
        <f aca="false">COUNTIF(B16:B18,"S")</f>
        <v>2</v>
      </c>
    </row>
    <row r="33" customFormat="false" ht="16" hidden="false" customHeight="false" outlineLevel="0" collapsed="false">
      <c r="A33" s="9" t="n">
        <v>6</v>
      </c>
      <c r="B33" s="9" t="s">
        <v>128</v>
      </c>
      <c r="C33" s="18" t="n">
        <f aca="false">COUNTIF(B17:B19,"S")</f>
        <v>1</v>
      </c>
    </row>
    <row r="34" customFormat="false" ht="16" hidden="false" customHeight="false" outlineLevel="0" collapsed="false">
      <c r="A34" s="9" t="n">
        <v>7</v>
      </c>
      <c r="B34" s="9" t="s">
        <v>129</v>
      </c>
      <c r="C34" s="18" t="n">
        <f aca="false">COUNTIF(B18:B20,"S")</f>
        <v>1</v>
      </c>
    </row>
    <row r="35" customFormat="false" ht="16" hidden="false" customHeight="false" outlineLevel="0" collapsed="false">
      <c r="A35" s="9" t="n">
        <v>8</v>
      </c>
      <c r="B35" s="9" t="s">
        <v>130</v>
      </c>
      <c r="C35" s="18" t="n">
        <f aca="false">COUNTIF(B19:B21,"S")</f>
        <v>2</v>
      </c>
    </row>
    <row r="36" customFormat="false" ht="16" hidden="false" customHeight="false" outlineLevel="0" collapsed="false">
      <c r="A36" s="9" t="n">
        <v>9</v>
      </c>
      <c r="B36" s="9" t="s">
        <v>131</v>
      </c>
      <c r="C36" s="18" t="n">
        <f aca="false">COUNTIF(B20:B22,"S")</f>
        <v>3</v>
      </c>
    </row>
    <row r="37" customFormat="false" ht="16" hidden="false" customHeight="false" outlineLevel="0" collapsed="false">
      <c r="A37" s="9" t="n">
        <v>10</v>
      </c>
      <c r="B37" s="9" t="s">
        <v>132</v>
      </c>
      <c r="C37" s="18" t="n">
        <f aca="false">COUNTIF(B21:B23,"S")</f>
        <v>2</v>
      </c>
    </row>
    <row r="39" customFormat="false" ht="15.5" hidden="false" customHeight="false" outlineLevel="0" collapsed="false">
      <c r="A39" s="13" t="s">
        <v>133</v>
      </c>
      <c r="B39" s="13" t="s">
        <v>134</v>
      </c>
      <c r="C39" s="13" t="s">
        <v>95</v>
      </c>
      <c r="D39" s="13"/>
    </row>
    <row r="40" customFormat="false" ht="16" hidden="false" customHeight="false" outlineLevel="0" collapsed="false">
      <c r="A40" s="9" t="n">
        <v>1</v>
      </c>
      <c r="B40" s="18" t="n">
        <f aca="false">COUNTIF(C28:C37,1)</f>
        <v>4</v>
      </c>
      <c r="C40" s="15" t="s">
        <v>135</v>
      </c>
      <c r="D40" s="15"/>
      <c r="E40" s="15"/>
    </row>
    <row r="41" customFormat="false" ht="16" hidden="false" customHeight="false" outlineLevel="0" collapsed="false">
      <c r="A41" s="9" t="n">
        <v>2</v>
      </c>
      <c r="B41" s="18" t="n">
        <f aca="false">COUNTIF(C28:C37,2)</f>
        <v>4</v>
      </c>
      <c r="C41" s="15" t="s">
        <v>136</v>
      </c>
      <c r="D41" s="15"/>
    </row>
    <row r="42" customFormat="false" ht="16" hidden="false" customHeight="false" outlineLevel="0" collapsed="false">
      <c r="A42" s="9" t="n">
        <v>3</v>
      </c>
      <c r="B42" s="18" t="n">
        <f aca="false">COUNTIF(C28:C37,3)</f>
        <v>1</v>
      </c>
      <c r="C42" s="15" t="s">
        <v>137</v>
      </c>
      <c r="D42" s="15"/>
      <c r="E42" s="15"/>
    </row>
    <row r="43" customFormat="false" ht="16" hidden="false" customHeight="false" outlineLevel="0" collapsed="false">
      <c r="A43" s="21" t="s">
        <v>138</v>
      </c>
      <c r="B43" s="18" t="n">
        <f aca="false">SUM(B40:B42)</f>
        <v>9</v>
      </c>
      <c r="C43" s="15" t="s">
        <v>139</v>
      </c>
      <c r="D43" s="15"/>
    </row>
    <row r="45" customFormat="false" ht="42.5" hidden="false" customHeight="true" outlineLevel="0" collapsed="false">
      <c r="A45" s="19" t="s">
        <v>140</v>
      </c>
      <c r="B45" s="19"/>
      <c r="C45" s="19"/>
      <c r="D45" s="19"/>
    </row>
    <row r="47" customFormat="false" ht="15.5" hidden="false" customHeight="false" outlineLevel="0" collapsed="false">
      <c r="A47" s="11" t="s">
        <v>141</v>
      </c>
      <c r="B47" s="11"/>
      <c r="C47" s="11"/>
      <c r="D47" s="11"/>
      <c r="E47" s="12"/>
      <c r="F47" s="12"/>
      <c r="G47" s="12"/>
      <c r="H47" s="12"/>
    </row>
    <row r="48" customFormat="false" ht="15.5" hidden="false" customHeight="false" outlineLevel="0" collapsed="false">
      <c r="A48" s="13" t="s">
        <v>142</v>
      </c>
      <c r="B48" s="13" t="s">
        <v>143</v>
      </c>
      <c r="C48" s="13" t="s">
        <v>144</v>
      </c>
      <c r="D48" s="13" t="s">
        <v>95</v>
      </c>
      <c r="E48" s="13"/>
      <c r="F48" s="13"/>
      <c r="G48" s="13"/>
      <c r="H48" s="13"/>
    </row>
    <row r="49" customFormat="false" ht="16" hidden="false" customHeight="false" outlineLevel="0" collapsed="false">
      <c r="A49" s="30">
        <v>3</v>
      </c>
      <c r="B49" s="18" t="n">
        <f aca="false">B40*B40*B40</f>
        <v>64</v>
      </c>
      <c r="C49" s="16" t="n">
        <v>10</v>
      </c>
      <c r="D49" s="15" t="s">
        <v>146</v>
      </c>
      <c r="E49" s="15"/>
      <c r="F49" s="15"/>
    </row>
    <row r="50" customFormat="false" ht="16" hidden="false" customHeight="false" outlineLevel="0" collapsed="false">
      <c r="A50" s="9" t="s">
        <v>147</v>
      </c>
      <c r="B50" s="18" t="n">
        <f aca="false">B41*B40*B40</f>
        <v>64</v>
      </c>
      <c r="C50" s="16" t="n">
        <v>15</v>
      </c>
    </row>
    <row r="51" customFormat="false" ht="16" hidden="false" customHeight="false" outlineLevel="0" collapsed="false">
      <c r="A51" s="9" t="s">
        <v>148</v>
      </c>
      <c r="B51" s="18" t="n">
        <f aca="false">B42*B40*B40</f>
        <v>16</v>
      </c>
      <c r="C51" s="16" t="n">
        <v>20</v>
      </c>
    </row>
    <row r="52" customFormat="false" ht="15" hidden="false" customHeight="false" outlineLevel="0" collapsed="false">
      <c r="A52" s="21" t="s">
        <v>149</v>
      </c>
      <c r="B52" s="18" t="n">
        <f aca="false">SUM(B49:B51)</f>
        <v>144</v>
      </c>
    </row>
    <row r="53" customFormat="false" ht="15" hidden="false" customHeight="false" outlineLevel="0" collapsed="false">
      <c r="A53" s="21" t="s">
        <v>150</v>
      </c>
      <c r="B53" s="32" t="n">
        <f aca="false">B52/B42^3</f>
        <v>144</v>
      </c>
    </row>
    <row r="54" customFormat="false" ht="15.5" hidden="false" customHeight="true" outlineLevel="0" collapsed="false">
      <c r="A54" s="19" t="s">
        <v>151</v>
      </c>
      <c r="B54" s="19"/>
      <c r="C54" s="19"/>
      <c r="D54" s="19"/>
      <c r="E54" s="19"/>
      <c r="F54" s="19"/>
      <c r="G54" s="19"/>
      <c r="H54" s="19"/>
      <c r="I54" s="19"/>
      <c r="J54" s="19"/>
    </row>
    <row r="56" customFormat="false" ht="15.5" hidden="false" customHeight="false" outlineLevel="0" collapsed="false">
      <c r="A56" s="11" t="s">
        <v>152</v>
      </c>
      <c r="B56" s="11"/>
      <c r="C56" s="11"/>
      <c r="D56" s="12"/>
      <c r="E56" s="12"/>
      <c r="F56" s="12"/>
      <c r="G56" s="12"/>
      <c r="H56" s="12"/>
    </row>
    <row r="57" customFormat="false" ht="15" hidden="false" customHeight="false" outlineLevel="0" collapsed="false">
      <c r="A57" s="13" t="s">
        <v>101</v>
      </c>
      <c r="B57" s="13" t="s">
        <v>153</v>
      </c>
      <c r="C57" s="13" t="s">
        <v>95</v>
      </c>
      <c r="D57" s="13"/>
      <c r="E57" s="13"/>
      <c r="F57" s="13"/>
      <c r="G57" s="13"/>
      <c r="H57" s="13"/>
    </row>
    <row r="58" customFormat="false" ht="16" hidden="false" customHeight="false" outlineLevel="0" collapsed="false">
      <c r="A58" s="9" t="s">
        <v>154</v>
      </c>
      <c r="B58" s="16" t="n">
        <v>10</v>
      </c>
      <c r="C58" s="9" t="s">
        <v>155</v>
      </c>
    </row>
    <row r="59" customFormat="false" ht="15" hidden="false" customHeight="false" outlineLevel="0" collapsed="false">
      <c r="A59" s="9" t="s">
        <v>156</v>
      </c>
      <c r="B59" s="32" t="n">
        <f aca="false">B53</f>
        <v>144</v>
      </c>
      <c r="C59" s="15" t="s">
        <v>157</v>
      </c>
      <c r="D59" s="15"/>
      <c r="E59" s="15"/>
    </row>
    <row r="60" customFormat="false" ht="15" hidden="false" customHeight="false" outlineLevel="0" collapsed="false">
      <c r="A60" s="9" t="s">
        <v>158</v>
      </c>
      <c r="B60" s="16" t="n">
        <v>5</v>
      </c>
      <c r="C60" s="9" t="s">
        <v>159</v>
      </c>
    </row>
    <row r="61" customFormat="false" ht="15" hidden="false" customHeight="false" outlineLevel="0" collapsed="false">
      <c r="A61" s="21" t="s">
        <v>160</v>
      </c>
      <c r="B61" s="23" t="n">
        <f aca="false">B58/(1-B59*B60)</f>
        <v>-0.0139082058414465</v>
      </c>
      <c r="C61" s="15" t="s">
        <v>161</v>
      </c>
      <c r="D61" s="15"/>
    </row>
    <row r="62" customFormat="false" ht="16" hidden="false" customHeight="false" outlineLevel="0" collapsed="false">
      <c r="A62" s="9" t="s">
        <v>162</v>
      </c>
      <c r="B62" s="24" t="n">
        <v>0.9</v>
      </c>
      <c r="C62" s="15" t="s">
        <v>163</v>
      </c>
      <c r="D62" s="15"/>
      <c r="E62" s="15"/>
      <c r="F62" s="15"/>
    </row>
    <row r="63" customFormat="false" ht="16" hidden="false" customHeight="false" outlineLevel="0" collapsed="false">
      <c r="A63" s="21" t="s">
        <v>164</v>
      </c>
      <c r="B63" s="23" t="n">
        <f aca="false">B53*B61*B62</f>
        <v>-1.80250347705146</v>
      </c>
      <c r="C63" s="15" t="s">
        <v>165</v>
      </c>
      <c r="D63" s="15"/>
      <c r="E63" s="15"/>
    </row>
    <row r="64" customFormat="false" ht="16" hidden="false" customHeight="false" outlineLevel="0" collapsed="false">
      <c r="A64" s="9" t="s">
        <v>166</v>
      </c>
      <c r="B64" s="24" t="n">
        <v>0.6</v>
      </c>
      <c r="C64" s="15" t="s">
        <v>167</v>
      </c>
      <c r="D64" s="15"/>
      <c r="E64" s="15"/>
    </row>
    <row r="65" customFormat="false" ht="15.5" hidden="false" customHeight="false" outlineLevel="0" collapsed="false">
      <c r="A65" s="21" t="s">
        <v>168</v>
      </c>
      <c r="B65" s="23" t="n">
        <f aca="false">B64+B63</f>
        <v>-1.20250347705146</v>
      </c>
      <c r="C65" s="15" t="s">
        <v>169</v>
      </c>
      <c r="D65" s="15"/>
    </row>
    <row r="67" customFormat="false" ht="15.5" hidden="false" customHeight="false" outlineLevel="0" collapsed="false">
      <c r="A67" s="11" t="s">
        <v>170</v>
      </c>
      <c r="B67" s="11"/>
      <c r="C67" s="11"/>
      <c r="D67" s="12"/>
      <c r="E67" s="12"/>
      <c r="F67" s="12"/>
      <c r="G67" s="12"/>
      <c r="H67" s="12"/>
    </row>
    <row r="68" customFormat="false" ht="15" hidden="false" customHeight="false" outlineLevel="0" collapsed="false">
      <c r="A68" s="13" t="s">
        <v>171</v>
      </c>
      <c r="B68" s="13" t="s">
        <v>172</v>
      </c>
      <c r="C68" s="13" t="s">
        <v>95</v>
      </c>
      <c r="D68" s="13"/>
      <c r="E68" s="13"/>
      <c r="F68" s="13"/>
      <c r="G68" s="13"/>
      <c r="H68" s="13"/>
    </row>
    <row r="69" customFormat="false" ht="16" hidden="false" customHeight="false" outlineLevel="0" collapsed="false">
      <c r="A69" s="9" t="s">
        <v>173</v>
      </c>
      <c r="B69" s="25" t="str">
        <f aca="false">IF(AND(B22=B12,B23=B13),"✓","✗")</f>
        <v>✓</v>
      </c>
      <c r="C69" s="9" t="s">
        <v>174</v>
      </c>
    </row>
    <row r="70" customFormat="false" ht="16" hidden="false" customHeight="false" outlineLevel="0" collapsed="false">
      <c r="A70" s="9" t="s">
        <v>175</v>
      </c>
      <c r="B70" s="25" t="str">
        <f aca="false">IF(B43=9,"✓","✗")</f>
        <v>✓</v>
      </c>
      <c r="C70" s="31">
        <v>10</v>
      </c>
      <c r="D70" s="14"/>
      <c r="E70" s="14"/>
      <c r="F70" s="14"/>
    </row>
    <row r="71" customFormat="false" ht="16" hidden="false" customHeight="false" outlineLevel="0" collapsed="false">
      <c r="A71" s="9" t="s">
        <v>177</v>
      </c>
      <c r="B71" s="25" t="str">
        <f aca="false">IF(B42=1,"✓","✗")</f>
        <v>✓</v>
      </c>
      <c r="C71" s="15" t="s">
        <v>178</v>
      </c>
      <c r="D71" s="15"/>
      <c r="E71" s="15"/>
    </row>
    <row r="72" customFormat="false" ht="16" hidden="false" customHeight="false" outlineLevel="0" collapsed="false">
      <c r="A72" s="9" t="s">
        <v>179</v>
      </c>
      <c r="B72" s="25" t="str">
        <f aca="false">IF(B41=4,"✓","✗")</f>
        <v>✓</v>
      </c>
      <c r="C72" s="15" t="s">
        <v>180</v>
      </c>
      <c r="D72" s="15"/>
    </row>
    <row r="73" customFormat="false" ht="16" hidden="false" customHeight="false" outlineLevel="0" collapsed="false">
      <c r="A73" s="30">
        <v>1</v>
      </c>
      <c r="B73" s="25" t="str">
        <f aca="false">IF(B40=4,"✓","✗")</f>
        <v>✓</v>
      </c>
      <c r="C73" s="15" t="s">
        <v>182</v>
      </c>
      <c r="D73" s="15"/>
    </row>
    <row r="75" customFormat="false" ht="28" hidden="false" customHeight="true" outlineLevel="0" collapsed="false">
      <c r="A75" s="19" t="s">
        <v>183</v>
      </c>
      <c r="B75" s="19"/>
      <c r="C75" s="19"/>
      <c r="D75" s="19"/>
    </row>
  </sheetData>
  <mergeCells count="33">
    <mergeCell ref="A1:D1"/>
    <mergeCell ref="A3:C3"/>
    <mergeCell ref="B5:E5"/>
    <mergeCell ref="B6:G6"/>
    <mergeCell ref="B7:H7"/>
    <mergeCell ref="B8:H8"/>
    <mergeCell ref="A10:C10"/>
    <mergeCell ref="C22:F22"/>
    <mergeCell ref="C23:E23"/>
    <mergeCell ref="A24:H24"/>
    <mergeCell ref="A26:C26"/>
    <mergeCell ref="C27:D27"/>
    <mergeCell ref="C40:E40"/>
    <mergeCell ref="C41:D41"/>
    <mergeCell ref="C42:E42"/>
    <mergeCell ref="C43:D43"/>
    <mergeCell ref="A45:D45"/>
    <mergeCell ref="A47:D47"/>
    <mergeCell ref="D49:F49"/>
    <mergeCell ref="A54:J54"/>
    <mergeCell ref="A56:C56"/>
    <mergeCell ref="C59:E59"/>
    <mergeCell ref="C61:D61"/>
    <mergeCell ref="C62:F62"/>
    <mergeCell ref="C63:E63"/>
    <mergeCell ref="C64:E64"/>
    <mergeCell ref="C65:D65"/>
    <mergeCell ref="A67:C67"/>
    <mergeCell ref="C70:F70"/>
    <mergeCell ref="C71:E71"/>
    <mergeCell ref="C72:D72"/>
    <mergeCell ref="C73:D73"/>
    <mergeCell ref="A75:D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ignoredErrors>
    <ignoredError sqref="A1:O95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2026-09-29T15:06:26Z</dcterms:created>
  <dc:creator>openpyxl</dc:creator>
  <dc:description/>
  <dc:language>zh-CN</dc:language>
  <cp:lastModifiedBy/>
  <dcterms:modified xsi:type="dcterms:W3CDTF">2026-09-29T15:06:26Z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