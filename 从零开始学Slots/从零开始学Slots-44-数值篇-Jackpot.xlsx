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的实现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<sst xmlns="http://schemas.openxmlformats.org/spreadsheetml/2006/main" count="240" uniqueCount="213">
  <si>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44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Jackpot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</si>
  <si>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Jackpot</t>
    </r>
    <r>
      <rPr>
        <sz val="11"/>
        <color rgb="FF808080"/>
        <rFont val="Noto Sans SC"/>
        <family val="2"/>
        <charset val="134"/>
      </rPr>
      <t xml:space="preserve">》 </t>
    </r>
    <r>
      <rPr>
        <sz val="11"/>
        <color rgb="FF808080"/>
        <rFont val="Cambria"/>
        <family val="0"/>
        <charset val="1"/>
      </rPr>
      <t xml:space="preserve">https://zhuanlan.zhihu.com/p/642911545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</si>
  <si>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 </t>
    </r>
    <r>
      <rPr>
        <sz val="11"/>
        <color rgb="FF808080"/>
        <rFont val="Noto Sans SC"/>
        <family val="2"/>
        <charset val="134"/>
      </rPr>
      <t xml:space="preserve">｜ 发布 </t>
    </r>
    <r>
      <rPr>
        <sz val="11"/>
        <color rgb="FF808080"/>
        <rFont val="Cambria"/>
        <family val="0"/>
        <charset val="1"/>
      </rPr>
      <t xml:space="preserve">2023-07-12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</si>
  <si>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</si>
  <si>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数据配表的实现：图标表 → 图标几率 → 含百搭的出现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不出现几率 → 标准图标 </t>
    </r>
    <r>
      <rPr>
        <sz val="11"/>
        <color theme="1"/>
        <rFont val="Calibri"/>
        <family val="2"/>
        <charset val="1"/>
      </rPr>
      <t xml:space="preserve">RTP → Jackpot </t>
    </r>
    <r>
      <rPr>
        <sz val="11"/>
        <color theme="1"/>
        <rFont val="Noto Sans SC"/>
        <family val="2"/>
        <charset val="134"/>
      </rPr>
      <t xml:space="preserve">池表 → 触发几率（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）→ 综合 </t>
    </r>
    <r>
      <rPr>
        <sz val="11"/>
        <color theme="1"/>
        <rFont val="Calibri"/>
        <family val="2"/>
        <charset val="1"/>
      </rPr>
      <t xml:space="preserve">RTP</t>
    </r>
  </si>
  <si>
    <r>
      <rPr>
        <b val="true"/>
        <sz val="11"/>
        <rFont val="Noto Sans SC"/>
        <family val="2"/>
        <charset val="134"/>
      </rPr>
      <t xml:space="preserve">一、</t>
    </r>
    <r>
      <rPr>
        <b val="true"/>
        <sz val="11"/>
        <rFont val="Cambria"/>
        <family val="0"/>
        <charset val="1"/>
      </rPr>
      <t xml:space="preserve">Jackpot </t>
    </r>
    <r>
      <rPr>
        <b val="true"/>
        <sz val="11"/>
        <rFont val="Noto Sans SC"/>
        <family val="2"/>
        <charset val="134"/>
      </rPr>
      <t xml:space="preserve">的两种存在形式</t>
    </r>
  </si>
  <si>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的重点是「让玩家用较小的 </t>
    </r>
    <r>
      <rPr>
        <sz val="11"/>
        <color theme="1"/>
        <rFont val="Calibri"/>
        <family val="2"/>
        <charset val="1"/>
      </rPr>
      <t xml:space="preserve">Bet </t>
    </r>
    <r>
      <rPr>
        <sz val="11"/>
        <color theme="1"/>
        <rFont val="Noto Sans SC"/>
        <family val="2"/>
        <charset val="134"/>
      </rPr>
      <t xml:space="preserve">赢取大量奖励的机会」。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</si>
  <si>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作为 </t>
    </r>
    <r>
      <rPr>
        <sz val="11"/>
        <color theme="1"/>
        <rFont val="Calibri"/>
        <family val="2"/>
        <charset val="1"/>
      </rPr>
      <t xml:space="preserve">Slot </t>
    </r>
    <r>
      <rPr>
        <sz val="11"/>
        <color theme="1"/>
        <rFont val="Noto Sans SC"/>
        <family val="2"/>
        <charset val="134"/>
      </rPr>
      <t xml:space="preserve">本身的机制存在（本篇的计算对象）；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</si>
  <si>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作为大厅的通用机制存在：例如近年很火的 </t>
    </r>
    <r>
      <rPr>
        <sz val="11"/>
        <color theme="1"/>
        <rFont val="Calibri"/>
        <family val="2"/>
        <charset val="1"/>
      </rPr>
      <t xml:space="preserve">Gates of Olympus</t>
    </r>
    <r>
      <rPr>
        <sz val="11"/>
        <color theme="1"/>
        <rFont val="Noto Sans SC"/>
        <family val="2"/>
        <charset val="134"/>
      </rPr>
      <t xml:space="preserve">，开发者把它与部分 </t>
    </r>
    <r>
      <rPr>
        <sz val="11"/>
        <color theme="1"/>
        <rFont val="Calibri"/>
        <family val="2"/>
        <charset val="1"/>
      </rPr>
      <t xml:space="preserve">Slot </t>
    </r>
    <r>
      <rPr>
        <sz val="11"/>
        <color theme="1"/>
        <rFont val="Noto Sans SC"/>
        <family val="2"/>
        <charset val="134"/>
      </rPr>
      <t xml:space="preserve">打包做大厅 </t>
    </r>
    <r>
      <rPr>
        <sz val="11"/>
        <color theme="1"/>
        <rFont val="Calibri"/>
        <family val="2"/>
        <charset val="1"/>
      </rPr>
      <t xml:space="preserve">Jackpot ——</t>
    </r>
  </si>
  <si>
    <r>
      <rPr>
        <sz val="11"/>
        <color theme="1"/>
        <rFont val="Noto Sans SC"/>
        <family val="2"/>
        <charset val="134"/>
      </rPr>
      <t xml:space="preserve">　这类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的触发与单个 </t>
    </r>
    <r>
      <rPr>
        <sz val="11"/>
        <color theme="1"/>
        <rFont val="Calibri"/>
        <family val="2"/>
        <charset val="1"/>
      </rPr>
      <t xml:space="preserve">Slot </t>
    </r>
    <r>
      <rPr>
        <sz val="11"/>
        <color theme="1"/>
        <rFont val="Noto Sans SC"/>
        <family val="2"/>
        <charset val="134"/>
      </rPr>
      <t xml:space="preserve">的玩法无关，而是由大盘控制触发几率与累加数值。</t>
    </r>
  </si>
  <si>
    <t xml:space="preserve">二、示例设定（原文）</t>
  </si>
  <si>
    <r>
      <rPr>
        <sz val="11"/>
        <color theme="1"/>
        <rFont val="Calibri"/>
        <family val="2"/>
        <charset val="1"/>
      </rPr>
      <t xml:space="preserve">· Slot </t>
    </r>
    <r>
      <rPr>
        <sz val="11"/>
        <color theme="1"/>
        <rFont val="Noto Sans SC"/>
        <family val="2"/>
        <charset val="134"/>
      </rPr>
      <t xml:space="preserve">类型：</t>
    </r>
    <r>
      <rPr>
        <sz val="11"/>
        <color theme="1"/>
        <rFont val="Calibri"/>
        <family val="2"/>
        <charset val="1"/>
      </rPr>
      <t xml:space="preserve">Lines</t>
    </r>
    <r>
      <rPr>
        <sz val="11"/>
        <color theme="1"/>
        <rFont val="Noto Sans SC"/>
        <family val="2"/>
        <charset val="134"/>
      </rPr>
      <t xml:space="preserve">　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卷轴尺寸：</t>
    </r>
    <r>
      <rPr>
        <sz val="11"/>
        <color theme="1"/>
        <rFont val="Calibri"/>
        <family val="2"/>
        <charset val="1"/>
      </rPr>
      <t xml:space="preserve">3*5</t>
    </r>
    <r>
      <rPr>
        <sz val="11"/>
        <color theme="1"/>
        <rFont val="Noto Sans SC"/>
        <family val="2"/>
        <charset val="134"/>
      </rPr>
      <t xml:space="preserve">　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图标类型：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SC"/>
        <family val="2"/>
        <charset val="134"/>
      </rPr>
      <t xml:space="preserve">个图标</t>
    </r>
  </si>
  <si>
    <r>
      <rPr>
        <sz val="11"/>
        <color theme="1"/>
        <rFont val="Noto Sans SC"/>
        <family val="2"/>
        <charset val="134"/>
      </rPr>
      <t xml:space="preserve">　　</t>
    </r>
    <r>
      <rPr>
        <sz val="11"/>
        <color theme="1"/>
        <rFont val="Calibri"/>
        <family val="2"/>
        <charset val="1"/>
      </rPr>
      <t xml:space="preserve">- 5 </t>
    </r>
    <r>
      <rPr>
        <sz val="11"/>
        <color theme="1"/>
        <rFont val="Noto Sans SC"/>
        <family val="2"/>
        <charset val="134"/>
      </rPr>
      <t xml:space="preserve">个低价值标准图标　</t>
    </r>
    <r>
      <rPr>
        <sz val="11"/>
        <color theme="1"/>
        <rFont val="Calibri"/>
        <family val="2"/>
        <charset val="1"/>
      </rPr>
      <t xml:space="preserve">- 4 </t>
    </r>
    <r>
      <rPr>
        <sz val="11"/>
        <color theme="1"/>
        <rFont val="Noto Sans SC"/>
        <family val="2"/>
        <charset val="134"/>
      </rPr>
      <t xml:space="preserve">个高价值标准图标　</t>
    </r>
    <r>
      <rPr>
        <sz val="11"/>
        <color theme="1"/>
        <rFont val="Calibri"/>
        <family val="2"/>
        <charset val="1"/>
      </rPr>
      <t xml:space="preserve">- 2 </t>
    </r>
    <r>
      <rPr>
        <sz val="11"/>
        <color theme="1"/>
        <rFont val="Noto Sans SC"/>
        <family val="2"/>
        <charset val="134"/>
      </rPr>
      <t xml:space="preserve">种特殊图标：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（百搭）、</t>
    </r>
    <r>
      <rPr>
        <sz val="11"/>
        <color theme="1"/>
        <rFont val="Calibri"/>
        <family val="2"/>
        <charset val="1"/>
      </rPr>
      <t xml:space="preserve">Jackpot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</si>
  <si>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特殊机制：当卷轴上停留 ≥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图标时，出现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转盘；</t>
    </r>
  </si>
  <si>
    <r>
      <rPr>
        <sz val="11"/>
        <color theme="1"/>
        <rFont val="Noto Sans SC"/>
        <family val="2"/>
        <charset val="134"/>
      </rPr>
      <t xml:space="preserve">　转盘每次从 </t>
    </r>
    <r>
      <rPr>
        <sz val="11"/>
        <color theme="1"/>
        <rFont val="Calibri"/>
        <family val="2"/>
        <charset val="1"/>
      </rPr>
      <t xml:space="preserve">Mini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Minor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Major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Grand </t>
    </r>
    <r>
      <rPr>
        <sz val="11"/>
        <color theme="1"/>
        <rFont val="Noto Sans SC"/>
        <family val="2"/>
        <charset val="134"/>
      </rPr>
      <t xml:space="preserve">四个池子中抽一个作为本次奖励。</t>
    </r>
  </si>
  <si>
    <r>
      <rPr>
        <sz val="11"/>
        <color theme="1"/>
        <rFont val="Calibri"/>
        <family val="2"/>
        <charset val="1"/>
      </rPr>
      <t xml:space="preserve">· Jackpot </t>
    </r>
    <r>
      <rPr>
        <sz val="11"/>
        <color theme="1"/>
        <rFont val="Noto Sans SC"/>
        <family val="2"/>
        <charset val="134"/>
      </rPr>
      <t xml:space="preserve">图标可视为一种特殊的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：依旧任何位置都能触发 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，只不过触发的不是 </t>
    </r>
    <r>
      <rPr>
        <sz val="11"/>
        <color theme="1"/>
        <rFont val="Calibri"/>
        <family val="2"/>
        <charset val="1"/>
      </rPr>
      <t xml:space="preserve">Free Games </t>
    </r>
    <r>
      <rPr>
        <sz val="11"/>
        <color theme="1"/>
        <rFont val="Noto Sans SC"/>
        <family val="2"/>
        <charset val="134"/>
      </rPr>
      <t xml:space="preserve">而是 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。</t>
    </r>
  </si>
  <si>
    <t xml:space="preserve">三、计算步骤（原文五步）</t>
  </si>
  <si>
    <t xml:space="preserve">第一步 设置并计算图标出现几率；</t>
  </si>
  <si>
    <r>
      <rPr>
        <sz val="11"/>
        <color theme="1"/>
        <rFont val="Noto Sans SC"/>
        <family val="2"/>
        <charset val="134"/>
      </rPr>
      <t xml:space="preserve">第二步 计算包含百搭效果的图标出现几率与不出现几率（</t>
    </r>
    <r>
      <rPr>
        <sz val="11"/>
        <color theme="1"/>
        <rFont val="Calibri"/>
        <family val="2"/>
        <charset val="1"/>
      </rPr>
      <t xml:space="preserve">Lines </t>
    </r>
    <r>
      <rPr>
        <sz val="11"/>
        <color theme="1"/>
        <rFont val="Noto Sans SC"/>
        <family val="2"/>
        <charset val="134"/>
      </rPr>
      <t xml:space="preserve">类型直接用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SC"/>
        <family val="2"/>
        <charset val="134"/>
      </rPr>
      <t xml:space="preserve">出现几率即可）；</t>
    </r>
  </si>
  <si>
    <r>
      <rPr>
        <sz val="11"/>
        <color theme="1"/>
        <rFont val="Noto Sans SC"/>
        <family val="2"/>
        <charset val="134"/>
      </rPr>
      <t xml:space="preserve">第三步 计算标准图标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</si>
  <si>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Noto Sans SC"/>
        <family val="2"/>
        <charset val="134"/>
      </rPr>
      <t xml:space="preserve">第四步 设置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奖池抽取几率：四个池子金额为 </t>
    </r>
    <r>
      <rPr>
        <sz val="11"/>
        <color theme="1"/>
        <rFont val="Calibri"/>
        <family val="2"/>
        <charset val="1"/>
      </rPr>
      <t xml:space="preserve">Bet </t>
    </r>
    <r>
      <rPr>
        <sz val="11"/>
        <color theme="1"/>
        <rFont val="Noto Sans SC"/>
        <family val="2"/>
        <charset val="134"/>
      </rPr>
      <t xml:space="preserve">的固定倍数，需配置「各池被抽到的几率」与「对应倍数」；</t>
    </r>
  </si>
  <si>
    <r>
      <rPr>
        <sz val="11"/>
        <color theme="1"/>
        <rFont val="Noto Sans SC"/>
        <family val="2"/>
        <charset val="134"/>
      </rPr>
      <t xml:space="preserve">　各池几率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倍数 ＝ 各池奖励期望；期望相加即「开出一次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的期望奖励」；</t>
    </r>
  </si>
  <si>
    <r>
      <rPr>
        <sz val="11"/>
        <color theme="1"/>
        <rFont val="Noto Sans SC"/>
        <family val="2"/>
        <charset val="134"/>
      </rPr>
      <t xml:space="preserve">第五步 计算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出现几率与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：用 </t>
    </r>
    <r>
      <rPr>
        <sz val="11"/>
        <color theme="1"/>
        <rFont val="Calibri"/>
        <family val="2"/>
        <charset val="1"/>
      </rPr>
      <t xml:space="preserve">BINOM.DIST.RANGE </t>
    </r>
    <r>
      <rPr>
        <sz val="11"/>
        <color theme="1"/>
        <rFont val="Noto Sans SC"/>
        <family val="2"/>
        <charset val="134"/>
      </rPr>
      <t xml:space="preserve">计算出现不同个数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图标的几率，</t>
    </r>
  </si>
  <si>
    <r>
      <rPr>
        <sz val="11"/>
        <color theme="1"/>
        <rFont val="Noto Sans SC"/>
        <family val="2"/>
        <charset val="134"/>
      </rPr>
      <t xml:space="preserve">　把「单次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期望」乘上「可触发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的几率」后求和，即得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；与标准图标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相加即综合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。</t>
    </r>
  </si>
  <si>
    <t xml:space="preserve">四、原文结论与延伸</t>
  </si>
  <si>
    <r>
      <rPr>
        <sz val="11"/>
        <color theme="1"/>
        <rFont val="Noto Sans SC"/>
        <family val="2"/>
        <charset val="134"/>
      </rPr>
      <t xml:space="preserve">本篇用的是最基础的「四池直抽」机制。若换成更复杂的方式或累加式 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，整体步骤不变，</t>
    </r>
  </si>
  <si>
    <r>
      <rPr>
        <sz val="11"/>
        <color theme="1"/>
        <rFont val="Noto Sans SC"/>
        <family val="2"/>
        <charset val="134"/>
      </rPr>
      <t xml:space="preserve">只需在本方法基础上额外考虑「累加机制对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中奖几率与奖金期望的影响」。</t>
    </r>
  </si>
  <si>
    <r>
      <rPr>
        <b val="true"/>
        <sz val="11"/>
        <rFont val="Noto Sans SC"/>
        <family val="2"/>
        <charset val="134"/>
      </rPr>
      <t xml:space="preserve">五、数据来源（</t>
    </r>
    <r>
      <rPr>
        <b val="true"/>
        <sz val="11"/>
        <rFont val="Cambria"/>
        <family val="0"/>
        <charset val="1"/>
      </rPr>
      <t xml:space="preserve">2026-09-29 </t>
    </r>
    <r>
      <rPr>
        <b val="true"/>
        <sz val="11"/>
        <rFont val="Noto Sans SC"/>
        <family val="2"/>
        <charset val="134"/>
      </rPr>
      <t xml:space="preserve">校正）</t>
    </r>
  </si>
  <si>
    <r>
      <rPr>
        <sz val="11"/>
        <color theme="1"/>
        <rFont val="Noto Sans SC"/>
        <family val="2"/>
        <charset val="134"/>
      </rPr>
      <t xml:space="preserve">正文与配图均取自本机离线保存的网页原件；原文的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抽取几率表（四池各 </t>
    </r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SC"/>
        <family val="2"/>
        <charset val="134"/>
      </rPr>
      <t xml:space="preserve">权重，计算机率各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SC"/>
        <family val="2"/>
        <charset val="134"/>
      </rPr>
      <t xml:space="preserve">，倍数 </t>
    </r>
    <r>
      <rPr>
        <sz val="11"/>
        <color theme="1"/>
        <rFont val="Calibri"/>
        <family val="2"/>
        <charset val="1"/>
      </rPr>
      <t xml:space="preserve">10/25/50/200 → </t>
    </r>
    <r>
      <rPr>
        <sz val="11"/>
        <color theme="1"/>
        <rFont val="Noto Sans SC"/>
        <family val="2"/>
        <charset val="134"/>
      </rPr>
      <t xml:space="preserve">期望合计 </t>
    </r>
    <r>
      <rPr>
        <sz val="11"/>
        <color theme="1"/>
        <rFont val="Calibri"/>
        <family val="2"/>
        <charset val="1"/>
      </rPr>
      <t xml:space="preserve">71.2500</t>
    </r>
    <r>
      <rPr>
        <sz val="11"/>
        <color theme="1"/>
        <rFont val="Noto Sans SC"/>
        <family val="2"/>
        <charset val="134"/>
      </rPr>
      <t xml:space="preserve">）与综合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表（期望 </t>
    </r>
    <r>
      <rPr>
        <sz val="11"/>
        <color theme="1"/>
        <rFont val="Calibri"/>
        <family val="2"/>
        <charset val="1"/>
      </rPr>
      <t xml:space="preserve">0.9500 / </t>
    </r>
    <r>
      <rPr>
        <sz val="11"/>
        <color theme="1"/>
        <rFont val="Noto Sans SC"/>
        <family val="2"/>
        <charset val="134"/>
      </rPr>
      <t xml:space="preserve">实际 </t>
    </r>
    <r>
      <rPr>
        <sz val="11"/>
        <color theme="1"/>
        <rFont val="Calibri"/>
        <family val="2"/>
        <charset val="1"/>
      </rPr>
      <t xml:space="preserve">0.9750</t>
    </r>
    <r>
      <rPr>
        <sz val="11"/>
        <color theme="1"/>
        <rFont val="Noto Sans SC"/>
        <family val="2"/>
        <charset val="134"/>
      </rPr>
      <t xml:space="preserve">）</t>
    </r>
  </si>
  <si>
    <t xml:space="preserve">已按配图逐格转录到配表的【原文对照】区，并由公式复算自检。</t>
  </si>
  <si>
    <t xml:space="preserve">赔付倍数等原文未逐格读取的部分为可改示例（蓝字）；替换为项目实际配表后公式自动联动。</t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</si>
  <si>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</si>
  <si>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之前的文章中介绍了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玩法中常见的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类型和其触发机制</t>
    </r>
  </si>
  <si>
    <r>
      <rPr>
        <sz val="11"/>
        <color theme="1"/>
        <rFont val="Noto Sans SC"/>
        <family val="2"/>
        <charset val="134"/>
      </rPr>
      <t xml:space="preserve">其重点就是提供玩家能够使用较小的</t>
    </r>
    <r>
      <rPr>
        <sz val="11"/>
        <color theme="1"/>
        <rFont val="Calibri"/>
        <family val="2"/>
        <charset val="1"/>
      </rPr>
      <t xml:space="preserve">Bet</t>
    </r>
    <r>
      <rPr>
        <sz val="11"/>
        <color theme="1"/>
        <rFont val="Noto Sans SC"/>
        <family val="2"/>
        <charset val="134"/>
      </rPr>
      <t xml:space="preserve">赢取大量奖励的机会</t>
    </r>
  </si>
  <si>
    <r>
      <rPr>
        <sz val="11"/>
        <color theme="1"/>
        <rFont val="Noto Sans SC"/>
        <family val="2"/>
        <charset val="134"/>
      </rPr>
      <t xml:space="preserve">对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还不是很熟悉的话可以参见上篇文章</t>
    </r>
  </si>
  <si>
    <r>
      <rPr>
        <sz val="11"/>
        <color theme="1"/>
        <rFont val="Noto Sans SC"/>
        <family val="2"/>
        <charset val="134"/>
      </rPr>
      <t xml:space="preserve">［内链卡片封面］</t>
    </r>
    <r>
      <rPr>
        <sz val="11"/>
        <color theme="1"/>
        <rFont val="Calibri"/>
        <family val="2"/>
        <charset val="1"/>
      </rPr>
      <t xml:space="preserve">642911545-01.png</t>
    </r>
  </si>
  <si>
    <r>
      <rPr>
        <sz val="11"/>
        <color theme="1"/>
        <rFont val="Noto Sans SC"/>
        <family val="2"/>
        <charset val="134"/>
      </rPr>
      <t xml:space="preserve">［原文内链卡片］《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常见类型介绍》（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SC"/>
        <family val="2"/>
        <charset val="134"/>
      </rPr>
      <t xml:space="preserve">赞同 </t>
    </r>
    <r>
      <rPr>
        <sz val="11"/>
        <color theme="1"/>
        <rFont val="Calibri"/>
        <family val="2"/>
        <charset val="1"/>
      </rPr>
      <t xml:space="preserve">· 4 </t>
    </r>
    <r>
      <rPr>
        <sz val="11"/>
        <color theme="1"/>
        <rFont val="Noto Sans SC"/>
        <family val="2"/>
        <charset val="134"/>
      </rPr>
      <t xml:space="preserve">评论）</t>
    </r>
  </si>
  <si>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即可以作为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本身的机制存在，也可以作为大厅的通用机制</t>
    </r>
  </si>
  <si>
    <r>
      <rPr>
        <sz val="11"/>
        <color theme="1"/>
        <rFont val="Noto Sans SC"/>
        <family val="2"/>
        <charset val="134"/>
      </rPr>
      <t xml:space="preserve">例如最近非常火爆的</t>
    </r>
    <r>
      <rPr>
        <sz val="11"/>
        <color theme="1"/>
        <rFont val="Calibri"/>
        <family val="2"/>
        <charset val="1"/>
      </rPr>
      <t xml:space="preserve">Gates of Olympus</t>
    </r>
    <r>
      <rPr>
        <sz val="11"/>
        <color theme="1"/>
        <rFont val="Noto Sans SC"/>
        <family val="2"/>
        <charset val="134"/>
      </rPr>
      <t xml:space="preserve">玩法，其开发者就将其和部分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打包只做了大厅</t>
    </r>
    <r>
      <rPr>
        <sz val="11"/>
        <color theme="1"/>
        <rFont val="Calibri"/>
        <family val="2"/>
        <charset val="1"/>
      </rPr>
      <t xml:space="preserve">Jackpot</t>
    </r>
  </si>
  <si>
    <r>
      <rPr>
        <sz val="11"/>
        <color theme="1"/>
        <rFont val="Noto Sans SC"/>
        <family val="2"/>
        <charset val="134"/>
      </rPr>
      <t xml:space="preserve">这类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的触发基本就和单个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的玩法机制无关了，而是依据大盘的控制对其触发几率和累加数值进行计算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</si>
  <si>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642911545-02.jpg</t>
    </r>
  </si>
  <si>
    <r>
      <rPr>
        <sz val="11"/>
        <color theme="1"/>
        <rFont val="Noto Sans SC"/>
        <family val="2"/>
        <charset val="134"/>
      </rPr>
      <t xml:space="preserve">例如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SC"/>
        <family val="2"/>
        <charset val="134"/>
      </rPr>
      <t xml:space="preserve">最近推出的多玩法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就是机制之外的</t>
    </r>
    <r>
      <rPr>
        <sz val="11"/>
        <color theme="1"/>
        <rFont val="Calibri"/>
        <family val="2"/>
        <charset val="1"/>
      </rPr>
      <t xml:space="preserve">Jackpot</t>
    </r>
  </si>
  <si>
    <r>
      <rPr>
        <sz val="11"/>
        <color theme="1"/>
        <rFont val="Noto Sans SC"/>
        <family val="2"/>
        <charset val="134"/>
      </rPr>
      <t xml:space="preserve">本篇的数值还是以写在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机制中的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为主，简单介绍包含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应当如何计算其</t>
    </r>
    <r>
      <rPr>
        <sz val="11"/>
        <color theme="1"/>
        <rFont val="Calibri"/>
        <family val="2"/>
        <charset val="1"/>
      </rPr>
      <t xml:space="preserve">RTP</t>
    </r>
  </si>
  <si>
    <t xml:space="preserve">示例简述</t>
  </si>
  <si>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类型：</t>
    </r>
    <r>
      <rPr>
        <sz val="11"/>
        <color theme="1"/>
        <rFont val="Calibri"/>
        <family val="2"/>
        <charset val="1"/>
      </rPr>
      <t xml:space="preserve">Lines</t>
    </r>
  </si>
  <si>
    <r>
      <rPr>
        <sz val="11"/>
        <color theme="1"/>
        <rFont val="Noto Sans SC"/>
        <family val="2"/>
        <charset val="134"/>
      </rPr>
      <t xml:space="preserve">卷轴尺寸：</t>
    </r>
    <r>
      <rPr>
        <sz val="11"/>
        <color theme="1"/>
        <rFont val="Calibri"/>
        <family val="2"/>
        <charset val="1"/>
      </rPr>
      <t xml:space="preserve">3*5</t>
    </r>
  </si>
  <si>
    <r>
      <rPr>
        <sz val="11"/>
        <color theme="1"/>
        <rFont val="Noto Sans SC"/>
        <family val="2"/>
        <charset val="134"/>
      </rPr>
      <t xml:space="preserve">图标类型：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SC"/>
        <family val="2"/>
        <charset val="134"/>
      </rPr>
      <t xml:space="preserve">个图标</t>
    </r>
  </si>
  <si>
    <r>
      <rPr>
        <sz val="11"/>
        <color theme="1"/>
        <rFont val="Calibri"/>
        <family val="2"/>
        <charset val="1"/>
      </rPr>
      <t xml:space="preserve"> 5</t>
    </r>
    <r>
      <rPr>
        <sz val="11"/>
        <color theme="1"/>
        <rFont val="Noto Sans SC"/>
        <family val="2"/>
        <charset val="134"/>
      </rPr>
      <t xml:space="preserve">个低价值标准图标</t>
    </r>
  </si>
  <si>
    <r>
      <rPr>
        <sz val="11"/>
        <color theme="1"/>
        <rFont val="Calibri"/>
        <family val="2"/>
        <charset val="1"/>
      </rPr>
      <t xml:space="preserve"> 4</t>
    </r>
    <r>
      <rPr>
        <sz val="11"/>
        <color theme="1"/>
        <rFont val="Noto Sans SC"/>
        <family val="2"/>
        <charset val="134"/>
      </rPr>
      <t xml:space="preserve">个高价值标准图标</t>
    </r>
  </si>
  <si>
    <r>
      <rPr>
        <sz val="11"/>
        <color theme="1"/>
        <rFont val="Calibri"/>
        <family val="2"/>
        <charset val="1"/>
      </rPr>
      <t xml:space="preserve"> 2</t>
    </r>
    <r>
      <rPr>
        <sz val="11"/>
        <color theme="1"/>
        <rFont val="Noto Sans SC"/>
        <family val="2"/>
        <charset val="134"/>
      </rPr>
      <t xml:space="preserve">种特殊图标：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（百搭）、</t>
    </r>
    <r>
      <rPr>
        <sz val="11"/>
        <color theme="1"/>
        <rFont val="Calibri"/>
        <family val="2"/>
        <charset val="1"/>
      </rPr>
      <t xml:space="preserve">Jackpot</t>
    </r>
  </si>
  <si>
    <r>
      <rPr>
        <sz val="11"/>
        <color theme="1"/>
        <rFont val="Noto Sans SC"/>
        <family val="2"/>
        <charset val="134"/>
      </rPr>
      <t xml:space="preserve">特殊机制：</t>
    </r>
    <r>
      <rPr>
        <sz val="11"/>
        <color theme="1"/>
        <rFont val="Calibri"/>
        <family val="2"/>
        <charset val="1"/>
      </rPr>
      <t xml:space="preserve">Jackpot</t>
    </r>
  </si>
  <si>
    <r>
      <rPr>
        <sz val="11"/>
        <color theme="1"/>
        <rFont val="Noto Sans SC"/>
        <family val="2"/>
        <charset val="134"/>
      </rPr>
      <t xml:space="preserve">当卷轴上停留大于等于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个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图标时，即可出现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转盘</t>
    </r>
  </si>
  <si>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转盘每次会从</t>
    </r>
    <r>
      <rPr>
        <sz val="11"/>
        <color theme="1"/>
        <rFont val="Calibri"/>
        <family val="2"/>
        <charset val="1"/>
      </rPr>
      <t xml:space="preserve">Mini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Minor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Major</t>
    </r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Grand</t>
    </r>
    <r>
      <rPr>
        <sz val="11"/>
        <color theme="1"/>
        <rFont val="Noto Sans SC"/>
        <family val="2"/>
        <charset val="134"/>
      </rPr>
      <t xml:space="preserve">四个池子中抽取一个作为玩家本次的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奖励</t>
    </r>
  </si>
  <si>
    <r>
      <rPr>
        <sz val="11"/>
        <color theme="1"/>
        <rFont val="Noto Sans SC"/>
        <family val="2"/>
        <charset val="134"/>
      </rPr>
      <t xml:space="preserve">这里的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图标可以被视为一种特殊的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图标，其依旧在任何位置都可以触发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，只不过其触发的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不是</t>
    </r>
    <r>
      <rPr>
        <sz val="11"/>
        <color theme="1"/>
        <rFont val="Calibri"/>
        <family val="2"/>
        <charset val="1"/>
      </rPr>
      <t xml:space="preserve">Free Games</t>
    </r>
    <r>
      <rPr>
        <sz val="11"/>
        <color theme="1"/>
        <rFont val="Noto Sans SC"/>
        <family val="2"/>
        <charset val="134"/>
      </rPr>
      <t xml:space="preserve">而是</t>
    </r>
    <r>
      <rPr>
        <sz val="11"/>
        <color theme="1"/>
        <rFont val="Calibri"/>
        <family val="2"/>
        <charset val="1"/>
      </rPr>
      <t xml:space="preserve">Jackpot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</si>
  <si>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642911545-03.jpg</t>
    </r>
  </si>
  <si>
    <r>
      <rPr>
        <sz val="11"/>
        <color theme="1"/>
        <rFont val="Noto Sans SC"/>
        <family val="2"/>
        <charset val="134"/>
      </rPr>
      <t xml:space="preserve">例如图中的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就使用大于等于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SC"/>
        <family val="2"/>
        <charset val="134"/>
      </rPr>
      <t xml:space="preserve">个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的方式开启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小游戏</t>
    </r>
  </si>
  <si>
    <t xml:space="preserve">计算步骤</t>
  </si>
  <si>
    <t xml:space="preserve">第一步：设置并计算图标出现几率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</si>
  <si>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642911545-04.jpg</t>
    </r>
  </si>
  <si>
    <t xml:space="preserve">第二步：计算包含百搭效果的图标出现几率和不出现几率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</si>
  <si>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642911545-05.jpg</t>
    </r>
  </si>
  <si>
    <r>
      <rPr>
        <sz val="11"/>
        <color theme="1"/>
        <rFont val="Noto Sans SC"/>
        <family val="2"/>
        <charset val="134"/>
      </rPr>
      <t xml:space="preserve">因为这里的示例是</t>
    </r>
    <r>
      <rPr>
        <sz val="11"/>
        <color theme="1"/>
        <rFont val="Calibri"/>
        <family val="2"/>
        <charset val="1"/>
      </rPr>
      <t xml:space="preserve">Lines</t>
    </r>
    <r>
      <rPr>
        <sz val="11"/>
        <color theme="1"/>
        <rFont val="Noto Sans SC"/>
        <family val="2"/>
        <charset val="134"/>
      </rPr>
      <t xml:space="preserve">类型的产品，因此不出现的几率使用（</t>
    </r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SC"/>
        <family val="2"/>
        <charset val="134"/>
      </rPr>
      <t xml:space="preserve">出现几率）即可</t>
    </r>
  </si>
  <si>
    <r>
      <rPr>
        <sz val="11"/>
        <color theme="1"/>
        <rFont val="Noto Sans SC"/>
        <family val="2"/>
        <charset val="134"/>
      </rPr>
      <t xml:space="preserve">第三步：计算标准图标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</si>
  <si>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642911545-06.jpg</t>
    </r>
  </si>
  <si>
    <r>
      <rPr>
        <sz val="11"/>
        <color theme="1"/>
        <rFont val="Noto Sans SC"/>
        <family val="2"/>
        <charset val="134"/>
      </rPr>
      <t xml:space="preserve">第四步：设置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奖池抽取几率</t>
    </r>
  </si>
  <si>
    <r>
      <rPr>
        <sz val="11"/>
        <color theme="1"/>
        <rFont val="Noto Sans SC"/>
        <family val="2"/>
        <charset val="134"/>
      </rPr>
      <t xml:space="preserve">计算完了常规图标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就可以着手计算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了</t>
    </r>
  </si>
  <si>
    <t xml:space="preserve">主要步骤也可以分为基础设置和数值计算两个部分</t>
  </si>
  <si>
    <r>
      <rPr>
        <sz val="11"/>
        <color theme="1"/>
        <rFont val="Noto Sans SC"/>
        <family val="2"/>
        <charset val="134"/>
      </rPr>
      <t xml:space="preserve">在该示例中，共有</t>
    </r>
    <r>
      <rPr>
        <sz val="11"/>
        <color theme="1"/>
        <rFont val="Calibri"/>
        <family val="2"/>
        <charset val="1"/>
      </rPr>
      <t xml:space="preserve">Mini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Minor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Major</t>
    </r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Grand</t>
    </r>
    <r>
      <rPr>
        <sz val="11"/>
        <color theme="1"/>
        <rFont val="Noto Sans SC"/>
        <family val="2"/>
        <charset val="134"/>
      </rPr>
      <t xml:space="preserve">四个奖池，四个奖池金额固定为</t>
    </r>
    <r>
      <rPr>
        <sz val="11"/>
        <color theme="1"/>
        <rFont val="Calibri"/>
        <family val="2"/>
        <charset val="1"/>
      </rPr>
      <t xml:space="preserve">Bet</t>
    </r>
    <r>
      <rPr>
        <sz val="11"/>
        <color theme="1"/>
        <rFont val="Noto Sans SC"/>
        <family val="2"/>
        <charset val="134"/>
      </rPr>
      <t xml:space="preserve">的指定倍数</t>
    </r>
  </si>
  <si>
    <t xml:space="preserve">这里需要配置的内容包括四个奖池分别被抽取到的几率，还有其对应的倍数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</si>
  <si>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642911545-07.jpg</t>
    </r>
  </si>
  <si>
    <t xml:space="preserve">将各奖池的几率和倍数相乘之后，即可得到各奖池的奖励期望</t>
  </si>
  <si>
    <r>
      <rPr>
        <sz val="11"/>
        <color theme="1"/>
        <rFont val="Noto Sans SC"/>
        <family val="2"/>
        <charset val="134"/>
      </rPr>
      <t xml:space="preserve">将奖励期望相加，得到开出一次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的期望奖励</t>
    </r>
  </si>
  <si>
    <r>
      <rPr>
        <sz val="11"/>
        <color theme="1"/>
        <rFont val="Noto Sans SC"/>
        <family val="2"/>
        <charset val="134"/>
      </rPr>
      <t xml:space="preserve">第五步：计算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出现几率和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</si>
  <si>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计算开出一次奖池的期望奖励之后，接下来需要计算的就是在常规摇奖过程中触发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的几率</t>
    </r>
  </si>
  <si>
    <r>
      <rPr>
        <sz val="11"/>
        <color theme="1"/>
        <rFont val="Noto Sans SC"/>
        <family val="2"/>
        <charset val="134"/>
      </rPr>
      <t xml:space="preserve">这里使用的是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公式计算出现不同个数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图标对应的几率，在使用单次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的发放期望乘上可触发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的几率后求和，得到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</si>
  <si>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 将两者相加，即可得到该包含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机制的</t>
    </r>
    <r>
      <rPr>
        <sz val="11"/>
        <color theme="1"/>
        <rFont val="Calibri"/>
        <family val="2"/>
        <charset val="1"/>
      </rPr>
      <t xml:space="preserve">3*5 Line Slot</t>
    </r>
    <r>
      <rPr>
        <sz val="11"/>
        <color theme="1"/>
        <rFont val="Noto Sans SC"/>
        <family val="2"/>
        <charset val="134"/>
      </rPr>
      <t xml:space="preserve">的综合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</si>
  <si>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642911545-08.jpg</t>
    </r>
  </si>
  <si>
    <r>
      <rPr>
        <sz val="11"/>
        <color theme="1"/>
        <rFont val="Noto Sans SC"/>
        <family val="2"/>
        <charset val="134"/>
      </rPr>
      <t xml:space="preserve">以上就是包含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Lines</t>
    </r>
    <r>
      <rPr>
        <sz val="11"/>
        <color theme="1"/>
        <rFont val="Noto Sans SC"/>
        <family val="2"/>
        <charset val="134"/>
      </rPr>
      <t xml:space="preserve">产品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计算方法</t>
    </r>
  </si>
  <si>
    <r>
      <rPr>
        <sz val="11"/>
        <color theme="1"/>
        <rFont val="Noto Sans SC"/>
        <family val="2"/>
        <charset val="134"/>
      </rPr>
      <t xml:space="preserve">这里使用的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机制是最为基础的从四个池子中直接抽取一个的方式，如果使用相对复杂的方式或者是累加式的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，整体步骤不变，在本方法的基础上考虑累加机制对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中奖几率和奖金期望的影响即可</t>
    </r>
  </si>
  <si>
    <r>
      <rPr>
        <b val="true"/>
        <sz val="11"/>
        <color rgb="FF1F4E79"/>
        <rFont val="Noto Sans SC"/>
        <family val="2"/>
        <charset val="134"/>
      </rPr>
      <t xml:space="preserve">原文配图清单（共 </t>
    </r>
    <r>
      <rPr>
        <b val="true"/>
        <sz val="11"/>
        <color rgb="FF1F4E79"/>
        <rFont val="Cambria"/>
        <family val="0"/>
        <charset val="1"/>
      </rPr>
      <t xml:space="preserve">7 </t>
    </r>
    <r>
      <rPr>
        <b val="true"/>
        <sz val="11"/>
        <color rgb="FF1F4E79"/>
        <rFont val="Noto Sans SC"/>
        <family val="2"/>
        <charset val="134"/>
      </rPr>
      <t xml:space="preserve">张，已保存到 </t>
    </r>
    <r>
      <rPr>
        <b val="true"/>
        <sz val="11"/>
        <color rgb="FF1F4E79"/>
        <rFont val="Cambria"/>
        <family val="0"/>
        <charset val="1"/>
      </rPr>
      <t xml:space="preserve">images/slots/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</si>
  <si>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r>
      <rPr>
        <b val="true"/>
        <sz val="11"/>
        <color rgb="FF1F4E79"/>
        <rFont val="Noto Sans SC"/>
        <family val="2"/>
        <charset val="134"/>
      </rPr>
      <t xml:space="preserve">修订说明（</t>
    </r>
    <r>
      <rPr>
        <b val="true"/>
        <sz val="11"/>
        <color rgb="FF1F4E79"/>
        <rFont val="Cambria"/>
        <family val="0"/>
        <charset val="1"/>
      </rPr>
      <t xml:space="preserve">2026-09-29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</si>
  <si>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原文网页原件（浏览器「另存为 → 网页，全部」）已取得，故补入全文与配图清单；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</si>
  <si>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本簿页签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的配表为依据原文方法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示例搭成的可改参数表（原文给出数值的部分见配表自检区）。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</si>
  <si>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Jackpot </t>
    </r>
    <r>
      <rPr>
        <b val="true"/>
        <sz val="14"/>
        <color rgb="FF1F4E79"/>
        <rFont val="Noto Sans SC"/>
        <family val="2"/>
        <charset val="134"/>
      </rPr>
      <t xml:space="preserve">的配表与 </t>
    </r>
    <r>
      <rPr>
        <b val="true"/>
        <sz val="14"/>
        <color rgb="FF1F4E79"/>
        <rFont val="Cambria"/>
        <family val="0"/>
        <charset val="1"/>
      </rPr>
      <t xml:space="preserve">RTP </t>
    </r>
    <r>
      <rPr>
        <b val="true"/>
        <sz val="14"/>
        <color rgb="FF1F4E79"/>
        <rFont val="Noto Sans SC"/>
        <family val="2"/>
        <charset val="134"/>
      </rPr>
      <t xml:space="preserve">拆分（蓝字＝可改配表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</si>
  <si>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】符号表（</t>
    </r>
    <r>
      <rPr>
        <b val="true"/>
        <sz val="11"/>
        <color rgb="FF1F4E79"/>
        <rFont val="Cambria"/>
        <family val="0"/>
        <charset val="1"/>
      </rPr>
      <t xml:space="preserve">11 </t>
    </r>
    <r>
      <rPr>
        <b val="true"/>
        <sz val="11"/>
        <color rgb="FF1F4E79"/>
        <rFont val="Noto Sans SC"/>
        <family val="2"/>
        <charset val="134"/>
      </rPr>
      <t xml:space="preserve">个图标：</t>
    </r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低 ＋ </t>
    </r>
    <r>
      <rPr>
        <b val="true"/>
        <sz val="11"/>
        <color rgb="FF1F4E79"/>
        <rFont val="Cambria"/>
        <family val="0"/>
        <charset val="1"/>
      </rPr>
      <t xml:space="preserve">4 </t>
    </r>
    <r>
      <rPr>
        <b val="true"/>
        <sz val="11"/>
        <color rgb="FF1F4E79"/>
        <rFont val="Noto Sans SC"/>
        <family val="2"/>
        <charset val="134"/>
      </rPr>
      <t xml:space="preserve">高 ＋ </t>
    </r>
    <r>
      <rPr>
        <b val="true"/>
        <sz val="11"/>
        <color rgb="FF1F4E79"/>
        <rFont val="Cambria"/>
        <family val="0"/>
        <charset val="1"/>
      </rPr>
      <t xml:space="preserve">Wild </t>
    </r>
    <r>
      <rPr>
        <b val="true"/>
        <sz val="11"/>
        <color rgb="FF1F4E79"/>
        <rFont val="Noto Sans SC"/>
        <family val="2"/>
        <charset val="134"/>
      </rPr>
      <t xml:space="preserve">＋ </t>
    </r>
    <r>
      <rPr>
        <b val="true"/>
        <sz val="11"/>
        <color rgb="FF1F4E79"/>
        <rFont val="Cambria"/>
        <family val="0"/>
        <charset val="1"/>
      </rPr>
      <t xml:space="preserve">Jackpot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</si>
  <si>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r>
      <rPr>
        <b val="true"/>
        <sz val="11"/>
        <color rgb="FF1F4E79"/>
        <rFont val="Noto Sans SC"/>
        <family val="2"/>
        <charset val="134"/>
      </rPr>
      <t xml:space="preserve">符号</t>
    </r>
    <r>
      <rPr>
        <b val="true"/>
        <sz val="11"/>
        <color rgb="FF1F4E79"/>
        <rFont val="Cambria"/>
        <family val="0"/>
        <charset val="1"/>
      </rPr>
      <t xml:space="preserve">ID</t>
    </r>
  </si>
  <si>
    <t xml:space="preserve">名称</t>
  </si>
  <si>
    <t xml:space="preserve">类型</t>
  </si>
  <si>
    <r>
      <rPr>
        <b val="true"/>
        <sz val="11"/>
        <color rgb="FF1F4E79"/>
        <rFont val="Cambria"/>
        <family val="0"/>
        <charset val="1"/>
      </rPr>
      <t xml:space="preserve">3 </t>
    </r>
    <r>
      <rPr>
        <b val="true"/>
        <sz val="11"/>
        <color rgb="FF1F4E79"/>
        <rFont val="Noto Sans SC"/>
        <family val="2"/>
        <charset val="134"/>
      </rPr>
      <t xml:space="preserve">连</t>
    </r>
  </si>
  <si>
    <r>
      <rPr>
        <b val="true"/>
        <sz val="11"/>
        <color rgb="FF1F4E79"/>
        <rFont val="Cambria"/>
        <family val="0"/>
        <charset val="1"/>
      </rPr>
      <t xml:space="preserve">4 </t>
    </r>
    <r>
      <rPr>
        <b val="true"/>
        <sz val="11"/>
        <color rgb="FF1F4E79"/>
        <rFont val="Noto Sans SC"/>
        <family val="2"/>
        <charset val="134"/>
      </rPr>
      <t xml:space="preserve">连</t>
    </r>
  </si>
  <si>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连</t>
    </r>
  </si>
  <si>
    <t xml:space="preserve">说明</t>
  </si>
  <si>
    <t xml:space="preserve">L1</t>
  </si>
  <si>
    <r>
      <rPr>
        <sz val="11"/>
        <color rgb="FF0000FF"/>
        <rFont val="Noto Sans SC"/>
        <family val="2"/>
        <charset val="134"/>
      </rPr>
      <t xml:space="preserve">低</t>
    </r>
    <r>
      <rPr>
        <sz val="11"/>
        <color rgb="FF0000FF"/>
        <rFont val="Cambria"/>
        <family val="0"/>
        <charset val="1"/>
      </rPr>
      <t xml:space="preserve">1</t>
    </r>
  </si>
  <si>
    <t xml:space="preserve">标准</t>
  </si>
  <si>
    <r>
      <rPr>
        <sz val="11"/>
        <color rgb="FF000000"/>
        <rFont val="Noto Sans SC"/>
        <family val="2"/>
        <charset val="134"/>
      </rPr>
      <t xml:space="preserve">低价值 </t>
    </r>
    <r>
      <rPr>
        <sz val="11"/>
        <color rgb="FF000000"/>
        <rFont val="Cambria"/>
        <family val="0"/>
        <charset val="1"/>
      </rPr>
      <t xml:space="preserve">×5</t>
    </r>
  </si>
  <si>
    <t xml:space="preserve">L2</t>
  </si>
  <si>
    <r>
      <rPr>
        <sz val="11"/>
        <color rgb="FF0000FF"/>
        <rFont val="Noto Sans SC"/>
        <family val="2"/>
        <charset val="134"/>
      </rPr>
      <t xml:space="preserve">低</t>
    </r>
    <r>
      <rPr>
        <sz val="11"/>
        <color rgb="FF0000FF"/>
        <rFont val="Cambria"/>
        <family val="0"/>
        <charset val="1"/>
      </rPr>
      <t xml:space="preserve">2</t>
    </r>
  </si>
  <si>
    <t xml:space="preserve">L3</t>
  </si>
  <si>
    <r>
      <rPr>
        <sz val="11"/>
        <color rgb="FF0000FF"/>
        <rFont val="Noto Sans SC"/>
        <family val="2"/>
        <charset val="134"/>
      </rPr>
      <t xml:space="preserve">低</t>
    </r>
    <r>
      <rPr>
        <sz val="11"/>
        <color rgb="FF0000FF"/>
        <rFont val="Cambria"/>
        <family val="0"/>
        <charset val="1"/>
      </rPr>
      <t xml:space="preserve">3</t>
    </r>
  </si>
  <si>
    <t xml:space="preserve">L4</t>
  </si>
  <si>
    <r>
      <rPr>
        <sz val="11"/>
        <color rgb="FF0000FF"/>
        <rFont val="Noto Sans SC"/>
        <family val="2"/>
        <charset val="134"/>
      </rPr>
      <t xml:space="preserve">低</t>
    </r>
    <r>
      <rPr>
        <sz val="11"/>
        <color rgb="FF0000FF"/>
        <rFont val="Cambria"/>
        <family val="0"/>
        <charset val="1"/>
      </rPr>
      <t xml:space="preserve">4</t>
    </r>
  </si>
  <si>
    <t xml:space="preserve">L5</t>
  </si>
  <si>
    <r>
      <rPr>
        <sz val="11"/>
        <color rgb="FF0000FF"/>
        <rFont val="Noto Sans SC"/>
        <family val="2"/>
        <charset val="134"/>
      </rPr>
      <t xml:space="preserve">低</t>
    </r>
    <r>
      <rPr>
        <sz val="11"/>
        <color rgb="FF0000FF"/>
        <rFont val="Cambria"/>
        <family val="0"/>
        <charset val="1"/>
      </rPr>
      <t xml:space="preserve">5</t>
    </r>
  </si>
  <si>
    <t xml:space="preserve">H1</t>
  </si>
  <si>
    <r>
      <rPr>
        <sz val="11"/>
        <color rgb="FF0000FF"/>
        <rFont val="Noto Sans SC"/>
        <family val="2"/>
        <charset val="134"/>
      </rPr>
      <t xml:space="preserve">高</t>
    </r>
    <r>
      <rPr>
        <sz val="11"/>
        <color rgb="FF0000FF"/>
        <rFont val="Cambria"/>
        <family val="0"/>
        <charset val="1"/>
      </rPr>
      <t xml:space="preserve">1</t>
    </r>
  </si>
  <si>
    <r>
      <rPr>
        <sz val="11"/>
        <color rgb="FF000000"/>
        <rFont val="Noto Sans SC"/>
        <family val="2"/>
        <charset val="134"/>
      </rPr>
      <t xml:space="preserve">高价值 </t>
    </r>
    <r>
      <rPr>
        <sz val="11"/>
        <color rgb="FF000000"/>
        <rFont val="Cambria"/>
        <family val="0"/>
        <charset val="1"/>
      </rPr>
      <t xml:space="preserve">×4</t>
    </r>
  </si>
  <si>
    <t xml:space="preserve">H2</t>
  </si>
  <si>
    <r>
      <rPr>
        <sz val="11"/>
        <color rgb="FF0000FF"/>
        <rFont val="Noto Sans SC"/>
        <family val="2"/>
        <charset val="134"/>
      </rPr>
      <t xml:space="preserve">高</t>
    </r>
    <r>
      <rPr>
        <sz val="11"/>
        <color rgb="FF0000FF"/>
        <rFont val="Cambria"/>
        <family val="0"/>
        <charset val="1"/>
      </rPr>
      <t xml:space="preserve">2</t>
    </r>
  </si>
  <si>
    <t xml:space="preserve">H3</t>
  </si>
  <si>
    <r>
      <rPr>
        <sz val="11"/>
        <color rgb="FF0000FF"/>
        <rFont val="Noto Sans SC"/>
        <family val="2"/>
        <charset val="134"/>
      </rPr>
      <t xml:space="preserve">高</t>
    </r>
    <r>
      <rPr>
        <sz val="11"/>
        <color rgb="FF0000FF"/>
        <rFont val="Cambria"/>
        <family val="0"/>
        <charset val="1"/>
      </rPr>
      <t xml:space="preserve">3</t>
    </r>
  </si>
  <si>
    <t xml:space="preserve">H4</t>
  </si>
  <si>
    <r>
      <rPr>
        <sz val="11"/>
        <color rgb="FF0000FF"/>
        <rFont val="Noto Sans SC"/>
        <family val="2"/>
        <charset val="134"/>
      </rPr>
      <t xml:space="preserve">高</t>
    </r>
    <r>
      <rPr>
        <sz val="11"/>
        <color rgb="FF0000FF"/>
        <rFont val="Cambria"/>
        <family val="0"/>
        <charset val="1"/>
      </rPr>
      <t xml:space="preserve">4</t>
    </r>
  </si>
  <si>
    <t xml:space="preserve">W</t>
  </si>
  <si>
    <t xml:space="preserve">Wild</t>
  </si>
  <si>
    <t xml:space="preserve">百搭</t>
  </si>
  <si>
    <t xml:space="preserve">—</t>
  </si>
  <si>
    <t xml:space="preserve">替代任意标准图标</t>
  </si>
  <si>
    <t xml:space="preserve">JP</t>
  </si>
  <si>
    <t xml:space="preserve">Jackpot</t>
  </si>
  <si>
    <t xml:space="preserve">特殊</t>
  </si>
  <si>
    <r>
      <rPr>
        <sz val="11"/>
        <color rgb="FF000000"/>
        <rFont val="Noto Sans SC"/>
        <family val="2"/>
        <charset val="134"/>
      </rPr>
      <t xml:space="preserve">类 </t>
    </r>
    <r>
      <rPr>
        <sz val="11"/>
        <color rgb="FF000000"/>
        <rFont val="Cambria"/>
        <family val="0"/>
        <charset val="1"/>
      </rPr>
      <t xml:space="preserve">Scatter</t>
    </r>
    <r>
      <rPr>
        <sz val="11"/>
        <color rgb="FF000000"/>
        <rFont val="Noto Sans SC"/>
        <family val="2"/>
        <charset val="134"/>
      </rPr>
      <t xml:space="preserve">；≥ </t>
    </r>
    <r>
      <rPr>
        <sz val="11"/>
        <color rgb="FF000000"/>
        <rFont val="Cambria"/>
        <family val="0"/>
        <charset val="1"/>
      </rPr>
      <t xml:space="preserve">5 </t>
    </r>
    <r>
      <rPr>
        <sz val="11"/>
        <color rgb="FF000000"/>
        <rFont val="Noto Sans SC"/>
        <family val="2"/>
        <charset val="134"/>
      </rPr>
      <t xml:space="preserve">个触发 </t>
    </r>
    <r>
      <rPr>
        <sz val="11"/>
        <color rgb="FF000000"/>
        <rFont val="Cambria"/>
        <family val="0"/>
        <charset val="1"/>
      </rPr>
      <t xml:space="preserve">Jackpot </t>
    </r>
    <r>
      <rPr>
        <sz val="11"/>
        <color rgb="FF000000"/>
        <rFont val="Noto Sans SC"/>
        <family val="2"/>
        <charset val="134"/>
      </rPr>
      <t xml:space="preserve">转盘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</si>
  <si>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】图标出现几率表（每格出现几率；</t>
    </r>
    <r>
      <rPr>
        <b val="true"/>
        <sz val="11"/>
        <color rgb="FF1F4E79"/>
        <rFont val="Cambria"/>
        <family val="0"/>
        <charset val="1"/>
      </rPr>
      <t xml:space="preserve">Lines </t>
    </r>
    <r>
      <rPr>
        <b val="true"/>
        <sz val="11"/>
        <color rgb="FF1F4E79"/>
        <rFont val="Noto Sans SC"/>
        <family val="2"/>
        <charset val="134"/>
      </rPr>
      <t xml:space="preserve">类型的不出现几率 ＝ </t>
    </r>
    <r>
      <rPr>
        <b val="true"/>
        <sz val="11"/>
        <color rgb="FF1F4E79"/>
        <rFont val="Cambria"/>
        <family val="0"/>
        <charset val="1"/>
      </rPr>
      <t xml:space="preserve">1 − </t>
    </r>
    <r>
      <rPr>
        <b val="true"/>
        <sz val="11"/>
        <color rgb="FF1F4E79"/>
        <rFont val="Noto Sans SC"/>
        <family val="2"/>
        <charset val="134"/>
      </rPr>
      <t xml:space="preserve">出现几率）</t>
    </r>
  </si>
  <si>
    <t xml:space="preserve">符号组</t>
  </si>
  <si>
    <r>
      <rPr>
        <b val="true"/>
        <sz val="11"/>
        <color rgb="FF1F4E79"/>
        <rFont val="Noto Sans SC"/>
        <family val="2"/>
        <charset val="134"/>
      </rPr>
      <t xml:space="preserve">出现几率 </t>
    </r>
    <r>
      <rPr>
        <b val="true"/>
        <sz val="11"/>
        <color rgb="FF1F4E79"/>
        <rFont val="Cambria"/>
        <family val="0"/>
        <charset val="1"/>
      </rPr>
      <t xml:space="preserve">p</t>
    </r>
  </si>
  <si>
    <r>
      <rPr>
        <b val="true"/>
        <sz val="11"/>
        <color rgb="FF1F4E79"/>
        <rFont val="Noto Sans SC"/>
        <family val="2"/>
        <charset val="134"/>
      </rPr>
      <t xml:space="preserve">不出现几率 </t>
    </r>
    <r>
      <rPr>
        <b val="true"/>
        <sz val="11"/>
        <color rgb="FF1F4E79"/>
        <rFont val="Cambria"/>
        <family val="0"/>
        <charset val="1"/>
      </rPr>
      <t xml:space="preserve">q</t>
    </r>
  </si>
  <si>
    <r>
      <rPr>
        <sz val="11"/>
        <color rgb="FF0000FF"/>
        <rFont val="Noto Sans SC"/>
        <family val="2"/>
        <charset val="134"/>
      </rPr>
      <t xml:space="preserve">低价值（</t>
    </r>
    <r>
      <rPr>
        <sz val="11"/>
        <color rgb="FF0000FF"/>
        <rFont val="Cambria"/>
        <family val="0"/>
        <charset val="1"/>
      </rPr>
      <t xml:space="preserve">5 </t>
    </r>
    <r>
      <rPr>
        <sz val="11"/>
        <color rgb="FF0000FF"/>
        <rFont val="Noto Sans SC"/>
        <family val="2"/>
        <charset val="134"/>
      </rPr>
      <t xml:space="preserve">个）</t>
    </r>
  </si>
  <si>
    <r>
      <rPr>
        <sz val="11"/>
        <color rgb="FF000000"/>
        <rFont val="Noto Sans SC"/>
        <family val="2"/>
        <charset val="134"/>
      </rPr>
      <t xml:space="preserve">各 </t>
    </r>
    <r>
      <rPr>
        <sz val="11"/>
        <color rgb="FF000000"/>
        <rFont val="Cambria"/>
        <family val="0"/>
        <charset val="1"/>
      </rPr>
      <t xml:space="preserve">8%</t>
    </r>
  </si>
  <si>
    <r>
      <rPr>
        <sz val="11"/>
        <color rgb="FF0000FF"/>
        <rFont val="Noto Sans SC"/>
        <family val="2"/>
        <charset val="134"/>
      </rPr>
      <t xml:space="preserve">高价值（</t>
    </r>
    <r>
      <rPr>
        <sz val="11"/>
        <color rgb="FF0000FF"/>
        <rFont val="Cambria"/>
        <family val="0"/>
        <charset val="1"/>
      </rPr>
      <t xml:space="preserve">4 </t>
    </r>
    <r>
      <rPr>
        <sz val="11"/>
        <color rgb="FF0000FF"/>
        <rFont val="Noto Sans SC"/>
        <family val="2"/>
        <charset val="134"/>
      </rPr>
      <t xml:space="preserve">个）</t>
    </r>
  </si>
  <si>
    <r>
      <rPr>
        <sz val="11"/>
        <color rgb="FF000000"/>
        <rFont val="Noto Sans SC"/>
        <family val="2"/>
        <charset val="134"/>
      </rPr>
      <t xml:space="preserve">各 </t>
    </r>
    <r>
      <rPr>
        <sz val="11"/>
        <color rgb="FF000000"/>
        <rFont val="Cambria"/>
        <family val="0"/>
        <charset val="1"/>
      </rPr>
      <t xml:space="preserve">3%</t>
    </r>
  </si>
  <si>
    <r>
      <rPr>
        <sz val="11"/>
        <color rgb="FF000000"/>
        <rFont val="Noto Sans SC"/>
        <family val="2"/>
        <charset val="134"/>
      </rPr>
      <t xml:space="preserve">类 </t>
    </r>
    <r>
      <rPr>
        <sz val="11"/>
        <color rgb="FF000000"/>
        <rFont val="Cambria"/>
        <family val="0"/>
        <charset val="1"/>
      </rPr>
      <t xml:space="preserve">Scatter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</si>
  <si>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】含百搭的出现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不出现几率（目标符号 ＋ </t>
    </r>
    <r>
      <rPr>
        <b val="true"/>
        <sz val="11"/>
        <color rgb="FF1F4E79"/>
        <rFont val="Cambria"/>
        <family val="0"/>
        <charset val="1"/>
      </rPr>
      <t xml:space="preserve">Wild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</si>
  <si>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r>
      <rPr>
        <b val="true"/>
        <sz val="11"/>
        <color rgb="FF1F4E79"/>
        <rFont val="Noto Sans SC"/>
        <family val="2"/>
        <charset val="134"/>
      </rPr>
      <t xml:space="preserve">出现几率 ＝ 自身 ＋ </t>
    </r>
    <r>
      <rPr>
        <b val="true"/>
        <sz val="11"/>
        <color rgb="FF1F4E79"/>
        <rFont val="Cambria"/>
        <family val="0"/>
        <charset val="1"/>
      </rPr>
      <t xml:space="preserve">Wild</t>
    </r>
  </si>
  <si>
    <t xml:space="preserve">不出现几率</t>
  </si>
  <si>
    <t xml:space="preserve">低价值</t>
  </si>
  <si>
    <t xml:space="preserve">8% + 4%</t>
  </si>
  <si>
    <t xml:space="preserve">高价值</t>
  </si>
  <si>
    <t xml:space="preserve">3% + 4%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</si>
  <si>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】标准图标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</t>
    </r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连 ＝ </t>
    </r>
    <r>
      <rPr>
        <b val="true"/>
        <sz val="11"/>
        <color rgb="FF1F4E79"/>
        <rFont val="Cambria"/>
        <family val="0"/>
        <charset val="1"/>
      </rPr>
      <t xml:space="preserve">p^5</t>
    </r>
    <r>
      <rPr>
        <b val="true"/>
        <sz val="11"/>
        <color rgb="FF1F4E79"/>
        <rFont val="Noto Sans SC"/>
        <family val="2"/>
        <charset val="134"/>
      </rPr>
      <t xml:space="preserve">；</t>
    </r>
    <r>
      <rPr>
        <b val="true"/>
        <sz val="11"/>
        <color rgb="FF1F4E79"/>
        <rFont val="Cambria"/>
        <family val="0"/>
        <charset val="1"/>
      </rPr>
      <t xml:space="preserve">4 </t>
    </r>
    <r>
      <rPr>
        <b val="true"/>
        <sz val="11"/>
        <color rgb="FF1F4E79"/>
        <rFont val="Noto Sans SC"/>
        <family val="2"/>
        <charset val="134"/>
      </rPr>
      <t xml:space="preserve">连 ＝ </t>
    </r>
    <r>
      <rPr>
        <b val="true"/>
        <sz val="11"/>
        <color rgb="FF1F4E79"/>
        <rFont val="Cambria"/>
        <family val="0"/>
        <charset val="1"/>
      </rPr>
      <t xml:space="preserve">p^4 × q</t>
    </r>
    <r>
      <rPr>
        <b val="true"/>
        <sz val="11"/>
        <color rgb="FF1F4E79"/>
        <rFont val="Noto Sans SC"/>
        <family val="2"/>
        <charset val="134"/>
      </rPr>
      <t xml:space="preserve">；</t>
    </r>
    <r>
      <rPr>
        <b val="true"/>
        <sz val="11"/>
        <color rgb="FF1F4E79"/>
        <rFont val="Cambria"/>
        <family val="0"/>
        <charset val="1"/>
      </rPr>
      <t xml:space="preserve">3 </t>
    </r>
    <r>
      <rPr>
        <b val="true"/>
        <sz val="11"/>
        <color rgb="FF1F4E79"/>
        <rFont val="Noto Sans SC"/>
        <family val="2"/>
        <charset val="134"/>
      </rPr>
      <t xml:space="preserve">连 ＝ </t>
    </r>
    <r>
      <rPr>
        <b val="true"/>
        <sz val="11"/>
        <color rgb="FF1F4E79"/>
        <rFont val="Cambria"/>
        <family val="0"/>
        <charset val="1"/>
      </rPr>
      <t xml:space="preserve">p^3 × q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</si>
  <si>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r>
      <rPr>
        <b val="true"/>
        <sz val="11"/>
        <color rgb="FF1F4E79"/>
        <rFont val="Noto Sans SC"/>
        <family val="2"/>
        <charset val="134"/>
      </rPr>
      <t xml:space="preserve">出现 </t>
    </r>
    <r>
      <rPr>
        <b val="true"/>
        <sz val="11"/>
        <color rgb="FF1F4E79"/>
        <rFont val="Cambria"/>
        <family val="0"/>
        <charset val="1"/>
      </rPr>
      <t xml:space="preserve">p</t>
    </r>
  </si>
  <si>
    <r>
      <rPr>
        <b val="true"/>
        <sz val="11"/>
        <color rgb="FF1F4E79"/>
        <rFont val="Noto Sans SC"/>
        <family val="2"/>
        <charset val="134"/>
      </rPr>
      <t xml:space="preserve">不出现 </t>
    </r>
    <r>
      <rPr>
        <b val="true"/>
        <sz val="11"/>
        <color rgb="FF1F4E79"/>
        <rFont val="Cambria"/>
        <family val="0"/>
        <charset val="1"/>
      </rPr>
      <t xml:space="preserve">q</t>
    </r>
  </si>
  <si>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连 </t>
    </r>
    <r>
      <rPr>
        <b val="true"/>
        <sz val="11"/>
        <color rgb="FF1F4E79"/>
        <rFont val="Cambria"/>
        <family val="0"/>
        <charset val="1"/>
      </rPr>
      <t xml:space="preserve">RTP</t>
    </r>
  </si>
  <si>
    <r>
      <rPr>
        <b val="true"/>
        <sz val="11"/>
        <color rgb="FF1F4E79"/>
        <rFont val="Cambria"/>
        <family val="0"/>
        <charset val="1"/>
      </rPr>
      <t xml:space="preserve">4 </t>
    </r>
    <r>
      <rPr>
        <b val="true"/>
        <sz val="11"/>
        <color rgb="FF1F4E79"/>
        <rFont val="Noto Sans SC"/>
        <family val="2"/>
        <charset val="134"/>
      </rPr>
      <t xml:space="preserve">连 </t>
    </r>
    <r>
      <rPr>
        <b val="true"/>
        <sz val="11"/>
        <color rgb="FF1F4E79"/>
        <rFont val="Cambria"/>
        <family val="0"/>
        <charset val="1"/>
      </rPr>
      <t xml:space="preserve">RTP</t>
    </r>
  </si>
  <si>
    <r>
      <rPr>
        <b val="true"/>
        <sz val="11"/>
        <color rgb="FF1F4E79"/>
        <rFont val="Cambria"/>
        <family val="0"/>
        <charset val="1"/>
      </rPr>
      <t xml:space="preserve">3 </t>
    </r>
    <r>
      <rPr>
        <b val="true"/>
        <sz val="11"/>
        <color rgb="FF1F4E79"/>
        <rFont val="Noto Sans SC"/>
        <family val="2"/>
        <charset val="134"/>
      </rPr>
      <t xml:space="preserve">连 </t>
    </r>
    <r>
      <rPr>
        <b val="true"/>
        <sz val="11"/>
        <color rgb="FF1F4E79"/>
        <rFont val="Cambria"/>
        <family val="0"/>
        <charset val="1"/>
      </rPr>
      <t xml:space="preserve">RTP</t>
    </r>
  </si>
  <si>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小计</t>
    </r>
  </si>
  <si>
    <r>
      <rPr>
        <sz val="11"/>
        <color rgb="FF000000"/>
        <rFont val="Noto Sans SC"/>
        <family val="2"/>
        <charset val="134"/>
      </rPr>
      <t xml:space="preserve">低价值（</t>
    </r>
    <r>
      <rPr>
        <sz val="11"/>
        <color rgb="FF000000"/>
        <rFont val="Cambria"/>
        <family val="0"/>
        <charset val="1"/>
      </rPr>
      <t xml:space="preserve">5 </t>
    </r>
    <r>
      <rPr>
        <sz val="11"/>
        <color rgb="FF000000"/>
        <rFont val="Noto Sans SC"/>
        <family val="2"/>
        <charset val="134"/>
      </rPr>
      <t xml:space="preserve">个）</t>
    </r>
  </si>
  <si>
    <r>
      <rPr>
        <sz val="11"/>
        <color rgb="FF000000"/>
        <rFont val="Noto Sans SC"/>
        <family val="2"/>
        <charset val="134"/>
      </rPr>
      <t xml:space="preserve">高价值（</t>
    </r>
    <r>
      <rPr>
        <sz val="11"/>
        <color rgb="FF000000"/>
        <rFont val="Cambria"/>
        <family val="0"/>
        <charset val="1"/>
      </rPr>
      <t xml:space="preserve">4 </t>
    </r>
    <r>
      <rPr>
        <sz val="11"/>
        <color rgb="FF000000"/>
        <rFont val="Noto Sans SC"/>
        <family val="2"/>
        <charset val="134"/>
      </rPr>
      <t xml:space="preserve">个）</t>
    </r>
  </si>
  <si>
    <r>
      <rPr>
        <sz val="11"/>
        <color rgb="FF000000"/>
        <rFont val="Noto Sans SC"/>
        <family val="2"/>
        <charset val="134"/>
      </rPr>
      <t xml:space="preserve">标准图标 </t>
    </r>
    <r>
      <rPr>
        <sz val="11"/>
        <color rgb="FF000000"/>
        <rFont val="Cambria"/>
        <family val="0"/>
        <charset val="1"/>
      </rPr>
      <t xml:space="preserve">RTP </t>
    </r>
    <r>
      <rPr>
        <sz val="11"/>
        <color rgb="FF000000"/>
        <rFont val="Noto Sans SC"/>
        <family val="2"/>
        <charset val="134"/>
      </rPr>
      <t xml:space="preserve">合计（</t>
    </r>
    <r>
      <rPr>
        <sz val="11"/>
        <color rgb="FF000000"/>
        <rFont val="Cambria"/>
        <family val="0"/>
        <charset val="1"/>
      </rPr>
      <t xml:space="preserve">%</t>
    </r>
    <r>
      <rPr>
        <sz val="11"/>
        <color rgb="FF000000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</si>
  <si>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本表把「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SC"/>
        <family val="2"/>
        <charset val="134"/>
      </rPr>
      <t xml:space="preserve">个低价值 </t>
    </r>
    <r>
      <rPr>
        <sz val="11"/>
        <color rgb="FF808080"/>
        <rFont val="Cambria"/>
        <family val="0"/>
        <charset val="1"/>
      </rPr>
      <t xml:space="preserve">/ 4 </t>
    </r>
    <r>
      <rPr>
        <sz val="11"/>
        <color rgb="FF808080"/>
        <rFont val="Noto Sans SC"/>
        <family val="2"/>
        <charset val="134"/>
      </rPr>
      <t xml:space="preserve">个高价值」的数量差异放在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小计里相乘；如需更精细，可按每个符号单独列一行。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</si>
  <si>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Jackpot </t>
    </r>
    <r>
      <rPr>
        <b val="true"/>
        <sz val="11"/>
        <color rgb="FF1F4E79"/>
        <rFont val="Noto Sans SC"/>
        <family val="2"/>
        <charset val="134"/>
      </rPr>
      <t xml:space="preserve">奖池配表（四个池子：固定倍数 </t>
    </r>
    <r>
      <rPr>
        <b val="true"/>
        <sz val="11"/>
        <color rgb="FF1F4E79"/>
        <rFont val="Cambria"/>
        <family val="0"/>
        <charset val="1"/>
      </rPr>
      <t xml:space="preserve">× </t>
    </r>
    <r>
      <rPr>
        <b val="true"/>
        <sz val="11"/>
        <color rgb="FF1F4E79"/>
        <rFont val="Noto Sans SC"/>
        <family val="2"/>
        <charset val="134"/>
      </rPr>
      <t xml:space="preserve">抽取几率 ＝ 期望）</t>
    </r>
  </si>
  <si>
    <t xml:space="preserve">奖池</t>
  </si>
  <si>
    <r>
      <rPr>
        <b val="true"/>
        <sz val="11"/>
        <color rgb="FF1F4E79"/>
        <rFont val="Noto Sans SC"/>
        <family val="2"/>
        <charset val="134"/>
      </rPr>
      <t xml:space="preserve">倍数（</t>
    </r>
    <r>
      <rPr>
        <b val="true"/>
        <sz val="11"/>
        <color rgb="FF1F4E79"/>
        <rFont val="Cambria"/>
        <family val="0"/>
        <charset val="1"/>
      </rPr>
      <t xml:space="preserve">Bet </t>
    </r>
    <r>
      <rPr>
        <b val="true"/>
        <sz val="11"/>
        <color rgb="FF1F4E79"/>
        <rFont val="Noto Sans SC"/>
        <family val="2"/>
        <charset val="134"/>
      </rPr>
      <t xml:space="preserve">的倍数）</t>
    </r>
  </si>
  <si>
    <t xml:space="preserve">被抽到几率</t>
  </si>
  <si>
    <t xml:space="preserve">奖励期望</t>
  </si>
  <si>
    <t xml:space="preserve">Mini</t>
  </si>
  <si>
    <t xml:space="preserve">Minor</t>
  </si>
  <si>
    <t xml:space="preserve">Major</t>
  </si>
  <si>
    <t xml:space="preserve">Grand</t>
  </si>
  <si>
    <r>
      <rPr>
        <sz val="11"/>
        <color rgb="FF000000"/>
        <rFont val="Noto Sans SC"/>
        <family val="2"/>
        <charset val="134"/>
      </rPr>
      <t xml:space="preserve">合计 </t>
    </r>
    <r>
      <rPr>
        <sz val="11"/>
        <color rgb="FF000000"/>
        <rFont val="Cambria"/>
        <family val="0"/>
        <charset val="1"/>
      </rPr>
      <t xml:space="preserve">/ </t>
    </r>
    <r>
      <rPr>
        <sz val="11"/>
        <color rgb="FF000000"/>
        <rFont val="Noto Sans SC"/>
        <family val="2"/>
        <charset val="134"/>
      </rPr>
      <t xml:space="preserve">单次 </t>
    </r>
    <r>
      <rPr>
        <sz val="11"/>
        <color rgb="FF000000"/>
        <rFont val="Cambria"/>
        <family val="0"/>
        <charset val="1"/>
      </rPr>
      <t xml:space="preserve">Jackpot </t>
    </r>
    <r>
      <rPr>
        <sz val="11"/>
        <color rgb="FF000000"/>
        <rFont val="Noto Sans SC"/>
        <family val="2"/>
        <charset val="134"/>
      </rPr>
      <t xml:space="preserve">期望</t>
    </r>
  </si>
  <si>
    <r>
      <rPr>
        <sz val="11"/>
        <color rgb="FF000000"/>
        <rFont val="Noto Sans SC"/>
        <family val="2"/>
        <charset val="134"/>
      </rPr>
      <t xml:space="preserve">几率需合计 </t>
    </r>
    <r>
      <rPr>
        <sz val="11"/>
        <color rgb="FF000000"/>
        <rFont val="Cambria"/>
        <family val="0"/>
        <charset val="1"/>
      </rPr>
      <t xml:space="preserve">100%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</si>
  <si>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Jackpot </t>
    </r>
    <r>
      <rPr>
        <b val="true"/>
        <sz val="11"/>
        <color rgb="FF1F4E79"/>
        <rFont val="Noto Sans SC"/>
        <family val="2"/>
        <charset val="134"/>
      </rPr>
      <t xml:space="preserve">触发几率（</t>
    </r>
    <r>
      <rPr>
        <b val="true"/>
        <sz val="11"/>
        <color rgb="FF1F4E79"/>
        <rFont val="Cambria"/>
        <family val="0"/>
        <charset val="1"/>
      </rPr>
      <t xml:space="preserve">15 </t>
    </r>
    <r>
      <rPr>
        <b val="true"/>
        <sz val="11"/>
        <color rgb="FF1F4E79"/>
        <rFont val="Noto Sans SC"/>
        <family val="2"/>
        <charset val="134"/>
      </rPr>
      <t xml:space="preserve">个位置中 ≥ </t>
    </r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个 </t>
    </r>
    <r>
      <rPr>
        <b val="true"/>
        <sz val="11"/>
        <color rgb="FF1F4E79"/>
        <rFont val="Cambria"/>
        <family val="0"/>
        <charset val="1"/>
      </rPr>
      <t xml:space="preserve">Jackpot </t>
    </r>
    <r>
      <rPr>
        <b val="true"/>
        <sz val="11"/>
        <color rgb="FF1F4E79"/>
        <rFont val="Noto Sans SC"/>
        <family val="2"/>
        <charset val="134"/>
      </rPr>
      <t xml:space="preserve">图标；</t>
    </r>
    <r>
      <rPr>
        <b val="true"/>
        <sz val="11"/>
        <color rgb="FF1F4E79"/>
        <rFont val="Cambria"/>
        <family val="0"/>
        <charset val="1"/>
      </rPr>
      <t xml:space="preserve">BINOM.DIST </t>
    </r>
    <r>
      <rPr>
        <b val="true"/>
        <sz val="11"/>
        <color rgb="FF1F4E79"/>
        <rFont val="Noto Sans SC"/>
        <family val="2"/>
        <charset val="134"/>
      </rPr>
      <t xml:space="preserve">求和）</t>
    </r>
  </si>
  <si>
    <r>
      <rPr>
        <b val="true"/>
        <sz val="11"/>
        <color rgb="FF1F4E79"/>
        <rFont val="Cambria"/>
        <family val="0"/>
        <charset val="1"/>
      </rPr>
      <t xml:space="preserve">Jackpot </t>
    </r>
    <r>
      <rPr>
        <b val="true"/>
        <sz val="11"/>
        <color rgb="FF1F4E79"/>
        <rFont val="Noto Sans SC"/>
        <family val="2"/>
        <charset val="134"/>
      </rPr>
      <t xml:space="preserve">图标个数 </t>
    </r>
    <r>
      <rPr>
        <b val="true"/>
        <sz val="11"/>
        <color rgb="FF1F4E79"/>
        <rFont val="Cambria"/>
        <family val="0"/>
        <charset val="1"/>
      </rPr>
      <t xml:space="preserve">k</t>
    </r>
  </si>
  <si>
    <r>
      <rPr>
        <b val="true"/>
        <sz val="11"/>
        <color rgb="FF1F4E79"/>
        <rFont val="Noto Sans SC"/>
        <family val="2"/>
        <charset val="134"/>
      </rPr>
      <t xml:space="preserve">出现几率 </t>
    </r>
    <r>
      <rPr>
        <b val="true"/>
        <sz val="11"/>
        <color rgb="FF1F4E79"/>
        <rFont val="Cambria"/>
        <family val="0"/>
        <charset val="1"/>
      </rPr>
      <t xml:space="preserve">P(k)</t>
    </r>
  </si>
  <si>
    <r>
      <rPr>
        <sz val="11"/>
        <color rgb="FF000000"/>
        <rFont val="Cambria"/>
        <family val="0"/>
        <charset val="1"/>
      </rPr>
      <t xml:space="preserve">15 </t>
    </r>
    <r>
      <rPr>
        <sz val="11"/>
        <color rgb="FF000000"/>
        <rFont val="Noto Sans SC"/>
        <family val="2"/>
        <charset val="134"/>
      </rPr>
      <t xml:space="preserve">＝ </t>
    </r>
    <r>
      <rPr>
        <sz val="11"/>
        <color rgb="FF000000"/>
        <rFont val="Cambria"/>
        <family val="0"/>
        <charset val="1"/>
      </rPr>
      <t xml:space="preserve">3 </t>
    </r>
    <r>
      <rPr>
        <sz val="11"/>
        <color rgb="FF000000"/>
        <rFont val="Noto Sans SC"/>
        <family val="2"/>
        <charset val="134"/>
      </rPr>
      <t xml:space="preserve">行 </t>
    </r>
    <r>
      <rPr>
        <sz val="11"/>
        <color rgb="FF000000"/>
        <rFont val="Cambria"/>
        <family val="0"/>
        <charset val="1"/>
      </rPr>
      <t xml:space="preserve">× 5 </t>
    </r>
    <r>
      <rPr>
        <sz val="11"/>
        <color rgb="FF000000"/>
        <rFont val="Noto Sans SC"/>
        <family val="2"/>
        <charset val="134"/>
      </rPr>
      <t xml:space="preserve">列</t>
    </r>
  </si>
  <si>
    <r>
      <rPr>
        <sz val="11"/>
        <color rgb="FF000000"/>
        <rFont val="Noto Sans SC"/>
        <family val="2"/>
        <charset val="134"/>
      </rPr>
      <t xml:space="preserve">触发几率 </t>
    </r>
    <r>
      <rPr>
        <sz val="11"/>
        <color rgb="FF000000"/>
        <rFont val="Cambria"/>
        <family val="0"/>
        <charset val="1"/>
      </rPr>
      <t xml:space="preserve">P(JP ≥ 5)</t>
    </r>
  </si>
  <si>
    <r>
      <rPr>
        <sz val="11"/>
        <color rgb="FF000000"/>
        <rFont val="Noto Sans SC"/>
        <family val="2"/>
        <charset val="134"/>
      </rPr>
      <t xml:space="preserve">等价于 </t>
    </r>
    <r>
      <rPr>
        <sz val="11"/>
        <color rgb="FF000000"/>
        <rFont val="Cambria"/>
        <family val="0"/>
        <charset val="1"/>
      </rPr>
      <t xml:space="preserve">BINOM.DIST.RANGE(15, p, 5, 15)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</si>
  <si>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7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汇总</t>
    </r>
  </si>
  <si>
    <t xml:space="preserve">项目</t>
  </si>
  <si>
    <t xml:space="preserve">数值</t>
  </si>
  <si>
    <r>
      <rPr>
        <b val="true"/>
        <sz val="11"/>
        <color rgb="FF1F4E79"/>
        <rFont val="Noto Sans SC"/>
        <family val="2"/>
        <charset val="134"/>
      </rPr>
      <t xml:space="preserve">算式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口径</t>
    </r>
  </si>
  <si>
    <r>
      <rPr>
        <sz val="11"/>
        <color rgb="FF000000"/>
        <rFont val="Noto Sans SC"/>
        <family val="2"/>
        <charset val="134"/>
      </rPr>
      <t xml:space="preserve">线数（本示例为 </t>
    </r>
    <r>
      <rPr>
        <sz val="11"/>
        <color rgb="FF000000"/>
        <rFont val="Cambria"/>
        <family val="0"/>
        <charset val="1"/>
      </rPr>
      <t xml:space="preserve">Lines</t>
    </r>
    <r>
      <rPr>
        <sz val="11"/>
        <color rgb="FF000000"/>
        <rFont val="Noto Sans SC"/>
        <family val="2"/>
        <charset val="134"/>
      </rPr>
      <t xml:space="preserve">）</t>
    </r>
  </si>
  <si>
    <r>
      <rPr>
        <sz val="11"/>
        <color rgb="FF000000"/>
        <rFont val="Noto Sans SC"/>
        <family val="2"/>
        <charset val="134"/>
      </rPr>
      <t xml:space="preserve">整体 </t>
    </r>
    <r>
      <rPr>
        <sz val="11"/>
        <color rgb="FF000000"/>
        <rFont val="Cambria"/>
        <family val="0"/>
        <charset val="1"/>
      </rPr>
      <t xml:space="preserve">RTP </t>
    </r>
    <r>
      <rPr>
        <sz val="11"/>
        <color rgb="FF000000"/>
        <rFont val="Noto Sans SC"/>
        <family val="2"/>
        <charset val="134"/>
      </rPr>
      <t xml:space="preserve">＝ 单线 </t>
    </r>
    <r>
      <rPr>
        <sz val="11"/>
        <color rgb="FF000000"/>
        <rFont val="Cambria"/>
        <family val="0"/>
        <charset val="1"/>
      </rPr>
      <t xml:space="preserve">RTP × </t>
    </r>
    <r>
      <rPr>
        <sz val="11"/>
        <color rgb="FF000000"/>
        <rFont val="Noto Sans SC"/>
        <family val="2"/>
        <charset val="134"/>
      </rPr>
      <t xml:space="preserve">线数</t>
    </r>
  </si>
  <si>
    <r>
      <rPr>
        <sz val="11"/>
        <color rgb="FF000000"/>
        <rFont val="Noto Sans SC"/>
        <family val="2"/>
        <charset val="134"/>
      </rPr>
      <t xml:space="preserve">单线标准图标 </t>
    </r>
    <r>
      <rPr>
        <sz val="11"/>
        <color rgb="FF000000"/>
        <rFont val="Cambria"/>
        <family val="0"/>
        <charset val="1"/>
      </rPr>
      <t xml:space="preserve">RTP</t>
    </r>
  </si>
  <si>
    <r>
      <rPr>
        <sz val="11"/>
        <color rgb="FF000000"/>
        <rFont val="Noto Sans SC"/>
        <family val="2"/>
        <charset val="134"/>
      </rPr>
      <t xml:space="preserve">含百搭的出现</t>
    </r>
    <r>
      <rPr>
        <sz val="11"/>
        <color rgb="FF000000"/>
        <rFont val="Cambria"/>
        <family val="0"/>
        <charset val="1"/>
      </rPr>
      <t xml:space="preserve">/</t>
    </r>
    <r>
      <rPr>
        <sz val="11"/>
        <color rgb="FF000000"/>
        <rFont val="Noto Sans SC"/>
        <family val="2"/>
        <charset val="134"/>
      </rPr>
      <t xml:space="preserve">不出现几率 </t>
    </r>
    <r>
      <rPr>
        <sz val="11"/>
        <color rgb="FF000000"/>
        <rFont val="Cambria"/>
        <family val="0"/>
        <charset val="1"/>
      </rPr>
      <t xml:space="preserve">× </t>
    </r>
    <r>
      <rPr>
        <sz val="11"/>
        <color rgb="FF000000"/>
        <rFont val="Noto Sans SC"/>
        <family val="2"/>
        <charset val="134"/>
      </rPr>
      <t xml:space="preserve">赔率</t>
    </r>
  </si>
  <si>
    <r>
      <rPr>
        <sz val="11"/>
        <color rgb="FF000000"/>
        <rFont val="Noto Sans SC"/>
        <family val="2"/>
        <charset val="134"/>
      </rPr>
      <t xml:space="preserve">标准图标 </t>
    </r>
    <r>
      <rPr>
        <sz val="11"/>
        <color rgb="FF000000"/>
        <rFont val="Cambria"/>
        <family val="0"/>
        <charset val="1"/>
      </rPr>
      <t xml:space="preserve">RTP</t>
    </r>
    <r>
      <rPr>
        <sz val="11"/>
        <color rgb="FF000000"/>
        <rFont val="Noto Sans SC"/>
        <family val="2"/>
        <charset val="134"/>
      </rPr>
      <t xml:space="preserve">（整体）</t>
    </r>
  </si>
  <si>
    <r>
      <rPr>
        <sz val="11"/>
        <color rgb="FF000000"/>
        <rFont val="Noto Sans SC"/>
        <family val="2"/>
        <charset val="134"/>
      </rPr>
      <t xml:space="preserve">单线 </t>
    </r>
    <r>
      <rPr>
        <sz val="11"/>
        <color rgb="FF000000"/>
        <rFont val="Cambria"/>
        <family val="0"/>
        <charset val="1"/>
      </rPr>
      <t xml:space="preserve">RTP × </t>
    </r>
    <r>
      <rPr>
        <sz val="11"/>
        <color rgb="FF000000"/>
        <rFont val="Noto Sans SC"/>
        <family val="2"/>
        <charset val="134"/>
      </rPr>
      <t xml:space="preserve">线数</t>
    </r>
  </si>
  <si>
    <r>
      <rPr>
        <sz val="11"/>
        <color rgb="FF000000"/>
        <rFont val="Noto Sans SC"/>
        <family val="2"/>
        <charset val="134"/>
      </rPr>
      <t xml:space="preserve">单次 </t>
    </r>
    <r>
      <rPr>
        <sz val="11"/>
        <color rgb="FF000000"/>
        <rFont val="Cambria"/>
        <family val="0"/>
        <charset val="1"/>
      </rPr>
      <t xml:space="preserve">Jackpot </t>
    </r>
    <r>
      <rPr>
        <sz val="11"/>
        <color rgb="FF000000"/>
        <rFont val="Noto Sans SC"/>
        <family val="2"/>
        <charset val="134"/>
      </rPr>
      <t xml:space="preserve">期望（倍注）</t>
    </r>
  </si>
  <si>
    <r>
      <rPr>
        <sz val="11"/>
        <color rgb="FF000000"/>
        <rFont val="Cambria"/>
        <family val="0"/>
        <charset val="1"/>
      </rPr>
      <t xml:space="preserve">Σ</t>
    </r>
    <r>
      <rPr>
        <sz val="11"/>
        <color rgb="FF000000"/>
        <rFont val="Noto Sans SC"/>
        <family val="2"/>
        <charset val="134"/>
      </rPr>
      <t xml:space="preserve">（池倍数 </t>
    </r>
    <r>
      <rPr>
        <sz val="11"/>
        <color rgb="FF000000"/>
        <rFont val="Cambria"/>
        <family val="0"/>
        <charset val="1"/>
      </rPr>
      <t xml:space="preserve">× </t>
    </r>
    <r>
      <rPr>
        <sz val="11"/>
        <color rgb="FF000000"/>
        <rFont val="Noto Sans SC"/>
        <family val="2"/>
        <charset val="134"/>
      </rPr>
      <t xml:space="preserve">抽取几率）</t>
    </r>
  </si>
  <si>
    <r>
      <rPr>
        <sz val="11"/>
        <color rgb="FF000000"/>
        <rFont val="Cambria"/>
        <family val="0"/>
        <charset val="1"/>
      </rPr>
      <t xml:space="preserve">Jackpot </t>
    </r>
    <r>
      <rPr>
        <sz val="11"/>
        <color rgb="FF000000"/>
        <rFont val="Noto Sans SC"/>
        <family val="2"/>
        <charset val="134"/>
      </rPr>
      <t xml:space="preserve">触发几率</t>
    </r>
  </si>
  <si>
    <r>
      <rPr>
        <sz val="11"/>
        <color rgb="FF000000"/>
        <rFont val="Cambria"/>
        <family val="0"/>
        <charset val="1"/>
      </rPr>
      <t xml:space="preserve">P(JP </t>
    </r>
    <r>
      <rPr>
        <sz val="11"/>
        <color rgb="FF000000"/>
        <rFont val="Noto Sans SC"/>
        <family val="2"/>
        <charset val="134"/>
      </rPr>
      <t xml:space="preserve">图标 ≥ </t>
    </r>
    <r>
      <rPr>
        <sz val="11"/>
        <color rgb="FF000000"/>
        <rFont val="Cambria"/>
        <family val="0"/>
        <charset val="1"/>
      </rPr>
      <t xml:space="preserve">5)</t>
    </r>
  </si>
  <si>
    <t xml:space="preserve">Jackpot RTP</t>
  </si>
  <si>
    <r>
      <rPr>
        <sz val="11"/>
        <color rgb="FF000000"/>
        <rFont val="Noto Sans SC"/>
        <family val="2"/>
        <charset val="134"/>
      </rPr>
      <t xml:space="preserve">触发几率 </t>
    </r>
    <r>
      <rPr>
        <sz val="11"/>
        <color rgb="FF000000"/>
        <rFont val="Cambria"/>
        <family val="0"/>
        <charset val="1"/>
      </rPr>
      <t xml:space="preserve">× </t>
    </r>
    <r>
      <rPr>
        <sz val="11"/>
        <color rgb="FF000000"/>
        <rFont val="Noto Sans SC"/>
        <family val="2"/>
        <charset val="134"/>
      </rPr>
      <t xml:space="preserve">单次期望（两者同为倍注口径）</t>
    </r>
  </si>
  <si>
    <r>
      <rPr>
        <sz val="11"/>
        <color rgb="FF000000"/>
        <rFont val="Noto Sans SC"/>
        <family val="2"/>
        <charset val="134"/>
      </rPr>
      <t xml:space="preserve">综合 </t>
    </r>
    <r>
      <rPr>
        <sz val="11"/>
        <color rgb="FF000000"/>
        <rFont val="Cambria"/>
        <family val="0"/>
        <charset val="1"/>
      </rPr>
      <t xml:space="preserve">RTP</t>
    </r>
  </si>
  <si>
    <r>
      <rPr>
        <sz val="11"/>
        <color rgb="FF000000"/>
        <rFont val="Noto Sans SC"/>
        <family val="2"/>
        <charset val="134"/>
      </rPr>
      <t xml:space="preserve">标准图标 </t>
    </r>
    <r>
      <rPr>
        <sz val="11"/>
        <color rgb="FF000000"/>
        <rFont val="Cambria"/>
        <family val="0"/>
        <charset val="1"/>
      </rPr>
      <t xml:space="preserve">RTP</t>
    </r>
    <r>
      <rPr>
        <sz val="11"/>
        <color rgb="FF000000"/>
        <rFont val="Noto Sans SC"/>
        <family val="2"/>
        <charset val="134"/>
      </rPr>
      <t xml:space="preserve">（整体）＋ </t>
    </r>
    <r>
      <rPr>
        <sz val="11"/>
        <color rgb="FF000000"/>
        <rFont val="Cambria"/>
        <family val="0"/>
        <charset val="1"/>
      </rPr>
      <t xml:space="preserve">Jackpot RTP</t>
    </r>
  </si>
  <si>
    <r>
      <rPr>
        <sz val="11"/>
        <color rgb="FF808080"/>
        <rFont val="Noto Sans SC"/>
        <family val="2"/>
        <charset val="134"/>
      </rPr>
      <t xml:space="preserve">口径：</t>
    </r>
    <r>
      <rPr>
        <sz val="11"/>
        <color rgb="FF808080"/>
        <rFont val="Cambria"/>
        <family val="0"/>
        <charset val="1"/>
      </rPr>
      <t xml:space="preserve">36 </t>
    </r>
    <r>
      <rPr>
        <sz val="11"/>
        <color rgb="FF808080"/>
        <rFont val="Noto Sans SC"/>
        <family val="2"/>
        <charset val="134"/>
      </rPr>
      <t xml:space="preserve">标准图标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是「单线」结果，需乘线数才是整体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；</t>
    </r>
    <r>
      <rPr>
        <sz val="11"/>
        <color rgb="FF808080"/>
        <rFont val="Cambria"/>
        <family val="0"/>
        <charset val="1"/>
      </rPr>
      <t xml:space="preserve">Jackpot </t>
    </r>
    <r>
      <rPr>
        <sz val="11"/>
        <color rgb="FF808080"/>
        <rFont val="Noto Sans SC"/>
        <family val="2"/>
        <charset val="134"/>
      </rPr>
      <t xml:space="preserve">的奖金以总注（</t>
    </r>
    <r>
      <rPr>
        <sz val="11"/>
        <color rgb="FF808080"/>
        <rFont val="Cambria"/>
        <family val="0"/>
        <charset val="1"/>
      </rPr>
      <t xml:space="preserve">Bet</t>
    </r>
    <r>
      <rPr>
        <sz val="11"/>
        <color rgb="FF808080"/>
        <rFont val="Noto Sans SC"/>
        <family val="2"/>
        <charset val="134"/>
      </rPr>
      <t xml:space="preserve">）为倍数，故其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直接与整体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相加；</t>
    </r>
  </si>
  <si>
    <r>
      <rPr>
        <sz val="11"/>
        <color rgb="FF808080"/>
        <rFont val="Noto Sans SC"/>
        <family val="2"/>
        <charset val="134"/>
      </rPr>
      <t xml:space="preserve">　　　</t>
    </r>
    <r>
      <rPr>
        <sz val="11"/>
        <color rgb="FF808080"/>
        <rFont val="Cambria"/>
        <family val="0"/>
        <charset val="1"/>
      </rPr>
      <t xml:space="preserve">37 </t>
    </r>
    <r>
      <rPr>
        <sz val="11"/>
        <color rgb="FF808080"/>
        <rFont val="Noto Sans SC"/>
        <family val="2"/>
        <charset val="134"/>
      </rPr>
      <t xml:space="preserve">本表 </t>
    </r>
    <r>
      <rPr>
        <sz val="11"/>
        <color rgb="FF808080"/>
        <rFont val="Cambria"/>
        <family val="0"/>
        <charset val="1"/>
      </rPr>
      <t xml:space="preserve">Jackpot RTP </t>
    </r>
    <r>
      <rPr>
        <sz val="11"/>
        <color rgb="FF808080"/>
        <rFont val="Noto Sans SC"/>
        <family val="2"/>
        <charset val="134"/>
      </rPr>
      <t xml:space="preserve">用「触发几率 </t>
    </r>
    <r>
      <rPr>
        <sz val="11"/>
        <color rgb="FF808080"/>
        <rFont val="Cambria"/>
        <family val="0"/>
        <charset val="1"/>
      </rPr>
      <t xml:space="preserve">× </t>
    </r>
    <r>
      <rPr>
        <sz val="11"/>
        <color rgb="FF808080"/>
        <rFont val="Noto Sans SC"/>
        <family val="2"/>
        <charset val="134"/>
      </rPr>
      <t xml:space="preserve">单次期望」，与原文「逐个 </t>
    </r>
    <r>
      <rPr>
        <sz val="11"/>
        <color rgb="FF808080"/>
        <rFont val="Cambria"/>
        <family val="0"/>
        <charset val="1"/>
      </rPr>
      <t xml:space="preserve">k </t>
    </r>
    <r>
      <rPr>
        <sz val="11"/>
        <color rgb="FF808080"/>
        <rFont val="Noto Sans SC"/>
        <family val="2"/>
        <charset val="134"/>
      </rPr>
      <t xml:space="preserve">求和」等价（单次期望与 </t>
    </r>
    <r>
      <rPr>
        <sz val="11"/>
        <color rgb="FF808080"/>
        <rFont val="Cambria"/>
        <family val="0"/>
        <charset val="1"/>
      </rPr>
      <t xml:space="preserve">k </t>
    </r>
    <r>
      <rPr>
        <sz val="11"/>
        <color rgb="FF808080"/>
        <rFont val="Noto Sans SC"/>
        <family val="2"/>
        <charset val="134"/>
      </rPr>
      <t xml:space="preserve">无关）；</t>
    </r>
  </si>
  <si>
    <r>
      <rPr>
        <sz val="11"/>
        <color rgb="FF808080"/>
        <rFont val="Cambria"/>
        <family val="0"/>
        <charset val="1"/>
      </rPr>
      <t xml:space="preserve">37 Jackpot </t>
    </r>
    <r>
      <rPr>
        <sz val="11"/>
        <color rgb="FF808080"/>
        <rFont val="Noto Sans SC"/>
        <family val="2"/>
        <charset val="134"/>
      </rPr>
      <t xml:space="preserve">图标被视作类 </t>
    </r>
    <r>
      <rPr>
        <sz val="11"/>
        <color rgb="FF808080"/>
        <rFont val="Cambria"/>
        <family val="0"/>
        <charset val="1"/>
      </rPr>
      <t xml:space="preserve">Scatter</t>
    </r>
    <r>
      <rPr>
        <sz val="11"/>
        <color rgb="FF808080"/>
        <rFont val="Noto Sans SC"/>
        <family val="2"/>
        <charset val="134"/>
      </rPr>
      <t xml:space="preserve">，任何位置都可触发，故用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SC"/>
        <family val="2"/>
        <charset val="134"/>
      </rPr>
      <t xml:space="preserve">个位置的二项分布；</t>
    </r>
  </si>
  <si>
    <r>
      <rPr>
        <sz val="11"/>
        <color rgb="FF808080"/>
        <rFont val="Cambria"/>
        <family val="0"/>
        <charset val="1"/>
      </rPr>
      <t xml:space="preserve">40 </t>
    </r>
    <r>
      <rPr>
        <sz val="11"/>
        <color rgb="FF808080"/>
        <rFont val="Noto Sans SC"/>
        <family val="2"/>
        <charset val="134"/>
      </rPr>
      <t xml:space="preserve">换成累加式 </t>
    </r>
    <r>
      <rPr>
        <sz val="11"/>
        <color rgb="FF808080"/>
        <rFont val="Cambria"/>
        <family val="0"/>
        <charset val="1"/>
      </rPr>
      <t xml:space="preserve">Jackpot </t>
    </r>
    <r>
      <rPr>
        <sz val="11"/>
        <color rgb="FF808080"/>
        <rFont val="Noto Sans SC"/>
        <family val="2"/>
        <charset val="134"/>
      </rPr>
      <t xml:space="preserve">时步骤不变，只需另外考虑累加机制对触发几率与奖金期望的影响。</t>
    </r>
  </si>
  <si>
    <r>
      <rPr>
        <b val="true"/>
        <sz val="11"/>
        <color rgb="FF1F4E79"/>
        <rFont val="Noto Sans SC"/>
        <family val="2"/>
        <charset val="134"/>
      </rPr>
      <t xml:space="preserve">【原文对照】</t>
    </r>
    <r>
      <rPr>
        <b val="true"/>
        <sz val="11"/>
        <color rgb="FF1F4E79"/>
        <rFont val="Cambria"/>
        <family val="0"/>
        <charset val="1"/>
      </rPr>
      <t xml:space="preserve">Jackpot </t>
    </r>
    <r>
      <rPr>
        <b val="true"/>
        <sz val="11"/>
        <color rgb="FF1F4E79"/>
        <rFont val="Noto Sans SC"/>
        <family val="2"/>
        <charset val="134"/>
      </rPr>
      <t xml:space="preserve">抽取几率与期望（原文配图：</t>
    </r>
    <r>
      <rPr>
        <b val="true"/>
        <sz val="11"/>
        <color rgb="FF1F4E79"/>
        <rFont val="Cambria"/>
        <family val="0"/>
        <charset val="1"/>
      </rPr>
      <t xml:space="preserve">10,000 </t>
    </r>
    <r>
      <rPr>
        <b val="true"/>
        <sz val="11"/>
        <color rgb="FF1F4E79"/>
        <rFont val="Noto Sans SC"/>
        <family val="2"/>
        <charset val="134"/>
      </rPr>
      <t xml:space="preserve">权重制，蓝字可改）</t>
    </r>
  </si>
  <si>
    <t xml:space="preserve">奖池名称</t>
  </si>
  <si>
    <t xml:space="preserve">设置几率</t>
  </si>
  <si>
    <t xml:space="preserve">计算机率</t>
  </si>
  <si>
    <t xml:space="preserve">奖池倍数</t>
  </si>
  <si>
    <t xml:space="preserve">期望</t>
  </si>
  <si>
    <t xml:space="preserve">合计</t>
  </si>
  <si>
    <r>
      <rPr>
        <sz val="11"/>
        <color rgb="FF000000"/>
        <rFont val="Noto Sans SC"/>
        <family val="2"/>
        <charset val="134"/>
      </rPr>
      <t xml:space="preserve">原文：</t>
    </r>
    <r>
      <rPr>
        <sz val="11"/>
        <color rgb="FF000000"/>
        <rFont val="Cambria"/>
        <family val="0"/>
        <charset val="1"/>
      </rPr>
      <t xml:space="preserve">71.2500</t>
    </r>
  </si>
  <si>
    <r>
      <rPr>
        <b val="true"/>
        <sz val="11"/>
        <color rgb="FF1F4E79"/>
        <rFont val="Noto Sans SC"/>
        <family val="2"/>
        <charset val="134"/>
      </rPr>
      <t xml:space="preserve">【原文对照】综合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（原文配图：期望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实际）</t>
    </r>
  </si>
  <si>
    <t xml:space="preserve">模式</t>
  </si>
  <si>
    <t xml:space="preserve">实际</t>
  </si>
  <si>
    <t xml:space="preserve">普通摇</t>
  </si>
  <si>
    <t xml:space="preserve">原文</t>
  </si>
  <si>
    <r>
      <rPr>
        <sz val="11"/>
        <color rgb="FF000000"/>
        <rFont val="Noto Sans SC"/>
        <family val="2"/>
        <charset val="134"/>
      </rPr>
      <t xml:space="preserve">原文：</t>
    </r>
    <r>
      <rPr>
        <sz val="11"/>
        <color rgb="FF000000"/>
        <rFont val="Cambria"/>
        <family val="0"/>
        <charset val="1"/>
      </rPr>
      <t xml:space="preserve">0.9500 / 0.9750</t>
    </r>
  </si>
  <si>
    <t xml:space="preserve">【配表自检】</t>
  </si>
  <si>
    <t xml:space="preserve">检查项</t>
  </si>
  <si>
    <t xml:space="preserve">结果</t>
  </si>
  <si>
    <r>
      <rPr>
        <sz val="11"/>
        <color rgb="FF000000"/>
        <rFont val="Noto Sans SC"/>
        <family val="2"/>
        <charset val="134"/>
      </rPr>
      <t xml:space="preserve">四池设置几率合计 ＝ </t>
    </r>
    <r>
      <rPr>
        <sz val="11"/>
        <color rgb="FF000000"/>
        <rFont val="Cambria"/>
        <family val="0"/>
        <charset val="1"/>
      </rPr>
      <t xml:space="preserve">10,000</t>
    </r>
  </si>
  <si>
    <r>
      <rPr>
        <sz val="11"/>
        <color rgb="FF000000"/>
        <rFont val="Noto Sans SC"/>
        <family val="2"/>
        <charset val="134"/>
      </rPr>
      <t xml:space="preserve">每池 </t>
    </r>
    <r>
      <rPr>
        <sz val="11"/>
        <color rgb="FF000000"/>
        <rFont val="Cambria"/>
        <family val="0"/>
        <charset val="1"/>
      </rPr>
      <t xml:space="preserve">2,500</t>
    </r>
  </si>
  <si>
    <r>
      <rPr>
        <sz val="11"/>
        <color rgb="FF000000"/>
        <rFont val="Noto Sans SC"/>
        <family val="2"/>
        <charset val="134"/>
      </rPr>
      <t xml:space="preserve">四池期望合计 ＝ </t>
    </r>
    <r>
      <rPr>
        <sz val="11"/>
        <color rgb="FF000000"/>
        <rFont val="Cambria"/>
        <family val="0"/>
        <charset val="1"/>
      </rPr>
      <t xml:space="preserve">71.2500</t>
    </r>
  </si>
  <si>
    <t xml:space="preserve">原文配图</t>
  </si>
  <si>
    <r>
      <rPr>
        <sz val="11"/>
        <color rgb="FF000000"/>
        <rFont val="Noto Sans SC"/>
        <family val="2"/>
        <charset val="134"/>
      </rPr>
      <t xml:space="preserve">综合 </t>
    </r>
    <r>
      <rPr>
        <sz val="11"/>
        <color rgb="FF000000"/>
        <rFont val="Cambria"/>
        <family val="0"/>
        <charset val="1"/>
      </rPr>
      <t xml:space="preserve">RTP </t>
    </r>
    <r>
      <rPr>
        <sz val="11"/>
        <color rgb="FF000000"/>
        <rFont val="Noto Sans SC"/>
        <family val="2"/>
        <charset val="134"/>
      </rPr>
      <t xml:space="preserve">期望合计 ＝ </t>
    </r>
    <r>
      <rPr>
        <sz val="11"/>
        <color rgb="FF000000"/>
        <rFont val="Cambria"/>
        <family val="0"/>
        <charset val="1"/>
      </rPr>
      <t xml:space="preserve">0.9500</t>
    </r>
  </si>
  <si>
    <r>
      <rPr>
        <sz val="11"/>
        <color rgb="FF000000"/>
        <rFont val="Cambria"/>
        <family val="0"/>
        <charset val="1"/>
      </rPr>
      <t xml:space="preserve">0.8000 </t>
    </r>
    <r>
      <rPr>
        <sz val="11"/>
        <color rgb="FF000000"/>
        <rFont val="Noto Sans SC"/>
        <family val="2"/>
        <charset val="134"/>
      </rPr>
      <t xml:space="preserve">＋ </t>
    </r>
    <r>
      <rPr>
        <sz val="11"/>
        <color rgb="FF000000"/>
        <rFont val="Cambria"/>
        <family val="0"/>
        <charset val="1"/>
      </rPr>
      <t xml:space="preserve">0.1500</t>
    </r>
  </si>
  <si>
    <r>
      <rPr>
        <sz val="11"/>
        <color rgb="FF000000"/>
        <rFont val="Noto Sans SC"/>
        <family val="2"/>
        <charset val="134"/>
      </rPr>
      <t xml:space="preserve">综合 </t>
    </r>
    <r>
      <rPr>
        <sz val="11"/>
        <color rgb="FF000000"/>
        <rFont val="Cambria"/>
        <family val="0"/>
        <charset val="1"/>
      </rPr>
      <t xml:space="preserve">RTP </t>
    </r>
    <r>
      <rPr>
        <sz val="11"/>
        <color rgb="FF000000"/>
        <rFont val="Noto Sans SC"/>
        <family val="2"/>
        <charset val="134"/>
      </rPr>
      <t xml:space="preserve">实际合计 ＝ </t>
    </r>
    <r>
      <rPr>
        <sz val="11"/>
        <color rgb="FF000000"/>
        <rFont val="Cambria"/>
        <family val="0"/>
        <charset val="1"/>
      </rPr>
      <t xml:space="preserve">0.9750</t>
    </r>
  </si>
  <si>
    <r>
      <rPr>
        <sz val="11"/>
        <color rgb="FF000000"/>
        <rFont val="Cambria"/>
        <family val="0"/>
        <charset val="1"/>
      </rPr>
      <t xml:space="preserve">0.8432 </t>
    </r>
    <r>
      <rPr>
        <sz val="11"/>
        <color rgb="FF000000"/>
        <rFont val="Noto Sans SC"/>
        <family val="2"/>
        <charset val="134"/>
      </rPr>
      <t xml:space="preserve">＋ </t>
    </r>
    <r>
      <rPr>
        <sz val="11"/>
        <color rgb="FF000000"/>
        <rFont val="Cambria"/>
        <family val="0"/>
        <charset val="1"/>
      </rPr>
      <t xml:space="preserve">0.1318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</si>
</sst>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00%"/>
    <numFmt numFmtId="167" formatCode="#,##0"/>
    <numFmt numFmtId="168" formatCode="0.000000%"/>
    <numFmt numFmtId="169" formatCode="0.0000"/>
    <numFmt numFmtId="170" formatCode="0.0000000000%"/>
  </numFmts>
  <fonts count="1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SC"/>
      <family val="2"/>
      <charset val="134"/>
    </font>
    <font>
      <sz val="11"/>
      <color rgb="FF000000"/>
      <name val="Noto Sans SC"/>
      <family val="2"/>
      <charset val="134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0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0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applyNumberFormat="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applyNumberFormat="1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applyNumberFormat="1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applyNumberFormat="1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applyNumberFormat="1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applyNumberFormat="1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1" outlineLevel="0" collapsed="false">
      <c r="A7" s="34" t="s">
        <v>4</v>
      </c>
      <c r="B7" s="4"/>
      <c r="C7" s="4"/>
      <c r="D7" s="4"/>
    </row>
    <row r="9" customFormat="false" ht="15.5" hidden="false" customHeight="false" outlineLevel="0" collapsed="false">
      <c r="A9" s="3" t="s">
        <v>5</v>
      </c>
    </row>
    <row r="10" customFormat="false" ht="29" hidden="false" customHeight="false" outlineLevel="0" collapsed="false">
      <c r="A10" s="35" t="s">
        <v>6</v>
      </c>
    </row>
    <row r="11" customFormat="false" ht="16" hidden="false" customHeight="false" outlineLevel="0" collapsed="false">
      <c r="A11" s="35" t="s">
        <v>7</v>
      </c>
    </row>
    <row r="12" customFormat="false" ht="41.5" hidden="false" customHeight="false" outlineLevel="0" collapsed="false">
      <c r="A12" s="35" t="s">
        <v>8</v>
      </c>
    </row>
    <row r="13" customFormat="false" ht="29" hidden="false" customHeight="false" outlineLevel="0" collapsed="false">
      <c r="A13" s="36" t="s">
        <v>9</v>
      </c>
    </row>
    <row r="15" customFormat="false" ht="15" hidden="false" customHeight="false" outlineLevel="0" collapsed="false">
      <c r="A15" s="3" t="s">
        <v>10</v>
      </c>
    </row>
    <row r="16" customFormat="false" ht="29" hidden="false" customHeight="false" outlineLevel="0" collapsed="false">
      <c r="A16" s="35" t="s">
        <v>11</v>
      </c>
    </row>
    <row r="17" customFormat="false" ht="30" hidden="false" customHeight="false" outlineLevel="0" collapsed="false">
      <c r="A17" s="36" t="s">
        <v>12</v>
      </c>
    </row>
    <row r="18" customFormat="false" ht="30" hidden="false" customHeight="false" outlineLevel="0" collapsed="false">
      <c r="A18" s="35" t="s">
        <v>13</v>
      </c>
    </row>
    <row r="19" customFormat="false" ht="29" hidden="false" customHeight="false" outlineLevel="0" collapsed="false">
      <c r="A19" s="36" t="s">
        <v>14</v>
      </c>
    </row>
    <row r="20" customFormat="false" ht="15" hidden="false" customHeight="1" outlineLevel="0" collapsed="false">
      <c r="A20" s="34" t="s">
        <v>15</v>
      </c>
      <c r="B20" s="4"/>
      <c r="C20" s="4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6" t="s">
        <v>17</v>
      </c>
    </row>
    <row r="24" customFormat="false" ht="29" hidden="false" customHeight="false" outlineLevel="0" collapsed="false">
      <c r="A24" s="36" t="s">
        <v>18</v>
      </c>
    </row>
    <row r="25" customFormat="false" ht="16" hidden="false" customHeight="false" outlineLevel="0" collapsed="false">
      <c r="A25" s="6" t="s">
        <v>19</v>
      </c>
    </row>
    <row r="26" customFormat="false" ht="43" hidden="false" customHeight="false" outlineLevel="0" collapsed="false">
      <c r="A26" s="36" t="s">
        <v>20</v>
      </c>
    </row>
    <row r="27" customFormat="false" ht="30" hidden="false" customHeight="false" outlineLevel="0" collapsed="false">
      <c r="A27" s="36" t="s">
        <v>21</v>
      </c>
    </row>
    <row r="28" customFormat="false" ht="43" hidden="false" customHeight="false" outlineLevel="0" collapsed="false">
      <c r="A28" s="36" t="s">
        <v>22</v>
      </c>
    </row>
    <row r="29" customFormat="false" ht="15" hidden="false" customHeight="1" outlineLevel="0" collapsed="false">
      <c r="A29" s="37" t="s">
        <v>23</v>
      </c>
      <c r="B29" s="7"/>
      <c r="C29" s="7"/>
    </row>
    <row r="31" customFormat="false" ht="15" hidden="false" customHeight="false" outlineLevel="0" collapsed="false">
      <c r="A31" s="3" t="s">
        <v>24</v>
      </c>
    </row>
    <row r="32" customFormat="false" ht="29" hidden="false" customHeight="false" outlineLevel="0" collapsed="false">
      <c r="A32" s="36" t="s">
        <v>25</v>
      </c>
    </row>
    <row r="33" customFormat="false" ht="29" hidden="false" customHeight="false" outlineLevel="0" collapsed="false">
      <c r="A33" s="36" t="s">
        <v>26</v>
      </c>
    </row>
    <row r="35" customFormat="false" ht="15.5" hidden="false" customHeight="false" outlineLevel="0" collapsed="false">
      <c r="A35" s="3" t="s">
        <v>27</v>
      </c>
    </row>
    <row r="36" customFormat="false" ht="15" hidden="false" customHeight="1" outlineLevel="0" collapsed="false">
      <c r="A36" s="37" t="s">
        <v>28</v>
      </c>
      <c r="B36" s="7"/>
      <c r="C36" s="7"/>
      <c r="D36" s="7"/>
      <c r="E36" s="7"/>
      <c r="F36" s="7"/>
      <c r="G36" s="7"/>
      <c r="H36" s="7"/>
    </row>
    <row r="37" customFormat="false" ht="28" hidden="false" customHeight="false" outlineLevel="0" collapsed="false">
      <c r="A37" s="36" t="s">
        <v>29</v>
      </c>
    </row>
    <row r="38" customFormat="false" ht="28" hidden="false" customHeight="false" outlineLevel="0" collapsed="false">
      <c r="A38" s="36" t="s">
        <v>30</v>
      </c>
    </row>
    <row r="41" customFormat="false" ht="15" hidden="false" customHeight="false" outlineLevel="0" collapsed="false">
      <c r="A41" s="8" t="s">
        <v>31</v>
      </c>
    </row>
    <row r="42" customFormat="false" ht="15" hidden="false" customHeight="false" outlineLevel="0" collapsed="false">
      <c r="A42" s="6"/>
    </row>
    <row r="43" customFormat="false" ht="29" hidden="false" customHeight="false" outlineLevel="0" collapsed="false">
      <c r="A43" s="36" t="s">
        <v>32</v>
      </c>
    </row>
    <row r="44" customFormat="false" ht="29" hidden="false" customHeight="false" outlineLevel="0" collapsed="false">
      <c r="A44" s="36" t="s">
        <v>33</v>
      </c>
    </row>
    <row r="45" customFormat="false" ht="16" hidden="false" customHeight="false" outlineLevel="0" collapsed="false">
      <c r="A45" s="6" t="s">
        <v>34</v>
      </c>
    </row>
    <row r="46" customFormat="false" ht="15" hidden="false" customHeight="false" outlineLevel="0" collapsed="false">
      <c r="A46" s="6"/>
    </row>
    <row r="47" customFormat="false" ht="16" hidden="false" customHeight="false" outlineLevel="0" collapsed="false">
      <c r="A47" s="6" t="s">
        <v>35</v>
      </c>
    </row>
    <row r="48" customFormat="false" ht="30" hidden="false" customHeight="false" outlineLevel="0" collapsed="false">
      <c r="A48" s="36" t="s">
        <v>36</v>
      </c>
    </row>
    <row r="49" customFormat="false" ht="29" hidden="false" customHeight="false" outlineLevel="0" collapsed="false">
      <c r="A49" s="35" t="s">
        <v>37</v>
      </c>
    </row>
    <row r="50" customFormat="false" ht="30" hidden="false" customHeight="false" outlineLevel="0" collapsed="false">
      <c r="A50" s="36" t="s">
        <v>38</v>
      </c>
    </row>
    <row r="51" customFormat="false" ht="42" hidden="false" customHeight="false" outlineLevel="0" collapsed="false">
      <c r="A51" s="36" t="s">
        <v>39</v>
      </c>
    </row>
    <row r="52" customFormat="false" ht="15" hidden="false" customHeight="false" outlineLevel="0" collapsed="false">
      <c r="A52" s="6"/>
    </row>
    <row r="53" customFormat="false" ht="16" hidden="false" customHeight="false" outlineLevel="0" collapsed="false">
      <c r="A53" s="6" t="s">
        <v>40</v>
      </c>
    </row>
    <row r="54" customFormat="false" ht="15" hidden="false" customHeight="false" outlineLevel="0" collapsed="false">
      <c r="A54" s="6"/>
    </row>
    <row r="55" customFormat="false" ht="27.5" hidden="false" customHeight="false" outlineLevel="0" collapsed="false">
      <c r="A55" s="36" t="s">
        <v>41</v>
      </c>
    </row>
    <row r="56" customFormat="false" ht="15" hidden="false" customHeight="false" outlineLevel="0" collapsed="false">
      <c r="A56" s="6"/>
    </row>
    <row r="57" customFormat="false" ht="30" hidden="false" customHeight="false" outlineLevel="0" collapsed="false">
      <c r="A57" s="36" t="s">
        <v>42</v>
      </c>
    </row>
    <row r="58" customFormat="false" ht="15" hidden="false" customHeight="false" outlineLevel="0" collapsed="false">
      <c r="A58" s="6" t="s">
        <v>43</v>
      </c>
    </row>
    <row r="59" customFormat="false" ht="16" hidden="false" customHeight="false" outlineLevel="0" collapsed="false">
      <c r="A59" s="5" t="s">
        <v>44</v>
      </c>
    </row>
    <row r="60" customFormat="false" ht="16" hidden="false" customHeight="false" outlineLevel="0" collapsed="false">
      <c r="A60" s="6" t="s">
        <v>45</v>
      </c>
    </row>
    <row r="61" customFormat="false" ht="16" hidden="false" customHeight="false" outlineLevel="0" collapsed="false">
      <c r="A61" s="6" t="s">
        <v>46</v>
      </c>
    </row>
    <row r="62" customFormat="false" ht="16" hidden="false" customHeight="false" outlineLevel="0" collapsed="false">
      <c r="A62" s="39">
        <v>5</v>
      </c>
    </row>
    <row r="63" customFormat="false" ht="16" hidden="false" customHeight="false" outlineLevel="0" collapsed="false">
      <c r="A63" s="39">
        <v>4</v>
      </c>
    </row>
    <row r="64" customFormat="false" ht="16" hidden="false" customHeight="false" outlineLevel="0" collapsed="false">
      <c r="A64" s="39">
        <v>2</v>
      </c>
    </row>
    <row r="65" customFormat="false" ht="16" hidden="false" customHeight="false" outlineLevel="0" collapsed="false">
      <c r="A65" s="6" t="s">
        <v>50</v>
      </c>
    </row>
    <row r="66" customFormat="false" ht="30" hidden="false" customHeight="false" outlineLevel="0" collapsed="false">
      <c r="A66" s="36" t="s">
        <v>51</v>
      </c>
    </row>
    <row r="67" customFormat="false" ht="30" hidden="false" customHeight="false" outlineLevel="0" collapsed="false">
      <c r="A67" s="35" t="s">
        <v>52</v>
      </c>
    </row>
    <row r="68" customFormat="false" ht="15" hidden="false" customHeight="1" outlineLevel="0" collapsed="false">
      <c r="A68" s="37" t="s">
        <v>53</v>
      </c>
      <c r="B68" s="7"/>
      <c r="C68" s="7"/>
      <c r="D68" s="7"/>
    </row>
    <row r="69" customFormat="false" ht="15" hidden="false" customHeight="false" outlineLevel="0" collapsed="false">
      <c r="A69" s="6"/>
    </row>
    <row r="70" customFormat="false" ht="16" hidden="false" customHeight="false" outlineLevel="0" collapsed="false">
      <c r="A70" s="6" t="s">
        <v>54</v>
      </c>
    </row>
    <row r="71" customFormat="false" ht="15" hidden="false" customHeight="false" outlineLevel="0" collapsed="false">
      <c r="A71" s="6"/>
    </row>
    <row r="72" customFormat="false" ht="30" hidden="false" customHeight="false" outlineLevel="0" collapsed="false">
      <c r="A72" s="36" t="s">
        <v>55</v>
      </c>
    </row>
    <row r="73" customFormat="false" ht="15" hidden="false" customHeight="false" outlineLevel="0" collapsed="false">
      <c r="A73" s="6"/>
    </row>
    <row r="74" customFormat="false" ht="15" hidden="false" customHeight="false" outlineLevel="0" collapsed="false">
      <c r="A74" s="6" t="s">
        <v>56</v>
      </c>
    </row>
    <row r="75" customFormat="false" ht="15" hidden="false" customHeight="false" outlineLevel="0" collapsed="false">
      <c r="A75" s="6" t="s">
        <v>57</v>
      </c>
    </row>
    <row r="76" customFormat="false" ht="15" hidden="false" customHeight="false" outlineLevel="0" collapsed="false">
      <c r="A76" s="6"/>
    </row>
    <row r="77" customFormat="false" ht="16" hidden="false" customHeight="false" outlineLevel="0" collapsed="false">
      <c r="A77" s="6" t="s">
        <v>58</v>
      </c>
    </row>
    <row r="78" customFormat="false" ht="15" hidden="false" customHeight="false" outlineLevel="0" collapsed="false">
      <c r="A78" s="6"/>
    </row>
    <row r="79" customFormat="false" ht="28" hidden="false" customHeight="false" outlineLevel="0" collapsed="false">
      <c r="A79" s="36" t="s">
        <v>59</v>
      </c>
    </row>
    <row r="80" customFormat="false" ht="15" hidden="false" customHeight="false" outlineLevel="0" collapsed="false">
      <c r="A80" s="6"/>
    </row>
    <row r="81" customFormat="false" ht="16" hidden="false" customHeight="false" outlineLevel="0" collapsed="false">
      <c r="A81" s="6" t="s">
        <v>60</v>
      </c>
    </row>
    <row r="82" customFormat="false" ht="15" hidden="false" customHeight="false" outlineLevel="0" collapsed="false">
      <c r="A82" s="6"/>
    </row>
    <row r="83" customFormat="false" ht="30" hidden="false" customHeight="false" outlineLevel="0" collapsed="false">
      <c r="A83" s="36" t="s">
        <v>61</v>
      </c>
    </row>
    <row r="84" customFormat="false" ht="16" hidden="false" customHeight="false" outlineLevel="0" collapsed="false">
      <c r="A84" s="6" t="s">
        <v>62</v>
      </c>
    </row>
    <row r="85" customFormat="false" ht="15" hidden="false" customHeight="false" outlineLevel="0" collapsed="false">
      <c r="A85" s="6"/>
    </row>
    <row r="86" customFormat="false" ht="16" hidden="false" customHeight="false" outlineLevel="0" collapsed="false">
      <c r="A86" s="6" t="s">
        <v>63</v>
      </c>
    </row>
    <row r="87" customFormat="false" ht="15" hidden="false" customHeight="false" outlineLevel="0" collapsed="false">
      <c r="A87" s="6"/>
    </row>
    <row r="88" customFormat="false" ht="16" hidden="false" customHeight="false" outlineLevel="0" collapsed="false">
      <c r="A88" s="6" t="s">
        <v>64</v>
      </c>
    </row>
    <row r="89" customFormat="false" ht="29" hidden="false" customHeight="false" outlineLevel="0" collapsed="false">
      <c r="A89" s="36" t="s">
        <v>65</v>
      </c>
    </row>
    <row r="90" customFormat="false" ht="15" hidden="false" customHeight="false" outlineLevel="0" collapsed="false">
      <c r="A90" s="36" t="s">
        <v>66</v>
      </c>
    </row>
    <row r="91" customFormat="false" ht="30" hidden="false" customHeight="false" outlineLevel="0" collapsed="false">
      <c r="A91" s="36" t="s">
        <v>67</v>
      </c>
    </row>
    <row r="92" customFormat="false" ht="28" hidden="false" customHeight="false" outlineLevel="0" collapsed="false">
      <c r="A92" s="36" t="s">
        <v>68</v>
      </c>
    </row>
    <row r="93" customFormat="false" ht="15" hidden="false" customHeight="false" outlineLevel="0" collapsed="false">
      <c r="A93" s="6"/>
    </row>
    <row r="94" customFormat="false" ht="16" hidden="false" customHeight="false" outlineLevel="0" collapsed="false">
      <c r="A94" s="6" t="s">
        <v>69</v>
      </c>
    </row>
    <row r="95" customFormat="false" ht="15" hidden="false" customHeight="false" outlineLevel="0" collapsed="false">
      <c r="A95" s="6"/>
    </row>
    <row r="96" customFormat="false" ht="28" hidden="false" customHeight="false" outlineLevel="0" collapsed="false">
      <c r="A96" s="36" t="s">
        <v>70</v>
      </c>
    </row>
    <row r="97" customFormat="false" ht="16" hidden="false" customHeight="false" outlineLevel="0" collapsed="false">
      <c r="A97" s="36" t="s">
        <v>71</v>
      </c>
    </row>
    <row r="98" customFormat="false" ht="16" hidden="false" customHeight="false" outlineLevel="0" collapsed="false">
      <c r="A98" s="6" t="s">
        <v>72</v>
      </c>
    </row>
    <row r="99" customFormat="false" ht="29" hidden="false" customHeight="false" outlineLevel="0" collapsed="false">
      <c r="A99" s="36" t="s">
        <v>73</v>
      </c>
    </row>
    <row r="100" customFormat="false" ht="15" hidden="false" customHeight="1" outlineLevel="0" collapsed="false">
      <c r="A100" s="37" t="s">
        <v>74</v>
      </c>
      <c r="B100" s="7"/>
      <c r="C100" s="7"/>
      <c r="D100" s="7"/>
      <c r="E100" s="7"/>
    </row>
    <row r="101" customFormat="false" ht="30" hidden="false" customHeight="false" outlineLevel="0" collapsed="false">
      <c r="A101" s="36" t="s">
        <v>75</v>
      </c>
    </row>
    <row r="102" customFormat="false" ht="15" hidden="false" customHeight="false" outlineLevel="0" collapsed="false">
      <c r="A102" s="6"/>
    </row>
    <row r="103" customFormat="false" ht="16" hidden="false" customHeight="false" outlineLevel="0" collapsed="false">
      <c r="A103" s="6" t="s">
        <v>76</v>
      </c>
    </row>
    <row r="104" customFormat="false" ht="15" hidden="false" customHeight="false" outlineLevel="0" collapsed="false">
      <c r="A104" s="6"/>
    </row>
    <row r="105" customFormat="false" ht="16" hidden="false" customHeight="false" outlineLevel="0" collapsed="false">
      <c r="A105" s="6" t="s">
        <v>77</v>
      </c>
    </row>
    <row r="106" customFormat="false" ht="15" hidden="false" customHeight="1" outlineLevel="0" collapsed="false">
      <c r="A106" s="37" t="s">
        <v>78</v>
      </c>
      <c r="B106" s="7"/>
      <c r="C106" s="7"/>
      <c r="D106" s="7"/>
      <c r="E106" s="7"/>
      <c r="F106" s="7"/>
      <c r="G106" s="7"/>
      <c r="H106" s="7"/>
      <c r="I106" s="7"/>
    </row>
    <row r="107" customFormat="false" ht="15" hidden="false" customHeight="false" outlineLevel="0" collapsed="false">
      <c r="A107" s="6"/>
    </row>
    <row r="108" customFormat="false" ht="15.5" hidden="false" customHeight="false" outlineLevel="0" collapsed="false">
      <c r="A108" s="38" t="s">
        <v>79</v>
      </c>
    </row>
    <row r="109" customFormat="false" ht="16" hidden="false" customHeight="false" outlineLevel="0" collapsed="false">
      <c r="A109" s="6" t="s">
        <v>40</v>
      </c>
    </row>
    <row r="110" customFormat="false" ht="16" hidden="false" customHeight="false" outlineLevel="0" collapsed="false">
      <c r="A110" s="6" t="s">
        <v>54</v>
      </c>
    </row>
    <row r="111" customFormat="false" ht="16" hidden="false" customHeight="false" outlineLevel="0" collapsed="false">
      <c r="A111" s="6" t="s">
        <v>58</v>
      </c>
    </row>
    <row r="112" customFormat="false" ht="16" hidden="false" customHeight="false" outlineLevel="0" collapsed="false">
      <c r="A112" s="6" t="s">
        <v>60</v>
      </c>
    </row>
    <row r="113" customFormat="false" ht="16" hidden="false" customHeight="false" outlineLevel="0" collapsed="false">
      <c r="A113" s="6" t="s">
        <v>63</v>
      </c>
    </row>
    <row r="114" customFormat="false" ht="16" hidden="false" customHeight="false" outlineLevel="0" collapsed="false">
      <c r="A114" s="6" t="s">
        <v>69</v>
      </c>
    </row>
    <row r="115" customFormat="false" ht="16" hidden="false" customHeight="false" outlineLevel="0" collapsed="false">
      <c r="A115" s="6" t="s">
        <v>76</v>
      </c>
    </row>
    <row r="116" customFormat="false" ht="15" hidden="false" customHeight="false" outlineLevel="0" collapsed="false">
      <c r="A116" s="6"/>
    </row>
    <row r="117" customFormat="false" ht="15.5" hidden="false" customHeight="false" outlineLevel="0" collapsed="false">
      <c r="A117" s="8" t="s">
        <v>80</v>
      </c>
    </row>
    <row r="118" customFormat="false" ht="29" hidden="false" customHeight="false" outlineLevel="0" collapsed="false">
      <c r="A118" s="35" t="s">
        <v>81</v>
      </c>
    </row>
    <row r="119" customFormat="false" ht="29" hidden="false" customHeight="false" outlineLevel="0" collapsed="false">
      <c r="A119" s="35" t="s">
        <v>82</v>
      </c>
    </row>
  </sheetData>
  <mergeCells count="7">
    <mergeCell ref="A7:K7"/>
    <mergeCell ref="A20:J20"/>
    <mergeCell ref="A29:J29"/>
    <mergeCell ref="A36:R36"/>
    <mergeCell ref="A68:L68"/>
    <mergeCell ref="A100:N100"/>
    <mergeCell ref="A106:S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N139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9" width="27.31"/>
    <col collapsed="false" customWidth="true" hidden="false" outlineLevel="0" max="7" min="2" style="9" width="14.56"/>
    <col collapsed="false" customWidth="true" hidden="false" outlineLevel="0" max="8" min="8" style="9" width="49.13"/>
  </cols>
  <sheetData>
    <row r="1" customFormat="false" ht="19" hidden="false" customHeight="false" outlineLevel="0" collapsed="false">
      <c r="A1" s="10" t="s">
        <v>83</v>
      </c>
      <c r="B1" s="10"/>
      <c r="C1" s="10"/>
      <c r="D1" s="10"/>
      <c r="E1" s="10"/>
      <c r="F1" s="10"/>
      <c r="G1" s="10"/>
    </row>
    <row r="3" customFormat="false" ht="15.5" hidden="false" customHeight="false" outlineLevel="0" collapsed="false">
      <c r="A3" s="11" t="s">
        <v>84</v>
      </c>
      <c r="B3" s="11"/>
      <c r="C3" s="11"/>
      <c r="D3" s="11"/>
      <c r="E3" s="11"/>
      <c r="F3" s="11"/>
      <c r="G3" s="12"/>
      <c r="H3" s="12"/>
    </row>
    <row r="4" customFormat="false" ht="15.5" hidden="false" customHeight="false" outlineLevel="0" collapsed="false">
      <c r="A4" s="13" t="s">
        <v>85</v>
      </c>
      <c r="B4" s="13" t="s">
        <v>86</v>
      </c>
      <c r="C4" s="13" t="s">
        <v>87</v>
      </c>
      <c r="D4" s="40">
        <v>3</v>
      </c>
      <c r="E4" s="40">
        <v>4</v>
      </c>
      <c r="F4" s="40">
        <v>5</v>
      </c>
      <c r="G4" s="13" t="s">
        <v>91</v>
      </c>
    </row>
    <row r="5" customFormat="false" ht="15.5" hidden="false" customHeight="false" outlineLevel="0" collapsed="false">
      <c r="A5" s="15" t="s">
        <v>92</v>
      </c>
      <c r="B5" s="16" t="s">
        <v>93</v>
      </c>
      <c r="C5" s="16" t="s">
        <v>94</v>
      </c>
      <c r="D5" s="15" t="n">
        <v>2</v>
      </c>
      <c r="E5" s="15" t="n">
        <v>5</v>
      </c>
      <c r="F5" s="15" t="n">
        <v>20</v>
      </c>
      <c r="G5" s="17" t="s">
        <v>95</v>
      </c>
    </row>
    <row r="6" customFormat="false" ht="15.5" hidden="false" customHeight="false" outlineLevel="0" collapsed="false">
      <c r="A6" s="15" t="s">
        <v>96</v>
      </c>
      <c r="B6" s="16" t="s">
        <v>97</v>
      </c>
      <c r="C6" s="16" t="s">
        <v>94</v>
      </c>
      <c r="D6" s="15" t="n">
        <v>2</v>
      </c>
      <c r="E6" s="15" t="n">
        <v>5</v>
      </c>
      <c r="F6" s="15" t="n">
        <v>20</v>
      </c>
      <c r="G6" s="17"/>
    </row>
    <row r="7" customFormat="false" ht="15.5" hidden="false" customHeight="false" outlineLevel="0" collapsed="false">
      <c r="A7" s="15" t="s">
        <v>98</v>
      </c>
      <c r="B7" s="16" t="s">
        <v>99</v>
      </c>
      <c r="C7" s="16" t="s">
        <v>94</v>
      </c>
      <c r="D7" s="15" t="n">
        <v>2</v>
      </c>
      <c r="E7" s="15" t="n">
        <v>5</v>
      </c>
      <c r="F7" s="15" t="n">
        <v>20</v>
      </c>
      <c r="G7" s="17"/>
    </row>
    <row r="8" customFormat="false" ht="15.5" hidden="false" customHeight="false" outlineLevel="0" collapsed="false">
      <c r="A8" s="15" t="s">
        <v>100</v>
      </c>
      <c r="B8" s="16" t="s">
        <v>101</v>
      </c>
      <c r="C8" s="16" t="s">
        <v>94</v>
      </c>
      <c r="D8" s="15" t="n">
        <v>2</v>
      </c>
      <c r="E8" s="15" t="n">
        <v>4</v>
      </c>
      <c r="F8" s="15" t="n">
        <v>15</v>
      </c>
      <c r="G8" s="17"/>
    </row>
    <row r="9" customFormat="false" ht="15.5" hidden="false" customHeight="false" outlineLevel="0" collapsed="false">
      <c r="A9" s="15" t="s">
        <v>102</v>
      </c>
      <c r="B9" s="16" t="s">
        <v>103</v>
      </c>
      <c r="C9" s="16" t="s">
        <v>94</v>
      </c>
      <c r="D9" s="15" t="n">
        <v>2</v>
      </c>
      <c r="E9" s="15" t="n">
        <v>4</v>
      </c>
      <c r="F9" s="15" t="n">
        <v>15</v>
      </c>
      <c r="G9" s="17"/>
    </row>
    <row r="10" customFormat="false" ht="15.5" hidden="false" customHeight="false" outlineLevel="0" collapsed="false">
      <c r="A10" s="15" t="s">
        <v>104</v>
      </c>
      <c r="B10" s="16" t="s">
        <v>105</v>
      </c>
      <c r="C10" s="16" t="s">
        <v>94</v>
      </c>
      <c r="D10" s="15" t="n">
        <v>5</v>
      </c>
      <c r="E10" s="15" t="n">
        <v>25</v>
      </c>
      <c r="F10" s="15" t="n">
        <v>100</v>
      </c>
      <c r="G10" s="17" t="s">
        <v>106</v>
      </c>
    </row>
    <row r="11" customFormat="false" ht="15.5" hidden="false" customHeight="false" outlineLevel="0" collapsed="false">
      <c r="A11" s="15" t="s">
        <v>107</v>
      </c>
      <c r="B11" s="16" t="s">
        <v>108</v>
      </c>
      <c r="C11" s="16" t="s">
        <v>94</v>
      </c>
      <c r="D11" s="15" t="n">
        <v>5</v>
      </c>
      <c r="E11" s="15" t="n">
        <v>25</v>
      </c>
      <c r="F11" s="15" t="n">
        <v>100</v>
      </c>
      <c r="G11" s="17"/>
    </row>
    <row r="12" customFormat="false" ht="15.5" hidden="false" customHeight="false" outlineLevel="0" collapsed="false">
      <c r="A12" s="15" t="s">
        <v>109</v>
      </c>
      <c r="B12" s="16" t="s">
        <v>110</v>
      </c>
      <c r="C12" s="16" t="s">
        <v>94</v>
      </c>
      <c r="D12" s="15" t="n">
        <v>5</v>
      </c>
      <c r="E12" s="15" t="n">
        <v>20</v>
      </c>
      <c r="F12" s="15" t="n">
        <v>75</v>
      </c>
      <c r="G12" s="17"/>
    </row>
    <row r="13" customFormat="false" ht="15.5" hidden="false" customHeight="false" outlineLevel="0" collapsed="false">
      <c r="A13" s="15" t="s">
        <v>111</v>
      </c>
      <c r="B13" s="16" t="s">
        <v>112</v>
      </c>
      <c r="C13" s="16" t="s">
        <v>94</v>
      </c>
      <c r="D13" s="15" t="n">
        <v>5</v>
      </c>
      <c r="E13" s="15" t="n">
        <v>20</v>
      </c>
      <c r="F13" s="15" t="n">
        <v>75</v>
      </c>
      <c r="G13" s="17"/>
    </row>
    <row r="14" customFormat="false" ht="15" hidden="false" customHeight="false" outlineLevel="0" collapsed="false">
      <c r="A14" s="15" t="s">
        <v>113</v>
      </c>
      <c r="B14" s="15" t="s">
        <v>114</v>
      </c>
      <c r="C14" s="16" t="s">
        <v>115</v>
      </c>
      <c r="D14" s="17" t="s">
        <v>116</v>
      </c>
      <c r="E14" s="17" t="s">
        <v>116</v>
      </c>
      <c r="F14" s="17" t="s">
        <v>116</v>
      </c>
      <c r="G14" s="18" t="s">
        <v>117</v>
      </c>
      <c r="H14" s="18"/>
    </row>
    <row r="15" customFormat="false" ht="15.5" hidden="false" customHeight="false" outlineLevel="0" collapsed="false">
      <c r="A15" s="15" t="s">
        <v>118</v>
      </c>
      <c r="B15" s="15" t="s">
        <v>119</v>
      </c>
      <c r="C15" s="16" t="s">
        <v>120</v>
      </c>
      <c r="D15" s="17" t="s">
        <v>116</v>
      </c>
      <c r="E15" s="17" t="s">
        <v>116</v>
      </c>
      <c r="F15" s="17" t="s">
        <v>116</v>
      </c>
      <c r="G15" s="18" t="s">
        <v>121</v>
      </c>
      <c r="H15" s="18"/>
    </row>
    <row r="17" customFormat="false" ht="15.5" hidden="false" customHeight="false" outlineLevel="0" collapsed="false">
      <c r="A17" s="11" t="s">
        <v>122</v>
      </c>
      <c r="B17" s="11"/>
      <c r="C17" s="11"/>
      <c r="D17" s="11"/>
      <c r="E17" s="12"/>
      <c r="F17" s="12"/>
      <c r="G17" s="12"/>
      <c r="H17" s="12"/>
    </row>
    <row r="18" customFormat="false" ht="15.5" hidden="false" customHeight="false" outlineLevel="0" collapsed="false">
      <c r="A18" s="13" t="s">
        <v>123</v>
      </c>
      <c r="B18" s="13" t="s">
        <v>124</v>
      </c>
      <c r="C18" s="13" t="s">
        <v>125</v>
      </c>
      <c r="D18" s="13" t="s">
        <v>91</v>
      </c>
      <c r="E18" s="13"/>
    </row>
    <row r="19" customFormat="false" ht="15.5" hidden="false" customHeight="false" outlineLevel="0" collapsed="false">
      <c r="A19" s="16" t="s">
        <v>126</v>
      </c>
      <c r="B19" s="19" t="n">
        <v>0.08</v>
      </c>
      <c r="C19" s="44" t="n">
        <f aca="false">1-B19</f>
        <v>0.92</v>
      </c>
      <c r="D19" s="17" t="s">
        <v>127</v>
      </c>
      <c r="E19" s="17"/>
    </row>
    <row r="20" customFormat="false" ht="15.5" hidden="false" customHeight="false" outlineLevel="0" collapsed="false">
      <c r="A20" s="16" t="s">
        <v>128</v>
      </c>
      <c r="B20" s="19" t="n">
        <v>0.03</v>
      </c>
      <c r="C20" s="44" t="n">
        <f aca="false">1-B20</f>
        <v>0.97</v>
      </c>
      <c r="D20" s="17" t="s">
        <v>129</v>
      </c>
      <c r="E20" s="17"/>
    </row>
    <row r="21" customFormat="false" ht="15" hidden="false" customHeight="false" outlineLevel="0" collapsed="false">
      <c r="A21" s="15" t="s">
        <v>114</v>
      </c>
      <c r="B21" s="19" t="n">
        <v>0.04</v>
      </c>
      <c r="C21" s="44" t="n">
        <f aca="false">1-B21</f>
        <v>0.96</v>
      </c>
      <c r="D21" s="17" t="s">
        <v>115</v>
      </c>
      <c r="E21" s="17"/>
    </row>
    <row r="22" customFormat="false" ht="15.5" hidden="false" customHeight="false" outlineLevel="0" collapsed="false">
      <c r="A22" s="15" t="s">
        <v>119</v>
      </c>
      <c r="B22" s="19" t="n">
        <v>0.035</v>
      </c>
      <c r="C22" s="44" t="n">
        <f aca="false">1-B22</f>
        <v>0.965</v>
      </c>
      <c r="D22" s="17" t="s">
        <v>130</v>
      </c>
      <c r="E22" s="17"/>
    </row>
    <row r="24" customFormat="false" ht="15.5" hidden="false" customHeight="false" outlineLevel="0" collapsed="false">
      <c r="A24" s="11" t="s">
        <v>131</v>
      </c>
      <c r="B24" s="11"/>
      <c r="C24" s="11"/>
      <c r="D24" s="11"/>
      <c r="E24" s="12"/>
      <c r="F24" s="12"/>
      <c r="G24" s="12"/>
      <c r="H24" s="12"/>
    </row>
    <row r="25" customFormat="false" ht="15.5" hidden="false" customHeight="false" outlineLevel="0" collapsed="false">
      <c r="A25" s="13" t="s">
        <v>123</v>
      </c>
      <c r="B25" s="13" t="s">
        <v>132</v>
      </c>
      <c r="C25" s="13" t="s">
        <v>133</v>
      </c>
      <c r="D25" s="13" t="s">
        <v>91</v>
      </c>
      <c r="E25" s="13"/>
    </row>
    <row r="26" customFormat="false" ht="15" hidden="false" customHeight="false" outlineLevel="0" collapsed="false">
      <c r="A26" s="16" t="s">
        <v>134</v>
      </c>
      <c r="B26" s="44" t="n">
        <f aca="false">B19+$B$21</f>
        <v>0.12</v>
      </c>
      <c r="C26" s="44" t="n">
        <f aca="false">1-B26</f>
        <v>0.88</v>
      </c>
      <c r="D26" s="21" t="s">
        <v>135</v>
      </c>
      <c r="E26" s="17"/>
    </row>
    <row r="27" customFormat="false" ht="15" hidden="false" customHeight="false" outlineLevel="0" collapsed="false">
      <c r="A27" s="16" t="s">
        <v>136</v>
      </c>
      <c r="B27" s="44" t="n">
        <f aca="false">B20+$B$21</f>
        <v>0.07</v>
      </c>
      <c r="C27" s="44" t="n">
        <f aca="false">1-B27</f>
        <v>0.93</v>
      </c>
      <c r="D27" s="21" t="s">
        <v>137</v>
      </c>
      <c r="E27" s="17"/>
    </row>
    <row r="29" customFormat="false" ht="15.5" hidden="false" customHeight="false" outlineLevel="0" collapsed="false">
      <c r="A29" s="11" t="s">
        <v>138</v>
      </c>
      <c r="B29" s="11"/>
      <c r="C29" s="11"/>
      <c r="D29" s="11"/>
      <c r="E29" s="11"/>
      <c r="F29" s="11"/>
      <c r="G29" s="12"/>
      <c r="H29" s="12"/>
    </row>
    <row r="30" customFormat="false" ht="15.5" hidden="false" customHeight="false" outlineLevel="0" collapsed="false">
      <c r="A30" s="13" t="s">
        <v>123</v>
      </c>
      <c r="B30" s="13" t="s">
        <v>139</v>
      </c>
      <c r="C30" s="13" t="s">
        <v>140</v>
      </c>
      <c r="D30" s="40">
        <v>5</v>
      </c>
      <c r="E30" s="40">
        <v>4</v>
      </c>
      <c r="F30" s="40">
        <v>3</v>
      </c>
      <c r="G30" s="14" t="s">
        <v>144</v>
      </c>
    </row>
    <row r="31" customFormat="false" ht="15.5" hidden="false" customHeight="false" outlineLevel="0" collapsed="false">
      <c r="A31" s="17" t="s">
        <v>145</v>
      </c>
      <c r="B31" s="45" t="n">
        <f aca="false">B26</f>
        <v>0.12</v>
      </c>
      <c r="C31" s="45" t="n">
        <f aca="false">C26</f>
        <v>0.88</v>
      </c>
      <c r="D31" s="45" t="n">
        <f aca="false">B31^5*20</f>
        <v>0.000497664</v>
      </c>
      <c r="E31" s="45" t="n">
        <f aca="false">B31^4*C31*5</f>
        <v>0.000912384</v>
      </c>
      <c r="F31" s="45" t="n">
        <f aca="false">B31^3*C31*2</f>
        <v>0.00304128</v>
      </c>
      <c r="G31" s="45" t="n">
        <f aca="false">(D31+E31+F31)*5</f>
        <v>0.02225664</v>
      </c>
    </row>
    <row r="32" customFormat="false" ht="15.5" hidden="false" customHeight="false" outlineLevel="0" collapsed="false">
      <c r="A32" s="17" t="s">
        <v>146</v>
      </c>
      <c r="B32" s="45" t="n">
        <f aca="false">B27</f>
        <v>0.07</v>
      </c>
      <c r="C32" s="45" t="n">
        <f aca="false">C27</f>
        <v>0.93</v>
      </c>
      <c r="D32" s="45" t="n">
        <f aca="false">B32^5*100</f>
        <v>0.00016807</v>
      </c>
      <c r="E32" s="45" t="n">
        <f aca="false">B32^4*C32*25</f>
        <v>0.0005582325</v>
      </c>
      <c r="F32" s="45" t="n">
        <f aca="false">B32^3*C32*5</f>
        <v>0.00159495</v>
      </c>
      <c r="G32" s="45" t="n">
        <f aca="false">(D32+E32+F32)*4</f>
        <v>0.00928501</v>
      </c>
    </row>
    <row r="33" customFormat="false" ht="15.5" hidden="false" customHeight="false" outlineLevel="0" collapsed="false">
      <c r="A33" s="17" t="s">
        <v>147</v>
      </c>
      <c r="B33" s="17"/>
      <c r="C33" s="17"/>
      <c r="D33" s="17"/>
      <c r="E33" s="17"/>
      <c r="F33" s="17"/>
      <c r="G33" s="46" t="n">
        <f aca="false">SUM(G31:G32)</f>
        <v>0.03154165</v>
      </c>
    </row>
    <row r="34" customFormat="false" ht="15.5" hidden="false" customHeight="true" outlineLevel="0" collapsed="false">
      <c r="A34" s="24" t="s">
        <v>148</v>
      </c>
      <c r="B34" s="24"/>
      <c r="C34" s="24"/>
      <c r="D34" s="24"/>
      <c r="E34" s="24"/>
      <c r="F34" s="24"/>
      <c r="G34" s="24"/>
      <c r="H34" s="24"/>
    </row>
    <row r="36" customFormat="false" ht="15.5" hidden="false" customHeight="false" outlineLevel="0" collapsed="false">
      <c r="A36" s="11" t="s">
        <v>149</v>
      </c>
      <c r="B36" s="11"/>
      <c r="C36" s="11"/>
      <c r="D36" s="11"/>
      <c r="E36" s="11"/>
      <c r="F36" s="12"/>
      <c r="G36" s="12"/>
      <c r="H36" s="12"/>
    </row>
    <row r="37" customFormat="false" ht="15.5" hidden="false" customHeight="false" outlineLevel="0" collapsed="false">
      <c r="A37" s="13" t="s">
        <v>150</v>
      </c>
      <c r="B37" s="13" t="s">
        <v>151</v>
      </c>
      <c r="C37" s="13" t="s">
        <v>152</v>
      </c>
      <c r="D37" s="13" t="s">
        <v>153</v>
      </c>
      <c r="E37" s="13" t="s">
        <v>91</v>
      </c>
    </row>
    <row r="38" customFormat="false" ht="15" hidden="false" customHeight="false" outlineLevel="0" collapsed="false">
      <c r="A38" s="21" t="s">
        <v>154</v>
      </c>
      <c r="B38" s="25" t="n">
        <v>20</v>
      </c>
      <c r="C38" s="19" t="n">
        <v>0.7</v>
      </c>
      <c r="D38" s="26" t="n">
        <f aca="false">B38*C38</f>
        <v>14</v>
      </c>
      <c r="E38" s="17"/>
    </row>
    <row r="39" customFormat="false" ht="15" hidden="false" customHeight="false" outlineLevel="0" collapsed="false">
      <c r="A39" s="21" t="s">
        <v>155</v>
      </c>
      <c r="B39" s="25" t="n">
        <v>100</v>
      </c>
      <c r="C39" s="19" t="n">
        <v>0.2</v>
      </c>
      <c r="D39" s="26" t="n">
        <f aca="false">B39*C39</f>
        <v>20</v>
      </c>
      <c r="E39" s="17"/>
    </row>
    <row r="40" customFormat="false" ht="15" hidden="false" customHeight="false" outlineLevel="0" collapsed="false">
      <c r="A40" s="21" t="s">
        <v>156</v>
      </c>
      <c r="B40" s="25" t="n">
        <v>1000</v>
      </c>
      <c r="C40" s="19" t="n">
        <v>0.09</v>
      </c>
      <c r="D40" s="26" t="n">
        <f aca="false">B40*C40</f>
        <v>90</v>
      </c>
      <c r="E40" s="17"/>
    </row>
    <row r="41" customFormat="false" ht="15" hidden="false" customHeight="false" outlineLevel="0" collapsed="false">
      <c r="A41" s="21" t="s">
        <v>157</v>
      </c>
      <c r="B41" s="25" t="n">
        <v>10000</v>
      </c>
      <c r="C41" s="19" t="n">
        <v>0.01</v>
      </c>
      <c r="D41" s="26" t="n">
        <f aca="false">B41*C41</f>
        <v>100</v>
      </c>
      <c r="E41" s="17"/>
    </row>
    <row r="42" customFormat="false" ht="15.5" hidden="false" customHeight="false" outlineLevel="0" collapsed="false">
      <c r="A42" s="17" t="s">
        <v>158</v>
      </c>
      <c r="B42" s="17"/>
      <c r="C42" s="44" t="n">
        <f aca="false">SUM(C38:C41)</f>
        <v>1</v>
      </c>
      <c r="D42" s="27" t="n">
        <f aca="false">SUM(D38:D41)</f>
        <v>224</v>
      </c>
      <c r="E42" s="18" t="s">
        <v>159</v>
      </c>
      <c r="F42" s="18"/>
    </row>
    <row r="44" customFormat="false" ht="15.5" hidden="false" customHeight="false" outlineLevel="0" collapsed="false">
      <c r="A44" s="11" t="s">
        <v>160</v>
      </c>
      <c r="B44" s="11"/>
      <c r="C44" s="11"/>
      <c r="D44" s="12"/>
      <c r="E44" s="12"/>
      <c r="F44" s="12"/>
      <c r="G44" s="12"/>
      <c r="H44" s="12"/>
    </row>
    <row r="45" customFormat="false" ht="15.5" hidden="false" customHeight="false" outlineLevel="0" collapsed="false">
      <c r="A45" s="14" t="s">
        <v>161</v>
      </c>
      <c r="B45" s="13" t="s">
        <v>162</v>
      </c>
      <c r="C45" s="13" t="s">
        <v>91</v>
      </c>
      <c r="D45" s="13"/>
      <c r="E45" s="13"/>
    </row>
    <row r="46" customFormat="false" ht="15.5" hidden="false" customHeight="false" outlineLevel="0" collapsed="false">
      <c r="A46" s="17" t="n">
        <v>5</v>
      </c>
      <c r="B46" s="47" t="n">
        <f aca="false">BINOMDIST($A46,15,$B$22,FALSE())</f>
        <v>0.00011045075461756</v>
      </c>
      <c r="C46" s="41">
        <v>15</v>
      </c>
      <c r="D46" s="29"/>
      <c r="E46" s="17"/>
    </row>
    <row r="47" customFormat="false" ht="15.5" hidden="false" customHeight="false" outlineLevel="0" collapsed="false">
      <c r="A47" s="17" t="n">
        <v>6</v>
      </c>
      <c r="B47" s="47" t="n">
        <f aca="false">BINOMDIST($A47,15,$B$22,FALSE())</f>
        <v>6.67664319795269E-006</v>
      </c>
      <c r="C47" s="41">
        <v>15</v>
      </c>
      <c r="D47" s="29"/>
      <c r="E47" s="17"/>
    </row>
    <row r="48" customFormat="false" ht="15.5" hidden="false" customHeight="false" outlineLevel="0" collapsed="false">
      <c r="A48" s="17" t="n">
        <v>7</v>
      </c>
      <c r="B48" s="47" t="n">
        <f aca="false">BINOMDIST($A48,15,$B$22,FALSE())</f>
        <v>3.11346055863079E-007</v>
      </c>
      <c r="C48" s="41">
        <v>15</v>
      </c>
      <c r="D48" s="29"/>
      <c r="E48" s="17"/>
    </row>
    <row r="49" customFormat="false" ht="15.5" hidden="false" customHeight="false" outlineLevel="0" collapsed="false">
      <c r="A49" s="17" t="n">
        <v>8</v>
      </c>
      <c r="B49" s="47" t="n">
        <f aca="false">BINOMDIST($A49,15,$B$22,FALSE())</f>
        <v>1.1292343995034E-008</v>
      </c>
      <c r="C49" s="41">
        <v>15</v>
      </c>
      <c r="D49" s="29"/>
      <c r="E49" s="17"/>
    </row>
    <row r="50" customFormat="false" ht="15.5" hidden="false" customHeight="false" outlineLevel="0" collapsed="false">
      <c r="A50" s="17" t="n">
        <v>9</v>
      </c>
      <c r="B50" s="47" t="n">
        <f aca="false">BINOMDIST($A50,15,$B$22,FALSE())</f>
        <v>3.18552018282478E-010</v>
      </c>
      <c r="C50" s="41">
        <v>15</v>
      </c>
      <c r="D50" s="29"/>
      <c r="E50" s="17"/>
    </row>
    <row r="51" customFormat="false" ht="15.5" hidden="false" customHeight="false" outlineLevel="0" collapsed="false">
      <c r="A51" s="17" t="n">
        <v>10</v>
      </c>
      <c r="B51" s="47" t="n">
        <f aca="false">BINOMDIST($A51,15,$B$22,FALSE())</f>
        <v>6.9322200869762E-012</v>
      </c>
      <c r="C51" s="41">
        <v>15</v>
      </c>
      <c r="D51" s="29"/>
      <c r="E51" s="17"/>
    </row>
    <row r="52" customFormat="false" ht="15.5" hidden="false" customHeight="false" outlineLevel="0" collapsed="false">
      <c r="A52" s="17" t="n">
        <v>11</v>
      </c>
      <c r="B52" s="47" t="n">
        <f aca="false">BINOMDIST($A52,15,$B$22,FALSE())</f>
        <v>1.14285305249254E-013</v>
      </c>
      <c r="C52" s="41">
        <v>15</v>
      </c>
      <c r="D52" s="29"/>
      <c r="E52" s="17"/>
    </row>
    <row r="53" customFormat="false" ht="15.5" hidden="false" customHeight="false" outlineLevel="0" collapsed="false">
      <c r="A53" s="17" t="n">
        <v>12</v>
      </c>
      <c r="B53" s="47" t="n">
        <f aca="false">BINOMDIST($A53,15,$B$22,FALSE())</f>
        <v>1.38168762822933E-015</v>
      </c>
      <c r="C53" s="41">
        <v>15</v>
      </c>
      <c r="D53" s="29"/>
      <c r="E53" s="17"/>
    </row>
    <row r="54" customFormat="false" ht="15.5" hidden="false" customHeight="false" outlineLevel="0" collapsed="false">
      <c r="A54" s="17" t="n">
        <v>13</v>
      </c>
      <c r="B54" s="47" t="n">
        <f aca="false">BINOMDIST($A54,15,$B$22,FALSE())</f>
        <v>1.15645437197353E-017</v>
      </c>
      <c r="C54" s="41">
        <v>15</v>
      </c>
      <c r="D54" s="29"/>
      <c r="E54" s="17"/>
    </row>
    <row r="55" customFormat="false" ht="15.5" hidden="false" customHeight="false" outlineLevel="0" collapsed="false">
      <c r="A55" s="17" t="n">
        <v>14</v>
      </c>
      <c r="B55" s="47" t="n">
        <f aca="false">BINOMDIST($A55,15,$B$22,FALSE())</f>
        <v>5.99199156462969E-020</v>
      </c>
      <c r="C55" s="41">
        <v>15</v>
      </c>
      <c r="D55" s="29"/>
      <c r="E55" s="17"/>
    </row>
    <row r="56" customFormat="false" ht="15.5" hidden="false" customHeight="false" outlineLevel="0" collapsed="false">
      <c r="A56" s="17" t="n">
        <v>15</v>
      </c>
      <c r="B56" s="47" t="n">
        <f aca="false">BINOMDIST($A56,15,$B$22,FALSE())</f>
        <v>1.44884079282929E-022</v>
      </c>
      <c r="C56" s="41">
        <v>15</v>
      </c>
      <c r="D56" s="29"/>
      <c r="E56" s="17"/>
    </row>
    <row r="57" customFormat="false" ht="15.5" hidden="false" customHeight="false" outlineLevel="0" collapsed="false">
      <c r="A57" s="17" t="s">
        <v>164</v>
      </c>
      <c r="B57" s="48" t="n">
        <f aca="false">SUM(B46:B56)</f>
        <v>0.000117450361815288</v>
      </c>
      <c r="C57" s="18" t="s">
        <v>165</v>
      </c>
      <c r="D57" s="18"/>
      <c r="E57" s="18"/>
      <c r="F57" s="18"/>
    </row>
    <row r="59" customFormat="false" ht="15.5" hidden="false" customHeight="false" outlineLevel="0" collapsed="false">
      <c r="A59" s="11" t="s">
        <v>166</v>
      </c>
      <c r="B59" s="11"/>
      <c r="C59" s="11"/>
      <c r="D59" s="12"/>
      <c r="E59" s="12"/>
      <c r="F59" s="12"/>
      <c r="G59" s="12"/>
      <c r="H59" s="12"/>
    </row>
    <row r="60" customFormat="false" ht="15.5" hidden="false" customHeight="false" outlineLevel="0" collapsed="false">
      <c r="A60" s="13" t="s">
        <v>167</v>
      </c>
      <c r="B60" s="13" t="s">
        <v>168</v>
      </c>
      <c r="C60" s="13" t="s">
        <v>169</v>
      </c>
      <c r="D60" s="13"/>
      <c r="E60" s="13"/>
    </row>
    <row r="61" customFormat="false" ht="15.5" hidden="false" customHeight="false" outlineLevel="0" collapsed="false">
      <c r="A61" s="17" t="s">
        <v>170</v>
      </c>
      <c r="B61" s="25" t="n">
        <v>20</v>
      </c>
      <c r="C61" s="18" t="s">
        <v>171</v>
      </c>
      <c r="D61" s="18"/>
      <c r="E61" s="18"/>
    </row>
    <row r="62" customFormat="false" ht="15.5" hidden="false" customHeight="false" outlineLevel="0" collapsed="false">
      <c r="A62" s="17" t="s">
        <v>172</v>
      </c>
      <c r="B62" s="45" t="n">
        <f aca="false">G33</f>
        <v>0.03154165</v>
      </c>
      <c r="C62" s="18" t="s">
        <v>173</v>
      </c>
      <c r="D62" s="18"/>
      <c r="E62" s="18"/>
    </row>
    <row r="63" customFormat="false" ht="15.5" hidden="false" customHeight="false" outlineLevel="0" collapsed="false">
      <c r="A63" s="17" t="s">
        <v>174</v>
      </c>
      <c r="B63" s="45" t="n">
        <f aca="false">B62*B61</f>
        <v>0.630833</v>
      </c>
      <c r="C63" s="18" t="s">
        <v>175</v>
      </c>
      <c r="D63" s="18"/>
      <c r="E63" s="17"/>
    </row>
    <row r="64" customFormat="false" ht="15.5" hidden="false" customHeight="false" outlineLevel="0" collapsed="false">
      <c r="A64" s="17" t="s">
        <v>176</v>
      </c>
      <c r="B64" s="26" t="n">
        <f aca="false">D42</f>
        <v>224</v>
      </c>
      <c r="C64" s="29" t="s">
        <v>177</v>
      </c>
      <c r="D64" s="29"/>
      <c r="E64" s="17"/>
    </row>
    <row r="65" customFormat="false" ht="15.5" hidden="false" customHeight="false" outlineLevel="0" collapsed="false">
      <c r="A65" s="21" t="s">
        <v>178</v>
      </c>
      <c r="B65" s="47" t="n">
        <f aca="false">B57</f>
        <v>0.000117450361815288</v>
      </c>
      <c r="C65" s="29" t="s">
        <v>179</v>
      </c>
      <c r="D65" s="29"/>
      <c r="E65" s="17"/>
    </row>
    <row r="66" customFormat="false" ht="15.5" hidden="false" customHeight="false" outlineLevel="0" collapsed="false">
      <c r="A66" s="21" t="s">
        <v>180</v>
      </c>
      <c r="B66" s="45" t="n">
        <f aca="false">B65*B64</f>
        <v>0.0263088810466245</v>
      </c>
      <c r="C66" s="18" t="s">
        <v>181</v>
      </c>
      <c r="D66" s="18"/>
      <c r="E66" s="18"/>
      <c r="F66" s="18"/>
    </row>
    <row r="67" customFormat="false" ht="15.5" hidden="false" customHeight="false" outlineLevel="0" collapsed="false">
      <c r="A67" s="17" t="s">
        <v>182</v>
      </c>
      <c r="B67" s="46" t="n">
        <f aca="false">B63+B66</f>
        <v>0.657141881046625</v>
      </c>
      <c r="C67" s="18" t="s">
        <v>183</v>
      </c>
      <c r="D67" s="18"/>
      <c r="E67" s="18"/>
      <c r="F67" s="18"/>
    </row>
    <row r="69" customFormat="false" ht="15.5" hidden="false" customHeight="true" outlineLevel="0" collapsed="false">
      <c r="A69" s="24" t="s">
        <v>184</v>
      </c>
      <c r="B69" s="24"/>
      <c r="C69" s="24"/>
      <c r="D69" s="24"/>
      <c r="E69" s="24"/>
      <c r="F69" s="24"/>
      <c r="G69" s="24"/>
      <c r="H69" s="24"/>
    </row>
    <row r="70" customFormat="false" ht="15.5" hidden="false" customHeight="true" outlineLevel="0" collapsed="false">
      <c r="A70" s="24" t="s">
        <v>185</v>
      </c>
      <c r="B70" s="24"/>
      <c r="C70" s="24"/>
      <c r="D70" s="24"/>
      <c r="E70" s="24"/>
      <c r="F70" s="24"/>
      <c r="G70" s="24"/>
      <c r="H70" s="24"/>
    </row>
    <row r="71" customFormat="false" ht="15.5" hidden="false" customHeight="true" outlineLevel="0" collapsed="false">
      <c r="A71" s="31" t="s">
        <v>186</v>
      </c>
      <c r="B71" s="31"/>
      <c r="C71" s="31"/>
      <c r="D71" s="31"/>
      <c r="E71" s="31"/>
      <c r="F71" s="31"/>
    </row>
    <row r="72" customFormat="false" ht="15.5" hidden="false" customHeight="true" outlineLevel="0" collapsed="false">
      <c r="A72" s="42">
        <v>40</v>
      </c>
      <c r="B72" s="31"/>
      <c r="C72" s="31"/>
      <c r="D72" s="31"/>
      <c r="E72" s="31"/>
      <c r="F72" s="31"/>
      <c r="G72" s="31"/>
    </row>
    <row r="74" customFormat="false" ht="15.5" hidden="false" customHeight="false" outlineLevel="0" collapsed="false">
      <c r="A74" s="11" t="s">
        <v>188</v>
      </c>
      <c r="B74" s="11"/>
      <c r="C74" s="11"/>
      <c r="D74" s="11"/>
      <c r="E74" s="11"/>
      <c r="F74" s="11"/>
      <c r="G74" s="12"/>
      <c r="H74" s="12"/>
    </row>
    <row r="75" customFormat="false" ht="15" hidden="false" customHeight="false" outlineLevel="0" collapsed="false">
      <c r="A75" s="13" t="s">
        <v>189</v>
      </c>
      <c r="B75" s="13" t="s">
        <v>190</v>
      </c>
      <c r="C75" s="13" t="s">
        <v>191</v>
      </c>
      <c r="D75" s="13" t="s">
        <v>192</v>
      </c>
      <c r="E75" s="13" t="s">
        <v>193</v>
      </c>
      <c r="F75" s="13"/>
    </row>
    <row r="76" customFormat="false" ht="15" hidden="false" customHeight="false" outlineLevel="0" collapsed="false">
      <c r="A76" s="15" t="s">
        <v>154</v>
      </c>
      <c r="B76" s="25" t="n">
        <v>2500</v>
      </c>
      <c r="C76" s="44" t="n">
        <f aca="false">B76/10000</f>
        <v>0.25</v>
      </c>
      <c r="D76" s="25" t="n">
        <v>10</v>
      </c>
      <c r="E76" s="32" t="n">
        <f aca="false">C76*D76</f>
        <v>2.5</v>
      </c>
      <c r="F76" s="17"/>
    </row>
    <row r="77" customFormat="false" ht="15" hidden="false" customHeight="false" outlineLevel="0" collapsed="false">
      <c r="A77" s="15" t="s">
        <v>155</v>
      </c>
      <c r="B77" s="25" t="n">
        <v>2500</v>
      </c>
      <c r="C77" s="44" t="n">
        <f aca="false">B77/10000</f>
        <v>0.25</v>
      </c>
      <c r="D77" s="25" t="n">
        <v>25</v>
      </c>
      <c r="E77" s="32" t="n">
        <f aca="false">C77*D77</f>
        <v>6.25</v>
      </c>
      <c r="F77" s="17"/>
    </row>
    <row r="78" customFormat="false" ht="15" hidden="false" customHeight="false" outlineLevel="0" collapsed="false">
      <c r="A78" s="15" t="s">
        <v>156</v>
      </c>
      <c r="B78" s="25" t="n">
        <v>2500</v>
      </c>
      <c r="C78" s="44" t="n">
        <f aca="false">B78/10000</f>
        <v>0.25</v>
      </c>
      <c r="D78" s="25" t="n">
        <v>50</v>
      </c>
      <c r="E78" s="32" t="n">
        <f aca="false">C78*D78</f>
        <v>12.5</v>
      </c>
      <c r="F78" s="17"/>
    </row>
    <row r="79" customFormat="false" ht="15" hidden="false" customHeight="false" outlineLevel="0" collapsed="false">
      <c r="A79" s="15" t="s">
        <v>157</v>
      </c>
      <c r="B79" s="25" t="n">
        <v>2500</v>
      </c>
      <c r="C79" s="44" t="n">
        <f aca="false">B79/10000</f>
        <v>0.25</v>
      </c>
      <c r="D79" s="25" t="n">
        <v>200</v>
      </c>
      <c r="E79" s="32" t="n">
        <f aca="false">C79*D79</f>
        <v>50</v>
      </c>
      <c r="F79" s="17"/>
    </row>
    <row r="80" customFormat="false" ht="15.5" hidden="false" customHeight="false" outlineLevel="0" collapsed="false">
      <c r="A80" s="17" t="s">
        <v>194</v>
      </c>
      <c r="B80" s="26" t="n">
        <f aca="false">SUM(B76:B79)</f>
        <v>10000</v>
      </c>
      <c r="C80" s="44" t="n">
        <f aca="false">B80/10000</f>
        <v>1</v>
      </c>
      <c r="D80" s="17" t="s">
        <v>116</v>
      </c>
      <c r="E80" s="32" t="n">
        <f aca="false">SUM(E76:E79)</f>
        <v>71.25</v>
      </c>
      <c r="F80" s="17" t="s">
        <v>195</v>
      </c>
    </row>
    <row r="82" customFormat="false" ht="15.5" hidden="false" customHeight="false" outlineLevel="0" collapsed="false">
      <c r="A82" s="11" t="s">
        <v>196</v>
      </c>
      <c r="B82" s="11"/>
      <c r="C82" s="11"/>
      <c r="D82" s="11"/>
      <c r="E82" s="12"/>
      <c r="F82" s="12"/>
      <c r="G82" s="12"/>
      <c r="H82" s="12"/>
    </row>
    <row r="83" customFormat="false" ht="15" hidden="false" customHeight="false" outlineLevel="0" collapsed="false">
      <c r="A83" s="13" t="s">
        <v>197</v>
      </c>
      <c r="B83" s="13" t="s">
        <v>193</v>
      </c>
      <c r="C83" s="13" t="s">
        <v>198</v>
      </c>
      <c r="D83" s="13" t="s">
        <v>91</v>
      </c>
      <c r="E83" s="13"/>
      <c r="F83" s="13"/>
    </row>
    <row r="84" customFormat="false" ht="15" hidden="false" customHeight="false" outlineLevel="0" collapsed="false">
      <c r="A84" s="17" t="s">
        <v>199</v>
      </c>
      <c r="B84" s="33" t="n">
        <v>0.8</v>
      </c>
      <c r="C84" s="33" t="n">
        <v>0.8432</v>
      </c>
      <c r="D84" s="17" t="s">
        <v>200</v>
      </c>
      <c r="E84" s="17"/>
      <c r="F84" s="17"/>
    </row>
    <row r="85" customFormat="false" ht="15" hidden="false" customHeight="false" outlineLevel="0" collapsed="false">
      <c r="A85" s="21" t="s">
        <v>119</v>
      </c>
      <c r="B85" s="33" t="n">
        <v>0.15</v>
      </c>
      <c r="C85" s="33" t="n">
        <v>0.1318</v>
      </c>
      <c r="D85" s="17" t="s">
        <v>200</v>
      </c>
      <c r="E85" s="17"/>
      <c r="F85" s="17"/>
    </row>
    <row r="86" customFormat="false" ht="15.5" hidden="false" customHeight="false" outlineLevel="0" collapsed="false">
      <c r="A86" s="17" t="s">
        <v>194</v>
      </c>
      <c r="B86" s="32" t="n">
        <f aca="false">SUM(B84:B85)</f>
        <v>0.95</v>
      </c>
      <c r="C86" s="32" t="n">
        <f aca="false">SUM(C84:C85)</f>
        <v>0.975</v>
      </c>
      <c r="D86" s="18" t="s">
        <v>201</v>
      </c>
      <c r="E86" s="18"/>
      <c r="F86" s="17"/>
    </row>
    <row r="88" customFormat="false" ht="15" hidden="false" customHeight="false" outlineLevel="0" collapsed="false">
      <c r="A88" s="11" t="s">
        <v>202</v>
      </c>
      <c r="B88" s="11"/>
      <c r="C88" s="11"/>
      <c r="D88" s="12"/>
      <c r="E88" s="12"/>
      <c r="F88" s="12"/>
      <c r="G88" s="12"/>
      <c r="H88" s="12"/>
    </row>
    <row r="89" customFormat="false" ht="15" hidden="false" customHeight="false" outlineLevel="0" collapsed="false">
      <c r="A89" s="13" t="s">
        <v>203</v>
      </c>
      <c r="B89" s="13" t="s">
        <v>204</v>
      </c>
      <c r="C89" s="13" t="s">
        <v>91</v>
      </c>
      <c r="D89" s="13"/>
      <c r="E89" s="13"/>
      <c r="F89" s="13"/>
    </row>
    <row r="90" customFormat="false" ht="15.5" hidden="false" customHeight="false" outlineLevel="0" collapsed="false">
      <c r="A90" s="17" t="s">
        <v>205</v>
      </c>
      <c r="B90" s="17" t="str">
        <f aca="false">IF(B80=10000,"✓","✗")</f>
        <v>✓</v>
      </c>
      <c r="C90" s="17" t="s">
        <v>206</v>
      </c>
      <c r="D90" s="17"/>
      <c r="E90" s="17"/>
      <c r="F90" s="17"/>
    </row>
    <row r="91" customFormat="false" ht="15.5" hidden="false" customHeight="false" outlineLevel="0" collapsed="false">
      <c r="A91" s="17" t="s">
        <v>207</v>
      </c>
      <c r="B91" s="17" t="str">
        <f aca="false">IF(ABS(E80-71.25)&lt;0.0001,"✓","✗")</f>
        <v>✓</v>
      </c>
      <c r="C91" s="17" t="s">
        <v>208</v>
      </c>
      <c r="D91" s="17"/>
      <c r="E91" s="17"/>
      <c r="F91" s="17"/>
    </row>
    <row r="92" customFormat="false" ht="15.5" hidden="false" customHeight="false" outlineLevel="0" collapsed="false">
      <c r="A92" s="17" t="s">
        <v>209</v>
      </c>
      <c r="B92" s="17" t="str">
        <f aca="false">IF(ABS(B86-0.95)&lt;0.0001,"✓","✗")</f>
        <v>✓</v>
      </c>
      <c r="C92" s="41">
        <v>0.8000</v>
      </c>
      <c r="D92" s="29"/>
      <c r="E92" s="17"/>
      <c r="F92" s="17"/>
    </row>
    <row r="93" customFormat="false" ht="15.5" hidden="false" customHeight="false" outlineLevel="0" collapsed="false">
      <c r="A93" s="17" t="s">
        <v>211</v>
      </c>
      <c r="B93" s="17" t="str">
        <f aca="false">IF(ABS(C86-0.975)&lt;0.0001,"✓","✗")</f>
        <v>✓</v>
      </c>
      <c r="C93" s="41">
        <v>0.8432</v>
      </c>
      <c r="D93" s="29"/>
      <c r="E93" s="17"/>
      <c r="F93" s="17"/>
    </row>
  </sheetData>
  <mergeCells count="41">
    <mergeCell ref="A1:G1"/>
    <mergeCell ref="A3:F3"/>
    <mergeCell ref="G14:H14"/>
    <mergeCell ref="G15:H15"/>
    <mergeCell ref="A17:D17"/>
    <mergeCell ref="A24:D24"/>
    <mergeCell ref="A29:F29"/>
    <mergeCell ref="A34:H34"/>
    <mergeCell ref="A36:E36"/>
    <mergeCell ref="E42:F42"/>
    <mergeCell ref="A44:C44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F57"/>
    <mergeCell ref="A59:C59"/>
    <mergeCell ref="C61:E61"/>
    <mergeCell ref="C62:E62"/>
    <mergeCell ref="C63:D63"/>
    <mergeCell ref="C64:D64"/>
    <mergeCell ref="C65:D65"/>
    <mergeCell ref="C66:F66"/>
    <mergeCell ref="C67:F67"/>
    <mergeCell ref="A69:H69"/>
    <mergeCell ref="A70:H70"/>
    <mergeCell ref="A71:F71"/>
    <mergeCell ref="A72:G72"/>
    <mergeCell ref="A74:F74"/>
    <mergeCell ref="A82:D82"/>
    <mergeCell ref="D86:E86"/>
    <mergeCell ref="A88:C88"/>
    <mergeCell ref="C92:D92"/>
    <mergeCell ref="C93:D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M113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2026-09-29T15:06:23Z</dcterms:created>
  <dc:creator>openpyxl</dc:creator>
  <dc:description/>
  <dc:language>zh-CN</dc:language>
  <cp:lastModifiedBy/>
  <dcterms:modified xsi:type="dcterms:W3CDTF">2026-09-29T15:06:29Z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