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<sst xmlns="http://schemas.openxmlformats.org/spreadsheetml/2006/main" count="160" uniqueCount="138">
  <si>
    <r>
      <rPr>
        <b val="true"/>
        <sz val="14"/>
        <color rgb="FF1F4E79"/>
        <rFont val="Noto Sans SC"/>
        <family val="2"/>
        <charset val="134"/>
      </rPr>
      <t xml:space="preserve">从零开始学</t>
    </r>
    <r>
      <rPr>
        <b val="true"/>
        <sz val="14"/>
        <color rgb="FF1F4E79"/>
        <rFont val="Cambria"/>
        <family val="0"/>
        <charset val="1"/>
      </rPr>
      <t xml:space="preserve">Slots 04 —— </t>
    </r>
    <r>
      <rPr>
        <b val="true"/>
        <sz val="14"/>
        <color rgb="FF1F4E79"/>
        <rFont val="Noto Sans SC"/>
        <family val="2"/>
        <charset val="134"/>
      </rPr>
      <t xml:space="preserve">数值篇：</t>
    </r>
    <r>
      <rPr>
        <b val="true"/>
        <sz val="14"/>
        <color rgb="FF1F4E79"/>
        <rFont val="Cambria"/>
        <family val="0"/>
        <charset val="1"/>
      </rPr>
      <t xml:space="preserve">1*3 Line Slots</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</si>
  <si>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1*3 Line Slots</t>
    </r>
    <r>
      <rPr>
        <sz val="11"/>
        <color rgb="FF808080"/>
        <rFont val="Noto Sans SC"/>
        <family val="2"/>
        <charset val="134"/>
      </rPr>
      <t xml:space="preserve">》  </t>
    </r>
    <r>
      <rPr>
        <sz val="11"/>
        <color rgb="FF808080"/>
        <rFont val="Cambria"/>
        <family val="0"/>
        <charset val="1"/>
      </rPr>
      <t xml:space="preserve">https://zhuanlan.zhihu.com/p/623746693</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</si>
  <si>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</si>
  <si>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</si>
  <si>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</si>
  <si>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</si>
  <si>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</si>
  <si>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</si>
  <si>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</si>
  <si>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images/slots/623746693-NN.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</si>
  <si>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</si>
  <si>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</si>
  <si>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</si>
  <si>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t>
    </r>
    <r>
      <rPr>
        <sz val="11"/>
        <color theme="1"/>
        <rFont val="Noto Sans SC"/>
        <family val="2"/>
        <charset val="134"/>
      </rPr>
      <t xml:space="preserve">原文给的通用公式：</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Σ</t>
    </r>
    <r>
      <rPr>
        <sz val="11"/>
        <color theme="1"/>
        <rFont val="Noto Sans SC"/>
        <family val="2"/>
        <charset val="134"/>
      </rPr>
      <t xml:space="preserve">（各中奖组合出现的概率 </t>
    </r>
    <r>
      <rPr>
        <sz val="11"/>
        <color theme="1"/>
        <rFont val="Calibri"/>
        <family val="2"/>
        <charset val="1"/>
      </rPr>
      <t xml:space="preserve">× </t>
    </r>
    <r>
      <rPr>
        <sz val="11"/>
        <color theme="1"/>
        <rFont val="Noto Sans SC"/>
        <family val="2"/>
        <charset val="134"/>
      </rPr>
      <t xml:space="preserve">对应赔付倍数）。</t>
    </r>
  </si>
  <si>
    <r>
      <rPr>
        <sz val="11"/>
        <color theme="1"/>
        <rFont val="Calibri"/>
        <family val="2"/>
        <charset val="1"/>
      </rPr>
      <t xml:space="preserve">· </t>
    </r>
    <r>
      <rPr>
        <sz val="11"/>
        <color theme="1"/>
        <rFont val="Noto Sans SC"/>
        <family val="2"/>
        <charset val="134"/>
      </rPr>
      <t xml:space="preserve">事件数法：把卷轴上所有可能的停留情况视为「事件总数」；每列图标出现互相独立、列内互斥，</t>
    </r>
  </si>
  <si>
    <r>
      <rPr>
        <sz val="11"/>
        <color theme="1"/>
        <rFont val="Noto Sans SC"/>
        <family val="2"/>
        <charset val="134"/>
      </rPr>
      <t xml:space="preserve">  所以中奖组合的事件数＝各列该图标个数之积，中奖率＝事件数 </t>
    </r>
    <r>
      <rPr>
        <sz val="11"/>
        <color theme="1"/>
        <rFont val="Calibri"/>
        <family val="2"/>
        <charset val="1"/>
      </rPr>
      <t xml:space="preserve">÷ </t>
    </r>
    <r>
      <rPr>
        <sz val="11"/>
        <color theme="1"/>
        <rFont val="Noto Sans SC"/>
        <family val="2"/>
        <charset val="134"/>
      </rPr>
      <t xml:space="preserve">事件总数。</t>
    </r>
  </si>
  <si>
    <r>
      <rPr>
        <sz val="11"/>
        <color theme="1"/>
        <rFont val="Calibri"/>
        <family val="2"/>
        <charset val="1"/>
      </rPr>
      <t xml:space="preserve">· 1*3 </t>
    </r>
    <r>
      <rPr>
        <sz val="11"/>
        <color theme="1"/>
        <rFont val="Noto Sans SC"/>
        <family val="2"/>
        <charset val="134"/>
      </rPr>
      <t xml:space="preserve">例（原文⑤）：黑＝</t>
    </r>
    <r>
      <rPr>
        <sz val="11"/>
        <color theme="1"/>
        <rFont val="Calibri"/>
        <family val="2"/>
        <charset val="1"/>
      </rPr>
      <t xml:space="preserve">4×4×3</t>
    </r>
    <r>
      <rPr>
        <sz val="11"/>
        <color theme="1"/>
        <rFont val="Noto Sans SC"/>
        <family val="2"/>
        <charset val="134"/>
      </rPr>
      <t xml:space="preserve">＝</t>
    </r>
    <r>
      <rPr>
        <sz val="11"/>
        <color theme="1"/>
        <rFont val="Calibri"/>
        <family val="2"/>
        <charset val="1"/>
      </rPr>
      <t xml:space="preserve">48 </t>
    </r>
    <r>
      <rPr>
        <sz val="11"/>
        <color theme="1"/>
        <rFont val="Noto Sans SC"/>
        <family val="2"/>
        <charset val="134"/>
      </rPr>
      <t xml:space="preserve">个事件 → </t>
    </r>
    <r>
      <rPr>
        <sz val="11"/>
        <color theme="1"/>
        <rFont val="Calibri"/>
        <family val="2"/>
        <charset val="1"/>
      </rPr>
      <t xml:space="preserve">38.40%</t>
    </r>
    <r>
      <rPr>
        <sz val="11"/>
        <color theme="1"/>
        <rFont val="Noto Sans SC"/>
        <family val="2"/>
        <charset val="134"/>
      </rPr>
      <t xml:space="preserve">；白＝</t>
    </r>
    <r>
      <rPr>
        <sz val="11"/>
        <color theme="1"/>
        <rFont val="Calibri"/>
        <family val="2"/>
        <charset val="1"/>
      </rPr>
      <t xml:space="preserve">1×1×2</t>
    </r>
    <r>
      <rPr>
        <sz val="11"/>
        <color theme="1"/>
        <rFont val="Noto Sans SC"/>
        <family val="2"/>
        <charset val="134"/>
      </rPr>
      <t xml:space="preserve">＝</t>
    </r>
    <r>
      <rPr>
        <sz val="11"/>
        <color theme="1"/>
        <rFont val="Calibri"/>
        <family val="2"/>
        <charset val="1"/>
      </rPr>
      <t xml:space="preserve">2 </t>
    </r>
    <r>
      <rPr>
        <sz val="11"/>
        <color theme="1"/>
        <rFont val="Noto Sans SC"/>
        <family val="2"/>
        <charset val="134"/>
      </rPr>
      <t xml:space="preserve">个事件 → </t>
    </r>
    <r>
      <rPr>
        <sz val="11"/>
        <color theme="1"/>
        <rFont val="Calibri"/>
        <family val="2"/>
        <charset val="1"/>
      </rPr>
      <t xml:space="preserve">1.60%</t>
    </r>
    <r>
      <rPr>
        <sz val="11"/>
        <color theme="1"/>
        <rFont val="Noto Sans SC"/>
        <family val="2"/>
        <charset val="134"/>
      </rPr>
      <t xml:space="preserve">；总事件 </t>
    </r>
    <r>
      <rPr>
        <sz val="11"/>
        <color theme="1"/>
        <rFont val="Calibri"/>
        <family val="2"/>
        <charset val="1"/>
      </rPr>
      <t xml:space="preserve">5³</t>
    </r>
    <r>
      <rPr>
        <sz val="11"/>
        <color theme="1"/>
        <rFont val="Noto Sans SC"/>
        <family val="2"/>
        <charset val="134"/>
      </rPr>
      <t xml:space="preserve">＝</t>
    </r>
    <r>
      <rPr>
        <sz val="11"/>
        <color theme="1"/>
        <rFont val="Calibri"/>
        <family val="2"/>
        <charset val="1"/>
      </rPr>
      <t xml:space="preserve">125</t>
    </r>
    <r>
      <rPr>
        <sz val="11"/>
        <color theme="1"/>
        <rFont val="Noto Sans SC"/>
        <family val="2"/>
        <charset val="134"/>
      </rPr>
      <t xml:space="preserve">；</t>
    </r>
  </si>
  <si>
    <r>
      <rPr>
        <sz val="11"/>
        <color theme="1"/>
        <rFont val="Noto Sans SC"/>
        <family val="2"/>
        <charset val="134"/>
      </rPr>
      <t xml:space="preserve">  赔付倍数人为规定为黑 </t>
    </r>
    <r>
      <rPr>
        <sz val="11"/>
        <color theme="1"/>
        <rFont val="Calibri"/>
        <family val="2"/>
        <charset val="1"/>
      </rPr>
      <t xml:space="preserve">2 </t>
    </r>
    <r>
      <rPr>
        <sz val="11"/>
        <color theme="1"/>
        <rFont val="Noto Sans SC"/>
        <family val="2"/>
        <charset val="134"/>
      </rPr>
      <t xml:space="preserve">倍、白 </t>
    </r>
    <r>
      <rPr>
        <sz val="11"/>
        <color theme="1"/>
        <rFont val="Calibri"/>
        <family val="2"/>
        <charset val="1"/>
      </rPr>
      <t xml:space="preserve">12 </t>
    </r>
    <r>
      <rPr>
        <sz val="11"/>
        <color theme="1"/>
        <rFont val="Noto Sans SC"/>
        <family val="2"/>
        <charset val="134"/>
      </rPr>
      <t xml:space="preserve">倍 →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38.40%×2 + 1.60%×12 </t>
    </r>
    <r>
      <rPr>
        <sz val="11"/>
        <color theme="1"/>
        <rFont val="Noto Sans SC"/>
        <family val="2"/>
        <charset val="134"/>
      </rPr>
      <t xml:space="preserve">＝ </t>
    </r>
    <r>
      <rPr>
        <sz val="11"/>
        <color theme="1"/>
        <rFont val="Calibri"/>
        <family val="2"/>
        <charset val="1"/>
      </rPr>
      <t xml:space="preserve">96%</t>
    </r>
    <r>
      <rPr>
        <sz val="11"/>
        <color theme="1"/>
        <rFont val="Noto Sans SC"/>
        <family val="2"/>
        <charset val="134"/>
      </rPr>
      <t xml:space="preserve">。</t>
    </r>
  </si>
  <si>
    <t xml:space="preserve">原文整理（全文，按原文小标题分段）</t>
  </si>
  <si>
    <r>
      <rPr>
        <sz val="11"/>
        <color theme="1"/>
        <rFont val="Noto Sans SC"/>
        <family val="2"/>
        <charset val="134"/>
      </rPr>
      <t xml:space="preserve">之前的文章介绍了 </t>
    </r>
    <r>
      <rPr>
        <sz val="11"/>
        <color theme="1"/>
        <rFont val="Calibri"/>
        <family val="2"/>
        <charset val="1"/>
      </rPr>
      <t xml:space="preserve">Slots </t>
    </r>
    <r>
      <rPr>
        <sz val="11"/>
        <color theme="1"/>
        <rFont val="Noto Sans SC"/>
        <family val="2"/>
        <charset val="134"/>
      </rPr>
      <t xml:space="preserve">的主要数值概念</t>
    </r>
  </si>
  <si>
    <r>
      <rPr>
        <sz val="11"/>
        <color theme="1"/>
        <rFont val="Calibri"/>
        <family val="2"/>
        <charset val="1"/>
      </rPr>
      <t xml:space="preserve">Slots</t>
    </r>
    <r>
      <rPr>
        <sz val="11"/>
        <color theme="1"/>
        <rFont val="Noto Sans SC"/>
        <family val="2"/>
        <charset val="134"/>
      </rPr>
      <t xml:space="preserve">基础篇—— 基础构成</t>
    </r>
  </si>
  <si>
    <r>
      <rPr>
        <sz val="11"/>
        <color theme="1"/>
        <rFont val="Calibri"/>
        <family val="2"/>
        <charset val="1"/>
      </rPr>
      <t xml:space="preserve">Slots</t>
    </r>
    <r>
      <rPr>
        <sz val="11"/>
        <color theme="1"/>
        <rFont val="Noto Sans SC"/>
        <family val="2"/>
        <charset val="134"/>
      </rPr>
      <t xml:space="preserve">基础篇——数值概念简介</t>
    </r>
  </si>
  <si>
    <r>
      <rPr>
        <sz val="11"/>
        <color theme="1"/>
        <rFont val="Calibri"/>
        <family val="2"/>
        <charset val="1"/>
      </rPr>
      <t xml:space="preserve">Slots</t>
    </r>
    <r>
      <rPr>
        <sz val="11"/>
        <color theme="1"/>
        <rFont val="Noto Sans SC"/>
        <family val="2"/>
        <charset val="134"/>
      </rPr>
      <t xml:space="preserve">基础篇——玩法类型</t>
    </r>
  </si>
  <si>
    <r>
      <rPr>
        <sz val="11"/>
        <color theme="1"/>
        <rFont val="Noto Sans SC"/>
        <family val="2"/>
        <charset val="134"/>
      </rPr>
      <t xml:space="preserve">本片将从最简单的 </t>
    </r>
    <r>
      <rPr>
        <sz val="11"/>
        <color theme="1"/>
        <rFont val="Calibri"/>
        <family val="2"/>
        <charset val="1"/>
      </rPr>
      <t xml:space="preserve">Slots </t>
    </r>
    <r>
      <rPr>
        <sz val="11"/>
        <color theme="1"/>
        <rFont val="Noto Sans SC"/>
        <family val="2"/>
        <charset val="134"/>
      </rPr>
      <t xml:space="preserve">开始介绍 </t>
    </r>
    <r>
      <rPr>
        <sz val="11"/>
        <color theme="1"/>
        <rFont val="Calibri"/>
        <family val="2"/>
        <charset val="1"/>
      </rPr>
      <t xml:space="preserve">Slots </t>
    </r>
    <r>
      <rPr>
        <sz val="11"/>
        <color theme="1"/>
        <rFont val="Noto Sans SC"/>
        <family val="2"/>
        <charset val="134"/>
      </rPr>
      <t xml:space="preserve">的数值设计方法</t>
    </r>
  </si>
  <si>
    <r>
      <rPr>
        <sz val="11"/>
        <color theme="1"/>
        <rFont val="Calibri"/>
        <family val="2"/>
        <charset val="1"/>
      </rPr>
      <t xml:space="preserve">RTP</t>
    </r>
    <r>
      <rPr>
        <sz val="11"/>
        <color theme="1"/>
        <rFont val="Noto Sans SC"/>
        <family val="2"/>
        <charset val="134"/>
      </rPr>
      <t xml:space="preserve">指的是 </t>
    </r>
    <r>
      <rPr>
        <sz val="11"/>
        <color theme="1"/>
        <rFont val="Calibri"/>
        <family val="2"/>
        <charset val="1"/>
      </rPr>
      <t xml:space="preserve">Slots </t>
    </r>
    <r>
      <rPr>
        <sz val="11"/>
        <color theme="1"/>
        <rFont val="Noto Sans SC"/>
        <family val="2"/>
        <charset val="134"/>
      </rPr>
      <t xml:space="preserve">的中奖期望</t>
    </r>
  </si>
  <si>
    <t xml:space="preserve">使用各中奖组合出现的概率，乘上对应的赔付倍数，再加总</t>
  </si>
  <si>
    <r>
      <rPr>
        <sz val="11"/>
        <color theme="1"/>
        <rFont val="Noto Sans SC"/>
        <family val="2"/>
        <charset val="134"/>
      </rPr>
      <t xml:space="preserve">就能得到 </t>
    </r>
    <r>
      <rPr>
        <sz val="11"/>
        <color theme="1"/>
        <rFont val="Calibri"/>
        <family val="2"/>
        <charset val="1"/>
      </rPr>
      <t xml:space="preserve">Slots </t>
    </r>
    <r>
      <rPr>
        <sz val="11"/>
        <color theme="1"/>
        <rFont val="Noto Sans SC"/>
        <family val="2"/>
        <charset val="134"/>
      </rPr>
      <t xml:space="preserve">的</t>
    </r>
    <r>
      <rPr>
        <sz val="11"/>
        <color theme="1"/>
        <rFont val="Calibri"/>
        <family val="2"/>
        <charset val="1"/>
      </rPr>
      <t xml:space="preserve">RTP</t>
    </r>
  </si>
  <si>
    <t xml:space="preserve">其核心步骤就是各中奖组合出现概率的计算</t>
  </si>
  <si>
    <r>
      <rPr>
        <sz val="11"/>
        <color theme="1"/>
        <rFont val="Calibri"/>
        <family val="2"/>
        <charset val="1"/>
      </rPr>
      <t xml:space="preserve"> Slots </t>
    </r>
    <r>
      <rPr>
        <sz val="11"/>
        <color theme="1"/>
        <rFont val="Noto Sans SC"/>
        <family val="2"/>
        <charset val="134"/>
      </rPr>
      <t xml:space="preserve">在卷轴固定的情况下</t>
    </r>
  </si>
  <si>
    <t xml:space="preserve">卷轴上图标分布情况是有限的且固定的</t>
  </si>
  <si>
    <t xml:space="preserve">将所有图标的分布情况视为事件总数</t>
  </si>
  <si>
    <t xml:space="preserve">只需要算出满足中奖组合的事件</t>
  </si>
  <si>
    <r>
      <rPr>
        <sz val="11"/>
        <color theme="1"/>
        <rFont val="Noto Sans SC"/>
        <family val="2"/>
        <charset val="134"/>
      </rPr>
      <t xml:space="preserve">再除以事件总数就可以得到该中奖组合的</t>
    </r>
    <r>
      <rPr>
        <sz val="11"/>
        <color theme="1"/>
        <rFont val="Calibri"/>
        <family val="2"/>
        <charset val="1"/>
      </rPr>
      <t xml:space="preserve">RTP</t>
    </r>
  </si>
  <si>
    <t xml:space="preserve">案例介绍——固定卷轴</t>
  </si>
  <si>
    <r>
      <rPr>
        <sz val="11"/>
        <color theme="1"/>
        <rFont val="Noto Sans SC"/>
        <family val="2"/>
        <charset val="134"/>
      </rPr>
      <t xml:space="preserve">以</t>
    </r>
    <r>
      <rPr>
        <sz val="11"/>
        <color theme="1"/>
        <rFont val="Calibri"/>
        <family val="2"/>
        <charset val="1"/>
      </rPr>
      <t xml:space="preserve">1*3</t>
    </r>
    <r>
      <rPr>
        <sz val="11"/>
        <color theme="1"/>
        <rFont val="Noto Sans SC"/>
        <family val="2"/>
        <charset val="134"/>
      </rPr>
      <t xml:space="preserve">的 </t>
    </r>
    <r>
      <rPr>
        <sz val="11"/>
        <color theme="1"/>
        <rFont val="Calibri"/>
        <family val="2"/>
        <charset val="1"/>
      </rPr>
      <t xml:space="preserve">Slots </t>
    </r>
    <r>
      <rPr>
        <sz val="11"/>
        <color theme="1"/>
        <rFont val="Noto Sans SC"/>
        <family val="2"/>
        <charset val="134"/>
      </rPr>
      <t xml:space="preserve">为例，该 </t>
    </r>
    <r>
      <rPr>
        <sz val="11"/>
        <color theme="1"/>
        <rFont val="Calibri"/>
        <family val="2"/>
        <charset val="1"/>
      </rPr>
      <t xml:space="preserve">Slots </t>
    </r>
    <r>
      <rPr>
        <sz val="11"/>
        <color theme="1"/>
        <rFont val="Noto Sans SC"/>
        <family val="2"/>
        <charset val="134"/>
      </rPr>
      <t xml:space="preserve">共有黑白两种图标，卷轴排列如下图所示：</t>
    </r>
  </si>
  <si>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623746693-01.png</t>
    </r>
  </si>
  <si>
    <t xml:space="preserve">由此可知三列分布的图标情况如下：</t>
  </si>
  <si>
    <r>
      <rPr>
        <sz val="11"/>
        <color theme="1"/>
        <rFont val="Calibri"/>
        <family val="2"/>
        <charset val="1"/>
      </rPr>
      <t xml:space="preserve">- </t>
    </r>
    <r>
      <rPr>
        <sz val="11"/>
        <color theme="1"/>
        <rFont val="Noto Sans SC"/>
        <family val="2"/>
        <charset val="134"/>
      </rPr>
      <t xml:space="preserve">第一列：</t>
    </r>
    <r>
      <rPr>
        <sz val="11"/>
        <color theme="1"/>
        <rFont val="Calibri"/>
        <family val="2"/>
        <charset val="1"/>
      </rPr>
      <t xml:space="preserve">1</t>
    </r>
    <r>
      <rPr>
        <sz val="11"/>
        <color theme="1"/>
        <rFont val="Noto Sans SC"/>
        <family val="2"/>
        <charset val="134"/>
      </rPr>
      <t xml:space="preserve">白</t>
    </r>
    <r>
      <rPr>
        <sz val="11"/>
        <color theme="1"/>
        <rFont val="Calibri"/>
        <family val="2"/>
        <charset val="1"/>
      </rPr>
      <t xml:space="preserve">4</t>
    </r>
    <r>
      <rPr>
        <sz val="11"/>
        <color theme="1"/>
        <rFont val="Noto Sans SC"/>
        <family val="2"/>
        <charset val="134"/>
      </rPr>
      <t xml:space="preserve">黑</t>
    </r>
  </si>
  <si>
    <r>
      <rPr>
        <sz val="11"/>
        <color theme="1"/>
        <rFont val="Calibri"/>
        <family val="2"/>
        <charset val="1"/>
      </rPr>
      <t xml:space="preserve">- </t>
    </r>
    <r>
      <rPr>
        <sz val="11"/>
        <color theme="1"/>
        <rFont val="Noto Sans SC"/>
        <family val="2"/>
        <charset val="134"/>
      </rPr>
      <t xml:space="preserve">第二列：</t>
    </r>
    <r>
      <rPr>
        <sz val="11"/>
        <color theme="1"/>
        <rFont val="Calibri"/>
        <family val="2"/>
        <charset val="1"/>
      </rPr>
      <t xml:space="preserve">1</t>
    </r>
    <r>
      <rPr>
        <sz val="11"/>
        <color theme="1"/>
        <rFont val="Noto Sans SC"/>
        <family val="2"/>
        <charset val="134"/>
      </rPr>
      <t xml:space="preserve">白</t>
    </r>
    <r>
      <rPr>
        <sz val="11"/>
        <color theme="1"/>
        <rFont val="Calibri"/>
        <family val="2"/>
        <charset val="1"/>
      </rPr>
      <t xml:space="preserve">4</t>
    </r>
    <r>
      <rPr>
        <sz val="11"/>
        <color theme="1"/>
        <rFont val="Noto Sans SC"/>
        <family val="2"/>
        <charset val="134"/>
      </rPr>
      <t xml:space="preserve">黑</t>
    </r>
  </si>
  <si>
    <r>
      <rPr>
        <sz val="11"/>
        <color theme="1"/>
        <rFont val="Calibri"/>
        <family val="2"/>
        <charset val="1"/>
      </rPr>
      <t xml:space="preserve">- </t>
    </r>
    <r>
      <rPr>
        <sz val="11"/>
        <color theme="1"/>
        <rFont val="Noto Sans SC"/>
        <family val="2"/>
        <charset val="134"/>
      </rPr>
      <t xml:space="preserve">第三列：</t>
    </r>
    <r>
      <rPr>
        <sz val="11"/>
        <color theme="1"/>
        <rFont val="Calibri"/>
        <family val="2"/>
        <charset val="1"/>
      </rPr>
      <t xml:space="preserve">2</t>
    </r>
    <r>
      <rPr>
        <sz val="11"/>
        <color theme="1"/>
        <rFont val="Noto Sans SC"/>
        <family val="2"/>
        <charset val="134"/>
      </rPr>
      <t xml:space="preserve">白</t>
    </r>
    <r>
      <rPr>
        <sz val="11"/>
        <color theme="1"/>
        <rFont val="Calibri"/>
        <family val="2"/>
        <charset val="1"/>
      </rPr>
      <t xml:space="preserve">3</t>
    </r>
    <r>
      <rPr>
        <sz val="11"/>
        <color theme="1"/>
        <rFont val="Noto Sans SC"/>
        <family val="2"/>
        <charset val="134"/>
      </rPr>
      <t xml:space="preserve">黑</t>
    </r>
  </si>
  <si>
    <t xml:space="preserve">当三列都出现白图标为中奖组合之一</t>
  </si>
  <si>
    <t xml:space="preserve">暂时不考虑其他中奖组合</t>
  </si>
  <si>
    <t xml:space="preserve">因为每列出现白色图标均为独立事件，互不影响</t>
  </si>
  <si>
    <t xml:space="preserve">并且每列内每个白色图标停留在卷轴上的和其他白色图标停留为互斥事件</t>
  </si>
  <si>
    <t xml:space="preserve">因此三列都出现白色图标的总事件数为各列最终是白图标停留在卷轴上的事件个数之积</t>
  </si>
  <si>
    <r>
      <rPr>
        <sz val="11"/>
        <color theme="1"/>
        <rFont val="Noto Sans SC"/>
        <family val="2"/>
        <charset val="134"/>
      </rPr>
      <t xml:space="preserve">我们可以得到 “白 </t>
    </r>
    <r>
      <rPr>
        <sz val="11"/>
        <color theme="1"/>
        <rFont val="Calibri"/>
        <family val="2"/>
        <charset val="1"/>
      </rPr>
      <t xml:space="preserve">- </t>
    </r>
    <r>
      <rPr>
        <sz val="11"/>
        <color theme="1"/>
        <rFont val="Noto Sans SC"/>
        <family val="2"/>
        <charset val="134"/>
      </rPr>
      <t xml:space="preserve">白 </t>
    </r>
    <r>
      <rPr>
        <sz val="11"/>
        <color theme="1"/>
        <rFont val="Calibri"/>
        <family val="2"/>
        <charset val="1"/>
      </rPr>
      <t xml:space="preserve">- </t>
    </r>
    <r>
      <rPr>
        <sz val="11"/>
        <color theme="1"/>
        <rFont val="Noto Sans SC"/>
        <family val="2"/>
        <charset val="134"/>
      </rPr>
      <t xml:space="preserve">白” 中奖组合对应的事件总数为 </t>
    </r>
    <r>
      <rPr>
        <sz val="11"/>
        <color theme="1"/>
        <rFont val="Calibri"/>
        <family val="2"/>
        <charset val="1"/>
      </rPr>
      <t xml:space="preserve">1 * 1 * 2 = 2</t>
    </r>
  </si>
  <si>
    <r>
      <rPr>
        <sz val="11"/>
        <color theme="1"/>
        <rFont val="Noto Sans SC"/>
        <family val="2"/>
        <charset val="134"/>
      </rPr>
      <t xml:space="preserve">该 </t>
    </r>
    <r>
      <rPr>
        <sz val="11"/>
        <color theme="1"/>
        <rFont val="Calibri"/>
        <family val="2"/>
        <charset val="1"/>
      </rPr>
      <t xml:space="preserve">Slots </t>
    </r>
    <r>
      <rPr>
        <sz val="11"/>
        <color theme="1"/>
        <rFont val="Noto Sans SC"/>
        <family val="2"/>
        <charset val="134"/>
      </rPr>
      <t xml:space="preserve">事件总数为 </t>
    </r>
    <r>
      <rPr>
        <sz val="11"/>
        <color theme="1"/>
        <rFont val="Calibri"/>
        <family val="2"/>
        <charset val="1"/>
      </rPr>
      <t xml:space="preserve">5 * 5 * 5 =125</t>
    </r>
  </si>
  <si>
    <r>
      <rPr>
        <sz val="11"/>
        <color theme="1"/>
        <rFont val="Noto Sans SC"/>
        <family val="2"/>
        <charset val="134"/>
      </rPr>
      <t xml:space="preserve">该 </t>
    </r>
    <r>
      <rPr>
        <sz val="11"/>
        <color theme="1"/>
        <rFont val="Calibri"/>
        <family val="2"/>
        <charset val="1"/>
      </rPr>
      <t xml:space="preserve">Slots </t>
    </r>
    <r>
      <rPr>
        <sz val="11"/>
        <color theme="1"/>
        <rFont val="Noto Sans SC"/>
        <family val="2"/>
        <charset val="134"/>
      </rPr>
      <t xml:space="preserve">中奖率为 </t>
    </r>
    <r>
      <rPr>
        <sz val="11"/>
        <color theme="1"/>
        <rFont val="Calibri"/>
        <family val="2"/>
        <charset val="1"/>
      </rPr>
      <t xml:space="preserve">2 / 125 = 1.6%</t>
    </r>
  </si>
  <si>
    <r>
      <rPr>
        <sz val="11"/>
        <color theme="1"/>
        <rFont val="Noto Sans SC"/>
        <family val="2"/>
        <charset val="134"/>
      </rPr>
      <t xml:space="preserve">再用</t>
    </r>
    <r>
      <rPr>
        <sz val="11"/>
        <color theme="1"/>
        <rFont val="Calibri"/>
        <family val="2"/>
        <charset val="1"/>
      </rPr>
      <t xml:space="preserve">1.6%</t>
    </r>
    <r>
      <rPr>
        <sz val="11"/>
        <color theme="1"/>
        <rFont val="Noto Sans SC"/>
        <family val="2"/>
        <charset val="134"/>
      </rPr>
      <t xml:space="preserve">乘上白图标中奖时的赔付数值，就可以得到玩家的中奖期望</t>
    </r>
  </si>
  <si>
    <r>
      <rPr>
        <sz val="11"/>
        <color theme="1"/>
        <rFont val="Noto Sans SC"/>
        <family val="2"/>
        <charset val="134"/>
      </rPr>
      <t xml:space="preserve">如果上述 </t>
    </r>
    <r>
      <rPr>
        <sz val="11"/>
        <color theme="1"/>
        <rFont val="Calibri"/>
        <family val="2"/>
        <charset val="1"/>
      </rPr>
      <t xml:space="preserve">Slots </t>
    </r>
    <r>
      <rPr>
        <sz val="11"/>
        <color theme="1"/>
        <rFont val="Noto Sans SC"/>
        <family val="2"/>
        <charset val="134"/>
      </rPr>
      <t xml:space="preserve">不仅三列均为白色图标可以中奖，而且三列均为黑色图标也能中奖，则在计算中奖期望时加上黑图标的中奖期望即可</t>
    </r>
  </si>
  <si>
    <r>
      <rPr>
        <b val="true"/>
        <sz val="11"/>
        <rFont val="Noto Sans SC"/>
        <family val="2"/>
        <charset val="134"/>
      </rPr>
      <t xml:space="preserve">带入</t>
    </r>
    <r>
      <rPr>
        <b val="true"/>
        <sz val="11"/>
        <rFont val="Cambria"/>
        <family val="0"/>
        <charset val="1"/>
      </rPr>
      <t xml:space="preserve">Excel</t>
    </r>
  </si>
  <si>
    <r>
      <rPr>
        <sz val="11"/>
        <color theme="1"/>
        <rFont val="Noto Sans SC"/>
        <family val="2"/>
        <charset val="134"/>
      </rPr>
      <t xml:space="preserve">将以上过程转移到</t>
    </r>
    <r>
      <rPr>
        <sz val="11"/>
        <color theme="1"/>
        <rFont val="Calibri"/>
        <family val="2"/>
        <charset val="1"/>
      </rPr>
      <t xml:space="preserve">Excel</t>
    </r>
    <r>
      <rPr>
        <sz val="11"/>
        <color theme="1"/>
        <rFont val="Noto Sans SC"/>
        <family val="2"/>
        <charset val="134"/>
      </rPr>
      <t xml:space="preserve">的计算当中</t>
    </r>
  </si>
  <si>
    <r>
      <rPr>
        <sz val="11"/>
        <color theme="1"/>
        <rFont val="Noto Sans SC"/>
        <family val="2"/>
        <charset val="134"/>
      </rPr>
      <t xml:space="preserve">按照以下步骤即可得到该基础</t>
    </r>
    <r>
      <rPr>
        <sz val="11"/>
        <color theme="1"/>
        <rFont val="Calibri"/>
        <family val="2"/>
        <charset val="1"/>
      </rPr>
      <t xml:space="preserve">1*3 Slots </t>
    </r>
    <r>
      <rPr>
        <sz val="11"/>
        <color theme="1"/>
        <rFont val="Noto Sans SC"/>
        <family val="2"/>
        <charset val="134"/>
      </rPr>
      <t xml:space="preserve">的数值模型表：</t>
    </r>
  </si>
  <si>
    <t xml:space="preserve">第一步：输入卷轴排列情况</t>
  </si>
  <si>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623746693-02.jpg</t>
    </r>
  </si>
  <si>
    <t xml:space="preserve">第二步：列明中奖情况</t>
  </si>
  <si>
    <r>
      <rPr>
        <sz val="11"/>
        <color theme="1"/>
        <rFont val="Noto Sans SC"/>
        <family val="2"/>
        <charset val="134"/>
      </rPr>
      <t xml:space="preserve">该 </t>
    </r>
    <r>
      <rPr>
        <sz val="11"/>
        <color theme="1"/>
        <rFont val="Calibri"/>
        <family val="2"/>
        <charset val="1"/>
      </rPr>
      <t xml:space="preserve">Slots </t>
    </r>
    <r>
      <rPr>
        <sz val="11"/>
        <color theme="1"/>
        <rFont val="Noto Sans SC"/>
        <family val="2"/>
        <charset val="134"/>
      </rPr>
      <t xml:space="preserve">的中奖情况包括：</t>
    </r>
  </si>
  <si>
    <r>
      <rPr>
        <sz val="11"/>
        <color theme="1"/>
        <rFont val="Calibri"/>
        <family val="2"/>
        <charset val="1"/>
      </rPr>
      <t xml:space="preserve">- </t>
    </r>
    <r>
      <rPr>
        <sz val="11"/>
        <color theme="1"/>
        <rFont val="Noto Sans SC"/>
        <family val="2"/>
        <charset val="134"/>
      </rPr>
      <t xml:space="preserve">黑 </t>
    </r>
    <r>
      <rPr>
        <sz val="11"/>
        <color theme="1"/>
        <rFont val="Calibri"/>
        <family val="2"/>
        <charset val="1"/>
      </rPr>
      <t xml:space="preserve">- </t>
    </r>
    <r>
      <rPr>
        <sz val="11"/>
        <color theme="1"/>
        <rFont val="Noto Sans SC"/>
        <family val="2"/>
        <charset val="134"/>
      </rPr>
      <t xml:space="preserve">黑 </t>
    </r>
    <r>
      <rPr>
        <sz val="11"/>
        <color theme="1"/>
        <rFont val="Calibri"/>
        <family val="2"/>
        <charset val="1"/>
      </rPr>
      <t xml:space="preserve">- </t>
    </r>
    <r>
      <rPr>
        <sz val="11"/>
        <color theme="1"/>
        <rFont val="Noto Sans SC"/>
        <family val="2"/>
        <charset val="134"/>
      </rPr>
      <t xml:space="preserve">黑</t>
    </r>
  </si>
  <si>
    <r>
      <rPr>
        <sz val="11"/>
        <color theme="1"/>
        <rFont val="Calibri"/>
        <family val="2"/>
        <charset val="1"/>
      </rPr>
      <t xml:space="preserve">- </t>
    </r>
    <r>
      <rPr>
        <sz val="11"/>
        <color theme="1"/>
        <rFont val="Noto Sans SC"/>
        <family val="2"/>
        <charset val="134"/>
      </rPr>
      <t xml:space="preserve">白 </t>
    </r>
    <r>
      <rPr>
        <sz val="11"/>
        <color theme="1"/>
        <rFont val="Calibri"/>
        <family val="2"/>
        <charset val="1"/>
      </rPr>
      <t xml:space="preserve">- </t>
    </r>
    <r>
      <rPr>
        <sz val="11"/>
        <color theme="1"/>
        <rFont val="Noto Sans SC"/>
        <family val="2"/>
        <charset val="134"/>
      </rPr>
      <t xml:space="preserve">白 </t>
    </r>
    <r>
      <rPr>
        <sz val="11"/>
        <color theme="1"/>
        <rFont val="Calibri"/>
        <family val="2"/>
        <charset val="1"/>
      </rPr>
      <t xml:space="preserve">- </t>
    </r>
    <r>
      <rPr>
        <sz val="11"/>
        <color theme="1"/>
        <rFont val="Noto Sans SC"/>
        <family val="2"/>
        <charset val="134"/>
      </rPr>
      <t xml:space="preserve">白</t>
    </r>
  </si>
  <si>
    <t xml:space="preserve">第三步：计算各中奖情况包含的事件数</t>
  </si>
  <si>
    <t xml:space="preserve">如上文所述，由于各列图标出现情况相互独立</t>
  </si>
  <si>
    <t xml:space="preserve">并且各列各图标停留在卷轴上的事件相互互斥</t>
  </si>
  <si>
    <t xml:space="preserve">可以通过事件数相乘的方式，得到个中奖组合的事件数</t>
  </si>
  <si>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623746693-03.jpg</t>
    </r>
  </si>
  <si>
    <t xml:space="preserve">第四步：计算总事件数，并得得到各中奖情况的中奖率</t>
  </si>
  <si>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623746693-04.jpg</t>
    </r>
  </si>
  <si>
    <r>
      <rPr>
        <b val="true"/>
        <sz val="11"/>
        <rFont val="Noto Sans SC"/>
        <family val="2"/>
        <charset val="134"/>
      </rPr>
      <t xml:space="preserve">第五步：使用中奖率乘以对应中奖组合的赔付倍数得到最终的 </t>
    </r>
    <r>
      <rPr>
        <b val="true"/>
        <sz val="11"/>
        <rFont val="Cambria"/>
        <family val="0"/>
        <charset val="1"/>
      </rPr>
      <t xml:space="preserve">Slots </t>
    </r>
    <r>
      <rPr>
        <b val="true"/>
        <sz val="11"/>
        <rFont val="Noto Sans SC"/>
        <family val="2"/>
        <charset val="134"/>
      </rPr>
      <t xml:space="preserve">返奖期望值（</t>
    </r>
    <r>
      <rPr>
        <b val="true"/>
        <sz val="11"/>
        <rFont val="Cambria"/>
        <family val="0"/>
        <charset val="1"/>
      </rPr>
      <t xml:space="preserve">RTP</t>
    </r>
    <r>
      <rPr>
        <b val="true"/>
        <sz val="11"/>
        <rFont val="Noto Sans SC"/>
        <family val="2"/>
        <charset val="134"/>
      </rPr>
      <t xml:space="preserve">）</t>
    </r>
  </si>
  <si>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623746693-05.jpg</t>
    </r>
  </si>
  <si>
    <t xml:space="preserve">置灰的是人为规定部分</t>
  </si>
  <si>
    <r>
      <rPr>
        <sz val="11"/>
        <color theme="1"/>
        <rFont val="Noto Sans SC"/>
        <family val="2"/>
        <charset val="134"/>
      </rPr>
      <t xml:space="preserve">在上文的数值计算基础上，在整体逻辑不变的情况下，不论添加多少图标都不影响计算的整体逻辑。只要掌握了以上内容，就能够轻松地计算出基础 </t>
    </r>
    <r>
      <rPr>
        <sz val="11"/>
        <color theme="1"/>
        <rFont val="Calibri"/>
        <family val="2"/>
        <charset val="1"/>
      </rPr>
      <t xml:space="preserve">Slots </t>
    </r>
    <r>
      <rPr>
        <sz val="11"/>
        <color theme="1"/>
        <rFont val="Noto Sans SC"/>
        <family val="2"/>
        <charset val="134"/>
      </rPr>
      <t xml:space="preserve">的</t>
    </r>
    <r>
      <rPr>
        <sz val="11"/>
        <color theme="1"/>
        <rFont val="Calibri"/>
        <family val="2"/>
        <charset val="1"/>
      </rPr>
      <t xml:space="preserve">RTP</t>
    </r>
  </si>
  <si>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623746693-06.jpg</t>
    </r>
  </si>
  <si>
    <r>
      <rPr>
        <b val="true"/>
        <sz val="11"/>
        <rFont val="Noto Sans SC"/>
        <family val="2"/>
        <charset val="134"/>
      </rPr>
      <t xml:space="preserve">原文配图清单（共 </t>
    </r>
    <r>
      <rPr>
        <b val="true"/>
        <sz val="11"/>
        <rFont val="Cambria"/>
        <family val="0"/>
        <charset val="1"/>
      </rPr>
      <t xml:space="preserve">6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</si>
  <si>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01</t>
    </r>
    <r>
      <rPr>
        <sz val="11"/>
        <color rgb="FF808080"/>
        <rFont val="Noto Sans SC"/>
        <family val="2"/>
        <charset val="134"/>
      </rPr>
      <t xml:space="preserve">］</t>
    </r>
    <r>
      <rPr>
        <sz val="11"/>
        <color rgb="FF808080"/>
        <rFont val="Cambria"/>
        <family val="0"/>
        <charset val="1"/>
      </rPr>
      <t xml:space="preserve">623746693-01.png</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</si>
  <si>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623746693-02.jpg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</si>
  <si>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623746693-03.jpg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</si>
  <si>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623746693-04.jpg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</si>
  <si>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623746693-05.jpg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</si>
  <si>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623746693-06.jpg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</si>
  <si>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</si>
  <si>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</si>
  <si>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</si>
  <si>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</si>
  <si>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</si>
  <si>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</si>
  <si>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1*3 Line Slots</t>
    </r>
    <r>
      <rPr>
        <sz val="11"/>
        <color rgb="FF808080"/>
        <rFont val="Noto Sans SC"/>
        <family val="2"/>
        <charset val="134"/>
      </rPr>
      <t xml:space="preserve">》</t>
    </r>
    <r>
      <rPr>
        <sz val="11"/>
        <color rgb="FF808080"/>
        <rFont val="Cambria"/>
        <family val="0"/>
        <charset val="1"/>
      </rPr>
      <t xml:space="preserve">, https://zhuanlan.zhihu.com/p/623746693</t>
    </r>
  </si>
  <si>
    <r>
      <rPr>
        <b val="true"/>
        <sz val="14"/>
        <color rgb="FF1F4E79"/>
        <rFont val="Noto Sans SC"/>
        <family val="2"/>
        <charset val="134"/>
      </rPr>
      <t xml:space="preserve">数值篇 </t>
    </r>
    <r>
      <rPr>
        <b val="true"/>
        <sz val="14"/>
        <color rgb="FF1F4E79"/>
        <rFont val="Cambria"/>
        <family val="0"/>
        <charset val="1"/>
      </rPr>
      <t xml:space="preserve">· 1*3 Line Slots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</si>
  <si>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】基本参数</t>
    </r>
  </si>
  <si>
    <t xml:space="preserve">项目</t>
  </si>
  <si>
    <t xml:space="preserve">数值</t>
  </si>
  <si>
    <t xml:space="preserve">玩法</t>
  </si>
  <si>
    <t xml:space="preserve">1*3 Line Slots</t>
  </si>
  <si>
    <r>
      <rPr>
        <sz val="11"/>
        <color theme="1"/>
        <rFont val="Calibri"/>
        <family val="2"/>
        <charset val="1"/>
      </rPr>
      <t xml:space="preserve">1 </t>
    </r>
    <r>
      <rPr>
        <sz val="11"/>
        <color theme="1"/>
        <rFont val="Noto Sans SC"/>
        <family val="2"/>
        <charset val="134"/>
      </rPr>
      <t xml:space="preserve">行 </t>
    </r>
    <r>
      <rPr>
        <sz val="11"/>
        <color theme="1"/>
        <rFont val="Calibri"/>
        <family val="2"/>
        <charset val="1"/>
      </rPr>
      <t xml:space="preserve">× 3 </t>
    </r>
    <r>
      <rPr>
        <sz val="11"/>
        <color theme="1"/>
        <rFont val="Noto Sans SC"/>
        <family val="2"/>
        <charset val="134"/>
      </rPr>
      <t xml:space="preserve">列；原文示例：黑白两种图标</t>
    </r>
  </si>
  <si>
    <t xml:space="preserve">卷轴列数</t>
  </si>
  <si>
    <t xml:space="preserve">窗口行数</t>
  </si>
  <si>
    <t xml:space="preserve">只有一条中奖线</t>
  </si>
  <si>
    <t xml:space="preserve">每列停位数</t>
  </si>
  <si>
    <r>
      <rPr>
        <sz val="11"/>
        <color theme="1"/>
        <rFont val="Noto Sans SC"/>
        <family val="2"/>
        <charset val="134"/>
      </rPr>
      <t xml:space="preserve">每列 </t>
    </r>
    <r>
      <rPr>
        <sz val="11"/>
        <color theme="1"/>
        <rFont val="Calibri"/>
        <family val="2"/>
        <charset val="1"/>
      </rPr>
      <t xml:space="preserve">5 </t>
    </r>
    <r>
      <rPr>
        <sz val="11"/>
        <color theme="1"/>
        <rFont val="Noto Sans SC"/>
        <family val="2"/>
        <charset val="134"/>
      </rPr>
      <t xml:space="preserve">个停位（卷轴上的图标总数）</t>
    </r>
  </si>
  <si>
    <t xml:space="preserve">卷轴类型</t>
  </si>
  <si>
    <t xml:space="preserve">固定卷轴</t>
  </si>
  <si>
    <t xml:space="preserve">线上多为非固定卷轴，但事件数法同样适用</t>
  </si>
  <si>
    <t xml:space="preserve">总事件数</t>
  </si>
  <si>
    <r>
      <rPr>
        <sz val="11"/>
        <color theme="1"/>
        <rFont val="Noto Sans SC"/>
        <family val="2"/>
        <charset val="134"/>
      </rPr>
      <t xml:space="preserve">＝ 每列停位数 </t>
    </r>
    <r>
      <rPr>
        <sz val="11"/>
        <color theme="1"/>
        <rFont val="Calibri"/>
        <family val="2"/>
        <charset val="1"/>
      </rPr>
      <t xml:space="preserve">^ </t>
    </r>
    <r>
      <rPr>
        <sz val="11"/>
        <color theme="1"/>
        <rFont val="Noto Sans SC"/>
        <family val="2"/>
        <charset val="134"/>
      </rPr>
      <t xml:space="preserve">卷轴列数 ＝ </t>
    </r>
    <r>
      <rPr>
        <sz val="11"/>
        <color theme="1"/>
        <rFont val="Calibri"/>
        <family val="2"/>
        <charset val="1"/>
      </rPr>
      <t xml:space="preserve">5³ </t>
    </r>
    <r>
      <rPr>
        <sz val="11"/>
        <color theme="1"/>
        <rFont val="Noto Sans SC"/>
        <family val="2"/>
        <charset val="134"/>
      </rPr>
      <t xml:space="preserve">＝ </t>
    </r>
    <r>
      <rPr>
        <sz val="11"/>
        <color theme="1"/>
        <rFont val="Calibri"/>
        <family val="2"/>
        <charset val="1"/>
      </rPr>
      <t xml:space="preserve">125</t>
    </r>
  </si>
  <si>
    <t xml:space="preserve">赔付基数</t>
  </si>
  <si>
    <t xml:space="preserve">Line Bet</t>
  </si>
  <si>
    <t xml:space="preserve">所有赔付倍数都以单线下注为基数</t>
  </si>
  <si>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】固定卷轴排列（</t>
    </r>
    <r>
      <rPr>
        <b val="true"/>
        <sz val="11"/>
        <color rgb="FF1F4E79"/>
        <rFont val="Cambria"/>
        <family val="0"/>
        <charset val="1"/>
      </rPr>
      <t xml:space="preserve">3 </t>
    </r>
    <r>
      <rPr>
        <b val="true"/>
        <sz val="11"/>
        <color rgb="FF1F4E79"/>
        <rFont val="Noto Sans SC"/>
        <family val="2"/>
        <charset val="134"/>
      </rPr>
      <t xml:space="preserve">列 </t>
    </r>
    <r>
      <rPr>
        <b val="true"/>
        <sz val="11"/>
        <color rgb="FF1F4E79"/>
        <rFont val="Cambria"/>
        <family val="0"/>
        <charset val="1"/>
      </rPr>
      <t xml:space="preserve">× 5 </t>
    </r>
    <r>
      <rPr>
        <b val="true"/>
        <sz val="11"/>
        <color rgb="FF1F4E79"/>
        <rFont val="Noto Sans SC"/>
        <family val="2"/>
        <charset val="134"/>
      </rPr>
      <t xml:space="preserve">停，按原文配图转录；蓝字可改）</t>
    </r>
  </si>
  <si>
    <t xml:space="preserve">停位</t>
  </si>
  <si>
    <r>
      <rPr>
        <b val="true"/>
        <sz val="11"/>
        <color rgb="FF1F4E79"/>
        <rFont val="Noto Sans SC"/>
        <family val="2"/>
        <charset val="134"/>
      </rPr>
      <t xml:space="preserve">列</t>
    </r>
    <r>
      <rPr>
        <b val="true"/>
        <sz val="11"/>
        <color rgb="FF1F4E79"/>
        <rFont val="Cambria"/>
        <family val="0"/>
        <charset val="1"/>
      </rPr>
      <t xml:space="preserve">1</t>
    </r>
  </si>
  <si>
    <r>
      <rPr>
        <b val="true"/>
        <sz val="11"/>
        <color rgb="FF1F4E79"/>
        <rFont val="Noto Sans SC"/>
        <family val="2"/>
        <charset val="134"/>
      </rPr>
      <t xml:space="preserve">列</t>
    </r>
    <r>
      <rPr>
        <b val="true"/>
        <sz val="11"/>
        <color rgb="FF1F4E79"/>
        <rFont val="Cambria"/>
        <family val="0"/>
        <charset val="1"/>
      </rPr>
      <t xml:space="preserve">2</t>
    </r>
  </si>
  <si>
    <r>
      <rPr>
        <b val="true"/>
        <sz val="11"/>
        <color rgb="FF1F4E79"/>
        <rFont val="Noto Sans SC"/>
        <family val="2"/>
        <charset val="134"/>
      </rPr>
      <t xml:space="preserve">列</t>
    </r>
    <r>
      <rPr>
        <b val="true"/>
        <sz val="11"/>
        <color rgb="FF1F4E79"/>
        <rFont val="Cambria"/>
        <family val="0"/>
        <charset val="1"/>
      </rPr>
      <t xml:space="preserve">3</t>
    </r>
  </si>
  <si>
    <t xml:space="preserve">白</t>
  </si>
  <si>
    <r>
      <rPr>
        <sz val="11"/>
        <color theme="1"/>
        <rFont val="Noto Sans SC"/>
        <family val="2"/>
        <charset val="134"/>
      </rPr>
      <t xml:space="preserve">原文：第一列 </t>
    </r>
    <r>
      <rPr>
        <sz val="11"/>
        <color theme="1"/>
        <rFont val="Calibri"/>
        <family val="2"/>
        <charset val="1"/>
      </rPr>
      <t xml:space="preserve">1 </t>
    </r>
    <r>
      <rPr>
        <sz val="11"/>
        <color theme="1"/>
        <rFont val="Noto Sans SC"/>
        <family val="2"/>
        <charset val="134"/>
      </rPr>
      <t xml:space="preserve">白 </t>
    </r>
    <r>
      <rPr>
        <sz val="11"/>
        <color theme="1"/>
        <rFont val="Calibri"/>
        <family val="2"/>
        <charset val="1"/>
      </rPr>
      <t xml:space="preserve">4 </t>
    </r>
    <r>
      <rPr>
        <sz val="11"/>
        <color theme="1"/>
        <rFont val="Noto Sans SC"/>
        <family val="2"/>
        <charset val="134"/>
      </rPr>
      <t xml:space="preserve">黑</t>
    </r>
  </si>
  <si>
    <t xml:space="preserve">黑</t>
  </si>
  <si>
    <r>
      <rPr>
        <sz val="11"/>
        <color theme="1"/>
        <rFont val="Noto Sans SC"/>
        <family val="2"/>
        <charset val="134"/>
      </rPr>
      <t xml:space="preserve">原文：第二列 </t>
    </r>
    <r>
      <rPr>
        <sz val="11"/>
        <color theme="1"/>
        <rFont val="Calibri"/>
        <family val="2"/>
        <charset val="1"/>
      </rPr>
      <t xml:space="preserve">1 </t>
    </r>
    <r>
      <rPr>
        <sz val="11"/>
        <color theme="1"/>
        <rFont val="Noto Sans SC"/>
        <family val="2"/>
        <charset val="134"/>
      </rPr>
      <t xml:space="preserve">白 </t>
    </r>
    <r>
      <rPr>
        <sz val="11"/>
        <color theme="1"/>
        <rFont val="Calibri"/>
        <family val="2"/>
        <charset val="1"/>
      </rPr>
      <t xml:space="preserve">4 </t>
    </r>
    <r>
      <rPr>
        <sz val="11"/>
        <color theme="1"/>
        <rFont val="Noto Sans SC"/>
        <family val="2"/>
        <charset val="134"/>
      </rPr>
      <t xml:space="preserve">黑</t>
    </r>
  </si>
  <si>
    <r>
      <rPr>
        <sz val="11"/>
        <color theme="1"/>
        <rFont val="Noto Sans SC"/>
        <family val="2"/>
        <charset val="134"/>
      </rPr>
      <t xml:space="preserve">原文：第三列 </t>
    </r>
    <r>
      <rPr>
        <sz val="11"/>
        <color theme="1"/>
        <rFont val="Calibri"/>
        <family val="2"/>
        <charset val="1"/>
      </rPr>
      <t xml:space="preserve">2 </t>
    </r>
    <r>
      <rPr>
        <sz val="11"/>
        <color theme="1"/>
        <rFont val="Noto Sans SC"/>
        <family val="2"/>
        <charset val="134"/>
      </rPr>
      <t xml:space="preserve">白 </t>
    </r>
    <r>
      <rPr>
        <sz val="11"/>
        <color theme="1"/>
        <rFont val="Calibri"/>
        <family val="2"/>
        <charset val="1"/>
      </rPr>
      <t xml:space="preserve">3 </t>
    </r>
    <r>
      <rPr>
        <sz val="11"/>
        <color theme="1"/>
        <rFont val="Noto Sans SC"/>
        <family val="2"/>
        <charset val="134"/>
      </rPr>
      <t xml:space="preserve">黑</t>
    </r>
  </si>
  <si>
    <t xml:space="preserve">每列格数</t>
  </si>
  <si>
    <r>
      <rPr>
        <sz val="11"/>
        <color theme="1"/>
        <rFont val="Noto Sans SC"/>
        <family val="2"/>
        <charset val="134"/>
      </rPr>
      <t xml:space="preserve">应与【</t>
    </r>
    <r>
      <rPr>
        <sz val="11"/>
        <color theme="1"/>
        <rFont val="Calibri"/>
        <family val="2"/>
        <charset val="1"/>
      </rPr>
      <t xml:space="preserve">1</t>
    </r>
    <r>
      <rPr>
        <sz val="11"/>
        <color theme="1"/>
        <rFont val="Noto Sans SC"/>
        <family val="2"/>
        <charset val="134"/>
      </rPr>
      <t xml:space="preserve">】每列停位数一致</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</si>
  <si>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】各图标事件数与期望（复刻原文⑤ </t>
    </r>
    <r>
      <rPr>
        <b val="true"/>
        <sz val="11"/>
        <color rgb="FF1F4E79"/>
        <rFont val="Cambria"/>
        <family val="0"/>
        <charset val="1"/>
      </rPr>
      <t xml:space="preserve">Excel</t>
    </r>
    <r>
      <rPr>
        <b val="true"/>
        <sz val="11"/>
        <color rgb="FF1F4E79"/>
        <rFont val="Noto Sans SC"/>
        <family val="2"/>
        <charset val="134"/>
      </rPr>
      <t xml:space="preserve">）</t>
    </r>
  </si>
  <si>
    <t xml:space="preserve">图标</t>
  </si>
  <si>
    <t xml:space="preserve">中奖事件数</t>
  </si>
  <si>
    <t xml:space="preserve">中奖率</t>
  </si>
  <si>
    <t xml:space="preserve">赔付倍数</t>
  </si>
  <si>
    <t xml:space="preserve">期望</t>
  </si>
  <si>
    <r>
      <rPr>
        <b val="true"/>
        <sz val="11"/>
        <rFont val="Noto Sans SC"/>
        <family val="2"/>
        <charset val="134"/>
      </rPr>
      <t xml:space="preserve">合计 </t>
    </r>
    <r>
      <rPr>
        <b val="true"/>
        <sz val="11"/>
        <rFont val="Cambria"/>
        <family val="0"/>
        <charset val="1"/>
      </rPr>
      <t xml:space="preserve">RTP</t>
    </r>
  </si>
  <si>
    <t xml:space="preserve">—</t>
  </si>
  <si>
    <r>
      <rPr>
        <sz val="11"/>
        <color theme="1"/>
        <rFont val="Noto Sans SC"/>
        <family val="2"/>
        <charset val="134"/>
      </rPr>
      <t xml:space="preserve">原文公布 </t>
    </r>
    <r>
      <rPr>
        <sz val="11"/>
        <color theme="1"/>
        <rFont val="Calibri"/>
        <family val="2"/>
        <charset val="1"/>
      </rPr>
      <t xml:space="preserve">RTP</t>
    </r>
  </si>
  <si>
    <r>
      <rPr>
        <sz val="11"/>
        <color theme="1"/>
        <rFont val="Noto Sans SC"/>
        <family val="2"/>
        <charset val="134"/>
      </rPr>
      <t xml:space="preserve">原文⑤ 表中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0.9600</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</si>
  <si>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</si>
  <si>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</si>
  <si>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</si>
  <si>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每列格数一致且等于【</t>
    </r>
    <r>
      <rPr>
        <sz val="11"/>
        <color theme="1"/>
        <rFont val="Calibri"/>
        <family val="2"/>
        <charset val="1"/>
      </rPr>
      <t xml:space="preserve">1</t>
    </r>
    <r>
      <rPr>
        <sz val="11"/>
        <color theme="1"/>
        <rFont val="Noto Sans SC"/>
        <family val="2"/>
        <charset val="134"/>
      </rPr>
      <t xml:space="preserve">】设定</t>
    </r>
  </si>
  <si>
    <r>
      <rPr>
        <sz val="11"/>
        <color theme="1"/>
        <rFont val="Noto Sans SC"/>
        <family val="2"/>
        <charset val="134"/>
      </rPr>
      <t xml:space="preserve">各列长度不同就不能用同一套 停位数</t>
    </r>
    <r>
      <rPr>
        <sz val="11"/>
        <color theme="1"/>
        <rFont val="Calibri"/>
        <family val="2"/>
        <charset val="1"/>
      </rPr>
      <t xml:space="preserve">^</t>
    </r>
    <r>
      <rPr>
        <sz val="11"/>
        <color theme="1"/>
        <rFont val="Noto Sans SC"/>
        <family val="2"/>
        <charset val="134"/>
      </rPr>
      <t xml:space="preserve">列数 口径</t>
    </r>
  </si>
  <si>
    <t xml:space="preserve">各图标事件数互斥且不超过总事件数</t>
  </si>
  <si>
    <r>
      <rPr>
        <sz val="11"/>
        <color theme="1"/>
        <rFont val="Noto Sans SC"/>
        <family val="2"/>
        <charset val="134"/>
      </rPr>
      <t xml:space="preserve">黑 </t>
    </r>
    <r>
      <rPr>
        <sz val="11"/>
        <color theme="1"/>
        <rFont val="Calibri"/>
        <family val="2"/>
        <charset val="1"/>
      </rPr>
      <t xml:space="preserve">48 </t>
    </r>
    <r>
      <rPr>
        <sz val="11"/>
        <color theme="1"/>
        <rFont val="Noto Sans SC"/>
        <family val="2"/>
        <charset val="134"/>
      </rPr>
      <t xml:space="preserve">＋ 白 </t>
    </r>
    <r>
      <rPr>
        <sz val="11"/>
        <color theme="1"/>
        <rFont val="Calibri"/>
        <family val="2"/>
        <charset val="1"/>
      </rPr>
      <t xml:space="preserve">2 </t>
    </r>
    <r>
      <rPr>
        <sz val="11"/>
        <color theme="1"/>
        <rFont val="Noto Sans SC"/>
        <family val="2"/>
        <charset val="134"/>
      </rPr>
      <t xml:space="preserve">＝ </t>
    </r>
    <r>
      <rPr>
        <sz val="11"/>
        <color theme="1"/>
        <rFont val="Calibri"/>
        <family val="2"/>
        <charset val="1"/>
      </rPr>
      <t xml:space="preserve">50 ≤ 125</t>
    </r>
    <r>
      <rPr>
        <sz val="11"/>
        <color theme="1"/>
        <rFont val="Noto Sans SC"/>
        <family val="2"/>
        <charset val="134"/>
      </rPr>
      <t xml:space="preserve">（剩余 </t>
    </r>
    <r>
      <rPr>
        <sz val="11"/>
        <color theme="1"/>
        <rFont val="Calibri"/>
        <family val="2"/>
        <charset val="1"/>
      </rPr>
      <t xml:space="preserve">75 </t>
    </r>
    <r>
      <rPr>
        <sz val="11"/>
        <color theme="1"/>
        <rFont val="Noto Sans SC"/>
        <family val="2"/>
        <charset val="134"/>
      </rPr>
      <t xml:space="preserve">个事件为不中奖）</t>
    </r>
  </si>
  <si>
    <r>
      <rPr>
        <sz val="11"/>
        <color theme="1"/>
        <rFont val="Calibri"/>
        <family val="2"/>
        <charset val="1"/>
      </rPr>
      <t xml:space="preserve">RTP </t>
    </r>
    <r>
      <rPr>
        <sz val="11"/>
        <color theme="1"/>
        <rFont val="Noto Sans SC"/>
        <family val="2"/>
        <charset val="134"/>
      </rPr>
      <t xml:space="preserve">与原文一致</t>
    </r>
  </si>
  <si>
    <r>
      <rPr>
        <sz val="11"/>
        <color theme="1"/>
        <rFont val="Noto Sans SC"/>
        <family val="2"/>
        <charset val="134"/>
      </rPr>
      <t xml:space="preserve">本簿公式算出 </t>
    </r>
    <r>
      <rPr>
        <sz val="11"/>
        <color theme="1"/>
        <rFont val="Calibri"/>
        <family val="2"/>
        <charset val="1"/>
      </rPr>
      <t xml:space="preserve">96.00%</t>
    </r>
    <r>
      <rPr>
        <sz val="11"/>
        <color theme="1"/>
        <rFont val="Noto Sans SC"/>
        <family val="2"/>
        <charset val="134"/>
      </rPr>
      <t xml:space="preserve">，原文⑤ 亦为 </t>
    </r>
    <r>
      <rPr>
        <sz val="11"/>
        <color theme="1"/>
        <rFont val="Calibri"/>
        <family val="2"/>
        <charset val="1"/>
      </rPr>
      <t xml:space="preserve">0.9600</t>
    </r>
  </si>
  <si>
    <r>
      <rPr>
        <sz val="11"/>
        <color rgb="FF808080"/>
        <rFont val="Noto Sans SC"/>
        <family val="2"/>
        <charset val="134"/>
      </rPr>
      <t xml:space="preserve">原文补充：整体逻辑不变的前提下，不论添加多少图标都不影响计算方式 —— 把新图标按同样的「各列个数相乘」写出事件数，再乘其赔付倍数并加总即可；赔付倍数与卷轴分布是「人为规定部分」（原文图中置灰），改这两处就能把 </t>
    </r>
    <r>
      <rPr>
        <sz val="11"/>
        <color rgb="FF808080"/>
        <rFont val="Cambria"/>
        <family val="0"/>
        <charset val="1"/>
      </rPr>
      <t xml:space="preserve">RTP </t>
    </r>
    <r>
      <rPr>
        <sz val="11"/>
        <color rgb="FF808080"/>
        <rFont val="Noto Sans SC"/>
        <family val="2"/>
        <charset val="134"/>
      </rPr>
      <t xml:space="preserve">调到目标值。</t>
    </r>
  </si>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</sst>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5">
    <numFmt numFmtId="164" formatCode="General"/>
    <numFmt numFmtId="165" formatCode="#,##0"/>
    <numFmt numFmtId="166" formatCode="0.00%"/>
    <numFmt numFmtId="167" formatCode="0.0000"/>
    <numFmt numFmtId="168" formatCode="0.0000000000%"/>
  </numFmts>
  <fonts count="17">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FF"/>
      <name val="Noto Sans SC"/>
      <family val="2"/>
      <charset val="134"/>
    </font>
    <font>
      <sz val="11"/>
      <color rgb="FF000000"/>
      <name val="Cambria"/>
      <family val="0"/>
      <charset val="1"/>
    </font>
    <font>
      <sz val="11"/>
      <color rgb="FF000000"/>
      <name val="Noto Sans SC"/>
      <family val="2"/>
      <charset val="134"/>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5" fontId="15"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6" fontId="15" fillId="0" borderId="0" xfId="0" applyFont="true" applyBorder="false" applyAlignment="true" applyProtection="true">
      <alignment horizontal="general" vertical="bottom" textRotation="0" wrapText="false" indent="0" shrinkToFit="false"/>
      <protection locked="true" hidden="false"/>
    </xf>
    <xf numFmtId="167" fontId="15"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7" fontId="10" fillId="4" borderId="0" xfId="0" applyFont="true" applyBorder="false" applyAlignment="true" applyProtection="true">
      <alignment horizontal="general" vertical="bottom" textRotation="0" wrapText="false" indent="0" shrinkToFit="false"/>
      <protection locked="true" hidden="false"/>
    </xf>
    <xf numFmtId="167" fontId="13"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xf numFmtId="0" fontId="9" fillId="0" borderId="0" xfId="0" applyFont="true" applyBorder="true" applyAlignment="true" applyProtection="true">
      <alignment horizontal="general" vertical="bottom" textRotation="0" wrapText="false" indent="0" shrinkToFit="false"/>
      <protection locked="true" hidden="false"/>
    </xf>
    <xf numFmtId="168" applyNumberFormat="1" fontId="1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8" customFormat="false" ht="15" hidden="false" customHeight="false" outlineLevel="0" collapsed="false">
      <c r="A8" s="4" t="s">
        <v>5</v>
      </c>
    </row>
    <row r="9" customFormat="false" ht="29" hidden="false" customHeight="false" outlineLevel="0" collapsed="false">
      <c r="A9" s="28" t="s">
        <v>6</v>
      </c>
    </row>
    <row r="10" customFormat="false" ht="29" hidden="false" customHeight="false" outlineLevel="0" collapsed="false">
      <c r="A10" s="28" t="s">
        <v>7</v>
      </c>
    </row>
    <row r="11" customFormat="false" ht="15" hidden="false" customHeight="false" outlineLevel="0" collapsed="false">
      <c r="A11" s="5"/>
    </row>
    <row r="12" customFormat="false" ht="15" hidden="false" customHeight="false" outlineLevel="0" collapsed="false">
      <c r="A12" s="4" t="s">
        <v>8</v>
      </c>
    </row>
    <row r="13" customFormat="false" ht="15" hidden="false" customHeight="1" outlineLevel="0" collapsed="false">
      <c r="A13" s="29" t="s">
        <v>9</v>
      </c>
      <c r="B13" s="6"/>
      <c r="C13" s="6"/>
    </row>
    <row r="14" customFormat="false" ht="42" hidden="false" customHeight="false" outlineLevel="0" collapsed="false">
      <c r="A14" s="28" t="s">
        <v>10</v>
      </c>
    </row>
    <row r="15" customFormat="false" ht="15" hidden="false" customHeight="1" outlineLevel="0" collapsed="false">
      <c r="A15" s="29" t="s">
        <v>11</v>
      </c>
      <c r="B15" s="6"/>
      <c r="C15" s="6"/>
    </row>
    <row r="16" customFormat="false" ht="15" hidden="false" customHeight="false" outlineLevel="0" collapsed="false">
      <c r="A16" s="5"/>
    </row>
    <row r="17" customFormat="false" ht="15" hidden="false" customHeight="false" outlineLevel="0" collapsed="false">
      <c r="A17" s="4" t="s">
        <v>12</v>
      </c>
    </row>
    <row r="18" customFormat="false" ht="30" hidden="false" customHeight="false" outlineLevel="0" collapsed="false">
      <c r="A18" s="28" t="s">
        <v>13</v>
      </c>
    </row>
    <row r="19" customFormat="false" ht="29" hidden="false" customHeight="false" outlineLevel="0" collapsed="false">
      <c r="A19" s="28" t="s">
        <v>14</v>
      </c>
    </row>
    <row r="20" customFormat="false" ht="29" hidden="false" customHeight="false" outlineLevel="0" collapsed="false">
      <c r="A20" s="30" t="s">
        <v>15</v>
      </c>
    </row>
    <row r="21" customFormat="false" ht="44" hidden="false" customHeight="false" outlineLevel="0" collapsed="false">
      <c r="A21" s="28" t="s">
        <v>16</v>
      </c>
    </row>
    <row r="22" customFormat="false" ht="30" hidden="false" customHeight="false" outlineLevel="0" collapsed="false">
      <c r="A22" s="30" t="s">
        <v>17</v>
      </c>
    </row>
    <row r="24" customFormat="false" ht="15" hidden="false" customHeight="false" outlineLevel="0" collapsed="false">
      <c r="A24" s="4" t="s">
        <v>18</v>
      </c>
    </row>
    <row r="25" customFormat="false" ht="15" hidden="false" customHeight="false" outlineLevel="0" collapsed="false">
      <c r="A25" s="7"/>
    </row>
    <row r="26" customFormat="false" ht="16" hidden="false" customHeight="false" outlineLevel="0" collapsed="false">
      <c r="A26" s="7" t="s">
        <v>19</v>
      </c>
    </row>
    <row r="27" customFormat="false" ht="16" hidden="false" customHeight="false" outlineLevel="0" collapsed="false">
      <c r="A27" s="5" t="s">
        <v>20</v>
      </c>
    </row>
    <row r="28" customFormat="false" ht="16" hidden="false" customHeight="false" outlineLevel="0" collapsed="false">
      <c r="A28" s="5" t="s">
        <v>21</v>
      </c>
    </row>
    <row r="29" customFormat="false" ht="16" hidden="false" customHeight="false" outlineLevel="0" collapsed="false">
      <c r="A29" s="5" t="s">
        <v>22</v>
      </c>
    </row>
    <row r="30" customFormat="false" ht="29" hidden="false" customHeight="false" outlineLevel="0" collapsed="false">
      <c r="A30" s="30" t="s">
        <v>23</v>
      </c>
    </row>
    <row r="31" customFormat="false" ht="16" hidden="false" customHeight="false" outlineLevel="0" collapsed="false">
      <c r="A31" s="5" t="s">
        <v>24</v>
      </c>
    </row>
    <row r="32" customFormat="false" ht="28" hidden="false" customHeight="false" outlineLevel="0" collapsed="false">
      <c r="A32" s="30" t="s">
        <v>25</v>
      </c>
    </row>
    <row r="33" customFormat="false" ht="16" hidden="false" customHeight="false" outlineLevel="0" collapsed="false">
      <c r="A33" s="7" t="s">
        <v>26</v>
      </c>
    </row>
    <row r="34" customFormat="false" ht="15" hidden="false" customHeight="false" outlineLevel="0" collapsed="false">
      <c r="A34" s="7" t="s">
        <v>27</v>
      </c>
    </row>
    <row r="35" customFormat="false" ht="16" hidden="false" customHeight="false" outlineLevel="0" collapsed="false">
      <c r="A35" s="5" t="s">
        <v>28</v>
      </c>
    </row>
    <row r="36" customFormat="false" ht="15" hidden="false" customHeight="false" outlineLevel="0" collapsed="false">
      <c r="A36" s="7" t="s">
        <v>29</v>
      </c>
    </row>
    <row r="37" customFormat="false" ht="15" hidden="false" customHeight="false" outlineLevel="0" collapsed="false">
      <c r="A37" s="7" t="s">
        <v>30</v>
      </c>
    </row>
    <row r="38" customFormat="false" ht="15" hidden="false" customHeight="false" outlineLevel="0" collapsed="false">
      <c r="A38" s="7" t="s">
        <v>31</v>
      </c>
    </row>
    <row r="39" customFormat="false" ht="16" hidden="false" customHeight="false" outlineLevel="0" collapsed="false">
      <c r="A39" s="7" t="s">
        <v>32</v>
      </c>
    </row>
    <row r="40" customFormat="false" ht="15" hidden="false" customHeight="false" outlineLevel="0" collapsed="false">
      <c r="A40" s="7"/>
    </row>
    <row r="41" customFormat="false" ht="15" hidden="false" customHeight="false" outlineLevel="0" collapsed="false">
      <c r="A41" s="4" t="s">
        <v>33</v>
      </c>
    </row>
    <row r="42" customFormat="false" ht="29" hidden="false" customHeight="false" outlineLevel="0" collapsed="false">
      <c r="A42" s="30" t="s">
        <v>34</v>
      </c>
    </row>
    <row r="43" customFormat="false" ht="15" hidden="false" customHeight="false" outlineLevel="0" collapsed="false">
      <c r="A43" s="7"/>
    </row>
    <row r="44" customFormat="false" ht="16" hidden="false" customHeight="false" outlineLevel="0" collapsed="false">
      <c r="A44" s="7" t="s">
        <v>35</v>
      </c>
    </row>
    <row r="45" customFormat="false" ht="15" hidden="false" customHeight="false" outlineLevel="0" collapsed="false">
      <c r="A45" s="7"/>
    </row>
    <row r="46" customFormat="false" ht="15" hidden="false" customHeight="false" outlineLevel="0" collapsed="false">
      <c r="A46" s="7" t="s">
        <v>36</v>
      </c>
    </row>
    <row r="47" customFormat="false" ht="15" hidden="false" customHeight="false" outlineLevel="0" collapsed="false">
      <c r="A47" s="7"/>
    </row>
    <row r="48" customFormat="false" ht="16" hidden="false" customHeight="false" outlineLevel="0" collapsed="false">
      <c r="A48" s="5" t="s">
        <v>37</v>
      </c>
    </row>
    <row r="49" customFormat="false" ht="15" hidden="false" customHeight="false" outlineLevel="0" collapsed="false">
      <c r="A49" s="7"/>
    </row>
    <row r="50" customFormat="false" ht="16" hidden="false" customHeight="false" outlineLevel="0" collapsed="false">
      <c r="A50" s="5" t="s">
        <v>38</v>
      </c>
    </row>
    <row r="51" customFormat="false" ht="15" hidden="false" customHeight="false" outlineLevel="0" collapsed="false">
      <c r="A51" s="7"/>
    </row>
    <row r="52" customFormat="false" ht="16" hidden="false" customHeight="false" outlineLevel="0" collapsed="false">
      <c r="A52" s="5" t="s">
        <v>39</v>
      </c>
    </row>
    <row r="53" customFormat="false" ht="15" hidden="false" customHeight="false" outlineLevel="0" collapsed="false">
      <c r="A53" s="7"/>
    </row>
    <row r="54" customFormat="false" ht="15" hidden="false" customHeight="false" outlineLevel="0" collapsed="false">
      <c r="A54" s="7" t="s">
        <v>40</v>
      </c>
    </row>
    <row r="55" customFormat="false" ht="15" hidden="false" customHeight="false" outlineLevel="0" collapsed="false">
      <c r="A55" s="7" t="s">
        <v>41</v>
      </c>
    </row>
    <row r="56" customFormat="false" ht="15" hidden="false" customHeight="false" outlineLevel="0" collapsed="false">
      <c r="A56" s="30" t="s">
        <v>42</v>
      </c>
    </row>
    <row r="57" customFormat="false" ht="28" hidden="false" customHeight="false" outlineLevel="0" collapsed="false">
      <c r="A57" s="30" t="s">
        <v>43</v>
      </c>
    </row>
    <row r="58" customFormat="false" ht="28" hidden="false" customHeight="false" outlineLevel="0" collapsed="false">
      <c r="A58" s="30" t="s">
        <v>44</v>
      </c>
    </row>
    <row r="59" customFormat="false" ht="30" hidden="false" customHeight="false" outlineLevel="0" collapsed="false">
      <c r="A59" s="30" t="s">
        <v>45</v>
      </c>
    </row>
    <row r="60" customFormat="false" ht="16" hidden="false" customHeight="false" outlineLevel="0" collapsed="false">
      <c r="A60" s="7" t="s">
        <v>46</v>
      </c>
    </row>
    <row r="61" customFormat="false" ht="16" hidden="false" customHeight="false" outlineLevel="0" collapsed="false">
      <c r="A61" s="7" t="s">
        <v>47</v>
      </c>
    </row>
    <row r="62" customFormat="false" ht="29" hidden="false" customHeight="false" outlineLevel="0" collapsed="false">
      <c r="A62" s="30" t="s">
        <v>48</v>
      </c>
    </row>
    <row r="63" customFormat="false" ht="15" hidden="false" customHeight="1" outlineLevel="0" collapsed="false">
      <c r="A63" s="31" t="s">
        <v>49</v>
      </c>
      <c r="B63" s="8"/>
      <c r="C63" s="8"/>
    </row>
    <row r="64" customFormat="false" ht="15" hidden="false" customHeight="false" outlineLevel="0" collapsed="false">
      <c r="A64" s="7"/>
    </row>
    <row r="65" customFormat="false" ht="15.5" hidden="false" customHeight="false" outlineLevel="0" collapsed="false">
      <c r="A65" s="4" t="s">
        <v>50</v>
      </c>
    </row>
    <row r="66" customFormat="false" ht="16" hidden="false" customHeight="false" outlineLevel="0" collapsed="false">
      <c r="A66" s="7" t="s">
        <v>51</v>
      </c>
    </row>
    <row r="67" customFormat="false" ht="29" hidden="false" customHeight="false" outlineLevel="0" collapsed="false">
      <c r="A67" s="30" t="s">
        <v>52</v>
      </c>
    </row>
    <row r="68" customFormat="false" ht="15" hidden="false" customHeight="false" outlineLevel="0" collapsed="false">
      <c r="A68" s="7"/>
    </row>
    <row r="69" customFormat="false" ht="15" hidden="false" customHeight="false" outlineLevel="0" collapsed="false">
      <c r="A69" s="4" t="s">
        <v>53</v>
      </c>
    </row>
    <row r="70" customFormat="false" ht="15" hidden="false" customHeight="false" outlineLevel="0" collapsed="false">
      <c r="A70" s="7"/>
    </row>
    <row r="71" customFormat="false" ht="16" hidden="false" customHeight="false" outlineLevel="0" collapsed="false">
      <c r="A71" s="7" t="s">
        <v>54</v>
      </c>
    </row>
    <row r="72" customFormat="false" ht="15" hidden="false" customHeight="false" outlineLevel="0" collapsed="false">
      <c r="A72" s="7"/>
    </row>
    <row r="73" customFormat="false" ht="15" hidden="false" customHeight="false" outlineLevel="0" collapsed="false">
      <c r="A73" s="4" t="s">
        <v>55</v>
      </c>
    </row>
    <row r="74" customFormat="false" ht="16" hidden="false" customHeight="false" outlineLevel="0" collapsed="false">
      <c r="A74" s="7" t="s">
        <v>56</v>
      </c>
    </row>
    <row r="75" customFormat="false" ht="15" hidden="false" customHeight="false" outlineLevel="0" collapsed="false">
      <c r="A75" s="7"/>
    </row>
    <row r="76" customFormat="false" ht="16" hidden="false" customHeight="false" outlineLevel="0" collapsed="false">
      <c r="A76" s="5" t="s">
        <v>57</v>
      </c>
    </row>
    <row r="77" customFormat="false" ht="15" hidden="false" customHeight="false" outlineLevel="0" collapsed="false">
      <c r="A77" s="7"/>
    </row>
    <row r="78" customFormat="false" ht="16" hidden="false" customHeight="false" outlineLevel="0" collapsed="false">
      <c r="A78" s="5" t="s">
        <v>58</v>
      </c>
    </row>
    <row r="79" customFormat="false" ht="15" hidden="false" customHeight="false" outlineLevel="0" collapsed="false">
      <c r="A79" s="7"/>
    </row>
    <row r="80" customFormat="false" ht="15" hidden="false" customHeight="false" outlineLevel="0" collapsed="false">
      <c r="A80" s="4" t="s">
        <v>59</v>
      </c>
    </row>
    <row r="81" customFormat="false" ht="15" hidden="false" customHeight="false" outlineLevel="0" collapsed="false">
      <c r="A81" s="7" t="s">
        <v>60</v>
      </c>
    </row>
    <row r="82" customFormat="false" ht="15" hidden="false" customHeight="false" outlineLevel="0" collapsed="false">
      <c r="A82" s="7" t="s">
        <v>61</v>
      </c>
    </row>
    <row r="83" customFormat="false" ht="28" hidden="false" customHeight="false" outlineLevel="0" collapsed="false">
      <c r="A83" s="30" t="s">
        <v>62</v>
      </c>
    </row>
    <row r="84" customFormat="false" ht="15" hidden="false" customHeight="false" outlineLevel="0" collapsed="false">
      <c r="A84" s="7"/>
    </row>
    <row r="85" customFormat="false" ht="16" hidden="false" customHeight="false" outlineLevel="0" collapsed="false">
      <c r="A85" s="7" t="s">
        <v>63</v>
      </c>
    </row>
    <row r="86" customFormat="false" ht="15" hidden="false" customHeight="false" outlineLevel="0" collapsed="false">
      <c r="A86" s="7"/>
    </row>
    <row r="87" customFormat="false" ht="28" hidden="false" customHeight="false" outlineLevel="0" collapsed="false">
      <c r="A87" s="32" t="s">
        <v>64</v>
      </c>
    </row>
    <row r="88" customFormat="false" ht="15" hidden="false" customHeight="false" outlineLevel="0" collapsed="false">
      <c r="A88" s="7"/>
    </row>
    <row r="89" customFormat="false" ht="16" hidden="false" customHeight="false" outlineLevel="0" collapsed="false">
      <c r="A89" s="7" t="s">
        <v>65</v>
      </c>
    </row>
    <row r="90" customFormat="false" ht="15" hidden="false" customHeight="false" outlineLevel="0" collapsed="false">
      <c r="A90" s="7"/>
    </row>
    <row r="91" customFormat="false" ht="28.5" hidden="false" customHeight="false" outlineLevel="0" collapsed="false">
      <c r="A91" s="32" t="s">
        <v>66</v>
      </c>
    </row>
    <row r="92" customFormat="false" ht="15" hidden="false" customHeight="false" outlineLevel="0" collapsed="false">
      <c r="A92" s="7"/>
    </row>
    <row r="93" customFormat="false" ht="16" hidden="false" customHeight="false" outlineLevel="0" collapsed="false">
      <c r="A93" s="7" t="s">
        <v>67</v>
      </c>
    </row>
    <row r="94" customFormat="false" ht="15" hidden="false" customHeight="false" outlineLevel="0" collapsed="false">
      <c r="A94" s="7"/>
    </row>
    <row r="95" customFormat="false" ht="15" hidden="false" customHeight="false" outlineLevel="0" collapsed="false">
      <c r="A95" s="7" t="s">
        <v>68</v>
      </c>
    </row>
    <row r="96" customFormat="false" ht="15" hidden="false" customHeight="false" outlineLevel="0" collapsed="false">
      <c r="A96" s="7"/>
    </row>
    <row r="97" customFormat="false" ht="15" hidden="false" customHeight="1" outlineLevel="0" collapsed="false">
      <c r="A97" s="31" t="s">
        <v>69</v>
      </c>
      <c r="B97" s="8"/>
      <c r="C97" s="8"/>
      <c r="D97" s="8"/>
      <c r="E97" s="8"/>
    </row>
    <row r="98" customFormat="false" ht="15" hidden="false" customHeight="false" outlineLevel="0" collapsed="false">
      <c r="A98" s="7"/>
    </row>
    <row r="99" customFormat="false" ht="16" hidden="false" customHeight="false" outlineLevel="0" collapsed="false">
      <c r="A99" s="7" t="s">
        <v>70</v>
      </c>
    </row>
    <row r="100" customFormat="false" ht="15" hidden="false" customHeight="false" outlineLevel="0" collapsed="false">
      <c r="A100" s="7"/>
    </row>
    <row r="101" customFormat="false" ht="15" hidden="false" customHeight="false" outlineLevel="0" collapsed="false">
      <c r="A101" s="7" t="s">
        <v>68</v>
      </c>
    </row>
    <row r="103" customFormat="false" ht="15.5" hidden="false" customHeight="false" outlineLevel="0" collapsed="false">
      <c r="A103" s="32" t="s">
        <v>71</v>
      </c>
    </row>
    <row r="104" customFormat="false" ht="15.5" hidden="false" customHeight="false" outlineLevel="0" collapsed="false">
      <c r="A104" s="2" t="s">
        <v>72</v>
      </c>
    </row>
    <row r="105" customFormat="false" ht="15.5" hidden="false" customHeight="false" outlineLevel="0" collapsed="false">
      <c r="A105" s="2" t="s">
        <v>73</v>
      </c>
    </row>
    <row r="106" customFormat="false" ht="15.5" hidden="false" customHeight="false" outlineLevel="0" collapsed="false">
      <c r="A106" s="2" t="s">
        <v>74</v>
      </c>
    </row>
    <row r="107" customFormat="false" ht="15.5" hidden="false" customHeight="false" outlineLevel="0" collapsed="false">
      <c r="A107" s="2" t="s">
        <v>75</v>
      </c>
    </row>
    <row r="108" customFormat="false" ht="15.5" hidden="false" customHeight="false" outlineLevel="0" collapsed="false">
      <c r="A108" s="2" t="s">
        <v>76</v>
      </c>
    </row>
    <row r="109" customFormat="false" ht="15.5" hidden="false" customHeight="false" outlineLevel="0" collapsed="false">
      <c r="A109" s="2" t="s">
        <v>77</v>
      </c>
    </row>
    <row r="111" customFormat="false" ht="15" hidden="false" customHeight="false" outlineLevel="0" collapsed="false">
      <c r="A111" s="4" t="s">
        <v>78</v>
      </c>
    </row>
    <row r="112" customFormat="false" ht="30" hidden="false" customHeight="false" outlineLevel="0" collapsed="false">
      <c r="A112" s="30" t="s">
        <v>79</v>
      </c>
    </row>
    <row r="113" customFormat="false" ht="28" hidden="false" customHeight="false" outlineLevel="0" collapsed="false">
      <c r="A113" s="30" t="s">
        <v>80</v>
      </c>
    </row>
    <row r="114" customFormat="false" ht="15" hidden="false" customHeight="false" outlineLevel="0" collapsed="false">
      <c r="A114" s="7"/>
    </row>
    <row r="115" customFormat="false" ht="15" hidden="false" customHeight="false" outlineLevel="0" collapsed="false">
      <c r="A115" s="4" t="s">
        <v>81</v>
      </c>
    </row>
    <row r="116" customFormat="false" ht="28" hidden="false" customHeight="false" outlineLevel="0" collapsed="false">
      <c r="A116" s="30" t="s">
        <v>82</v>
      </c>
    </row>
    <row r="117" customFormat="false" ht="29" hidden="false" customHeight="false" outlineLevel="0" collapsed="false">
      <c r="A117" s="30" t="s">
        <v>83</v>
      </c>
    </row>
    <row r="119" customFormat="false" ht="15.5" hidden="false" customHeight="false" outlineLevel="0" collapsed="false">
      <c r="A119" s="9" t="s">
        <v>84</v>
      </c>
    </row>
  </sheetData>
  <mergeCells count="6">
    <mergeCell ref="A5:L5"/>
    <mergeCell ref="A6:J6"/>
    <mergeCell ref="A13:I13"/>
    <mergeCell ref="A15:J15"/>
    <mergeCell ref="A63:J63"/>
    <mergeCell ref="A97:M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J139"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85</v>
      </c>
      <c r="B1" s="11"/>
      <c r="C1" s="11"/>
      <c r="D1" s="11"/>
      <c r="E1" s="11"/>
      <c r="F1" s="11"/>
      <c r="G1" s="11"/>
      <c r="H1" s="11"/>
    </row>
    <row r="3" customFormat="false" ht="15.5" hidden="false" customHeight="false" outlineLevel="0" collapsed="false">
      <c r="A3" s="12" t="s">
        <v>86</v>
      </c>
      <c r="B3" s="12"/>
      <c r="C3" s="12"/>
      <c r="D3" s="13"/>
      <c r="E3" s="13"/>
      <c r="F3" s="13"/>
      <c r="G3" s="13"/>
      <c r="H3" s="13"/>
    </row>
    <row r="4" customFormat="false" ht="15" hidden="false" customHeight="false" outlineLevel="0" collapsed="false">
      <c r="A4" s="14" t="s">
        <v>87</v>
      </c>
      <c r="B4" s="14" t="s">
        <v>88</v>
      </c>
      <c r="C4" s="14" t="s">
        <v>81</v>
      </c>
    </row>
    <row r="5" customFormat="false" ht="16" hidden="false" customHeight="false" outlineLevel="0" collapsed="false">
      <c r="A5" s="10" t="s">
        <v>89</v>
      </c>
      <c r="B5" s="15" t="s">
        <v>90</v>
      </c>
      <c r="C5" s="33">
        <v>1</v>
      </c>
      <c r="D5" s="16"/>
      <c r="E5" s="16"/>
      <c r="F5" s="16"/>
    </row>
    <row r="6" customFormat="false" ht="15" hidden="false" customHeight="false" outlineLevel="0" collapsed="false">
      <c r="A6" s="10" t="s">
        <v>92</v>
      </c>
      <c r="B6" s="15" t="n">
        <v>3</v>
      </c>
    </row>
    <row r="7" customFormat="false" ht="15" hidden="false" customHeight="false" outlineLevel="0" collapsed="false">
      <c r="A7" s="10" t="s">
        <v>93</v>
      </c>
      <c r="B7" s="15" t="n">
        <v>1</v>
      </c>
      <c r="C7" s="17" t="s">
        <v>94</v>
      </c>
      <c r="D7" s="17"/>
    </row>
    <row r="8" customFormat="false" ht="16" hidden="false" customHeight="false" outlineLevel="0" collapsed="false">
      <c r="A8" s="10" t="s">
        <v>95</v>
      </c>
      <c r="B8" s="15" t="n">
        <v>5</v>
      </c>
      <c r="C8" s="17" t="s">
        <v>96</v>
      </c>
      <c r="D8" s="17"/>
      <c r="E8" s="17"/>
    </row>
    <row r="9" customFormat="false" ht="15" hidden="false" customHeight="false" outlineLevel="0" collapsed="false">
      <c r="A9" s="10" t="s">
        <v>97</v>
      </c>
      <c r="B9" s="18" t="s">
        <v>98</v>
      </c>
      <c r="C9" s="17" t="s">
        <v>99</v>
      </c>
      <c r="D9" s="17"/>
      <c r="E9" s="17"/>
      <c r="F9" s="17"/>
    </row>
    <row r="10" customFormat="false" ht="16" hidden="false" customHeight="false" outlineLevel="0" collapsed="false">
      <c r="A10" s="10" t="s">
        <v>100</v>
      </c>
      <c r="B10" s="19" t="n">
        <f aca="false">B8^B6</f>
        <v>125</v>
      </c>
      <c r="C10" s="17" t="s">
        <v>101</v>
      </c>
      <c r="D10" s="17"/>
      <c r="E10" s="17"/>
      <c r="F10" s="17"/>
    </row>
    <row r="11" customFormat="false" ht="15" hidden="false" customHeight="false" outlineLevel="0" collapsed="false">
      <c r="A11" s="10" t="s">
        <v>102</v>
      </c>
      <c r="B11" s="20" t="s">
        <v>103</v>
      </c>
      <c r="C11" s="17" t="s">
        <v>104</v>
      </c>
      <c r="D11" s="17"/>
      <c r="E11" s="17"/>
    </row>
    <row r="13" customFormat="false" ht="15.5" hidden="false" customHeight="false" outlineLevel="0" collapsed="false">
      <c r="A13" s="12" t="s">
        <v>105</v>
      </c>
      <c r="B13" s="12"/>
      <c r="C13" s="12"/>
      <c r="D13" s="12"/>
      <c r="E13" s="12"/>
      <c r="F13" s="13"/>
      <c r="G13" s="13"/>
      <c r="H13" s="13"/>
    </row>
    <row r="14" customFormat="false" ht="15.5" hidden="false" customHeight="false" outlineLevel="0" collapsed="false">
      <c r="A14" s="14" t="s">
        <v>106</v>
      </c>
      <c r="B14" s="14" t="s">
        <v>107</v>
      </c>
      <c r="C14" s="14" t="s">
        <v>108</v>
      </c>
      <c r="D14" s="14" t="s">
        <v>109</v>
      </c>
      <c r="E14" s="14"/>
    </row>
    <row r="15" customFormat="false" ht="16" hidden="false" customHeight="false" outlineLevel="0" collapsed="false">
      <c r="A15" s="10" t="n">
        <v>1</v>
      </c>
      <c r="B15" s="18" t="s">
        <v>110</v>
      </c>
      <c r="C15" s="18" t="s">
        <v>110</v>
      </c>
      <c r="D15" s="18" t="s">
        <v>110</v>
      </c>
      <c r="E15" s="17" t="s">
        <v>111</v>
      </c>
      <c r="F15" s="17"/>
    </row>
    <row r="16" customFormat="false" ht="16" hidden="false" customHeight="false" outlineLevel="0" collapsed="false">
      <c r="A16" s="10" t="n">
        <v>2</v>
      </c>
      <c r="B16" s="18" t="s">
        <v>112</v>
      </c>
      <c r="C16" s="18" t="s">
        <v>112</v>
      </c>
      <c r="D16" s="18" t="s">
        <v>110</v>
      </c>
      <c r="E16" s="17" t="s">
        <v>113</v>
      </c>
      <c r="F16" s="17"/>
    </row>
    <row r="17" customFormat="false" ht="16" hidden="false" customHeight="false" outlineLevel="0" collapsed="false">
      <c r="A17" s="10" t="n">
        <v>3</v>
      </c>
      <c r="B17" s="18" t="s">
        <v>112</v>
      </c>
      <c r="C17" s="18" t="s">
        <v>112</v>
      </c>
      <c r="D17" s="18" t="s">
        <v>112</v>
      </c>
      <c r="E17" s="17" t="s">
        <v>114</v>
      </c>
      <c r="F17" s="17"/>
    </row>
    <row r="18" customFormat="false" ht="15" hidden="false" customHeight="false" outlineLevel="0" collapsed="false">
      <c r="A18" s="10" t="n">
        <v>4</v>
      </c>
      <c r="B18" s="18" t="s">
        <v>112</v>
      </c>
      <c r="C18" s="18" t="s">
        <v>112</v>
      </c>
      <c r="D18" s="18" t="s">
        <v>112</v>
      </c>
    </row>
    <row r="19" customFormat="false" ht="15" hidden="false" customHeight="false" outlineLevel="0" collapsed="false">
      <c r="A19" s="10" t="n">
        <v>5</v>
      </c>
      <c r="B19" s="18" t="s">
        <v>112</v>
      </c>
      <c r="C19" s="18" t="s">
        <v>112</v>
      </c>
      <c r="D19" s="18" t="s">
        <v>112</v>
      </c>
    </row>
    <row r="20" customFormat="false" ht="16" hidden="false" customHeight="false" outlineLevel="0" collapsed="false">
      <c r="A20" s="10" t="s">
        <v>115</v>
      </c>
      <c r="B20" s="19" t="n">
        <f aca="false">COUNTA(B15:B19)</f>
        <v>5</v>
      </c>
      <c r="C20" s="19" t="n">
        <f aca="false">COUNTA(C15:C19)</f>
        <v>5</v>
      </c>
      <c r="D20" s="19" t="n">
        <f aca="false">COUNTA(D15:D19)</f>
        <v>5</v>
      </c>
      <c r="E20" s="17" t="s">
        <v>116</v>
      </c>
      <c r="F20" s="17"/>
      <c r="G20" s="17"/>
    </row>
    <row r="22" customFormat="false" ht="15.5" hidden="false" customHeight="false" outlineLevel="0" collapsed="false">
      <c r="A22" s="12" t="s">
        <v>117</v>
      </c>
      <c r="B22" s="12"/>
      <c r="C22" s="12"/>
      <c r="D22" s="12"/>
      <c r="E22" s="12"/>
      <c r="F22" s="12"/>
      <c r="G22" s="13"/>
      <c r="H22" s="13"/>
    </row>
    <row r="23" customFormat="false" ht="15.5" hidden="false" customHeight="false" outlineLevel="0" collapsed="false">
      <c r="A23" s="14" t="s">
        <v>118</v>
      </c>
      <c r="B23" s="14" t="s">
        <v>107</v>
      </c>
      <c r="C23" s="14" t="s">
        <v>108</v>
      </c>
      <c r="D23" s="14" t="s">
        <v>109</v>
      </c>
      <c r="E23" s="14" t="s">
        <v>119</v>
      </c>
      <c r="F23" s="14" t="s">
        <v>120</v>
      </c>
      <c r="G23" s="14" t="s">
        <v>121</v>
      </c>
      <c r="H23" s="14" t="s">
        <v>122</v>
      </c>
    </row>
    <row r="24" customFormat="false" ht="15" hidden="false" customHeight="false" outlineLevel="0" collapsed="false">
      <c r="A24" s="10" t="s">
        <v>112</v>
      </c>
      <c r="B24" s="19" t="n">
        <f aca="false">COUNTIF(B15:B19,"黑")</f>
        <v>4</v>
      </c>
      <c r="C24" s="19" t="n">
        <f aca="false">COUNTIF(C15:C19,"黑")</f>
        <v>4</v>
      </c>
      <c r="D24" s="19" t="n">
        <f aca="false">COUNTIF(D15:D19,"黑")</f>
        <v>3</v>
      </c>
      <c r="E24" s="19" t="n">
        <f aca="false">B24*C24*D24</f>
        <v>48</v>
      </c>
      <c r="F24" s="34" t="n">
        <f aca="false">E24/$B$10</f>
        <v>0.384</v>
      </c>
      <c r="G24" s="15" t="n">
        <v>2</v>
      </c>
      <c r="H24" s="22" t="n">
        <f aca="false">F24*G24</f>
        <v>0.768</v>
      </c>
    </row>
    <row r="25" customFormat="false" ht="15" hidden="false" customHeight="false" outlineLevel="0" collapsed="false">
      <c r="A25" s="10" t="s">
        <v>110</v>
      </c>
      <c r="B25" s="19" t="n">
        <f aca="false">COUNTIF(B15:B19,"白")</f>
        <v>1</v>
      </c>
      <c r="C25" s="19" t="n">
        <f aca="false">COUNTIF(C15:C19,"白")</f>
        <v>1</v>
      </c>
      <c r="D25" s="19" t="n">
        <f aca="false">COUNTIF(D15:D19,"白")</f>
        <v>2</v>
      </c>
      <c r="E25" s="19" t="n">
        <f aca="false">B25*C25*D25</f>
        <v>2</v>
      </c>
      <c r="F25" s="34" t="n">
        <f aca="false">E25/$B$10</f>
        <v>0.016</v>
      </c>
      <c r="G25" s="15" t="n">
        <v>12</v>
      </c>
      <c r="H25" s="22" t="n">
        <f aca="false">F25*G25</f>
        <v>0.192</v>
      </c>
    </row>
    <row r="26" customFormat="false" ht="15.5" hidden="false" customHeight="false" outlineLevel="0" collapsed="false">
      <c r="A26" s="23" t="s">
        <v>123</v>
      </c>
      <c r="B26" s="10" t="s">
        <v>124</v>
      </c>
      <c r="C26" s="10" t="s">
        <v>124</v>
      </c>
      <c r="D26" s="10" t="s">
        <v>124</v>
      </c>
      <c r="E26" s="19" t="n">
        <f aca="false">SUM(E24:E25)</f>
        <v>50</v>
      </c>
      <c r="H26" s="24" t="n">
        <f aca="false">SUM(H24:H25)</f>
        <v>0.96</v>
      </c>
    </row>
    <row r="27" customFormat="false" ht="16" hidden="false" customHeight="false" outlineLevel="0" collapsed="false">
      <c r="A27" s="10" t="s">
        <v>125</v>
      </c>
      <c r="B27" s="25" t="n">
        <v>0.96</v>
      </c>
      <c r="C27" s="17" t="s">
        <v>126</v>
      </c>
      <c r="D27" s="17"/>
      <c r="E27" s="17"/>
      <c r="H27" s="22" t="n">
        <f aca="false">H26-B27</f>
        <v>0</v>
      </c>
    </row>
    <row r="29" customFormat="false" ht="15.5" hidden="false" customHeight="false" outlineLevel="0" collapsed="false">
      <c r="A29" s="12" t="s">
        <v>127</v>
      </c>
      <c r="B29" s="12"/>
      <c r="C29" s="12"/>
      <c r="D29" s="13"/>
      <c r="E29" s="13"/>
      <c r="F29" s="13"/>
      <c r="G29" s="13"/>
      <c r="H29" s="13"/>
    </row>
    <row r="30" customFormat="false" ht="15" hidden="false" customHeight="false" outlineLevel="0" collapsed="false">
      <c r="A30" s="14" t="s">
        <v>128</v>
      </c>
      <c r="B30" s="14" t="s">
        <v>129</v>
      </c>
      <c r="C30" s="14" t="s">
        <v>81</v>
      </c>
    </row>
    <row r="31" customFormat="false" ht="16" hidden="false" customHeight="false" outlineLevel="0" collapsed="false">
      <c r="A31" s="10" t="s">
        <v>130</v>
      </c>
      <c r="B31" s="26" t="str">
        <f aca="false">IF(AND(B20=C20,C20=D20,B20=$B$8),"✓","✗")</f>
        <v>✓</v>
      </c>
      <c r="C31" s="17" t="s">
        <v>131</v>
      </c>
      <c r="D31" s="17"/>
      <c r="E31" s="17"/>
      <c r="F31" s="17"/>
    </row>
    <row r="32" customFormat="false" ht="16" hidden="false" customHeight="false" outlineLevel="0" collapsed="false">
      <c r="A32" s="10" t="s">
        <v>132</v>
      </c>
      <c r="B32" s="26" t="str">
        <f aca="false">IF(SUM(E24:E25)&lt;=$B$10,"✓","✗")</f>
        <v>✓</v>
      </c>
      <c r="C32" s="17" t="s">
        <v>133</v>
      </c>
      <c r="D32" s="17"/>
      <c r="E32" s="17"/>
      <c r="F32" s="17"/>
      <c r="G32" s="17"/>
    </row>
    <row r="33" customFormat="false" ht="16" hidden="false" customHeight="false" outlineLevel="0" collapsed="false">
      <c r="A33" s="20" t="s">
        <v>134</v>
      </c>
      <c r="B33" s="26" t="str">
        <f aca="false">IF(ABS(H26-B27)&lt;0.00005,"✓","✗")</f>
        <v>✓</v>
      </c>
      <c r="C33" s="17" t="s">
        <v>135</v>
      </c>
      <c r="D33" s="17"/>
      <c r="E33" s="17"/>
      <c r="F33" s="17"/>
    </row>
    <row r="35" customFormat="false" ht="15.5" hidden="false" customHeight="true" outlineLevel="0" collapsed="false">
      <c r="A35" s="27" t="s">
        <v>136</v>
      </c>
      <c r="B35" s="27"/>
      <c r="C35" s="27"/>
      <c r="D35" s="27"/>
      <c r="E35" s="27"/>
      <c r="F35" s="27"/>
      <c r="G35" s="27"/>
      <c r="H35" s="27"/>
      <c r="I35" s="27"/>
      <c r="J35" s="27"/>
      <c r="K35" s="27"/>
      <c r="L35" s="27"/>
      <c r="M35" s="27"/>
      <c r="N35" s="27"/>
      <c r="O35" s="27"/>
    </row>
    <row r="37" customFormat="false" ht="15" hidden="false" customHeight="true" outlineLevel="0" collapsed="false">
      <c r="A37" s="27" t="s">
        <v>137</v>
      </c>
      <c r="B37" s="27"/>
      <c r="C37" s="27"/>
      <c r="D37" s="27"/>
      <c r="E37" s="27"/>
      <c r="F37" s="27"/>
      <c r="G37" s="27"/>
      <c r="H37" s="27"/>
    </row>
  </sheetData>
  <mergeCells count="21">
    <mergeCell ref="A1:H1"/>
    <mergeCell ref="A3:C3"/>
    <mergeCell ref="C5:F5"/>
    <mergeCell ref="C7:D7"/>
    <mergeCell ref="C8:E8"/>
    <mergeCell ref="C9:F9"/>
    <mergeCell ref="C10:F10"/>
    <mergeCell ref="C11:E11"/>
    <mergeCell ref="A13:E13"/>
    <mergeCell ref="E15:F15"/>
    <mergeCell ref="E16:F16"/>
    <mergeCell ref="E17:F17"/>
    <mergeCell ref="E20:G20"/>
    <mergeCell ref="A22:F22"/>
    <mergeCell ref="C27:E27"/>
    <mergeCell ref="A29:C29"/>
    <mergeCell ref="C31:F31"/>
    <mergeCell ref="C32:G32"/>
    <mergeCell ref="C33:F33"/>
    <mergeCell ref="A35:O35"/>
    <mergeCell ref="A37:H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T57"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2026-09-29T15:06:25Z</dcterms:created>
  <dc:creator>openpyxl</dc:creator>
  <dc:description/>
  <dc:language>zh-CN</dc:language>
  <cp:lastModifiedBy/>
  <dcterms:modified xsi:type="dcterms:W3CDTF">2026-09-29T15:06:25Z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