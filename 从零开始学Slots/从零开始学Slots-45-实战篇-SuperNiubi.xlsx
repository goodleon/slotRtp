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<sst xmlns="http://schemas.openxmlformats.org/spreadsheetml/2006/main" count="234" uniqueCount="225">
  <si>
    <r>
      <rPr>
        <b val="true"/>
        <sz val="14"/>
        <color rgb="FF1F4E79"/>
        <rFont val="Noto Sans SC"/>
        <family val="2"/>
        <charset val="134"/>
      </rPr>
      <t xml:space="preserve">从零开始学</t>
    </r>
    <r>
      <rPr>
        <b val="true"/>
        <sz val="14"/>
        <color rgb="FF1F4E79"/>
        <rFont val="Cambria"/>
        <family val="0"/>
        <charset val="1"/>
      </rPr>
      <t xml:space="preserve">Slots 45 —— </t>
    </r>
    <r>
      <rPr>
        <b val="true"/>
        <sz val="14"/>
        <color rgb="FF1F4E79"/>
        <rFont val="Noto Sans SC"/>
        <family val="2"/>
        <charset val="134"/>
      </rPr>
      <t xml:space="preserve">实战篇：</t>
    </r>
    <r>
      <rPr>
        <b val="true"/>
        <sz val="14"/>
        <color rgb="FF1F4E79"/>
        <rFont val="Cambria"/>
        <family val="0"/>
        <charset val="1"/>
      </rPr>
      <t xml:space="preserve">Super Niubi</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</si>
  <si>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实战篇——</t>
    </r>
    <r>
      <rPr>
        <sz val="11"/>
        <color rgb="FF808080"/>
        <rFont val="Cambria"/>
        <family val="0"/>
        <charset val="1"/>
      </rPr>
      <t xml:space="preserve">Super Niubi</t>
    </r>
    <r>
      <rPr>
        <sz val="11"/>
        <color rgb="FF808080"/>
        <rFont val="Noto Sans SC"/>
        <family val="2"/>
        <charset val="134"/>
      </rPr>
      <t xml:space="preserve">》  </t>
    </r>
    <r>
      <rPr>
        <sz val="11"/>
        <color rgb="FF808080"/>
        <rFont val="Cambria"/>
        <family val="0"/>
        <charset val="1"/>
      </rPr>
      <t xml:space="preserve">https://zhuanlan.zhihu.com/p/649393400</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</si>
  <si>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</si>
  <si>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</si>
  <si>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</si>
  <si>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配表说明：玩法与机制（</t>
    </r>
    <r>
      <rPr>
        <sz val="11"/>
        <color rgb="FF808080"/>
        <rFont val="Cambria"/>
        <family val="0"/>
        <charset val="1"/>
      </rPr>
      <t xml:space="preserve">3-1</t>
    </r>
    <r>
      <rPr>
        <sz val="11"/>
        <color rgb="FF808080"/>
        <rFont val="Noto Sans SC"/>
        <family val="2"/>
        <charset val="134"/>
      </rPr>
      <t xml:space="preserve">、</t>
    </r>
    <r>
      <rPr>
        <sz val="11"/>
        <color rgb="FF808080"/>
        <rFont val="Cambria"/>
        <family val="0"/>
        <charset val="1"/>
      </rPr>
      <t xml:space="preserve">Mix</t>
    </r>
    <r>
      <rPr>
        <sz val="11"/>
        <color rgb="FF808080"/>
        <rFont val="Noto Sans SC"/>
        <family val="2"/>
        <charset val="134"/>
      </rPr>
      <t xml:space="preserve">、</t>
    </r>
    <r>
      <rPr>
        <sz val="11"/>
        <color rgb="FF808080"/>
        <rFont val="Cambria"/>
        <family val="0"/>
        <charset val="1"/>
      </rPr>
      <t xml:space="preserve">Match</t>
    </r>
    <r>
      <rPr>
        <sz val="11"/>
        <color rgb="FF808080"/>
        <rFont val="Noto Sans SC"/>
        <family val="2"/>
        <charset val="134"/>
      </rPr>
      <t xml:space="preserve">）、四步工作流、体验基准、跑数据结果全部取自原文；</t>
    </r>
  </si>
  <si>
    <r>
      <rPr>
        <sz val="11"/>
        <color rgb="FF808080"/>
        <rFont val="Noto Sans SC"/>
        <family val="2"/>
        <charset val="134"/>
      </rPr>
      <t xml:space="preserve">【</t>
    </r>
    <r>
      <rPr>
        <sz val="11"/>
        <color rgb="FF808080"/>
        <rFont val="Cambria"/>
        <family val="0"/>
        <charset val="1"/>
      </rPr>
      <t xml:space="preserve">3</t>
    </r>
    <r>
      <rPr>
        <sz val="11"/>
        <color rgb="FF808080"/>
        <rFont val="Noto Sans SC"/>
        <family val="2"/>
        <charset val="134"/>
      </rPr>
      <t xml:space="preserve">】的图标几率由原文公布的三连期望轮次反推（</t>
    </r>
    <r>
      <rPr>
        <sz val="11"/>
        <color rgb="FF808080"/>
        <rFont val="Cambria"/>
        <family val="0"/>
        <charset val="1"/>
      </rPr>
      <t xml:space="preserve">p </t>
    </r>
    <r>
      <rPr>
        <sz val="11"/>
        <color rgb="FF808080"/>
        <rFont val="Noto Sans SC"/>
        <family val="2"/>
        <charset val="134"/>
      </rPr>
      <t xml:space="preserve">＝ </t>
    </r>
    <r>
      <rPr>
        <sz val="11"/>
        <color rgb="FF808080"/>
        <rFont val="Cambria"/>
        <family val="0"/>
        <charset val="1"/>
      </rPr>
      <t xml:space="preserve">(1/</t>
    </r>
    <r>
      <rPr>
        <sz val="11"/>
        <color rgb="FF808080"/>
        <rFont val="Noto Sans SC"/>
        <family val="2"/>
        <charset val="134"/>
      </rPr>
      <t xml:space="preserve">轮次</t>
    </r>
    <r>
      <rPr>
        <sz val="11"/>
        <color rgb="FF808080"/>
        <rFont val="Cambria"/>
        <family val="0"/>
        <charset val="1"/>
      </rPr>
      <t xml:space="preserve">)^(1/3)</t>
    </r>
    <r>
      <rPr>
        <sz val="11"/>
        <color rgb="FF808080"/>
        <rFont val="Noto Sans SC"/>
        <family val="2"/>
        <charset val="134"/>
      </rPr>
      <t xml:space="preserve">），因此可与原文逐项对照；</t>
    </r>
  </si>
  <si>
    <r>
      <rPr>
        <sz val="11"/>
        <color rgb="FF808080"/>
        <rFont val="Noto Sans SC"/>
        <family val="2"/>
        <charset val="134"/>
      </rPr>
      <t xml:space="preserve">赔付倍数与 </t>
    </r>
    <r>
      <rPr>
        <sz val="11"/>
        <color rgb="FF808080"/>
        <rFont val="Cambria"/>
        <family val="0"/>
        <charset val="1"/>
      </rPr>
      <t xml:space="preserve">Mix/Match </t>
    </r>
    <r>
      <rPr>
        <sz val="11"/>
        <color rgb="FF808080"/>
        <rFont val="Noto Sans SC"/>
        <family val="2"/>
        <charset val="134"/>
      </rPr>
      <t xml:space="preserve">期望原文在配图中，本表用示意值（蓝字可改），</t>
    </r>
    <r>
      <rPr>
        <sz val="11"/>
        <color rgb="FF808080"/>
        <rFont val="Cambria"/>
        <family val="0"/>
        <charset val="1"/>
      </rPr>
      <t xml:space="preserve">RTP </t>
    </r>
    <r>
      <rPr>
        <sz val="11"/>
        <color rgb="FF808080"/>
        <rFont val="Noto Sans SC"/>
        <family val="2"/>
        <charset val="134"/>
      </rPr>
      <t xml:space="preserve">结构与原文一致。</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</si>
  <si>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</si>
  <si>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</si>
  <si>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</si>
  <si>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</si>
  <si>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images/slots/649393400-NN.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</si>
  <si>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</si>
  <si>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</si>
  <si>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</si>
  <si>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实战对象：</t>
    </r>
    <r>
      <rPr>
        <sz val="11"/>
        <color theme="1"/>
        <rFont val="Calibri"/>
        <family val="2"/>
        <charset val="1"/>
      </rPr>
      <t xml:space="preserve">JDB </t>
    </r>
    <r>
      <rPr>
        <sz val="11"/>
        <color theme="1"/>
        <rFont val="Noto Sans SC"/>
        <family val="2"/>
        <charset val="134"/>
      </rPr>
      <t xml:space="preserve">于 </t>
    </r>
    <r>
      <rPr>
        <sz val="11"/>
        <color theme="1"/>
        <rFont val="Calibri"/>
        <family val="2"/>
        <charset val="1"/>
      </rPr>
      <t xml:space="preserve">2020-09 </t>
    </r>
    <r>
      <rPr>
        <sz val="11"/>
        <color theme="1"/>
        <rFont val="Noto Sans SC"/>
        <family val="2"/>
        <charset val="134"/>
      </rPr>
      <t xml:space="preserve">上线的 </t>
    </r>
    <r>
      <rPr>
        <sz val="11"/>
        <color theme="1"/>
        <rFont val="Calibri"/>
        <family val="2"/>
        <charset val="1"/>
      </rPr>
      <t xml:space="preserve">Classic Slot</t>
    </r>
    <r>
      <rPr>
        <sz val="11"/>
        <color theme="1"/>
        <rFont val="Noto Sans SC"/>
        <family val="2"/>
        <charset val="134"/>
      </rPr>
      <t xml:space="preserve">《</t>
    </r>
    <r>
      <rPr>
        <sz val="11"/>
        <color theme="1"/>
        <rFont val="Calibri"/>
        <family val="2"/>
        <charset val="1"/>
      </rPr>
      <t xml:space="preserve">Super Niubi Deluxe</t>
    </r>
    <r>
      <rPr>
        <sz val="11"/>
        <color theme="1"/>
        <rFont val="Noto Sans SC"/>
        <family val="2"/>
        <charset val="134"/>
      </rPr>
      <t xml:space="preserve">》——</t>
    </r>
  </si>
  <si>
    <r>
      <rPr>
        <sz val="11"/>
        <color theme="1"/>
        <rFont val="Calibri"/>
        <family val="2"/>
        <charset val="1"/>
      </rPr>
      <t xml:space="preserve">  3-1</t>
    </r>
    <r>
      <rPr>
        <sz val="11"/>
        <color theme="1"/>
        <rFont val="Noto Sans SC"/>
        <family val="2"/>
        <charset val="134"/>
      </rPr>
      <t xml:space="preserve">（三列一行）玩法，机制简单但线上数据表现不错，适合作为实战起点。</t>
    </r>
  </si>
  <si>
    <r>
      <rPr>
        <sz val="11"/>
        <color theme="1"/>
        <rFont val="Calibri"/>
        <family val="2"/>
        <charset val="1"/>
      </rPr>
      <t xml:space="preserve">· </t>
    </r>
    <r>
      <rPr>
        <sz val="11"/>
        <color theme="1"/>
        <rFont val="Noto Sans SC"/>
        <family val="2"/>
        <charset val="134"/>
      </rPr>
      <t xml:space="preserve">中奖方式：三列停留的图标均非「空白」即可中奖；三列相同、或组合中含紫牛时，触发更高倍数。</t>
    </r>
  </si>
  <si>
    <r>
      <rPr>
        <sz val="11"/>
        <color theme="1"/>
        <rFont val="Calibri"/>
        <family val="2"/>
        <charset val="1"/>
      </rPr>
      <t xml:space="preserve">  · Mix Feature</t>
    </r>
    <r>
      <rPr>
        <sz val="11"/>
        <color theme="1"/>
        <rFont val="Noto Sans SC"/>
        <family val="2"/>
        <charset val="134"/>
      </rPr>
      <t xml:space="preserve">：三列图标不相同也能拿奖（任意一列停在空白则不能中奖）。</t>
    </r>
  </si>
  <si>
    <r>
      <rPr>
        <sz val="11"/>
        <color theme="1"/>
        <rFont val="Calibri"/>
        <family val="2"/>
        <charset val="1"/>
      </rPr>
      <t xml:space="preserve">  · Match Feature</t>
    </r>
    <r>
      <rPr>
        <sz val="11"/>
        <color theme="1"/>
        <rFont val="Noto Sans SC"/>
        <family val="2"/>
        <charset val="134"/>
      </rPr>
      <t xml:space="preserve">：三列图标不完全相同但存在紫牛时，赔付倍数由 </t>
    </r>
    <r>
      <rPr>
        <sz val="11"/>
        <color theme="1"/>
        <rFont val="Calibri"/>
        <family val="2"/>
        <charset val="1"/>
      </rPr>
      <t xml:space="preserve">8 </t>
    </r>
    <r>
      <rPr>
        <sz val="11"/>
        <color theme="1"/>
        <rFont val="Noto Sans SC"/>
        <family val="2"/>
        <charset val="134"/>
      </rPr>
      <t xml:space="preserve">倍提高到 </t>
    </r>
    <r>
      <rPr>
        <sz val="11"/>
        <color theme="1"/>
        <rFont val="Calibri"/>
        <family val="2"/>
        <charset val="1"/>
      </rPr>
      <t xml:space="preserve">18 </t>
    </r>
    <r>
      <rPr>
        <sz val="11"/>
        <color theme="1"/>
        <rFont val="Noto Sans SC"/>
        <family val="2"/>
        <charset val="134"/>
      </rPr>
      <t xml:space="preserve">倍。</t>
    </r>
  </si>
  <si>
    <r>
      <rPr>
        <sz val="11"/>
        <color theme="1"/>
        <rFont val="Calibri"/>
        <family val="2"/>
        <charset val="1"/>
      </rPr>
      <t xml:space="preserve">· </t>
    </r>
    <r>
      <rPr>
        <sz val="11"/>
        <color theme="1"/>
        <rFont val="Noto Sans SC"/>
        <family val="2"/>
        <charset val="134"/>
      </rPr>
      <t xml:space="preserve">工作流四步：① 敲定主题与玩法（看竞品与榜单：缺总经济就看以 </t>
    </r>
    <r>
      <rPr>
        <sz val="11"/>
        <color theme="1"/>
        <rFont val="Calibri"/>
        <family val="2"/>
        <charset val="1"/>
      </rPr>
      <t xml:space="preserve">Bet </t>
    </r>
    <r>
      <rPr>
        <sz val="11"/>
        <color theme="1"/>
        <rFont val="Noto Sans SC"/>
        <family val="2"/>
        <charset val="134"/>
      </rPr>
      <t xml:space="preserve">为主的榜、缺留存就看普及度榜单）</t>
    </r>
  </si>
  <si>
    <r>
      <rPr>
        <sz val="11"/>
        <color theme="1"/>
        <rFont val="Noto Sans SC"/>
        <family val="2"/>
        <charset val="134"/>
      </rPr>
      <t xml:space="preserve">  ② 机制细化与需求文档（玩法简介 </t>
    </r>
    <r>
      <rPr>
        <sz val="11"/>
        <color theme="1"/>
        <rFont val="Calibri"/>
        <family val="2"/>
        <charset val="1"/>
      </rPr>
      <t xml:space="preserve">/ </t>
    </r>
    <r>
      <rPr>
        <sz val="11"/>
        <color theme="1"/>
        <rFont val="Noto Sans SC"/>
        <family val="2"/>
        <charset val="134"/>
      </rPr>
      <t xml:space="preserve">赔付机制 </t>
    </r>
    <r>
      <rPr>
        <sz val="11"/>
        <color theme="1"/>
        <rFont val="Calibri"/>
        <family val="2"/>
        <charset val="1"/>
      </rPr>
      <t xml:space="preserve">/ </t>
    </r>
    <r>
      <rPr>
        <sz val="11"/>
        <color theme="1"/>
        <rFont val="Noto Sans SC"/>
        <family val="2"/>
        <charset val="134"/>
      </rPr>
      <t xml:space="preserve">摇奖流程；赔付部分另附系统逻辑、后台配置、数值统计）</t>
    </r>
  </si>
  <si>
    <t xml:space="preserve">  ③ 数值设计与验证 ④ 验收与测试。</t>
  </si>
  <si>
    <r>
      <rPr>
        <sz val="11"/>
        <color theme="1"/>
        <rFont val="Calibri"/>
        <family val="2"/>
        <charset val="1"/>
      </rPr>
      <t xml:space="preserve">· </t>
    </r>
    <r>
      <rPr>
        <sz val="11"/>
        <color theme="1"/>
        <rFont val="Noto Sans SC"/>
        <family val="2"/>
        <charset val="134"/>
      </rPr>
      <t xml:space="preserve">数值：图标配置几率 → 计算几率 → 中奖组合几率（三列相乘）→ 乘赔付倍数得期望 → 求和得 </t>
    </r>
    <r>
      <rPr>
        <sz val="11"/>
        <color theme="1"/>
        <rFont val="Calibri"/>
        <family val="2"/>
        <charset val="1"/>
      </rPr>
      <t xml:space="preserve">RTP</t>
    </r>
    <r>
      <rPr>
        <sz val="11"/>
        <color theme="1"/>
        <rFont val="Noto Sans SC"/>
        <family val="2"/>
        <charset val="134"/>
      </rPr>
      <t xml:space="preserve">；</t>
    </r>
  </si>
  <si>
    <r>
      <rPr>
        <sz val="11"/>
        <color theme="1"/>
        <rFont val="Noto Sans SC"/>
        <family val="2"/>
        <charset val="134"/>
      </rPr>
      <t xml:space="preserve">  初次调试后 </t>
    </r>
    <r>
      <rPr>
        <sz val="11"/>
        <color theme="1"/>
        <rFont val="Calibri"/>
        <family val="2"/>
        <charset val="1"/>
      </rPr>
      <t xml:space="preserve">RTP 96.51%</t>
    </r>
    <r>
      <rPr>
        <sz val="11"/>
        <color theme="1"/>
        <rFont val="Noto Sans SC"/>
        <family val="2"/>
        <charset val="134"/>
      </rPr>
      <t xml:space="preserve">，用 </t>
    </r>
    <r>
      <rPr>
        <sz val="11"/>
        <color theme="1"/>
        <rFont val="Calibri"/>
        <family val="2"/>
        <charset val="1"/>
      </rPr>
      <t xml:space="preserve">Excel </t>
    </r>
    <r>
      <rPr>
        <sz val="11"/>
        <color theme="1"/>
        <rFont val="Noto Sans SC"/>
        <family val="2"/>
        <charset val="134"/>
      </rPr>
      <t xml:space="preserve">高亮重复项保证 </t>
    </r>
    <r>
      <rPr>
        <sz val="11"/>
        <color theme="1"/>
        <rFont val="Calibri"/>
        <family val="2"/>
        <charset val="1"/>
      </rPr>
      <t xml:space="preserve">4³ </t>
    </r>
    <r>
      <rPr>
        <sz val="11"/>
        <color theme="1"/>
        <rFont val="Noto Sans SC"/>
        <family val="2"/>
        <charset val="134"/>
      </rPr>
      <t xml:space="preserve">＝ </t>
    </r>
    <r>
      <rPr>
        <sz val="11"/>
        <color theme="1"/>
        <rFont val="Calibri"/>
        <family val="2"/>
        <charset val="1"/>
      </rPr>
      <t xml:space="preserve">64 </t>
    </r>
    <r>
      <rPr>
        <sz val="11"/>
        <color theme="1"/>
        <rFont val="Noto Sans SC"/>
        <family val="2"/>
        <charset val="134"/>
      </rPr>
      <t xml:space="preserve">种组合无重复无错漏（穷举法）。</t>
    </r>
  </si>
  <si>
    <r>
      <rPr>
        <sz val="11"/>
        <color theme="1"/>
        <rFont val="Calibri"/>
        <family val="2"/>
        <charset val="1"/>
      </rPr>
      <t xml:space="preserve">· </t>
    </r>
    <r>
      <rPr>
        <sz val="11"/>
        <color theme="1"/>
        <rFont val="Noto Sans SC"/>
        <family val="2"/>
        <charset val="134"/>
      </rPr>
      <t xml:space="preserve">体验校验：三连期望轮次为 紫 </t>
    </r>
    <r>
      <rPr>
        <sz val="11"/>
        <color theme="1"/>
        <rFont val="Calibri"/>
        <family val="2"/>
        <charset val="1"/>
      </rPr>
      <t xml:space="preserve">1/645</t>
    </r>
    <r>
      <rPr>
        <sz val="11"/>
        <color theme="1"/>
        <rFont val="Noto Sans SC"/>
        <family val="2"/>
        <charset val="134"/>
      </rPr>
      <t xml:space="preserve">、金 </t>
    </r>
    <r>
      <rPr>
        <sz val="11"/>
        <color theme="1"/>
        <rFont val="Calibri"/>
        <family val="2"/>
        <charset val="1"/>
      </rPr>
      <t xml:space="preserve">1/1116</t>
    </r>
    <r>
      <rPr>
        <sz val="11"/>
        <color theme="1"/>
        <rFont val="Noto Sans SC"/>
        <family val="2"/>
        <charset val="134"/>
      </rPr>
      <t xml:space="preserve">、红 </t>
    </r>
    <r>
      <rPr>
        <sz val="11"/>
        <color theme="1"/>
        <rFont val="Calibri"/>
        <family val="2"/>
        <charset val="1"/>
      </rPr>
      <t xml:space="preserve">1/1924</t>
    </r>
    <r>
      <rPr>
        <sz val="11"/>
        <color theme="1"/>
        <rFont val="Noto Sans SC"/>
        <family val="2"/>
        <charset val="134"/>
      </rPr>
      <t xml:space="preserve">、绿 </t>
    </r>
    <r>
      <rPr>
        <sz val="11"/>
        <color theme="1"/>
        <rFont val="Calibri"/>
        <family val="2"/>
        <charset val="1"/>
      </rPr>
      <t xml:space="preserve">1/3325 spins —— </t>
    </r>
    <r>
      <rPr>
        <sz val="11"/>
        <color theme="1"/>
        <rFont val="Noto Sans SC"/>
        <family val="2"/>
        <charset val="134"/>
      </rPr>
      <t xml:space="preserve">大额出现太少；</t>
    </r>
  </si>
  <si>
    <r>
      <rPr>
        <sz val="11"/>
        <color theme="1"/>
        <rFont val="Noto Sans SC"/>
        <family val="2"/>
        <charset val="134"/>
      </rPr>
      <t xml:space="preserve">  以 </t>
    </r>
    <r>
      <rPr>
        <sz val="11"/>
        <color theme="1"/>
        <rFont val="Calibri"/>
        <family val="2"/>
        <charset val="1"/>
      </rPr>
      <t xml:space="preserve">Line Slot </t>
    </r>
    <r>
      <rPr>
        <sz val="11"/>
        <color theme="1"/>
        <rFont val="Noto Sans SC"/>
        <family val="2"/>
        <charset val="134"/>
      </rPr>
      <t xml:space="preserve">为例 </t>
    </r>
    <r>
      <rPr>
        <sz val="11"/>
        <color theme="1"/>
        <rFont val="Calibri"/>
        <family val="2"/>
        <charset val="1"/>
      </rPr>
      <t xml:space="preserve">Feature </t>
    </r>
    <r>
      <rPr>
        <sz val="11"/>
        <color theme="1"/>
        <rFont val="Noto Sans SC"/>
        <family val="2"/>
        <charset val="134"/>
      </rPr>
      <t xml:space="preserve">的 </t>
    </r>
    <r>
      <rPr>
        <sz val="11"/>
        <color theme="1"/>
        <rFont val="Calibri"/>
        <family val="2"/>
        <charset val="1"/>
      </rPr>
      <t xml:space="preserve">Hit Frequency </t>
    </r>
    <r>
      <rPr>
        <sz val="11"/>
        <color theme="1"/>
        <rFont val="Noto Sans SC"/>
        <family val="2"/>
        <charset val="134"/>
      </rPr>
      <t xml:space="preserve">控制在 </t>
    </r>
    <r>
      <rPr>
        <sz val="11"/>
        <color theme="1"/>
        <rFont val="Calibri"/>
        <family val="2"/>
        <charset val="1"/>
      </rPr>
      <t xml:space="preserve">1/200~500 spins </t>
    </r>
    <r>
      <rPr>
        <sz val="11"/>
        <color theme="1"/>
        <rFont val="Noto Sans SC"/>
        <family val="2"/>
        <charset val="134"/>
      </rPr>
      <t xml:space="preserve">比较舒服，</t>
    </r>
    <r>
      <rPr>
        <sz val="11"/>
        <color theme="1"/>
        <rFont val="Calibri"/>
        <family val="2"/>
        <charset val="1"/>
      </rPr>
      <t xml:space="preserve">28 </t>
    </r>
    <r>
      <rPr>
        <sz val="11"/>
        <color theme="1"/>
        <rFont val="Noto Sans SC"/>
        <family val="2"/>
        <charset val="134"/>
      </rPr>
      <t xml:space="preserve">倍奖励尽量落在 </t>
    </r>
    <r>
      <rPr>
        <sz val="11"/>
        <color theme="1"/>
        <rFont val="Calibri"/>
        <family val="2"/>
        <charset val="1"/>
      </rPr>
      <t xml:space="preserve">50~200 spins</t>
    </r>
    <r>
      <rPr>
        <sz val="11"/>
        <color theme="1"/>
        <rFont val="Noto Sans SC"/>
        <family val="2"/>
        <charset val="134"/>
      </rPr>
      <t xml:space="preserve">。</t>
    </r>
  </si>
  <si>
    <r>
      <rPr>
        <sz val="11"/>
        <color theme="1"/>
        <rFont val="Noto Sans SC"/>
        <family val="2"/>
        <charset val="134"/>
      </rPr>
      <t xml:space="preserve">  调整后 </t>
    </r>
    <r>
      <rPr>
        <sz val="11"/>
        <color theme="1"/>
        <rFont val="Calibri"/>
        <family val="2"/>
        <charset val="1"/>
      </rPr>
      <t xml:space="preserve">RTP 96.64%</t>
    </r>
    <r>
      <rPr>
        <sz val="11"/>
        <color theme="1"/>
        <rFont val="Noto Sans SC"/>
        <family val="2"/>
        <charset val="134"/>
      </rPr>
      <t xml:space="preserve">，约 </t>
    </r>
    <r>
      <rPr>
        <sz val="11"/>
        <color theme="1"/>
        <rFont val="Calibri"/>
        <family val="2"/>
        <charset val="1"/>
      </rPr>
      <t xml:space="preserve">100 </t>
    </r>
    <r>
      <rPr>
        <sz val="11"/>
        <color theme="1"/>
        <rFont val="Noto Sans SC"/>
        <family val="2"/>
        <charset val="134"/>
      </rPr>
      <t xml:space="preserve">局触发一次大额奖项。</t>
    </r>
  </si>
  <si>
    <r>
      <rPr>
        <sz val="11"/>
        <color theme="1"/>
        <rFont val="Calibri"/>
        <family val="2"/>
        <charset val="1"/>
      </rPr>
      <t xml:space="preserve">· </t>
    </r>
    <r>
      <rPr>
        <sz val="11"/>
        <color theme="1"/>
        <rFont val="Noto Sans SC"/>
        <family val="2"/>
        <charset val="134"/>
      </rPr>
      <t xml:space="preserve">跑数据验证：</t>
    </r>
    <r>
      <rPr>
        <sz val="11"/>
        <color theme="1"/>
        <rFont val="Calibri"/>
        <family val="2"/>
        <charset val="1"/>
      </rPr>
      <t xml:space="preserve">Python </t>
    </r>
    <r>
      <rPr>
        <sz val="11"/>
        <color theme="1"/>
        <rFont val="Noto Sans SC"/>
        <family val="2"/>
        <charset val="134"/>
      </rPr>
      <t xml:space="preserve">与 </t>
    </r>
    <r>
      <rPr>
        <sz val="11"/>
        <color theme="1"/>
        <rFont val="Calibri"/>
        <family val="2"/>
        <charset val="1"/>
      </rPr>
      <t xml:space="preserve">C# </t>
    </r>
    <r>
      <rPr>
        <sz val="11"/>
        <color theme="1"/>
        <rFont val="Noto Sans SC"/>
        <family val="2"/>
        <charset val="134"/>
      </rPr>
      <t xml:space="preserve">两套模拟得到 </t>
    </r>
    <r>
      <rPr>
        <sz val="11"/>
        <color theme="1"/>
        <rFont val="Calibri"/>
        <family val="2"/>
        <charset val="1"/>
      </rPr>
      <t xml:space="preserve">SRP 96.42% </t>
    </r>
    <r>
      <rPr>
        <sz val="11"/>
        <color theme="1"/>
        <rFont val="Noto Sans SC"/>
        <family val="2"/>
        <charset val="134"/>
      </rPr>
      <t xml:space="preserve">与 </t>
    </r>
    <r>
      <rPr>
        <sz val="11"/>
        <color theme="1"/>
        <rFont val="Calibri"/>
        <family val="2"/>
        <charset val="1"/>
      </rPr>
      <t xml:space="preserve">96.77%</t>
    </r>
    <r>
      <rPr>
        <sz val="11"/>
        <color theme="1"/>
        <rFont val="Noto Sans SC"/>
        <family val="2"/>
        <charset val="134"/>
      </rPr>
      <t xml:space="preserve">，与计算的 </t>
    </r>
    <r>
      <rPr>
        <sz val="11"/>
        <color theme="1"/>
        <rFont val="Calibri"/>
        <family val="2"/>
        <charset val="1"/>
      </rPr>
      <t xml:space="preserve">RTP </t>
    </r>
    <r>
      <rPr>
        <sz val="11"/>
        <color theme="1"/>
        <rFont val="Noto Sans SC"/>
        <family val="2"/>
        <charset val="134"/>
      </rPr>
      <t xml:space="preserve">基本一致 → 数据无异常。</t>
    </r>
  </si>
  <si>
    <r>
      <rPr>
        <sz val="11"/>
        <color theme="1"/>
        <rFont val="Calibri"/>
        <family val="2"/>
        <charset val="1"/>
      </rPr>
      <t xml:space="preserve">· </t>
    </r>
    <r>
      <rPr>
        <sz val="11"/>
        <color theme="1"/>
        <rFont val="Noto Sans SC"/>
        <family val="2"/>
        <charset val="134"/>
      </rPr>
      <t xml:space="preserve">体验基准（</t>
    </r>
    <r>
      <rPr>
        <sz val="11"/>
        <color theme="1"/>
        <rFont val="Calibri"/>
        <family val="2"/>
        <charset val="1"/>
      </rPr>
      <t xml:space="preserve">3-1 Classic</t>
    </r>
    <r>
      <rPr>
        <sz val="11"/>
        <color theme="1"/>
        <rFont val="Noto Sans SC"/>
        <family val="2"/>
        <charset val="134"/>
      </rPr>
      <t xml:space="preserve">）：中奖率 </t>
    </r>
    <r>
      <rPr>
        <sz val="11"/>
        <color theme="1"/>
        <rFont val="Calibri"/>
        <family val="2"/>
        <charset val="1"/>
      </rPr>
      <t xml:space="preserve">5%~7%</t>
    </r>
    <r>
      <rPr>
        <sz val="11"/>
        <color theme="1"/>
        <rFont val="Noto Sans SC"/>
        <family val="2"/>
        <charset val="134"/>
      </rPr>
      <t xml:space="preserve">、</t>
    </r>
    <r>
      <rPr>
        <sz val="11"/>
        <color theme="1"/>
        <rFont val="Calibri"/>
        <family val="2"/>
        <charset val="1"/>
      </rPr>
      <t xml:space="preserve">RTP 95%~97% </t>
    </r>
    <r>
      <rPr>
        <sz val="11"/>
        <color theme="1"/>
        <rFont val="Noto Sans SC"/>
        <family val="2"/>
        <charset val="134"/>
      </rPr>
      <t xml:space="preserve">比较舒服；单一图标 </t>
    </r>
    <r>
      <rPr>
        <sz val="11"/>
        <color theme="1"/>
        <rFont val="Calibri"/>
        <family val="2"/>
        <charset val="1"/>
      </rPr>
      <t xml:space="preserve">Hit Frequency </t>
    </r>
    <r>
      <rPr>
        <sz val="11"/>
        <color theme="1"/>
        <rFont val="Noto Sans SC"/>
        <family val="2"/>
        <charset val="134"/>
      </rPr>
      <t xml:space="preserve">不能太低，</t>
    </r>
  </si>
  <si>
    <t xml:space="preserve">  长期不出现会让玩家怀疑公平性。</t>
  </si>
  <si>
    <r>
      <rPr>
        <sz val="11"/>
        <color theme="1"/>
        <rFont val="Calibri"/>
        <family val="2"/>
        <charset val="1"/>
      </rPr>
      <t xml:space="preserve">· </t>
    </r>
    <r>
      <rPr>
        <sz val="11"/>
        <color theme="1"/>
        <rFont val="Noto Sans SC"/>
        <family val="2"/>
        <charset val="134"/>
      </rPr>
      <t xml:space="preserve">原文反思：</t>
    </r>
    <r>
      <rPr>
        <sz val="11"/>
        <color theme="1"/>
        <rFont val="Calibri"/>
        <family val="2"/>
        <charset val="1"/>
      </rPr>
      <t xml:space="preserve">Mix Feature </t>
    </r>
    <r>
      <rPr>
        <sz val="11"/>
        <color theme="1"/>
        <rFont val="Noto Sans SC"/>
        <family val="2"/>
        <charset val="134"/>
      </rPr>
      <t xml:space="preserve">让「带紫牛」的组合赔付比不带高 </t>
    </r>
    <r>
      <rPr>
        <sz val="11"/>
        <color theme="1"/>
        <rFont val="Calibri"/>
        <family val="2"/>
        <charset val="1"/>
      </rPr>
      <t xml:space="preserve">10 </t>
    </r>
    <r>
      <rPr>
        <sz val="11"/>
        <color theme="1"/>
        <rFont val="Noto Sans SC"/>
        <family val="2"/>
        <charset val="134"/>
      </rPr>
      <t xml:space="preserve">倍 → 只能把紫牛几率压得很低，</t>
    </r>
  </si>
  <si>
    <r>
      <rPr>
        <sz val="11"/>
        <color theme="1"/>
        <rFont val="Noto Sans SC"/>
        <family val="2"/>
        <charset val="134"/>
      </rPr>
      <t xml:space="preserve">  玩家一眼就能看出该图标出现得更少，必然怀疑公平性；后续不少玩法删掉 </t>
    </r>
    <r>
      <rPr>
        <sz val="11"/>
        <color theme="1"/>
        <rFont val="Calibri"/>
        <family val="2"/>
        <charset val="1"/>
      </rPr>
      <t xml:space="preserve">18 </t>
    </r>
    <r>
      <rPr>
        <sz val="11"/>
        <color theme="1"/>
        <rFont val="Noto Sans SC"/>
        <family val="2"/>
        <charset val="134"/>
      </rPr>
      <t xml:space="preserve">倍组合或直接删掉紫牛图标，</t>
    </r>
  </si>
  <si>
    <r>
      <rPr>
        <sz val="11"/>
        <color theme="1"/>
        <rFont val="Noto Sans SC"/>
        <family val="2"/>
        <charset val="134"/>
      </rPr>
      <t xml:space="preserve">  把大额奖励控制在 </t>
    </r>
    <r>
      <rPr>
        <sz val="11"/>
        <color theme="1"/>
        <rFont val="Calibri"/>
        <family val="2"/>
        <charset val="1"/>
      </rPr>
      <t xml:space="preserve">1000 spins </t>
    </r>
    <r>
      <rPr>
        <sz val="11"/>
        <color theme="1"/>
        <rFont val="Noto Sans SC"/>
        <family val="2"/>
        <charset val="134"/>
      </rPr>
      <t xml:space="preserve">内。延伸说：是否要让所有图标的赔付期望相等，要结合玩法定位想清楚。</t>
    </r>
  </si>
  <si>
    <t xml:space="preserve">原文整理（全文，按原文小标题分段）</t>
  </si>
  <si>
    <r>
      <rPr>
        <sz val="11"/>
        <color theme="1"/>
        <rFont val="Noto Sans SC"/>
        <family val="2"/>
        <charset val="134"/>
      </rPr>
      <t xml:space="preserve">之前的文章中介绍了</t>
    </r>
    <r>
      <rPr>
        <sz val="11"/>
        <color theme="1"/>
        <rFont val="Calibri"/>
        <family val="2"/>
        <charset val="1"/>
      </rPr>
      <t xml:space="preserve">Slot</t>
    </r>
    <r>
      <rPr>
        <sz val="11"/>
        <color theme="1"/>
        <rFont val="Noto Sans SC"/>
        <family val="2"/>
        <charset val="134"/>
      </rPr>
      <t xml:space="preserve">游戏和其</t>
    </r>
    <r>
      <rPr>
        <sz val="11"/>
        <color theme="1"/>
        <rFont val="Calibri"/>
        <family val="2"/>
        <charset val="1"/>
      </rPr>
      <t xml:space="preserve">Feature</t>
    </r>
    <r>
      <rPr>
        <sz val="11"/>
        <color theme="1"/>
        <rFont val="Noto Sans SC"/>
        <family val="2"/>
        <charset val="134"/>
      </rPr>
      <t xml:space="preserve">，以及对其数值体系搭建方法。从本篇起，将开始</t>
    </r>
    <r>
      <rPr>
        <sz val="11"/>
        <color theme="1"/>
        <rFont val="Calibri"/>
        <family val="2"/>
        <charset val="1"/>
      </rPr>
      <t xml:space="preserve">Slot</t>
    </r>
    <r>
      <rPr>
        <sz val="11"/>
        <color theme="1"/>
        <rFont val="Noto Sans SC"/>
        <family val="2"/>
        <charset val="134"/>
      </rPr>
      <t xml:space="preserve">游戏策划的实战模拟</t>
    </r>
  </si>
  <si>
    <r>
      <rPr>
        <sz val="11"/>
        <color theme="1"/>
        <rFont val="Noto Sans SC"/>
        <family val="2"/>
        <charset val="134"/>
      </rPr>
      <t xml:space="preserve">实战篇不会花太多时间对</t>
    </r>
    <r>
      <rPr>
        <sz val="11"/>
        <color theme="1"/>
        <rFont val="Calibri"/>
        <family val="2"/>
        <charset val="1"/>
      </rPr>
      <t xml:space="preserve">Slot</t>
    </r>
    <r>
      <rPr>
        <sz val="11"/>
        <color theme="1"/>
        <rFont val="Noto Sans SC"/>
        <family val="2"/>
        <charset val="134"/>
      </rPr>
      <t xml:space="preserve">的基础机制和</t>
    </r>
    <r>
      <rPr>
        <sz val="11"/>
        <color theme="1"/>
        <rFont val="Calibri"/>
        <family val="2"/>
        <charset val="1"/>
      </rPr>
      <t xml:space="preserve">Feature</t>
    </r>
    <r>
      <rPr>
        <sz val="11"/>
        <color theme="1"/>
        <rFont val="Noto Sans SC"/>
        <family val="2"/>
        <charset val="134"/>
      </rPr>
      <t xml:space="preserve">进行讲解，如果遇到不熟悉的内容，还请参照之前的攻略文章</t>
    </r>
  </si>
  <si>
    <r>
      <rPr>
        <sz val="11"/>
        <color theme="1"/>
        <rFont val="Noto Sans SC"/>
        <family val="2"/>
        <charset val="134"/>
      </rPr>
      <t xml:space="preserve">本篇选择的模拟对象是由</t>
    </r>
    <r>
      <rPr>
        <sz val="11"/>
        <color theme="1"/>
        <rFont val="Calibri"/>
        <family val="2"/>
        <charset val="1"/>
      </rPr>
      <t xml:space="preserve">JDB</t>
    </r>
    <r>
      <rPr>
        <sz val="11"/>
        <color theme="1"/>
        <rFont val="Noto Sans SC"/>
        <family val="2"/>
        <charset val="134"/>
      </rPr>
      <t xml:space="preserve">于</t>
    </r>
    <r>
      <rPr>
        <sz val="11"/>
        <color theme="1"/>
        <rFont val="Calibri"/>
        <family val="2"/>
        <charset val="1"/>
      </rPr>
      <t xml:space="preserve">2020</t>
    </r>
    <r>
      <rPr>
        <sz val="11"/>
        <color theme="1"/>
        <rFont val="Noto Sans SC"/>
        <family val="2"/>
        <charset val="134"/>
      </rPr>
      <t xml:space="preserve">年</t>
    </r>
    <r>
      <rPr>
        <sz val="11"/>
        <color theme="1"/>
        <rFont val="Calibri"/>
        <family val="2"/>
        <charset val="1"/>
      </rPr>
      <t xml:space="preserve">9</t>
    </r>
    <r>
      <rPr>
        <sz val="11"/>
        <color theme="1"/>
        <rFont val="Noto Sans SC"/>
        <family val="2"/>
        <charset val="134"/>
      </rPr>
      <t xml:space="preserve">月发布的</t>
    </r>
    <r>
      <rPr>
        <sz val="11"/>
        <color theme="1"/>
        <rFont val="Calibri"/>
        <family val="2"/>
        <charset val="1"/>
      </rPr>
      <t xml:space="preserve">Classic Slot</t>
    </r>
    <r>
      <rPr>
        <sz val="11"/>
        <color theme="1"/>
        <rFont val="Noto Sans SC"/>
        <family val="2"/>
        <charset val="134"/>
      </rPr>
      <t xml:space="preserve">玩法，</t>
    </r>
    <r>
      <rPr>
        <sz val="11"/>
        <color theme="1"/>
        <rFont val="Calibri"/>
        <family val="2"/>
        <charset val="1"/>
      </rPr>
      <t xml:space="preserve">Super Niubi Deluxe</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</si>
  <si>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649393400-01.jpg</t>
    </r>
  </si>
  <si>
    <t xml:space="preserve">这款老虎机玩法简单，但是线上数据表现还是非常不错的。很适合作为实战的基础</t>
  </si>
  <si>
    <r>
      <rPr>
        <sz val="11"/>
        <color theme="1"/>
        <rFont val="Noto Sans SC"/>
        <family val="2"/>
        <charset val="134"/>
      </rPr>
      <t xml:space="preserve">该玩法为</t>
    </r>
    <r>
      <rPr>
        <sz val="11"/>
        <color theme="1"/>
        <rFont val="Calibri"/>
        <family val="2"/>
        <charset val="1"/>
      </rPr>
      <t xml:space="preserve">3-1</t>
    </r>
    <r>
      <rPr>
        <sz val="11"/>
        <color theme="1"/>
        <rFont val="Noto Sans SC"/>
        <family val="2"/>
        <charset val="134"/>
      </rPr>
      <t xml:space="preserve">的</t>
    </r>
    <r>
      <rPr>
        <sz val="11"/>
        <color theme="1"/>
        <rFont val="Calibri"/>
        <family val="2"/>
        <charset val="1"/>
      </rPr>
      <t xml:space="preserve">Classic Slot</t>
    </r>
    <r>
      <rPr>
        <sz val="11"/>
        <color theme="1"/>
        <rFont val="Noto Sans SC"/>
        <family val="2"/>
        <charset val="134"/>
      </rPr>
      <t xml:space="preserve">，除去三列出现相同图标中奖的常规中奖方式之外还有</t>
    </r>
    <r>
      <rPr>
        <sz val="11"/>
        <color theme="1"/>
        <rFont val="Calibri"/>
        <family val="2"/>
        <charset val="1"/>
      </rPr>
      <t xml:space="preserve">Mix</t>
    </r>
    <r>
      <rPr>
        <sz val="11"/>
        <color theme="1"/>
        <rFont val="Noto Sans SC"/>
        <family val="2"/>
        <charset val="134"/>
      </rPr>
      <t xml:space="preserve">和 </t>
    </r>
    <r>
      <rPr>
        <sz val="11"/>
        <color theme="1"/>
        <rFont val="Calibri"/>
        <family val="2"/>
        <charset val="1"/>
      </rPr>
      <t xml:space="preserve">Match</t>
    </r>
    <r>
      <rPr>
        <sz val="11"/>
        <color theme="1"/>
        <rFont val="Noto Sans SC"/>
        <family val="2"/>
        <charset val="134"/>
      </rPr>
      <t xml:space="preserve">两种</t>
    </r>
    <r>
      <rPr>
        <sz val="11"/>
        <color theme="1"/>
        <rFont val="Calibri"/>
        <family val="2"/>
        <charset val="1"/>
      </rPr>
      <t xml:space="preserve">Feature</t>
    </r>
  </si>
  <si>
    <r>
      <rPr>
        <sz val="11"/>
        <color theme="1"/>
        <rFont val="Calibri"/>
        <family val="2"/>
        <charset val="1"/>
      </rPr>
      <t xml:space="preserve">Mix</t>
    </r>
    <r>
      <rPr>
        <sz val="11"/>
        <color theme="1"/>
        <rFont val="Noto Sans SC"/>
        <family val="2"/>
        <charset val="134"/>
      </rPr>
      <t xml:space="preserve">：三列出现的图标即使不相同也能获得奖励（</t>
    </r>
    <r>
      <rPr>
        <sz val="11"/>
        <color theme="1"/>
        <rFont val="Calibri"/>
        <family val="2"/>
        <charset val="1"/>
      </rPr>
      <t xml:space="preserve">3-1</t>
    </r>
    <r>
      <rPr>
        <sz val="11"/>
        <color theme="1"/>
        <rFont val="Noto Sans SC"/>
        <family val="2"/>
        <charset val="134"/>
      </rPr>
      <t xml:space="preserve">的</t>
    </r>
    <r>
      <rPr>
        <sz val="11"/>
        <color theme="1"/>
        <rFont val="Calibri"/>
        <family val="2"/>
        <charset val="1"/>
      </rPr>
      <t xml:space="preserve">Classic</t>
    </r>
    <r>
      <rPr>
        <sz val="11"/>
        <color theme="1"/>
        <rFont val="Noto Sans SC"/>
        <family val="2"/>
        <charset val="134"/>
      </rPr>
      <t xml:space="preserve">卷轴还能停留在空白处，任意一列停留在空白处则无法中奖）</t>
    </r>
  </si>
  <si>
    <r>
      <rPr>
        <sz val="11"/>
        <color theme="1"/>
        <rFont val="Calibri"/>
        <family val="2"/>
        <charset val="1"/>
      </rPr>
      <t xml:space="preserve">Match</t>
    </r>
    <r>
      <rPr>
        <sz val="11"/>
        <color theme="1"/>
        <rFont val="Noto Sans SC"/>
        <family val="2"/>
        <charset val="134"/>
      </rPr>
      <t xml:space="preserve">：三列出现的图标并不完全相同时，如果存在</t>
    </r>
    <r>
      <rPr>
        <sz val="11"/>
        <color theme="1"/>
        <rFont val="Calibri"/>
        <family val="2"/>
        <charset val="1"/>
      </rPr>
      <t xml:space="preserve">Purple Bull</t>
    </r>
    <r>
      <rPr>
        <sz val="11"/>
        <color theme="1"/>
        <rFont val="Noto Sans SC"/>
        <family val="2"/>
        <charset val="134"/>
      </rPr>
      <t xml:space="preserve">图标，赔付倍数从</t>
    </r>
    <r>
      <rPr>
        <sz val="11"/>
        <color theme="1"/>
        <rFont val="Calibri"/>
        <family val="2"/>
        <charset val="1"/>
      </rPr>
      <t xml:space="preserve">8</t>
    </r>
    <r>
      <rPr>
        <sz val="11"/>
        <color theme="1"/>
        <rFont val="Noto Sans SC"/>
        <family val="2"/>
        <charset val="134"/>
      </rPr>
      <t xml:space="preserve">倍增加到</t>
    </r>
    <r>
      <rPr>
        <sz val="11"/>
        <color theme="1"/>
        <rFont val="Calibri"/>
        <family val="2"/>
        <charset val="1"/>
      </rPr>
      <t xml:space="preserve">18</t>
    </r>
    <r>
      <rPr>
        <sz val="11"/>
        <color theme="1"/>
        <rFont val="Noto Sans SC"/>
        <family val="2"/>
        <charset val="134"/>
      </rPr>
      <t xml:space="preserve">倍</t>
    </r>
  </si>
  <si>
    <r>
      <rPr>
        <sz val="11"/>
        <color theme="1"/>
        <rFont val="Calibri"/>
        <family val="2"/>
        <charset val="1"/>
      </rPr>
      <t xml:space="preserve">1. </t>
    </r>
    <r>
      <rPr>
        <sz val="11"/>
        <color theme="1"/>
        <rFont val="Noto Sans SC"/>
        <family val="2"/>
        <charset val="134"/>
      </rPr>
      <t xml:space="preserve">敲定主题和玩法</t>
    </r>
  </si>
  <si>
    <r>
      <rPr>
        <sz val="11"/>
        <color theme="1"/>
        <rFont val="Noto Sans SC"/>
        <family val="2"/>
        <charset val="134"/>
      </rPr>
      <t xml:space="preserve">一般情况下要开发一款新</t>
    </r>
    <r>
      <rPr>
        <sz val="11"/>
        <color theme="1"/>
        <rFont val="Calibri"/>
        <family val="2"/>
        <charset val="1"/>
      </rPr>
      <t xml:space="preserve">Slot</t>
    </r>
    <r>
      <rPr>
        <sz val="11"/>
        <color theme="1"/>
        <rFont val="Noto Sans SC"/>
        <family val="2"/>
        <charset val="134"/>
      </rPr>
      <t xml:space="preserve">之前，玩法策划、主题策划需要根据当前产品的需求，对新</t>
    </r>
    <r>
      <rPr>
        <sz val="11"/>
        <color theme="1"/>
        <rFont val="Calibri"/>
        <family val="2"/>
        <charset val="1"/>
      </rPr>
      <t xml:space="preserve">Slot</t>
    </r>
    <r>
      <rPr>
        <sz val="11"/>
        <color theme="1"/>
        <rFont val="Noto Sans SC"/>
        <family val="2"/>
        <charset val="134"/>
      </rPr>
      <t xml:space="preserve">的类型和大体设计方向进行会议讨论。譬如：</t>
    </r>
  </si>
  <si>
    <r>
      <rPr>
        <sz val="11"/>
        <color theme="1"/>
        <rFont val="Calibri"/>
        <family val="2"/>
        <charset val="1"/>
      </rPr>
      <t xml:space="preserve">·</t>
    </r>
    <r>
      <rPr>
        <sz val="11"/>
        <color theme="1"/>
        <rFont val="Noto Sans SC"/>
        <family val="2"/>
        <charset val="134"/>
      </rPr>
      <t xml:space="preserve">当前市场有哪些流行的主题</t>
    </r>
  </si>
  <si>
    <r>
      <rPr>
        <sz val="11"/>
        <color theme="1"/>
        <rFont val="Calibri"/>
        <family val="2"/>
        <charset val="1"/>
      </rPr>
      <t xml:space="preserve">·</t>
    </r>
    <r>
      <rPr>
        <sz val="11"/>
        <color theme="1"/>
        <rFont val="Noto Sans SC"/>
        <family val="2"/>
        <charset val="134"/>
      </rPr>
      <t xml:space="preserve">当地市场对</t>
    </r>
    <r>
      <rPr>
        <sz val="11"/>
        <color theme="1"/>
        <rFont val="Calibri"/>
        <family val="2"/>
        <charset val="1"/>
      </rPr>
      <t xml:space="preserve">Slot</t>
    </r>
    <r>
      <rPr>
        <sz val="11"/>
        <color theme="1"/>
        <rFont val="Noto Sans SC"/>
        <family val="2"/>
        <charset val="134"/>
      </rPr>
      <t xml:space="preserve">的熟悉程度和接受程度如何</t>
    </r>
  </si>
  <si>
    <r>
      <rPr>
        <sz val="11"/>
        <color theme="1"/>
        <rFont val="Noto Sans SC"/>
        <family val="2"/>
        <charset val="134"/>
      </rPr>
      <t xml:space="preserve">以个人经历来讲，做纯原创</t>
    </r>
    <r>
      <rPr>
        <sz val="11"/>
        <color theme="1"/>
        <rFont val="Calibri"/>
        <family val="2"/>
        <charset val="1"/>
      </rPr>
      <t xml:space="preserve">Slot</t>
    </r>
    <r>
      <rPr>
        <sz val="11"/>
        <color theme="1"/>
        <rFont val="Noto Sans SC"/>
        <family val="2"/>
        <charset val="134"/>
      </rPr>
      <t xml:space="preserve">的机会并不是很多。我遇到的制作人都比较倾向于做数据已经得到市场验证过了的产品，也就是把线上的热门玩法缝缝改改改成新玩法</t>
    </r>
  </si>
  <si>
    <r>
      <rPr>
        <sz val="11"/>
        <color theme="1"/>
        <rFont val="Noto Sans SC"/>
        <family val="2"/>
        <charset val="134"/>
      </rPr>
      <t xml:space="preserve">这种时候对市场的了解程度就非常重要了，一般了解</t>
    </r>
    <r>
      <rPr>
        <sz val="11"/>
        <color theme="1"/>
        <rFont val="Calibri"/>
        <family val="2"/>
        <charset val="1"/>
      </rPr>
      <t xml:space="preserve">Slot</t>
    </r>
    <r>
      <rPr>
        <sz val="11"/>
        <color theme="1"/>
        <rFont val="Noto Sans SC"/>
        <family val="2"/>
        <charset val="134"/>
      </rPr>
      <t xml:space="preserve">产品火爆程度的玩法有两个：</t>
    </r>
  </si>
  <si>
    <t xml:space="preserve">一个是通过观察竞品和其他同类产品，一般放在前面的玩法都是数据比较好或上手容易方便拉升留存的玩法</t>
  </si>
  <si>
    <t xml:space="preserve">使用这种方法的话就需要注意一定要多看几个产品，一方面是说不一定所有产品的盈利模式都相同，其排序逻辑未必适合你的产品；另一方面也不排除部分项目为了推新品而新品扎堆放在前面。个人不建议这样做，基本上强制且集中地推新品，推一次就掉一次注册留存。放在前排的玩法还是以当地熟悉和接受度高的为主比较好，或者直接做成动态智能排序</t>
  </si>
  <si>
    <r>
      <rPr>
        <sz val="11"/>
        <color theme="1"/>
        <rFont val="Noto Sans SC"/>
        <family val="2"/>
        <charset val="134"/>
      </rPr>
      <t xml:space="preserve">另一个方式就是看线上榜单，基本在</t>
    </r>
    <r>
      <rPr>
        <sz val="11"/>
        <color theme="1"/>
        <rFont val="Calibri"/>
        <family val="2"/>
        <charset val="1"/>
      </rPr>
      <t xml:space="preserve">google</t>
    </r>
    <r>
      <rPr>
        <sz val="11"/>
        <color theme="1"/>
        <rFont val="Noto Sans SC"/>
        <family val="2"/>
        <charset val="134"/>
      </rPr>
      <t xml:space="preserve">上搜索</t>
    </r>
    <r>
      <rPr>
        <sz val="11"/>
        <color theme="1"/>
        <rFont val="Calibri"/>
        <family val="2"/>
        <charset val="1"/>
      </rPr>
      <t xml:space="preserve">Slot Ranking</t>
    </r>
    <r>
      <rPr>
        <sz val="11"/>
        <color theme="1"/>
        <rFont val="Noto Sans SC"/>
        <family val="2"/>
        <charset val="134"/>
      </rPr>
      <t xml:space="preserve">就能够看到当前的</t>
    </r>
    <r>
      <rPr>
        <sz val="11"/>
        <color theme="1"/>
        <rFont val="Calibri"/>
        <family val="2"/>
        <charset val="1"/>
      </rPr>
      <t xml:space="preserve">Slot</t>
    </r>
    <r>
      <rPr>
        <sz val="11"/>
        <color theme="1"/>
        <rFont val="Noto Sans SC"/>
        <family val="2"/>
        <charset val="134"/>
      </rPr>
      <t xml:space="preserve">排名。不同网站的排名依据会存在一些差异，参考是可以以当前</t>
    </r>
    <r>
      <rPr>
        <sz val="11"/>
        <color theme="1"/>
        <rFont val="Calibri"/>
        <family val="2"/>
        <charset val="1"/>
      </rPr>
      <t xml:space="preserve">Slot</t>
    </r>
    <r>
      <rPr>
        <sz val="11"/>
        <color theme="1"/>
        <rFont val="Noto Sans SC"/>
        <family val="2"/>
        <charset val="134"/>
      </rPr>
      <t xml:space="preserve">设计的需求为主去找合适的榜单。例如，当前缺少的是拉升总经济的玩法，那就去找以</t>
    </r>
    <r>
      <rPr>
        <sz val="11"/>
        <color theme="1"/>
        <rFont val="Calibri"/>
        <family val="2"/>
        <charset val="1"/>
      </rPr>
      <t xml:space="preserve">Bet</t>
    </r>
    <r>
      <rPr>
        <sz val="11"/>
        <color theme="1"/>
        <rFont val="Noto Sans SC"/>
        <family val="2"/>
        <charset val="134"/>
      </rPr>
      <t xml:space="preserve">为主的排行榜；如果是当前留存存在比较大的问题，那就参考看看玩法普及程度的排行榜，看自己的项目是否有当地市场比较认可和熟悉的玩法</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</si>
  <si>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649393400-02.jpg</t>
    </r>
  </si>
  <si>
    <r>
      <rPr>
        <sz val="11"/>
        <color theme="1"/>
        <rFont val="Calibri"/>
        <family val="2"/>
        <charset val="1"/>
      </rPr>
      <t xml:space="preserve">2. </t>
    </r>
    <r>
      <rPr>
        <sz val="11"/>
        <color theme="1"/>
        <rFont val="Noto Sans SC"/>
        <family val="2"/>
        <charset val="134"/>
      </rPr>
      <t xml:space="preserve">机制细化和需求文档撰写</t>
    </r>
  </si>
  <si>
    <r>
      <rPr>
        <sz val="11"/>
        <color theme="1"/>
        <rFont val="Noto Sans SC"/>
        <family val="2"/>
        <charset val="134"/>
      </rPr>
      <t xml:space="preserve">在敲定之后基本就可以开始细化</t>
    </r>
    <r>
      <rPr>
        <sz val="11"/>
        <color theme="1"/>
        <rFont val="Calibri"/>
        <family val="2"/>
        <charset val="1"/>
      </rPr>
      <t xml:space="preserve">Slot</t>
    </r>
    <r>
      <rPr>
        <sz val="11"/>
        <color theme="1"/>
        <rFont val="Noto Sans SC"/>
        <family val="2"/>
        <charset val="134"/>
      </rPr>
      <t xml:space="preserve">的玩法机制以及撰写对应的需求文档了。当然也有团队会要求拉起各个部门和制作人再多次评定。这些流程上面的规范和策划步骤无关，这里就不展开讲了</t>
    </r>
  </si>
  <si>
    <r>
      <rPr>
        <sz val="11"/>
        <color theme="1"/>
        <rFont val="Noto Sans SC"/>
        <family val="2"/>
        <charset val="134"/>
      </rPr>
      <t xml:space="preserve">在</t>
    </r>
    <r>
      <rPr>
        <sz val="11"/>
        <color theme="1"/>
        <rFont val="Calibri"/>
        <family val="2"/>
        <charset val="1"/>
      </rPr>
      <t xml:space="preserve">Slot</t>
    </r>
    <r>
      <rPr>
        <sz val="11"/>
        <color theme="1"/>
        <rFont val="Noto Sans SC"/>
        <family val="2"/>
        <charset val="134"/>
      </rPr>
      <t xml:space="preserve">的机制细化方面，以本篇介绍的</t>
    </r>
    <r>
      <rPr>
        <sz val="11"/>
        <color theme="1"/>
        <rFont val="Calibri"/>
        <family val="2"/>
        <charset val="1"/>
      </rPr>
      <t xml:space="preserve">Super Niubi</t>
    </r>
    <r>
      <rPr>
        <sz val="11"/>
        <color theme="1"/>
        <rFont val="Noto Sans SC"/>
        <family val="2"/>
        <charset val="134"/>
      </rPr>
      <t xml:space="preserve">为例，个人习惯上是将其分为以下几个部分（对应需求文档中的各段落）</t>
    </r>
  </si>
  <si>
    <r>
      <rPr>
        <sz val="11"/>
        <color theme="1"/>
        <rFont val="Calibri"/>
        <family val="2"/>
        <charset val="1"/>
      </rPr>
      <t xml:space="preserve"> ·</t>
    </r>
    <r>
      <rPr>
        <sz val="11"/>
        <color theme="1"/>
        <rFont val="Noto Sans SC"/>
        <family val="2"/>
        <charset val="134"/>
      </rPr>
      <t xml:space="preserve">玩法简介</t>
    </r>
  </si>
  <si>
    <r>
      <rPr>
        <sz val="11"/>
        <color theme="1"/>
        <rFont val="Calibri"/>
        <family val="2"/>
        <charset val="1"/>
      </rPr>
      <t xml:space="preserve"> ·</t>
    </r>
    <r>
      <rPr>
        <sz val="11"/>
        <color theme="1"/>
        <rFont val="Noto Sans SC"/>
        <family val="2"/>
        <charset val="134"/>
      </rPr>
      <t xml:space="preserve">赔付机制</t>
    </r>
  </si>
  <si>
    <r>
      <rPr>
        <sz val="11"/>
        <color theme="1"/>
        <rFont val="Calibri"/>
        <family val="2"/>
        <charset val="1"/>
      </rPr>
      <t xml:space="preserve"> ·</t>
    </r>
    <r>
      <rPr>
        <sz val="11"/>
        <color theme="1"/>
        <rFont val="Noto Sans SC"/>
        <family val="2"/>
        <charset val="134"/>
      </rPr>
      <t xml:space="preserve">摇奖流程</t>
    </r>
  </si>
  <si>
    <t xml:space="preserve">这部分一般是由玩法策划来完成。在赔付机制部分，还会另起两份文档介绍系统逻辑、后台配置和数值统计需求，这是和团队要求文档轻量化做出的调整。也有团队倾向大而全的文档，具体怎么写看团队适应那种就行，毕竟需求文档主要还是能让开发看懂这个需求应该怎么去做</t>
  </si>
  <si>
    <t xml:space="preserve">具体来说：</t>
  </si>
  <si>
    <t xml:space="preserve">一、玩法简介</t>
  </si>
  <si>
    <r>
      <rPr>
        <sz val="11"/>
        <color theme="1"/>
        <rFont val="Calibri"/>
        <family val="2"/>
        <charset val="1"/>
      </rPr>
      <t xml:space="preserve">Super Niubi</t>
    </r>
    <r>
      <rPr>
        <sz val="11"/>
        <color theme="1"/>
        <rFont val="Noto Sans SC"/>
        <family val="2"/>
        <charset val="134"/>
      </rPr>
      <t xml:space="preserve">是一款单行三列的经典</t>
    </r>
    <r>
      <rPr>
        <sz val="11"/>
        <color theme="1"/>
        <rFont val="Calibri"/>
        <family val="2"/>
        <charset val="1"/>
      </rPr>
      <t xml:space="preserve">Slot</t>
    </r>
    <r>
      <rPr>
        <sz val="11"/>
        <color theme="1"/>
        <rFont val="Noto Sans SC"/>
        <family val="2"/>
        <charset val="134"/>
      </rPr>
      <t xml:space="preserve">游戏。游戏共有紫牛、金牛、红牛、绿牛和空白五种图标</t>
    </r>
  </si>
  <si>
    <t xml:space="preserve">玩家通过下注开始摇奖，每次摇奖后每列分别会停留一个图标，当三列的图标均不是空白图标时即可中奖，并且当三列图标相同或者带有紫牛图标时可以触发指定更高倍数的奖励</t>
  </si>
  <si>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649393400-03.jpg</t>
    </r>
  </si>
  <si>
    <r>
      <rPr>
        <sz val="11"/>
        <color theme="1"/>
        <rFont val="Noto Sans SC"/>
        <family val="2"/>
        <charset val="134"/>
      </rPr>
      <t xml:space="preserve">一般介绍完玩法机制后会放上玩法的原型图。如果是初学者对</t>
    </r>
    <r>
      <rPr>
        <sz val="11"/>
        <color theme="1"/>
        <rFont val="Calibri"/>
        <family val="2"/>
        <charset val="1"/>
      </rPr>
      <t xml:space="preserve">Slot</t>
    </r>
    <r>
      <rPr>
        <sz val="11"/>
        <color theme="1"/>
        <rFont val="Noto Sans SC"/>
        <family val="2"/>
        <charset val="134"/>
      </rPr>
      <t xml:space="preserve">玩家的操作习惯不是很熟悉的话，参考竞品的布局即可。当对当地玩家操作习惯比较熟悉之后，或者是产品有了自己的风格，再对布局进行优化即可</t>
    </r>
  </si>
  <si>
    <r>
      <rPr>
        <sz val="11"/>
        <color theme="1"/>
        <rFont val="Noto Sans SC"/>
        <family val="2"/>
        <charset val="134"/>
      </rPr>
      <t xml:space="preserve">例如退出房间等操作按钮放在左上角还是右上角，欧美和东南亚存在较大的差异，这些细节都需要策划自己去了解。另外做</t>
    </r>
    <r>
      <rPr>
        <sz val="11"/>
        <color theme="1"/>
        <rFont val="Calibri"/>
        <family val="2"/>
        <charset val="1"/>
      </rPr>
      <t xml:space="preserve">Slot</t>
    </r>
    <r>
      <rPr>
        <sz val="11"/>
        <color theme="1"/>
        <rFont val="Noto Sans SC"/>
        <family val="2"/>
        <charset val="134"/>
      </rPr>
      <t xml:space="preserve">游戏大厅的项目，很多都要求自研玩法统一</t>
    </r>
    <r>
      <rPr>
        <sz val="11"/>
        <color theme="1"/>
        <rFont val="Calibri"/>
        <family val="2"/>
        <charset val="1"/>
      </rPr>
      <t xml:space="preserve">UI</t>
    </r>
    <r>
      <rPr>
        <sz val="11"/>
        <color theme="1"/>
        <rFont val="Noto Sans SC"/>
        <family val="2"/>
        <charset val="134"/>
      </rPr>
      <t xml:space="preserve">，这样子的话，原型图中包括大概的</t>
    </r>
    <r>
      <rPr>
        <sz val="11"/>
        <color theme="1"/>
        <rFont val="Calibri"/>
        <family val="2"/>
        <charset val="1"/>
      </rPr>
      <t xml:space="preserve">UI</t>
    </r>
    <r>
      <rPr>
        <sz val="11"/>
        <color theme="1"/>
        <rFont val="Noto Sans SC"/>
        <family val="2"/>
        <charset val="134"/>
      </rPr>
      <t xml:space="preserve">排布位置并在文档中说明保留标准</t>
    </r>
    <r>
      <rPr>
        <sz val="11"/>
        <color theme="1"/>
        <rFont val="Calibri"/>
        <family val="2"/>
        <charset val="1"/>
      </rPr>
      <t xml:space="preserve">UI</t>
    </r>
    <r>
      <rPr>
        <sz val="11"/>
        <color theme="1"/>
        <rFont val="Noto Sans SC"/>
        <family val="2"/>
        <charset val="134"/>
      </rPr>
      <t xml:space="preserve">框架即可</t>
    </r>
  </si>
  <si>
    <t xml:space="preserve">二、赔付机制</t>
  </si>
  <si>
    <r>
      <rPr>
        <sz val="11"/>
        <color theme="1"/>
        <rFont val="Calibri"/>
        <family val="2"/>
        <charset val="1"/>
      </rPr>
      <t xml:space="preserve">Super Niubi</t>
    </r>
    <r>
      <rPr>
        <sz val="11"/>
        <color theme="1"/>
        <rFont val="Noto Sans SC"/>
        <family val="2"/>
        <charset val="134"/>
      </rPr>
      <t xml:space="preserve">的赔付机制理论上是</t>
    </r>
    <r>
      <rPr>
        <sz val="11"/>
        <color theme="1"/>
        <rFont val="Calibri"/>
        <family val="2"/>
        <charset val="1"/>
      </rPr>
      <t xml:space="preserve">Line Slot</t>
    </r>
    <r>
      <rPr>
        <sz val="11"/>
        <color theme="1"/>
        <rFont val="Noto Sans SC"/>
        <family val="2"/>
        <charset val="134"/>
      </rPr>
      <t xml:space="preserve">，但是因为只有一行，所以硬要说他是</t>
    </r>
    <r>
      <rPr>
        <sz val="11"/>
        <color theme="1"/>
        <rFont val="Calibri"/>
        <family val="2"/>
        <charset val="1"/>
      </rPr>
      <t xml:space="preserve">Ways</t>
    </r>
    <r>
      <rPr>
        <sz val="11"/>
        <color theme="1"/>
        <rFont val="Noto Sans SC"/>
        <family val="2"/>
        <charset val="134"/>
      </rPr>
      <t xml:space="preserve">类型也</t>
    </r>
    <r>
      <rPr>
        <sz val="11"/>
        <color theme="1"/>
        <rFont val="Calibri"/>
        <family val="2"/>
        <charset val="1"/>
      </rPr>
      <t xml:space="preserve">OK</t>
    </r>
    <r>
      <rPr>
        <sz val="11"/>
        <color theme="1"/>
        <rFont val="Noto Sans SC"/>
        <family val="2"/>
        <charset val="134"/>
      </rPr>
      <t xml:space="preserve">，为了避免歧义，文档中一般会列举出</t>
    </r>
    <r>
      <rPr>
        <sz val="11"/>
        <color theme="1"/>
        <rFont val="Calibri"/>
        <family val="2"/>
        <charset val="1"/>
      </rPr>
      <t xml:space="preserve">Slot</t>
    </r>
    <r>
      <rPr>
        <sz val="11"/>
        <color theme="1"/>
        <rFont val="Noto Sans SC"/>
        <family val="2"/>
        <charset val="134"/>
      </rPr>
      <t xml:space="preserve">的赔付计算公式，并对公式中的各部分进行解释和举例</t>
    </r>
  </si>
  <si>
    <t xml:space="preserve">这部分更重要的是讲解如何赔付，例如不同中奖组合对应的赔付倍数是多少、下注额是否需要除以中奖线、各个图标出现的几率是多少并且如何进行配置等等</t>
  </si>
  <si>
    <t xml:space="preserve">三、摇奖流程</t>
  </si>
  <si>
    <t xml:space="preserve">这个部分就是把游戏的动作进行拆解描述，主要目的就是让前端开发能够了解这个游戏需要做成什么样子</t>
  </si>
  <si>
    <t xml:space="preserve">例如点击摇奖后是否有开始摇奖的音效、三列卷轴是同时开始转动还是分步开始转动、卷轴转动的时间是否是固定的、是否存在大额中奖动画等等细节</t>
  </si>
  <si>
    <t xml:space="preserve">很多设计上的细节直接决定玩法的体验是否流畅，所以在撰写和验收过程中一定要保证玩家体验能够达到预期水平</t>
  </si>
  <si>
    <t xml:space="preserve">还是要强调一些，线上很多需求文档的撰写标准和攻略，其中技术性的点是很好用的，但是一些结构上的规范并不一定适用于你所在团队的要求。新入职时非常建议阅读之前的需求文档并和相关同学沟通，看需求文档需要提供哪些内容的信息。例如之前就有团队要求统一办公软件，就很好地规避了导出的原型图和脑图（重灾区）用其他软件打不开的情况</t>
  </si>
  <si>
    <r>
      <rPr>
        <sz val="11"/>
        <color theme="1"/>
        <rFont val="Calibri"/>
        <family val="2"/>
        <charset val="1"/>
      </rPr>
      <t xml:space="preserve">3. </t>
    </r>
    <r>
      <rPr>
        <sz val="11"/>
        <color theme="1"/>
        <rFont val="Noto Sans SC"/>
        <family val="2"/>
        <charset val="134"/>
      </rPr>
      <t xml:space="preserve">数值设计和验证</t>
    </r>
  </si>
  <si>
    <t xml:space="preserve">机制确定下来后就可以开始数值体系的搭建了。在这个过程中需要和后端开发和相关策划同学沟通好后台的配置项目，方便线上跟进和调整</t>
  </si>
  <si>
    <t xml:space="preserve">在本玩法中需要配置的内容主要是图标概率和下注额配置，如果产品本身有周边系统例如破产补助等等，也需要添加对应的后台配置</t>
  </si>
  <si>
    <r>
      <rPr>
        <sz val="11"/>
        <color theme="1"/>
        <rFont val="Noto Sans SC"/>
        <family val="2"/>
        <charset val="134"/>
      </rPr>
      <t xml:space="preserve">在游戏体验方面，</t>
    </r>
    <r>
      <rPr>
        <sz val="11"/>
        <color theme="1"/>
        <rFont val="Calibri"/>
        <family val="2"/>
        <charset val="1"/>
      </rPr>
      <t xml:space="preserve">3-1</t>
    </r>
    <r>
      <rPr>
        <sz val="11"/>
        <color theme="1"/>
        <rFont val="Noto Sans SC"/>
        <family val="2"/>
        <charset val="134"/>
      </rPr>
      <t xml:space="preserve">的</t>
    </r>
    <r>
      <rPr>
        <sz val="11"/>
        <color theme="1"/>
        <rFont val="Calibri"/>
        <family val="2"/>
        <charset val="1"/>
      </rPr>
      <t xml:space="preserve">Classic Slot</t>
    </r>
    <r>
      <rPr>
        <sz val="11"/>
        <color theme="1"/>
        <rFont val="Noto Sans SC"/>
        <family val="2"/>
        <charset val="134"/>
      </rPr>
      <t xml:space="preserve">一般在</t>
    </r>
    <r>
      <rPr>
        <sz val="11"/>
        <color theme="1"/>
        <rFont val="Calibri"/>
        <family val="2"/>
        <charset val="1"/>
      </rPr>
      <t xml:space="preserve">5~7%</t>
    </r>
    <r>
      <rPr>
        <sz val="11"/>
        <color theme="1"/>
        <rFont val="Noto Sans SC"/>
        <family val="2"/>
        <charset val="134"/>
      </rPr>
      <t xml:space="preserve">之间的中奖率、</t>
    </r>
    <r>
      <rPr>
        <sz val="11"/>
        <color theme="1"/>
        <rFont val="Calibri"/>
        <family val="2"/>
        <charset val="1"/>
      </rPr>
      <t xml:space="preserve">95%~97%</t>
    </r>
    <r>
      <rPr>
        <sz val="11"/>
        <color theme="1"/>
        <rFont val="Noto Sans SC"/>
        <family val="2"/>
        <charset val="134"/>
      </rPr>
      <t xml:space="preserve">之间的</t>
    </r>
    <r>
      <rPr>
        <sz val="11"/>
        <color theme="1"/>
        <rFont val="Calibri"/>
        <family val="2"/>
        <charset val="1"/>
      </rPr>
      <t xml:space="preserve">RTP</t>
    </r>
    <r>
      <rPr>
        <sz val="11"/>
        <color theme="1"/>
        <rFont val="Noto Sans SC"/>
        <family val="2"/>
        <charset val="134"/>
      </rPr>
      <t xml:space="preserve">体验相对就比较好了</t>
    </r>
  </si>
  <si>
    <r>
      <rPr>
        <sz val="11"/>
        <color theme="1"/>
        <rFont val="Noto Sans SC"/>
        <family val="2"/>
        <charset val="134"/>
      </rPr>
      <t xml:space="preserve">另外注意大额赔付中奖组合和各个图标的</t>
    </r>
    <r>
      <rPr>
        <sz val="11"/>
        <color theme="1"/>
        <rFont val="Calibri"/>
        <family val="2"/>
        <charset val="1"/>
      </rPr>
      <t xml:space="preserve">Hit Frequency</t>
    </r>
    <r>
      <rPr>
        <sz val="11"/>
        <color theme="1"/>
        <rFont val="Noto Sans SC"/>
        <family val="2"/>
        <charset val="134"/>
      </rPr>
      <t xml:space="preserve">不要太低即可。单一图标长期不出现，很容易导致玩家对游戏公平性的怀疑</t>
    </r>
  </si>
  <si>
    <r>
      <rPr>
        <sz val="11"/>
        <color theme="1"/>
        <rFont val="Noto Sans SC"/>
        <family val="2"/>
        <charset val="134"/>
      </rPr>
      <t xml:space="preserve">按照之前文章中介绍过的搭建步骤，首先在</t>
    </r>
    <r>
      <rPr>
        <sz val="11"/>
        <color theme="1"/>
        <rFont val="Calibri"/>
        <family val="2"/>
        <charset val="1"/>
      </rPr>
      <t xml:space="preserve">Excel</t>
    </r>
    <r>
      <rPr>
        <sz val="11"/>
        <color theme="1"/>
        <rFont val="Noto Sans SC"/>
        <family val="2"/>
        <charset val="134"/>
      </rPr>
      <t xml:space="preserve">中列各图标的配置几率和以配置几率计算得到的计算几率，方便后续调整</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</si>
  <si>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649393400-04.jpg</t>
    </r>
  </si>
  <si>
    <t xml:space="preserve">接下来使用中奖组合中对应的图标在三列的出现几率相乘就能得到该中奖组合的出现几率了，再和赔付倍数相乘，就得到了该中奖组合的返奖期望</t>
  </si>
  <si>
    <r>
      <rPr>
        <sz val="11"/>
        <color theme="1"/>
        <rFont val="Noto Sans SC"/>
        <family val="2"/>
        <charset val="134"/>
      </rPr>
      <t xml:space="preserve">最后再把所有中奖组合的返奖期望求和，即可得到该玩法的</t>
    </r>
    <r>
      <rPr>
        <sz val="11"/>
        <color theme="1"/>
        <rFont val="Calibri"/>
        <family val="2"/>
        <charset val="1"/>
      </rPr>
      <t xml:space="preserve">RTP</t>
    </r>
    <r>
      <rPr>
        <sz val="11"/>
        <color theme="1"/>
        <rFont val="Noto Sans SC"/>
        <family val="2"/>
        <charset val="134"/>
      </rPr>
      <t xml:space="preserve">。经过调试个图标的出现几率之后，得到最终</t>
    </r>
    <r>
      <rPr>
        <sz val="11"/>
        <color theme="1"/>
        <rFont val="Calibri"/>
        <family val="2"/>
        <charset val="1"/>
      </rPr>
      <t xml:space="preserve">RTP</t>
    </r>
    <r>
      <rPr>
        <sz val="11"/>
        <color theme="1"/>
        <rFont val="Noto Sans SC"/>
        <family val="2"/>
        <charset val="134"/>
      </rPr>
      <t xml:space="preserve">在</t>
    </r>
    <r>
      <rPr>
        <sz val="11"/>
        <color theme="1"/>
        <rFont val="Calibri"/>
        <family val="2"/>
        <charset val="1"/>
      </rPr>
      <t xml:space="preserve">96.51%</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</si>
  <si>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649393400-05.jpg</t>
    </r>
  </si>
  <si>
    <r>
      <rPr>
        <sz val="11"/>
        <color theme="1"/>
        <rFont val="Noto Sans SC"/>
        <family val="2"/>
        <charset val="134"/>
      </rPr>
      <t xml:space="preserve">因为</t>
    </r>
    <r>
      <rPr>
        <sz val="11"/>
        <color theme="1"/>
        <rFont val="Calibri"/>
        <family val="2"/>
        <charset val="1"/>
      </rPr>
      <t xml:space="preserve">Super Niubi</t>
    </r>
    <r>
      <rPr>
        <sz val="11"/>
        <color theme="1"/>
        <rFont val="Noto Sans SC"/>
        <family val="2"/>
        <charset val="134"/>
      </rPr>
      <t xml:space="preserve">的中奖组合数量相对比较少，并且该玩法存在</t>
    </r>
    <r>
      <rPr>
        <sz val="11"/>
        <color theme="1"/>
        <rFont val="Calibri"/>
        <family val="2"/>
        <charset val="1"/>
      </rPr>
      <t xml:space="preserve">Mix</t>
    </r>
    <r>
      <rPr>
        <sz val="11"/>
        <color theme="1"/>
        <rFont val="Noto Sans SC"/>
        <family val="2"/>
        <charset val="134"/>
      </rPr>
      <t xml:space="preserve">和</t>
    </r>
    <r>
      <rPr>
        <sz val="11"/>
        <color theme="1"/>
        <rFont val="Calibri"/>
        <family val="2"/>
        <charset val="1"/>
      </rPr>
      <t xml:space="preserve">Match Feature</t>
    </r>
    <r>
      <rPr>
        <sz val="11"/>
        <color theme="1"/>
        <rFont val="Noto Sans SC"/>
        <family val="2"/>
        <charset val="134"/>
      </rPr>
      <t xml:space="preserve">，这里使用穷举法能够减少计算过程中出现差错的几率</t>
    </r>
  </si>
  <si>
    <r>
      <rPr>
        <sz val="11"/>
        <color theme="1"/>
        <rFont val="Noto Sans SC"/>
        <family val="2"/>
        <charset val="134"/>
      </rPr>
      <t xml:space="preserve">列举中奖组合时，使用</t>
    </r>
    <r>
      <rPr>
        <sz val="11"/>
        <color theme="1"/>
        <rFont val="Calibri"/>
        <family val="2"/>
        <charset val="1"/>
      </rPr>
      <t xml:space="preserve">Excel</t>
    </r>
    <r>
      <rPr>
        <sz val="11"/>
        <color theme="1"/>
        <rFont val="Noto Sans SC"/>
        <family val="2"/>
        <charset val="134"/>
      </rPr>
      <t xml:space="preserve">的高亮重复项功能，即可保证列出的 </t>
    </r>
    <r>
      <rPr>
        <sz val="11"/>
        <color theme="1"/>
        <rFont val="Calibri"/>
        <family val="2"/>
        <charset val="1"/>
      </rPr>
      <t xml:space="preserve">4^3 = 64</t>
    </r>
    <r>
      <rPr>
        <sz val="11"/>
        <color theme="1"/>
        <rFont val="Noto Sans SC"/>
        <family val="2"/>
        <charset val="134"/>
      </rPr>
      <t xml:space="preserve">中中奖组合中没有重复和错漏现象</t>
    </r>
  </si>
  <si>
    <r>
      <rPr>
        <sz val="11"/>
        <color theme="1"/>
        <rFont val="Noto Sans SC"/>
        <family val="2"/>
        <charset val="134"/>
      </rPr>
      <t xml:space="preserve">经过初步的调整之后，将</t>
    </r>
    <r>
      <rPr>
        <sz val="11"/>
        <color theme="1"/>
        <rFont val="Calibri"/>
        <family val="2"/>
        <charset val="1"/>
      </rPr>
      <t xml:space="preserve">Slot</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控制在了</t>
    </r>
    <r>
      <rPr>
        <sz val="11"/>
        <color theme="1"/>
        <rFont val="Calibri"/>
        <family val="2"/>
        <charset val="1"/>
      </rPr>
      <t xml:space="preserve">96.51%</t>
    </r>
    <r>
      <rPr>
        <sz val="11"/>
        <color theme="1"/>
        <rFont val="Noto Sans SC"/>
        <family val="2"/>
        <charset val="134"/>
      </rPr>
      <t xml:space="preserve">，但是此时的游戏体验并不一定是最佳状况，此时就需要对具体的各个项目进行确认</t>
    </r>
  </si>
  <si>
    <t xml:space="preserve">本例子中，上述这一套数值，三列出现相同图标的期望轮次分别如下：</t>
  </si>
  <si>
    <t xml:space="preserve">{Purple Bull, Purple Bull, Purple Bull,}: 1 in 645 spins</t>
  </si>
  <si>
    <t xml:space="preserve">{Golden Bull, Golden Bull, Golden Bull,}: 1 in 1116 spins</t>
  </si>
  <si>
    <r>
      <rPr>
        <sz val="11"/>
        <color theme="1"/>
        <rFont val="Calibri"/>
        <family val="2"/>
        <charset val="1"/>
      </rPr>
      <t xml:space="preserve">{Red Bull, Red Bull, Red Bull,</t>
    </r>
    <r>
      <rPr>
        <sz val="11"/>
        <color theme="1"/>
        <rFont val="Noto Sans SC"/>
        <family val="2"/>
        <charset val="134"/>
      </rPr>
      <t xml:space="preserve">｝</t>
    </r>
    <r>
      <rPr>
        <sz val="11"/>
        <color theme="1"/>
        <rFont val="Calibri"/>
        <family val="2"/>
        <charset val="1"/>
      </rPr>
      <t xml:space="preserve">: 1 in 1924 spins</t>
    </r>
  </si>
  <si>
    <t xml:space="preserve">{Green Bull, Green Bull, Green Bull, }: 1 in 3325 spins</t>
  </si>
  <si>
    <t xml:space="preserve">这样子体验下来，高倍奖励的出现次数明显不够</t>
  </si>
  <si>
    <r>
      <rPr>
        <sz val="11"/>
        <color theme="1"/>
        <rFont val="Noto Sans SC"/>
        <family val="2"/>
        <charset val="134"/>
      </rPr>
      <t xml:space="preserve">以</t>
    </r>
    <r>
      <rPr>
        <sz val="11"/>
        <color theme="1"/>
        <rFont val="Calibri"/>
        <family val="2"/>
        <charset val="1"/>
      </rPr>
      <t xml:space="preserve">Line Slot</t>
    </r>
    <r>
      <rPr>
        <sz val="11"/>
        <color theme="1"/>
        <rFont val="Noto Sans SC"/>
        <family val="2"/>
        <charset val="134"/>
      </rPr>
      <t xml:space="preserve">为例，一般情况下</t>
    </r>
    <r>
      <rPr>
        <sz val="11"/>
        <color theme="1"/>
        <rFont val="Calibri"/>
        <family val="2"/>
        <charset val="1"/>
      </rPr>
      <t xml:space="preserve">Free Game</t>
    </r>
    <r>
      <rPr>
        <sz val="11"/>
        <color theme="1"/>
        <rFont val="Noto Sans SC"/>
        <family val="2"/>
        <charset val="134"/>
      </rPr>
      <t xml:space="preserve">等</t>
    </r>
    <r>
      <rPr>
        <sz val="11"/>
        <color theme="1"/>
        <rFont val="Calibri"/>
        <family val="2"/>
        <charset val="1"/>
      </rPr>
      <t xml:space="preserve">Feature</t>
    </r>
    <r>
      <rPr>
        <sz val="11"/>
        <color theme="1"/>
        <rFont val="Noto Sans SC"/>
        <family val="2"/>
        <charset val="134"/>
      </rPr>
      <t xml:space="preserve">的</t>
    </r>
    <r>
      <rPr>
        <sz val="11"/>
        <color theme="1"/>
        <rFont val="Calibri"/>
        <family val="2"/>
        <charset val="1"/>
      </rPr>
      <t xml:space="preserve">Hit Frequency</t>
    </r>
    <r>
      <rPr>
        <sz val="11"/>
        <color theme="1"/>
        <rFont val="Noto Sans SC"/>
        <family val="2"/>
        <charset val="134"/>
      </rPr>
      <t xml:space="preserve">控制在 </t>
    </r>
    <r>
      <rPr>
        <sz val="11"/>
        <color theme="1"/>
        <rFont val="Calibri"/>
        <family val="2"/>
        <charset val="1"/>
      </rPr>
      <t xml:space="preserve">1 in 200~500 spins</t>
    </r>
    <r>
      <rPr>
        <sz val="11"/>
        <color theme="1"/>
        <rFont val="Noto Sans SC"/>
        <family val="2"/>
        <charset val="134"/>
      </rPr>
      <t xml:space="preserve">体验上是比较好的（具体次数可以依据玩法定位和摇奖速度进行调整）</t>
    </r>
  </si>
  <si>
    <r>
      <rPr>
        <sz val="11"/>
        <color theme="1"/>
        <rFont val="Noto Sans SC"/>
        <family val="2"/>
        <charset val="134"/>
      </rPr>
      <t xml:space="preserve">因此当前数值虽然整体</t>
    </r>
    <r>
      <rPr>
        <sz val="11"/>
        <color theme="1"/>
        <rFont val="Calibri"/>
        <family val="2"/>
        <charset val="1"/>
      </rPr>
      <t xml:space="preserve">RTP</t>
    </r>
    <r>
      <rPr>
        <sz val="11"/>
        <color theme="1"/>
        <rFont val="Noto Sans SC"/>
        <family val="2"/>
        <charset val="134"/>
      </rPr>
      <t xml:space="preserve">在合理区间内，但是体验上存在比较大的问题，</t>
    </r>
    <r>
      <rPr>
        <sz val="11"/>
        <color theme="1"/>
        <rFont val="Calibri"/>
        <family val="2"/>
        <charset val="1"/>
      </rPr>
      <t xml:space="preserve">28</t>
    </r>
    <r>
      <rPr>
        <sz val="11"/>
        <color theme="1"/>
        <rFont val="Noto Sans SC"/>
        <family val="2"/>
        <charset val="134"/>
      </rPr>
      <t xml:space="preserve">倍的赔付奖励需要尽量控制在</t>
    </r>
    <r>
      <rPr>
        <sz val="11"/>
        <color theme="1"/>
        <rFont val="Calibri"/>
        <family val="2"/>
        <charset val="1"/>
      </rPr>
      <t xml:space="preserve">50 ~ 200 spins</t>
    </r>
    <r>
      <rPr>
        <sz val="11"/>
        <color theme="1"/>
        <rFont val="Noto Sans SC"/>
        <family val="2"/>
        <charset val="134"/>
      </rPr>
      <t xml:space="preserve">之间</t>
    </r>
  </si>
  <si>
    <r>
      <rPr>
        <sz val="11"/>
        <color theme="1"/>
        <rFont val="Noto Sans SC"/>
        <family val="2"/>
        <charset val="134"/>
      </rPr>
      <t xml:space="preserve">在调整之后得到如下图标出现几率，最终的</t>
    </r>
    <r>
      <rPr>
        <sz val="11"/>
        <color theme="1"/>
        <rFont val="Calibri"/>
        <family val="2"/>
        <charset val="1"/>
      </rPr>
      <t xml:space="preserve">RTP</t>
    </r>
    <r>
      <rPr>
        <sz val="11"/>
        <color theme="1"/>
        <rFont val="Noto Sans SC"/>
        <family val="2"/>
        <charset val="134"/>
      </rPr>
      <t xml:space="preserve">为</t>
    </r>
    <r>
      <rPr>
        <sz val="11"/>
        <color theme="1"/>
        <rFont val="Calibri"/>
        <family val="2"/>
        <charset val="1"/>
      </rPr>
      <t xml:space="preserve">96.64%</t>
    </r>
    <r>
      <rPr>
        <sz val="11"/>
        <color theme="1"/>
        <rFont val="Noto Sans SC"/>
        <family val="2"/>
        <charset val="134"/>
      </rPr>
      <t xml:space="preserve">，并且在</t>
    </r>
    <r>
      <rPr>
        <sz val="11"/>
        <color theme="1"/>
        <rFont val="Calibri"/>
        <family val="2"/>
        <charset val="1"/>
      </rPr>
      <t xml:space="preserve">100</t>
    </r>
    <r>
      <rPr>
        <sz val="11"/>
        <color theme="1"/>
        <rFont val="Noto Sans SC"/>
        <family val="2"/>
        <charset val="134"/>
      </rPr>
      <t xml:space="preserve">局左右能够触发一次大额奖项</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</si>
  <si>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649393400-06.jpg</t>
    </r>
  </si>
  <si>
    <r>
      <rPr>
        <sz val="11"/>
        <color theme="1"/>
        <rFont val="Noto Sans SC"/>
        <family val="2"/>
        <charset val="134"/>
      </rPr>
      <t xml:space="preserve">下一步就是使用跑数据工具对玩法进行模拟，得到更多数据项目。例如方差、标准差、中奖率、</t>
    </r>
    <r>
      <rPr>
        <sz val="11"/>
        <color theme="1"/>
        <rFont val="Calibri"/>
        <family val="2"/>
        <charset val="1"/>
      </rPr>
      <t xml:space="preserve">SRP</t>
    </r>
    <r>
      <rPr>
        <sz val="11"/>
        <color theme="1"/>
        <rFont val="Noto Sans SC"/>
        <family val="2"/>
        <charset val="134"/>
      </rPr>
      <t xml:space="preserve">等等，在</t>
    </r>
    <r>
      <rPr>
        <sz val="11"/>
        <color theme="1"/>
        <rFont val="Calibri"/>
        <family val="2"/>
        <charset val="1"/>
      </rPr>
      <t xml:space="preserve">Demo</t>
    </r>
    <r>
      <rPr>
        <sz val="11"/>
        <color theme="1"/>
        <rFont val="Noto Sans SC"/>
        <family val="2"/>
        <charset val="134"/>
      </rPr>
      <t xml:space="preserve">完成前推算出体验最好的一套数值，同时对数值进行验证，确保没有出现错漏项目</t>
    </r>
  </si>
  <si>
    <r>
      <rPr>
        <sz val="11"/>
        <color theme="1"/>
        <rFont val="Noto Sans SC"/>
        <family val="2"/>
        <charset val="134"/>
      </rPr>
      <t xml:space="preserve">这里使用的是</t>
    </r>
    <r>
      <rPr>
        <sz val="11"/>
        <color theme="1"/>
        <rFont val="Calibri"/>
        <family val="2"/>
        <charset val="1"/>
      </rPr>
      <t xml:space="preserve">Python</t>
    </r>
    <r>
      <rPr>
        <sz val="11"/>
        <color theme="1"/>
        <rFont val="Noto Sans SC"/>
        <family val="2"/>
        <charset val="134"/>
      </rPr>
      <t xml:space="preserve">和</t>
    </r>
    <r>
      <rPr>
        <sz val="11"/>
        <color theme="1"/>
        <rFont val="Calibri"/>
        <family val="2"/>
        <charset val="1"/>
      </rPr>
      <t xml:space="preserve">C#</t>
    </r>
    <r>
      <rPr>
        <sz val="11"/>
        <color theme="1"/>
        <rFont val="Noto Sans SC"/>
        <family val="2"/>
        <charset val="134"/>
      </rPr>
      <t xml:space="preserve">两种方法对数据进行模拟，最终得到</t>
    </r>
    <r>
      <rPr>
        <sz val="11"/>
        <color theme="1"/>
        <rFont val="Calibri"/>
        <family val="2"/>
        <charset val="1"/>
      </rPr>
      <t xml:space="preserve">SRP</t>
    </r>
    <r>
      <rPr>
        <sz val="11"/>
        <color theme="1"/>
        <rFont val="Noto Sans SC"/>
        <family val="2"/>
        <charset val="134"/>
      </rPr>
      <t xml:space="preserve">分别为</t>
    </r>
    <r>
      <rPr>
        <sz val="11"/>
        <color theme="1"/>
        <rFont val="Calibri"/>
        <family val="2"/>
        <charset val="1"/>
      </rPr>
      <t xml:space="preserve">96.42%</t>
    </r>
    <r>
      <rPr>
        <sz val="11"/>
        <color theme="1"/>
        <rFont val="Noto Sans SC"/>
        <family val="2"/>
        <charset val="134"/>
      </rPr>
      <t xml:space="preserve">和</t>
    </r>
    <r>
      <rPr>
        <sz val="11"/>
        <color theme="1"/>
        <rFont val="Calibri"/>
        <family val="2"/>
        <charset val="1"/>
      </rPr>
      <t xml:space="preserve">96.77%</t>
    </r>
    <r>
      <rPr>
        <sz val="11"/>
        <color theme="1"/>
        <rFont val="Noto Sans SC"/>
        <family val="2"/>
        <charset val="134"/>
      </rPr>
      <t xml:space="preserve">，和计算得到的</t>
    </r>
    <r>
      <rPr>
        <sz val="11"/>
        <color theme="1"/>
        <rFont val="Calibri"/>
        <family val="2"/>
        <charset val="1"/>
      </rPr>
      <t xml:space="preserve">RTP</t>
    </r>
    <r>
      <rPr>
        <sz val="11"/>
        <color theme="1"/>
        <rFont val="Noto Sans SC"/>
        <family val="2"/>
        <charset val="134"/>
      </rPr>
      <t xml:space="preserve">基本一致，可以确定数据无异常</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</si>
  <si>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649393400-07.jpg</t>
    </r>
  </si>
  <si>
    <r>
      <rPr>
        <sz val="11"/>
        <color theme="1"/>
        <rFont val="Noto Sans SC"/>
        <family val="2"/>
        <charset val="134"/>
      </rPr>
      <t xml:space="preserve">这里仅导出了</t>
    </r>
    <r>
      <rPr>
        <sz val="11"/>
        <color theme="1"/>
        <rFont val="Calibri"/>
        <family val="2"/>
        <charset val="1"/>
      </rPr>
      <t xml:space="preserve">SRP</t>
    </r>
    <r>
      <rPr>
        <sz val="11"/>
        <color theme="1"/>
        <rFont val="Noto Sans SC"/>
        <family val="2"/>
        <charset val="134"/>
      </rPr>
      <t xml:space="preserve">和中奖率，两者都在合理范围之内，如果需要更多信息，在代码中进行调整即可</t>
    </r>
  </si>
  <si>
    <t xml:space="preserve">截止目前，该玩法的策划步骤基本上就完成了</t>
  </si>
  <si>
    <r>
      <rPr>
        <sz val="11"/>
        <color theme="1"/>
        <rFont val="Calibri"/>
        <family val="2"/>
        <charset val="1"/>
      </rPr>
      <t xml:space="preserve">4. </t>
    </r>
    <r>
      <rPr>
        <sz val="11"/>
        <color theme="1"/>
        <rFont val="Noto Sans SC"/>
        <family val="2"/>
        <charset val="134"/>
      </rPr>
      <t xml:space="preserve">验收和测试</t>
    </r>
  </si>
  <si>
    <t xml:space="preserve">我之前待过的部分团队并没有策划验收这个步骤，或者是策划验收步骤的时间只有上线前的一两天。当然这个是公司的安排，个人很难去改变，但是如果希望出现的效果和预期相符，个人还是建议能够在开发过程中增加效果确认的步骤</t>
  </si>
  <si>
    <t xml:space="preserve">验收的标准就是之前的需求文档和数值策划方法，一方面核对前端展示是否一致、后台配置是否及时生效、数据统计是否正确，另一方面验收游戏体验和数值策划预期是否一致</t>
  </si>
  <si>
    <t xml:space="preserve">如果检查通过，该玩法基本上就不会有什么大问题了</t>
  </si>
  <si>
    <t xml:space="preserve">写在最后</t>
  </si>
  <si>
    <r>
      <rPr>
        <sz val="11"/>
        <color theme="1"/>
        <rFont val="Calibri"/>
        <family val="2"/>
        <charset val="1"/>
      </rPr>
      <t xml:space="preserve">Super Niubi</t>
    </r>
    <r>
      <rPr>
        <sz val="11"/>
        <color theme="1"/>
        <rFont val="Noto Sans SC"/>
        <family val="2"/>
        <charset val="134"/>
      </rPr>
      <t xml:space="preserve">这个玩法在机制设置上其实并不是最优解，例如玩法中</t>
    </r>
    <r>
      <rPr>
        <sz val="11"/>
        <color theme="1"/>
        <rFont val="Calibri"/>
        <family val="2"/>
        <charset val="1"/>
      </rPr>
      <t xml:space="preserve">Mix Feature</t>
    </r>
    <r>
      <rPr>
        <sz val="11"/>
        <color theme="1"/>
        <rFont val="Noto Sans SC"/>
        <family val="2"/>
        <charset val="134"/>
      </rPr>
      <t xml:space="preserve">的使用，使得所有带有</t>
    </r>
    <r>
      <rPr>
        <sz val="11"/>
        <color theme="1"/>
        <rFont val="Calibri"/>
        <family val="2"/>
        <charset val="1"/>
      </rPr>
      <t xml:space="preserve">Purple Bull</t>
    </r>
    <r>
      <rPr>
        <sz val="11"/>
        <color theme="1"/>
        <rFont val="Noto Sans SC"/>
        <family val="2"/>
        <charset val="134"/>
      </rPr>
      <t xml:space="preserve">的中奖组合赔付倍数都比不带该图标的组合高出</t>
    </r>
    <r>
      <rPr>
        <sz val="11"/>
        <color theme="1"/>
        <rFont val="Calibri"/>
        <family val="2"/>
        <charset val="1"/>
      </rPr>
      <t xml:space="preserve">10</t>
    </r>
    <r>
      <rPr>
        <sz val="11"/>
        <color theme="1"/>
        <rFont val="Noto Sans SC"/>
        <family val="2"/>
        <charset val="134"/>
      </rPr>
      <t xml:space="preserve">倍。这样的话为了控制发放就不得不大幅减少</t>
    </r>
    <r>
      <rPr>
        <sz val="11"/>
        <color theme="1"/>
        <rFont val="Calibri"/>
        <family val="2"/>
        <charset val="1"/>
      </rPr>
      <t xml:space="preserve">Purple</t>
    </r>
    <r>
      <rPr>
        <sz val="11"/>
        <color theme="1"/>
        <rFont val="Noto Sans SC"/>
        <family val="2"/>
        <charset val="134"/>
      </rPr>
      <t xml:space="preserve">图标的出现几率，从玩家体验上说该图标的出现几率会非常明显的更低，这样上线之后必定会导致玩家对玩法公平性的怀疑</t>
    </r>
  </si>
  <si>
    <r>
      <rPr>
        <sz val="11"/>
        <color theme="1"/>
        <rFont val="Noto Sans SC"/>
        <family val="2"/>
        <charset val="134"/>
      </rPr>
      <t xml:space="preserve">所以类似该玩法的其他线上玩法中，不少玩法都删除了</t>
    </r>
    <r>
      <rPr>
        <sz val="11"/>
        <color theme="1"/>
        <rFont val="Calibri"/>
        <family val="2"/>
        <charset val="1"/>
      </rPr>
      <t xml:space="preserve">Mix Feature</t>
    </r>
    <r>
      <rPr>
        <sz val="11"/>
        <color theme="1"/>
        <rFont val="Noto Sans SC"/>
        <family val="2"/>
        <charset val="134"/>
      </rPr>
      <t xml:space="preserve">中的</t>
    </r>
    <r>
      <rPr>
        <sz val="11"/>
        <color theme="1"/>
        <rFont val="Calibri"/>
        <family val="2"/>
        <charset val="1"/>
      </rPr>
      <t xml:space="preserve">18</t>
    </r>
    <r>
      <rPr>
        <sz val="11"/>
        <color theme="1"/>
        <rFont val="Noto Sans SC"/>
        <family val="2"/>
        <charset val="134"/>
      </rPr>
      <t xml:space="preserve">倍特殊中奖组合或者直接删除</t>
    </r>
    <r>
      <rPr>
        <sz val="11"/>
        <color theme="1"/>
        <rFont val="Calibri"/>
        <family val="2"/>
        <charset val="1"/>
      </rPr>
      <t xml:space="preserve">Purple Bull</t>
    </r>
    <r>
      <rPr>
        <sz val="11"/>
        <color theme="1"/>
        <rFont val="Noto Sans SC"/>
        <family val="2"/>
        <charset val="134"/>
      </rPr>
      <t xml:space="preserve">图标，这样子就能够将大额倍数的奖励控制在</t>
    </r>
    <r>
      <rPr>
        <sz val="11"/>
        <color theme="1"/>
        <rFont val="Calibri"/>
        <family val="2"/>
        <charset val="1"/>
      </rPr>
      <t xml:space="preserve">1000 Spins</t>
    </r>
    <r>
      <rPr>
        <sz val="11"/>
        <color theme="1"/>
        <rFont val="Noto Sans SC"/>
        <family val="2"/>
        <charset val="134"/>
      </rPr>
      <t xml:space="preserve">之内，对玩家的体验来说是很好的优化</t>
    </r>
  </si>
  <si>
    <r>
      <rPr>
        <sz val="11"/>
        <color theme="1"/>
        <rFont val="Noto Sans SC"/>
        <family val="2"/>
        <charset val="134"/>
      </rPr>
      <t xml:space="preserve">延伸来看，部分</t>
    </r>
    <r>
      <rPr>
        <sz val="11"/>
        <color theme="1"/>
        <rFont val="Calibri"/>
        <family val="2"/>
        <charset val="1"/>
      </rPr>
      <t xml:space="preserve">Slot</t>
    </r>
    <r>
      <rPr>
        <sz val="11"/>
        <color theme="1"/>
        <rFont val="Noto Sans SC"/>
        <family val="2"/>
        <charset val="134"/>
      </rPr>
      <t xml:space="preserve">策划习惯从数学的角度思考，让所有图标的赔付期望都一样，图标赔付倍数差异不大的情况下还好，如果图标倍数相差非常大，那么势必会导致大额图标的出现几率非常低，这对玩法体验和公平性体验上来说损伤是非常大的，在计算时不妨思考一下该玩法是否需要所有图标的赔付期望都相等</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</si>
  <si>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649393400-08.jpg</t>
    </r>
  </si>
  <si>
    <r>
      <rPr>
        <sz val="11"/>
        <color theme="1"/>
        <rFont val="Noto Sans SC"/>
        <family val="2"/>
        <charset val="134"/>
      </rPr>
      <t xml:space="preserve">另外关于大额中奖的</t>
    </r>
    <r>
      <rPr>
        <sz val="11"/>
        <color theme="1"/>
        <rFont val="Calibri"/>
        <family val="2"/>
        <charset val="1"/>
      </rPr>
      <t xml:space="preserve">Hit Frequency</t>
    </r>
    <r>
      <rPr>
        <sz val="11"/>
        <color theme="1"/>
        <rFont val="Noto Sans SC"/>
        <family val="2"/>
        <charset val="134"/>
      </rPr>
      <t xml:space="preserve">的计算，如果是比较标准的</t>
    </r>
    <r>
      <rPr>
        <sz val="11"/>
        <color theme="1"/>
        <rFont val="Calibri"/>
        <family val="2"/>
        <charset val="1"/>
      </rPr>
      <t xml:space="preserve">Slot</t>
    </r>
    <r>
      <rPr>
        <sz val="11"/>
        <color theme="1"/>
        <rFont val="Noto Sans SC"/>
        <family val="2"/>
        <charset val="134"/>
      </rPr>
      <t xml:space="preserve">，免费摇控制在</t>
    </r>
    <r>
      <rPr>
        <sz val="11"/>
        <color theme="1"/>
        <rFont val="Calibri"/>
        <family val="2"/>
        <charset val="1"/>
      </rPr>
      <t xml:space="preserve">100~500 Spins</t>
    </r>
    <r>
      <rPr>
        <sz val="11"/>
        <color theme="1"/>
        <rFont val="Noto Sans SC"/>
        <family val="2"/>
        <charset val="134"/>
      </rPr>
      <t xml:space="preserve">触发一次基本上就不会有太大问题</t>
    </r>
  </si>
  <si>
    <r>
      <rPr>
        <sz val="11"/>
        <color theme="1"/>
        <rFont val="Noto Sans SC"/>
        <family val="2"/>
        <charset val="134"/>
      </rPr>
      <t xml:space="preserve">但如果想要比较精确地算出合理的次数的话，可以使用分配到该返奖上的</t>
    </r>
    <r>
      <rPr>
        <sz val="11"/>
        <color theme="1"/>
        <rFont val="Calibri"/>
        <family val="2"/>
        <charset val="1"/>
      </rPr>
      <t xml:space="preserve">RTP</t>
    </r>
    <r>
      <rPr>
        <sz val="11"/>
        <color theme="1"/>
        <rFont val="Noto Sans SC"/>
        <family val="2"/>
        <charset val="134"/>
      </rPr>
      <t xml:space="preserve">进行推算其合适的</t>
    </r>
    <r>
      <rPr>
        <sz val="11"/>
        <color theme="1"/>
        <rFont val="Calibri"/>
        <family val="2"/>
        <charset val="1"/>
      </rPr>
      <t xml:space="preserve">Hit Frequency</t>
    </r>
  </si>
  <si>
    <r>
      <rPr>
        <b val="true"/>
        <sz val="11"/>
        <rFont val="Noto Sans SC"/>
        <family val="2"/>
        <charset val="134"/>
      </rPr>
      <t xml:space="preserve">原文配图清单（共 </t>
    </r>
    <r>
      <rPr>
        <b val="true"/>
        <sz val="11"/>
        <rFont val="Cambria"/>
        <family val="0"/>
        <charset val="1"/>
      </rPr>
      <t xml:space="preserve">8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</si>
  <si>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649393400-01.jpg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</si>
  <si>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649393400-02.jpg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</si>
  <si>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649393400-03.jpg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</si>
  <si>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649393400-04.jpg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</si>
  <si>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649393400-05.jpg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</si>
  <si>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649393400-06.jpg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</si>
  <si>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649393400-07.jpg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</si>
  <si>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649393400-08.jpg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</si>
  <si>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</si>
  <si>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</si>
  <si>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</si>
  <si>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</si>
  <si>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</si>
  <si>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</si>
  <si>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实战篇——</t>
    </r>
    <r>
      <rPr>
        <sz val="11"/>
        <color rgb="FF808080"/>
        <rFont val="Cambria"/>
        <family val="0"/>
        <charset val="1"/>
      </rPr>
      <t xml:space="preserve">Super Niubi</t>
    </r>
    <r>
      <rPr>
        <sz val="11"/>
        <color rgb="FF808080"/>
        <rFont val="Noto Sans SC"/>
        <family val="2"/>
        <charset val="134"/>
      </rPr>
      <t xml:space="preserve">》</t>
    </r>
    <r>
      <rPr>
        <sz val="11"/>
        <color rgb="FF808080"/>
        <rFont val="Cambria"/>
        <family val="0"/>
        <charset val="1"/>
      </rPr>
      <t xml:space="preserve">, https://zhuanlan.zhihu.com/p/649393400</t>
    </r>
  </si>
  <si>
    <r>
      <rPr>
        <b val="true"/>
        <sz val="14"/>
        <color rgb="FF1F4E79"/>
        <rFont val="Noto Sans SC"/>
        <family val="2"/>
        <charset val="134"/>
      </rPr>
      <t xml:space="preserve">实战篇 </t>
    </r>
    <r>
      <rPr>
        <b val="true"/>
        <sz val="14"/>
        <color rgb="FF1F4E79"/>
        <rFont val="Cambria"/>
        <family val="0"/>
        <charset val="1"/>
      </rPr>
      <t xml:space="preserve">· Super Niubi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</si>
  <si>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】玩法与图标</t>
    </r>
  </si>
  <si>
    <t xml:space="preserve">项目</t>
  </si>
  <si>
    <t xml:space="preserve">内容</t>
  </si>
  <si>
    <t xml:space="preserve">玩法</t>
  </si>
  <si>
    <r>
      <rPr>
        <sz val="11"/>
        <color theme="1"/>
        <rFont val="Calibri"/>
        <family val="2"/>
        <charset val="1"/>
      </rPr>
      <t xml:space="preserve">3-1 Classic Slot</t>
    </r>
    <r>
      <rPr>
        <sz val="11"/>
        <color theme="1"/>
        <rFont val="Noto Sans SC"/>
        <family val="2"/>
        <charset val="134"/>
      </rPr>
      <t xml:space="preserve">（三列一行）</t>
    </r>
  </si>
  <si>
    <r>
      <rPr>
        <sz val="11"/>
        <color theme="1"/>
        <rFont val="Noto Sans SC"/>
        <family val="2"/>
        <charset val="134"/>
      </rPr>
      <t xml:space="preserve">由 </t>
    </r>
    <r>
      <rPr>
        <sz val="11"/>
        <color theme="1"/>
        <rFont val="Calibri"/>
        <family val="2"/>
        <charset val="1"/>
      </rPr>
      <t xml:space="preserve">JDB </t>
    </r>
    <r>
      <rPr>
        <sz val="11"/>
        <color theme="1"/>
        <rFont val="Noto Sans SC"/>
        <family val="2"/>
        <charset val="134"/>
      </rPr>
      <t xml:space="preserve">于 </t>
    </r>
    <r>
      <rPr>
        <sz val="11"/>
        <color theme="1"/>
        <rFont val="Calibri"/>
        <family val="2"/>
        <charset val="1"/>
      </rPr>
      <t xml:space="preserve">2020-09 </t>
    </r>
    <r>
      <rPr>
        <sz val="11"/>
        <color theme="1"/>
        <rFont val="Noto Sans SC"/>
        <family val="2"/>
        <charset val="134"/>
      </rPr>
      <t xml:space="preserve">上线</t>
    </r>
  </si>
  <si>
    <t xml:space="preserve">图标</t>
  </si>
  <si>
    <r>
      <rPr>
        <sz val="11"/>
        <color theme="1"/>
        <rFont val="Noto Sans SC"/>
        <family val="2"/>
        <charset val="134"/>
      </rPr>
      <t xml:space="preserve">紫牛 </t>
    </r>
    <r>
      <rPr>
        <sz val="11"/>
        <color theme="1"/>
        <rFont val="Calibri"/>
        <family val="2"/>
        <charset val="1"/>
      </rPr>
      <t xml:space="preserve">/ </t>
    </r>
    <r>
      <rPr>
        <sz val="11"/>
        <color theme="1"/>
        <rFont val="Noto Sans SC"/>
        <family val="2"/>
        <charset val="134"/>
      </rPr>
      <t xml:space="preserve">金牛 </t>
    </r>
    <r>
      <rPr>
        <sz val="11"/>
        <color theme="1"/>
        <rFont val="Calibri"/>
        <family val="2"/>
        <charset val="1"/>
      </rPr>
      <t xml:space="preserve">/ </t>
    </r>
    <r>
      <rPr>
        <sz val="11"/>
        <color theme="1"/>
        <rFont val="Noto Sans SC"/>
        <family val="2"/>
        <charset val="134"/>
      </rPr>
      <t xml:space="preserve">红牛 </t>
    </r>
    <r>
      <rPr>
        <sz val="11"/>
        <color theme="1"/>
        <rFont val="Calibri"/>
        <family val="2"/>
        <charset val="1"/>
      </rPr>
      <t xml:space="preserve">/ </t>
    </r>
    <r>
      <rPr>
        <sz val="11"/>
        <color theme="1"/>
        <rFont val="Noto Sans SC"/>
        <family val="2"/>
        <charset val="134"/>
      </rPr>
      <t xml:space="preserve">绿牛 </t>
    </r>
    <r>
      <rPr>
        <sz val="11"/>
        <color theme="1"/>
        <rFont val="Calibri"/>
        <family val="2"/>
        <charset val="1"/>
      </rPr>
      <t xml:space="preserve">/ </t>
    </r>
    <r>
      <rPr>
        <sz val="11"/>
        <color theme="1"/>
        <rFont val="Noto Sans SC"/>
        <family val="2"/>
        <charset val="134"/>
      </rPr>
      <t xml:space="preserve">空白</t>
    </r>
  </si>
  <si>
    <r>
      <rPr>
        <sz val="11"/>
        <color theme="1"/>
        <rFont val="Noto Sans SC"/>
        <family val="2"/>
        <charset val="134"/>
      </rPr>
      <t xml:space="preserve">共 </t>
    </r>
    <r>
      <rPr>
        <sz val="11"/>
        <color theme="1"/>
        <rFont val="Calibri"/>
        <family val="2"/>
        <charset val="1"/>
      </rPr>
      <t xml:space="preserve">5 </t>
    </r>
    <r>
      <rPr>
        <sz val="11"/>
        <color theme="1"/>
        <rFont val="Noto Sans SC"/>
        <family val="2"/>
        <charset val="134"/>
      </rPr>
      <t xml:space="preserve">种</t>
    </r>
  </si>
  <si>
    <t xml:space="preserve">基础中奖</t>
  </si>
  <si>
    <t xml:space="preserve">三列图标均非空白即中奖</t>
  </si>
  <si>
    <t xml:space="preserve">任一列停在空白则不中奖</t>
  </si>
  <si>
    <t xml:space="preserve">Mix Feature</t>
  </si>
  <si>
    <t xml:space="preserve">三列图标不相同也能获得奖励</t>
  </si>
  <si>
    <t xml:space="preserve">有空白则不中</t>
  </si>
  <si>
    <t xml:space="preserve">Match Feature</t>
  </si>
  <si>
    <r>
      <rPr>
        <sz val="11"/>
        <color theme="1"/>
        <rFont val="Noto Sans SC"/>
        <family val="2"/>
        <charset val="134"/>
      </rPr>
      <t xml:space="preserve">三列不完全相同但含紫牛时，倍数 </t>
    </r>
    <r>
      <rPr>
        <sz val="11"/>
        <color theme="1"/>
        <rFont val="Calibri"/>
        <family val="2"/>
        <charset val="1"/>
      </rPr>
      <t xml:space="preserve">8 → 18</t>
    </r>
  </si>
  <si>
    <t xml:space="preserve">原文认为这条设计带来公平性风险</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</si>
  <si>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】实战工作流（原文四步）</t>
    </r>
  </si>
  <si>
    <t xml:space="preserve">步骤</t>
  </si>
  <si>
    <t xml:space="preserve">① 敲定主题与玩法</t>
  </si>
  <si>
    <r>
      <rPr>
        <sz val="11"/>
        <color theme="1"/>
        <rFont val="Noto Sans SC"/>
        <family val="2"/>
        <charset val="134"/>
      </rPr>
      <t xml:space="preserve">看竞品排序与线上榜单（</t>
    </r>
    <r>
      <rPr>
        <sz val="11"/>
        <color theme="1"/>
        <rFont val="Calibri"/>
        <family val="2"/>
        <charset val="1"/>
      </rPr>
      <t xml:space="preserve">Bet </t>
    </r>
    <r>
      <rPr>
        <sz val="11"/>
        <color theme="1"/>
        <rFont val="Noto Sans SC"/>
        <family val="2"/>
        <charset val="134"/>
      </rPr>
      <t xml:space="preserve">榜看总经济、普及度榜看留存）；纯原创机会不多，多为「缝缝改改」</t>
    </r>
  </si>
  <si>
    <r>
      <rPr>
        <sz val="11"/>
        <color theme="1"/>
        <rFont val="Noto Sans SC"/>
        <family val="2"/>
        <charset val="134"/>
      </rPr>
      <t xml:space="preserve">② 机制细化 </t>
    </r>
    <r>
      <rPr>
        <sz val="11"/>
        <color theme="1"/>
        <rFont val="Calibri"/>
        <family val="2"/>
        <charset val="1"/>
      </rPr>
      <t xml:space="preserve">+ </t>
    </r>
    <r>
      <rPr>
        <sz val="11"/>
        <color theme="1"/>
        <rFont val="Noto Sans SC"/>
        <family val="2"/>
        <charset val="134"/>
      </rPr>
      <t xml:space="preserve">需求文档</t>
    </r>
  </si>
  <si>
    <r>
      <rPr>
        <sz val="11"/>
        <color theme="1"/>
        <rFont val="Noto Sans SC"/>
        <family val="2"/>
        <charset val="134"/>
      </rPr>
      <t xml:space="preserve">玩法简介 </t>
    </r>
    <r>
      <rPr>
        <sz val="11"/>
        <color theme="1"/>
        <rFont val="Calibri"/>
        <family val="2"/>
        <charset val="1"/>
      </rPr>
      <t xml:space="preserve">/ </t>
    </r>
    <r>
      <rPr>
        <sz val="11"/>
        <color theme="1"/>
        <rFont val="Noto Sans SC"/>
        <family val="2"/>
        <charset val="134"/>
      </rPr>
      <t xml:space="preserve">赔付机制 </t>
    </r>
    <r>
      <rPr>
        <sz val="11"/>
        <color theme="1"/>
        <rFont val="Calibri"/>
        <family val="2"/>
        <charset val="1"/>
      </rPr>
      <t xml:space="preserve">/ </t>
    </r>
    <r>
      <rPr>
        <sz val="11"/>
        <color theme="1"/>
        <rFont val="Noto Sans SC"/>
        <family val="2"/>
        <charset val="134"/>
      </rPr>
      <t xml:space="preserve">摇奖流程；赔付部分另附系统逻辑、后台配置、数值统计需求</t>
    </r>
  </si>
  <si>
    <t xml:space="preserve">③ 数值设计与验证</t>
  </si>
  <si>
    <r>
      <rPr>
        <sz val="11"/>
        <color theme="1"/>
        <rFont val="Noto Sans SC"/>
        <family val="2"/>
        <charset val="134"/>
      </rPr>
      <t xml:space="preserve">先配图标几率与计算几率 → 组合几率 → 期望 → </t>
    </r>
    <r>
      <rPr>
        <sz val="11"/>
        <color theme="1"/>
        <rFont val="Calibri"/>
        <family val="2"/>
        <charset val="1"/>
      </rPr>
      <t xml:space="preserve">RTP</t>
    </r>
    <r>
      <rPr>
        <sz val="11"/>
        <color theme="1"/>
        <rFont val="Noto Sans SC"/>
        <family val="2"/>
        <charset val="134"/>
      </rPr>
      <t xml:space="preserve">；再核对体验指标；最后跑数据模拟</t>
    </r>
  </si>
  <si>
    <t xml:space="preserve">④ 验收与测试</t>
  </si>
  <si>
    <t xml:space="preserve">核对前端展示、后台配置生效、数据统计；并验收体验是否达到预期</t>
  </si>
  <si>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】图标几率与三连期望轮次（图标几率由原文轮次反推，可改）</t>
    </r>
  </si>
  <si>
    <t xml:space="preserve">出现几率（配置）</t>
  </si>
  <si>
    <r>
      <rPr>
        <b val="true"/>
        <sz val="11"/>
        <color rgb="FF1F4E79"/>
        <rFont val="Noto Sans SC"/>
        <family val="2"/>
        <charset val="134"/>
      </rPr>
      <t xml:space="preserve">三连几率 ＝ </t>
    </r>
    <r>
      <rPr>
        <b val="true"/>
        <sz val="11"/>
        <color rgb="FF1F4E79"/>
        <rFont val="Cambria"/>
        <family val="0"/>
        <charset val="1"/>
      </rPr>
      <t xml:space="preserve">p³</t>
    </r>
  </si>
  <si>
    <r>
      <rPr>
        <b val="true"/>
        <sz val="11"/>
        <color rgb="FF1F4E79"/>
        <rFont val="Noto Sans SC"/>
        <family val="2"/>
        <charset val="134"/>
      </rPr>
      <t xml:space="preserve">期望轮次 ＝ </t>
    </r>
    <r>
      <rPr>
        <b val="true"/>
        <sz val="11"/>
        <color rgb="FF1F4E79"/>
        <rFont val="Cambria"/>
        <family val="0"/>
        <charset val="1"/>
      </rPr>
      <t xml:space="preserve">1/p³</t>
    </r>
  </si>
  <si>
    <t xml:space="preserve">原文轮次</t>
  </si>
  <si>
    <t xml:space="preserve">是否吻合</t>
  </si>
  <si>
    <t xml:space="preserve">赔付倍数（示意）</t>
  </si>
  <si>
    <t xml:space="preserve">三连期望</t>
  </si>
  <si>
    <r>
      <rPr>
        <sz val="11"/>
        <color theme="1"/>
        <rFont val="Noto Sans SC"/>
        <family val="2"/>
        <charset val="134"/>
      </rPr>
      <t xml:space="preserve">紫色牛（</t>
    </r>
    <r>
      <rPr>
        <sz val="11"/>
        <color theme="1"/>
        <rFont val="Calibri"/>
        <family val="2"/>
        <charset val="1"/>
      </rPr>
      <t xml:space="preserve">Purple Bull</t>
    </r>
    <r>
      <rPr>
        <sz val="11"/>
        <color theme="1"/>
        <rFont val="Noto Sans SC"/>
        <family val="2"/>
        <charset val="134"/>
      </rPr>
      <t xml:space="preserve">）</t>
    </r>
  </si>
  <si>
    <r>
      <rPr>
        <sz val="11"/>
        <color theme="1"/>
        <rFont val="Noto Sans SC"/>
        <family val="2"/>
        <charset val="134"/>
      </rPr>
      <t xml:space="preserve">金色牛（</t>
    </r>
    <r>
      <rPr>
        <sz val="11"/>
        <color theme="1"/>
        <rFont val="Calibri"/>
        <family val="2"/>
        <charset val="1"/>
      </rPr>
      <t xml:space="preserve">Golden Bull</t>
    </r>
    <r>
      <rPr>
        <sz val="11"/>
        <color theme="1"/>
        <rFont val="Noto Sans SC"/>
        <family val="2"/>
        <charset val="134"/>
      </rPr>
      <t xml:space="preserve">）</t>
    </r>
  </si>
  <si>
    <r>
      <rPr>
        <sz val="11"/>
        <color theme="1"/>
        <rFont val="Noto Sans SC"/>
        <family val="2"/>
        <charset val="134"/>
      </rPr>
      <t xml:space="preserve">红色牛（</t>
    </r>
    <r>
      <rPr>
        <sz val="11"/>
        <color theme="1"/>
        <rFont val="Calibri"/>
        <family val="2"/>
        <charset val="1"/>
      </rPr>
      <t xml:space="preserve">Red Bull</t>
    </r>
    <r>
      <rPr>
        <sz val="11"/>
        <color theme="1"/>
        <rFont val="Noto Sans SC"/>
        <family val="2"/>
        <charset val="134"/>
      </rPr>
      <t xml:space="preserve">）</t>
    </r>
  </si>
  <si>
    <r>
      <rPr>
        <sz val="11"/>
        <color theme="1"/>
        <rFont val="Noto Sans SC"/>
        <family val="2"/>
        <charset val="134"/>
      </rPr>
      <t xml:space="preserve">绿色牛（</t>
    </r>
    <r>
      <rPr>
        <sz val="11"/>
        <color theme="1"/>
        <rFont val="Calibri"/>
        <family val="2"/>
        <charset val="1"/>
      </rPr>
      <t xml:space="preserve">Green Bull</t>
    </r>
    <r>
      <rPr>
        <sz val="11"/>
        <color theme="1"/>
        <rFont val="Noto Sans SC"/>
        <family val="2"/>
        <charset val="134"/>
      </rPr>
      <t xml:space="preserve">）</t>
    </r>
  </si>
  <si>
    <r>
      <rPr>
        <sz val="11"/>
        <color theme="1"/>
        <rFont val="Noto Sans SC"/>
        <family val="2"/>
        <charset val="134"/>
      </rPr>
      <t xml:space="preserve">空白（</t>
    </r>
    <r>
      <rPr>
        <sz val="11"/>
        <color theme="1"/>
        <rFont val="Calibri"/>
        <family val="2"/>
        <charset val="1"/>
      </rPr>
      <t xml:space="preserve">Blank</t>
    </r>
    <r>
      <rPr>
        <sz val="11"/>
        <color theme="1"/>
        <rFont val="Noto Sans SC"/>
        <family val="2"/>
        <charset val="134"/>
      </rPr>
      <t xml:space="preserve">）</t>
    </r>
  </si>
  <si>
    <t xml:space="preserve">—</t>
  </si>
  <si>
    <r>
      <rPr>
        <sz val="11"/>
        <color theme="1"/>
        <rFont val="Noto Sans SC"/>
        <family val="2"/>
        <charset val="134"/>
      </rPr>
      <t xml:space="preserve">＝ </t>
    </r>
    <r>
      <rPr>
        <sz val="11"/>
        <color theme="1"/>
        <rFont val="Calibri"/>
        <family val="2"/>
        <charset val="1"/>
      </rPr>
      <t xml:space="preserve">1 − </t>
    </r>
    <r>
      <rPr>
        <sz val="11"/>
        <color theme="1"/>
        <rFont val="Noto Sans SC"/>
        <family val="2"/>
        <charset val="134"/>
      </rPr>
      <t xml:space="preserve">四个牛图标几率之和</t>
    </r>
  </si>
  <si>
    <t xml:space="preserve">合计</t>
  </si>
  <si>
    <r>
      <rPr>
        <sz val="11"/>
        <color theme="1"/>
        <rFont val="Noto Sans SC"/>
        <family val="2"/>
        <charset val="134"/>
      </rPr>
      <t xml:space="preserve">应 ＝ </t>
    </r>
    <r>
      <rPr>
        <sz val="11"/>
        <color theme="1"/>
        <rFont val="Calibri"/>
        <family val="2"/>
        <charset val="1"/>
      </rPr>
      <t xml:space="preserve">100%</t>
    </r>
  </si>
  <si>
    <r>
      <rPr>
        <sz val="11"/>
        <color rgb="FF808080"/>
        <rFont val="Noto Sans SC"/>
        <family val="2"/>
        <charset val="134"/>
      </rPr>
      <t xml:space="preserve">原文只给出三连的期望轮次（</t>
    </r>
    <r>
      <rPr>
        <sz val="11"/>
        <color rgb="FF808080"/>
        <rFont val="Cambria"/>
        <family val="0"/>
        <charset val="1"/>
      </rPr>
      <t xml:space="preserve">1/645</t>
    </r>
    <r>
      <rPr>
        <sz val="11"/>
        <color rgb="FF808080"/>
        <rFont val="Noto Sans SC"/>
        <family val="2"/>
        <charset val="134"/>
      </rPr>
      <t xml:space="preserve">、</t>
    </r>
    <r>
      <rPr>
        <sz val="11"/>
        <color rgb="FF808080"/>
        <rFont val="Cambria"/>
        <family val="0"/>
        <charset val="1"/>
      </rPr>
      <t xml:space="preserve">1/1116</t>
    </r>
    <r>
      <rPr>
        <sz val="11"/>
        <color rgb="FF808080"/>
        <rFont val="Noto Sans SC"/>
        <family val="2"/>
        <charset val="134"/>
      </rPr>
      <t xml:space="preserve">、</t>
    </r>
    <r>
      <rPr>
        <sz val="11"/>
        <color rgb="FF808080"/>
        <rFont val="Cambria"/>
        <family val="0"/>
        <charset val="1"/>
      </rPr>
      <t xml:space="preserve">1/1924</t>
    </r>
    <r>
      <rPr>
        <sz val="11"/>
        <color rgb="FF808080"/>
        <rFont val="Noto Sans SC"/>
        <family val="2"/>
        <charset val="134"/>
      </rPr>
      <t xml:space="preserve">、</t>
    </r>
    <r>
      <rPr>
        <sz val="11"/>
        <color rgb="FF808080"/>
        <rFont val="Cambria"/>
        <family val="0"/>
        <charset val="1"/>
      </rPr>
      <t xml:space="preserve">1/3325 spins</t>
    </r>
    <r>
      <rPr>
        <sz val="11"/>
        <color rgb="FF808080"/>
        <rFont val="Noto Sans SC"/>
        <family val="2"/>
        <charset val="134"/>
      </rPr>
      <t xml:space="preserve">），本表用 </t>
    </r>
    <r>
      <rPr>
        <sz val="11"/>
        <color rgb="FF808080"/>
        <rFont val="Cambria"/>
        <family val="0"/>
        <charset val="1"/>
      </rPr>
      <t xml:space="preserve">p </t>
    </r>
    <r>
      <rPr>
        <sz val="11"/>
        <color rgb="FF808080"/>
        <rFont val="Noto Sans SC"/>
        <family val="2"/>
        <charset val="134"/>
      </rPr>
      <t xml:space="preserve">＝ </t>
    </r>
    <r>
      <rPr>
        <sz val="11"/>
        <color rgb="FF808080"/>
        <rFont val="Cambria"/>
        <family val="0"/>
        <charset val="1"/>
      </rPr>
      <t xml:space="preserve">(1/</t>
    </r>
    <r>
      <rPr>
        <sz val="11"/>
        <color rgb="FF808080"/>
        <rFont val="Noto Sans SC"/>
        <family val="2"/>
        <charset val="134"/>
      </rPr>
      <t xml:space="preserve">轮次</t>
    </r>
    <r>
      <rPr>
        <sz val="11"/>
        <color rgb="FF808080"/>
        <rFont val="Cambria"/>
        <family val="0"/>
        <charset val="1"/>
      </rPr>
      <t xml:space="preserve">)^(1/3) </t>
    </r>
    <r>
      <rPr>
        <sz val="11"/>
        <color rgb="FF808080"/>
        <rFont val="Noto Sans SC"/>
        <family val="2"/>
        <charset val="134"/>
      </rPr>
      <t xml:space="preserve">反推图标几率并在右侧逐项对照（容许 </t>
    </r>
    <r>
      <rPr>
        <sz val="11"/>
        <color rgb="FF808080"/>
        <rFont val="Cambria"/>
        <family val="0"/>
        <charset val="1"/>
      </rPr>
      <t xml:space="preserve">2% </t>
    </r>
    <r>
      <rPr>
        <sz val="11"/>
        <color rgb="FF808080"/>
        <rFont val="Noto Sans SC"/>
        <family val="2"/>
        <charset val="134"/>
      </rPr>
      <t xml:space="preserve">误差）。赔付倍数为示意值（原文配图中有完整赔表），可改。</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</si>
  <si>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t>
    </r>
    <r>
      <rPr>
        <b val="true"/>
        <sz val="11"/>
        <color rgb="FF1F4E79"/>
        <rFont val="Cambria"/>
        <family val="0"/>
        <charset val="1"/>
      </rPr>
      <t xml:space="preserve">RTP </t>
    </r>
    <r>
      <rPr>
        <b val="true"/>
        <sz val="11"/>
        <color rgb="FF1F4E79"/>
        <rFont val="Noto Sans SC"/>
        <family val="2"/>
        <charset val="134"/>
      </rPr>
      <t xml:space="preserve">结构（赔付倍数为示意值，可改）</t>
    </r>
  </si>
  <si>
    <t xml:space="preserve">数值</t>
  </si>
  <si>
    <t xml:space="preserve">四个牛三连的期望合计</t>
  </si>
  <si>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t>
    </r>
  </si>
  <si>
    <r>
      <rPr>
        <sz val="11"/>
        <color theme="1"/>
        <rFont val="Calibri"/>
        <family val="2"/>
        <charset val="1"/>
      </rPr>
      <t xml:space="preserve">Mix / Match </t>
    </r>
    <r>
      <rPr>
        <sz val="11"/>
        <color theme="1"/>
        <rFont val="Noto Sans SC"/>
        <family val="2"/>
        <charset val="134"/>
      </rPr>
      <t xml:space="preserve">等其余组合的期望（示意）</t>
    </r>
  </si>
  <si>
    <r>
      <rPr>
        <sz val="11"/>
        <color theme="1"/>
        <rFont val="Noto Sans SC"/>
        <family val="2"/>
        <charset val="134"/>
      </rPr>
      <t xml:space="preserve">原文用穷举 </t>
    </r>
    <r>
      <rPr>
        <sz val="11"/>
        <color theme="1"/>
        <rFont val="Calibri"/>
        <family val="2"/>
        <charset val="1"/>
      </rPr>
      <t xml:space="preserve">4³</t>
    </r>
    <r>
      <rPr>
        <sz val="11"/>
        <color theme="1"/>
        <rFont val="Noto Sans SC"/>
        <family val="2"/>
        <charset val="134"/>
      </rPr>
      <t xml:space="preserve">＝</t>
    </r>
    <r>
      <rPr>
        <sz val="11"/>
        <color theme="1"/>
        <rFont val="Calibri"/>
        <family val="2"/>
        <charset val="1"/>
      </rPr>
      <t xml:space="preserve">64 </t>
    </r>
    <r>
      <rPr>
        <sz val="11"/>
        <color theme="1"/>
        <rFont val="Noto Sans SC"/>
        <family val="2"/>
        <charset val="134"/>
      </rPr>
      <t xml:space="preserve">种组合求和；此处取值使合计落在原文 </t>
    </r>
    <r>
      <rPr>
        <sz val="11"/>
        <color theme="1"/>
        <rFont val="Calibri"/>
        <family val="2"/>
        <charset val="1"/>
      </rPr>
      <t xml:space="preserve">RTP </t>
    </r>
    <r>
      <rPr>
        <sz val="11"/>
        <color theme="1"/>
        <rFont val="Noto Sans SC"/>
        <family val="2"/>
        <charset val="134"/>
      </rPr>
      <t xml:space="preserve">区间内</t>
    </r>
  </si>
  <si>
    <r>
      <rPr>
        <b val="true"/>
        <sz val="11"/>
        <rFont val="Noto Sans SC"/>
        <family val="2"/>
        <charset val="134"/>
      </rPr>
      <t xml:space="preserve">综合 </t>
    </r>
    <r>
      <rPr>
        <b val="true"/>
        <sz val="11"/>
        <rFont val="Cambria"/>
        <family val="0"/>
        <charset val="1"/>
      </rPr>
      <t xml:space="preserve">RTP</t>
    </r>
  </si>
  <si>
    <r>
      <rPr>
        <sz val="11"/>
        <color theme="1"/>
        <rFont val="Noto Sans SC"/>
        <family val="2"/>
        <charset val="134"/>
      </rPr>
      <t xml:space="preserve">示意结构；原文首版 </t>
    </r>
    <r>
      <rPr>
        <sz val="11"/>
        <color theme="1"/>
        <rFont val="Calibri"/>
        <family val="2"/>
        <charset val="1"/>
      </rPr>
      <t xml:space="preserve">96.51%</t>
    </r>
    <r>
      <rPr>
        <sz val="11"/>
        <color theme="1"/>
        <rFont val="Noto Sans SC"/>
        <family val="2"/>
        <charset val="134"/>
      </rPr>
      <t xml:space="preserve">、调整后 </t>
    </r>
    <r>
      <rPr>
        <sz val="11"/>
        <color theme="1"/>
        <rFont val="Calibri"/>
        <family val="2"/>
        <charset val="1"/>
      </rPr>
      <t xml:space="preserve">96.64%</t>
    </r>
  </si>
  <si>
    <r>
      <rPr>
        <sz val="11"/>
        <color theme="1"/>
        <rFont val="Noto Sans SC"/>
        <family val="2"/>
        <charset val="134"/>
      </rPr>
      <t xml:space="preserve">原文首版 </t>
    </r>
    <r>
      <rPr>
        <sz val="11"/>
        <color theme="1"/>
        <rFont val="Calibri"/>
        <family val="2"/>
        <charset val="1"/>
      </rPr>
      <t xml:space="preserve">RTP</t>
    </r>
  </si>
  <si>
    <t xml:space="preserve">调试图标几率后得到</t>
  </si>
  <si>
    <r>
      <rPr>
        <sz val="11"/>
        <color theme="1"/>
        <rFont val="Noto Sans SC"/>
        <family val="2"/>
        <charset val="134"/>
      </rPr>
      <t xml:space="preserve">原文调整后 </t>
    </r>
    <r>
      <rPr>
        <sz val="11"/>
        <color theme="1"/>
        <rFont val="Calibri"/>
        <family val="2"/>
        <charset val="1"/>
      </rPr>
      <t xml:space="preserve">RTP</t>
    </r>
  </si>
  <si>
    <r>
      <rPr>
        <sz val="11"/>
        <color theme="1"/>
        <rFont val="Noto Sans SC"/>
        <family val="2"/>
        <charset val="134"/>
      </rPr>
      <t xml:space="preserve">把大额奖励频率调到约 </t>
    </r>
    <r>
      <rPr>
        <sz val="11"/>
        <color theme="1"/>
        <rFont val="Calibri"/>
        <family val="2"/>
        <charset val="1"/>
      </rPr>
      <t xml:space="preserve">100 </t>
    </r>
    <r>
      <rPr>
        <sz val="11"/>
        <color theme="1"/>
        <rFont val="Noto Sans SC"/>
        <family val="2"/>
        <charset val="134"/>
      </rPr>
      <t xml:space="preserve">局一次</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</si>
  <si>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】体验基准与跑数据验证</t>
    </r>
  </si>
  <si>
    <r>
      <rPr>
        <b val="true"/>
        <sz val="11"/>
        <color rgb="FF1F4E79"/>
        <rFont val="Noto Sans SC"/>
        <family val="2"/>
        <charset val="134"/>
      </rPr>
      <t xml:space="preserve">基准 </t>
    </r>
    <r>
      <rPr>
        <b val="true"/>
        <sz val="11"/>
        <color rgb="FF1F4E79"/>
        <rFont val="Cambria"/>
        <family val="0"/>
        <charset val="1"/>
      </rPr>
      <t xml:space="preserve">/ </t>
    </r>
    <r>
      <rPr>
        <b val="true"/>
        <sz val="11"/>
        <color rgb="FF1F4E79"/>
        <rFont val="Noto Sans SC"/>
        <family val="2"/>
        <charset val="134"/>
      </rPr>
      <t xml:space="preserve">结果</t>
    </r>
  </si>
  <si>
    <r>
      <rPr>
        <sz val="11"/>
        <color theme="1"/>
        <rFont val="Noto Sans SC"/>
        <family val="2"/>
        <charset val="134"/>
      </rPr>
      <t xml:space="preserve">中奖率（</t>
    </r>
    <r>
      <rPr>
        <sz val="11"/>
        <color theme="1"/>
        <rFont val="Calibri"/>
        <family val="2"/>
        <charset val="1"/>
      </rPr>
      <t xml:space="preserve">3-1 Classic</t>
    </r>
    <r>
      <rPr>
        <sz val="11"/>
        <color theme="1"/>
        <rFont val="Noto Sans SC"/>
        <family val="2"/>
        <charset val="134"/>
      </rPr>
      <t xml:space="preserve">）</t>
    </r>
  </si>
  <si>
    <t xml:space="preserve">5% ~ 7%</t>
  </si>
  <si>
    <t xml:space="preserve">原文经验值</t>
  </si>
  <si>
    <t xml:space="preserve">RTP</t>
  </si>
  <si>
    <t xml:space="preserve">95% ~ 97%</t>
  </si>
  <si>
    <r>
      <rPr>
        <sz val="11"/>
        <color theme="1"/>
        <rFont val="Calibri"/>
        <family val="2"/>
        <charset val="1"/>
      </rPr>
      <t xml:space="preserve">Feature / </t>
    </r>
    <r>
      <rPr>
        <sz val="11"/>
        <color theme="1"/>
        <rFont val="Noto Sans SC"/>
        <family val="2"/>
        <charset val="134"/>
      </rPr>
      <t xml:space="preserve">大额 </t>
    </r>
    <r>
      <rPr>
        <sz val="11"/>
        <color theme="1"/>
        <rFont val="Calibri"/>
        <family val="2"/>
        <charset val="1"/>
      </rPr>
      <t xml:space="preserve">Hit Frequency</t>
    </r>
  </si>
  <si>
    <t xml:space="preserve">1 in 200 ~ 500 spins</t>
  </si>
  <si>
    <t xml:space="preserve">可依据玩法定位与摇奖速度调整</t>
  </si>
  <si>
    <r>
      <rPr>
        <sz val="11"/>
        <color theme="1"/>
        <rFont val="Calibri"/>
        <family val="2"/>
        <charset val="1"/>
      </rPr>
      <t xml:space="preserve">28 </t>
    </r>
    <r>
      <rPr>
        <sz val="11"/>
        <color theme="1"/>
        <rFont val="Noto Sans SC"/>
        <family val="2"/>
        <charset val="134"/>
      </rPr>
      <t xml:space="preserve">倍奖励目标频率</t>
    </r>
  </si>
  <si>
    <t xml:space="preserve">50 ~ 200 spins</t>
  </si>
  <si>
    <t xml:space="preserve">原文对案例的调整目标</t>
  </si>
  <si>
    <t xml:space="preserve">调整后大额触发</t>
  </si>
  <si>
    <r>
      <rPr>
        <sz val="11"/>
        <color theme="1"/>
        <rFont val="Noto Sans SC"/>
        <family val="2"/>
        <charset val="134"/>
      </rPr>
      <t xml:space="preserve">约 </t>
    </r>
    <r>
      <rPr>
        <sz val="11"/>
        <color theme="1"/>
        <rFont val="Calibri"/>
        <family val="2"/>
        <charset val="1"/>
      </rPr>
      <t xml:space="preserve">100 </t>
    </r>
    <r>
      <rPr>
        <sz val="11"/>
        <color theme="1"/>
        <rFont val="Noto Sans SC"/>
        <family val="2"/>
        <charset val="134"/>
      </rPr>
      <t xml:space="preserve">局一次</t>
    </r>
  </si>
  <si>
    <t xml:space="preserve">与目标区间一致</t>
  </si>
  <si>
    <r>
      <rPr>
        <sz val="11"/>
        <color theme="1"/>
        <rFont val="Calibri"/>
        <family val="2"/>
        <charset val="1"/>
      </rPr>
      <t xml:space="preserve">Python </t>
    </r>
    <r>
      <rPr>
        <sz val="11"/>
        <color theme="1"/>
        <rFont val="Noto Sans SC"/>
        <family val="2"/>
        <charset val="134"/>
      </rPr>
      <t xml:space="preserve">模拟结果（</t>
    </r>
    <r>
      <rPr>
        <sz val="11"/>
        <color theme="1"/>
        <rFont val="Calibri"/>
        <family val="2"/>
        <charset val="1"/>
      </rPr>
      <t xml:space="preserve">SRP</t>
    </r>
    <r>
      <rPr>
        <sz val="11"/>
        <color theme="1"/>
        <rFont val="Noto Sans SC"/>
        <family val="2"/>
        <charset val="134"/>
      </rPr>
      <t xml:space="preserve">）</t>
    </r>
  </si>
  <si>
    <t xml:space="preserve">96.42%</t>
  </si>
  <si>
    <r>
      <rPr>
        <sz val="11"/>
        <color theme="1"/>
        <rFont val="Noto Sans SC"/>
        <family val="2"/>
        <charset val="134"/>
      </rPr>
      <t xml:space="preserve">与计算 </t>
    </r>
    <r>
      <rPr>
        <sz val="11"/>
        <color theme="1"/>
        <rFont val="Calibri"/>
        <family val="2"/>
        <charset val="1"/>
      </rPr>
      <t xml:space="preserve">RTP </t>
    </r>
    <r>
      <rPr>
        <sz val="11"/>
        <color theme="1"/>
        <rFont val="Noto Sans SC"/>
        <family val="2"/>
        <charset val="134"/>
      </rPr>
      <t xml:space="preserve">基本一致</t>
    </r>
  </si>
  <si>
    <r>
      <rPr>
        <sz val="11"/>
        <color theme="1"/>
        <rFont val="Calibri"/>
        <family val="2"/>
        <charset val="1"/>
      </rPr>
      <t xml:space="preserve">C# </t>
    </r>
    <r>
      <rPr>
        <sz val="11"/>
        <color theme="1"/>
        <rFont val="Noto Sans SC"/>
        <family val="2"/>
        <charset val="134"/>
      </rPr>
      <t xml:space="preserve">模拟结果（</t>
    </r>
    <r>
      <rPr>
        <sz val="11"/>
        <color theme="1"/>
        <rFont val="Calibri"/>
        <family val="2"/>
        <charset val="1"/>
      </rPr>
      <t xml:space="preserve">SRP</t>
    </r>
    <r>
      <rPr>
        <sz val="11"/>
        <color theme="1"/>
        <rFont val="Noto Sans SC"/>
        <family val="2"/>
        <charset val="134"/>
      </rPr>
      <t xml:space="preserve">）</t>
    </r>
  </si>
  <si>
    <t xml:space="preserve">96.77%</t>
  </si>
  <si>
    <t xml:space="preserve">两套模拟互相印证</t>
  </si>
  <si>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</si>
  <si>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</si>
  <si>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</si>
  <si>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四个牛图标几率合计 ＜ </t>
    </r>
    <r>
      <rPr>
        <sz val="11"/>
        <color theme="1"/>
        <rFont val="Calibri"/>
        <family val="2"/>
        <charset val="1"/>
      </rPr>
      <t xml:space="preserve">100%</t>
    </r>
  </si>
  <si>
    <t xml:space="preserve">其余为空白</t>
  </si>
  <si>
    <r>
      <rPr>
        <sz val="11"/>
        <color theme="1"/>
        <rFont val="Noto Sans SC"/>
        <family val="2"/>
        <charset val="134"/>
      </rPr>
      <t xml:space="preserve">总几率（含空白）＝ </t>
    </r>
    <r>
      <rPr>
        <sz val="11"/>
        <color theme="1"/>
        <rFont val="Calibri"/>
        <family val="2"/>
        <charset val="1"/>
      </rPr>
      <t xml:space="preserve">100%</t>
    </r>
  </si>
  <si>
    <r>
      <rPr>
        <sz val="11"/>
        <color theme="1"/>
        <rFont val="Noto Sans SC"/>
        <family val="2"/>
        <charset val="134"/>
      </rPr>
      <t xml:space="preserve">三连期望轮次与原文吻合（</t>
    </r>
    <r>
      <rPr>
        <sz val="11"/>
        <color theme="1"/>
        <rFont val="Calibri"/>
        <family val="2"/>
        <charset val="1"/>
      </rPr>
      <t xml:space="preserve">4 </t>
    </r>
    <r>
      <rPr>
        <sz val="11"/>
        <color theme="1"/>
        <rFont val="Noto Sans SC"/>
        <family val="2"/>
        <charset val="134"/>
      </rPr>
      <t xml:space="preserve">项全 ✓）</t>
    </r>
  </si>
  <si>
    <t xml:space="preserve">645 / 1116 / 1924 / 3325</t>
  </si>
  <si>
    <r>
      <rPr>
        <sz val="11"/>
        <color theme="1"/>
        <rFont val="Noto Sans SC"/>
        <family val="2"/>
        <charset val="134"/>
      </rPr>
      <t xml:space="preserve">综合 </t>
    </r>
    <r>
      <rPr>
        <sz val="11"/>
        <color theme="1"/>
        <rFont val="Calibri"/>
        <family val="2"/>
        <charset val="1"/>
      </rPr>
      <t xml:space="preserve">RTP </t>
    </r>
    <r>
      <rPr>
        <sz val="11"/>
        <color theme="1"/>
        <rFont val="Noto Sans SC"/>
        <family val="2"/>
        <charset val="134"/>
      </rPr>
      <t xml:space="preserve">落在 </t>
    </r>
    <r>
      <rPr>
        <sz val="11"/>
        <color theme="1"/>
        <rFont val="Calibri"/>
        <family val="2"/>
        <charset val="1"/>
      </rPr>
      <t xml:space="preserve">95%~97%</t>
    </r>
  </si>
  <si>
    <t xml:space="preserve">原文经验区间</t>
  </si>
  <si>
    <r>
      <rPr>
        <sz val="11"/>
        <color theme="1"/>
        <rFont val="Noto Sans SC"/>
        <family val="2"/>
        <charset val="134"/>
      </rPr>
      <t xml:space="preserve">跑数据（</t>
    </r>
    <r>
      <rPr>
        <sz val="11"/>
        <color theme="1"/>
        <rFont val="Calibri"/>
        <family val="2"/>
        <charset val="1"/>
      </rPr>
      <t xml:space="preserve">96.42%</t>
    </r>
    <r>
      <rPr>
        <sz val="11"/>
        <color theme="1"/>
        <rFont val="Noto Sans SC"/>
        <family val="2"/>
        <charset val="134"/>
      </rPr>
      <t xml:space="preserve">）与综合 </t>
    </r>
    <r>
      <rPr>
        <sz val="11"/>
        <color theme="1"/>
        <rFont val="Calibri"/>
        <family val="2"/>
        <charset val="1"/>
      </rPr>
      <t xml:space="preserve">RTP </t>
    </r>
    <r>
      <rPr>
        <sz val="11"/>
        <color theme="1"/>
        <rFont val="Noto Sans SC"/>
        <family val="2"/>
        <charset val="134"/>
      </rPr>
      <t xml:space="preserve">偏差 ＜ </t>
    </r>
    <r>
      <rPr>
        <sz val="11"/>
        <color theme="1"/>
        <rFont val="Calibri"/>
        <family val="2"/>
        <charset val="1"/>
      </rPr>
      <t xml:space="preserve">0.02</t>
    </r>
  </si>
  <si>
    <r>
      <rPr>
        <sz val="11"/>
        <color theme="1"/>
        <rFont val="Calibri"/>
        <family val="2"/>
        <charset val="1"/>
      </rPr>
      <t xml:space="preserve">Python 96.42% / C# 96.77%</t>
    </r>
    <r>
      <rPr>
        <sz val="11"/>
        <color theme="1"/>
        <rFont val="Noto Sans SC"/>
        <family val="2"/>
        <charset val="134"/>
      </rPr>
      <t xml:space="preserve">，与计算值基本一致</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</si>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</sst>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7">
    <numFmt numFmtId="164" formatCode="General"/>
    <numFmt numFmtId="165" formatCode="0.00%"/>
    <numFmt numFmtId="166" formatCode="0.0000%"/>
    <numFmt numFmtId="167" formatCode="#,##0"/>
    <numFmt numFmtId="168" formatCode="0.0000"/>
    <numFmt numFmtId="169" formatCode="0.00%"/>
    <numFmt numFmtId="170" formatCode="0.0000000000%"/>
  </numFmts>
  <fonts count="16">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8" fontId="10" fillId="4" borderId="0" xfId="0" applyFont="true" applyBorder="fals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8" fontId="14" fillId="0" borderId="0" xfId="0" applyFont="true" applyBorder="false" applyAlignment="true" applyProtection="true">
      <alignment horizontal="general" vertical="bottom" textRotation="0" wrapText="false" indent="0" shrinkToFit="false"/>
      <protection locked="true" hidden="false"/>
    </xf>
    <xf numFmtId="168" fontId="13" fillId="0" borderId="0" xfId="0" applyFont="true" applyBorder="fals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xf numFmtId="169" fontId="9" fillId="0" borderId="0" xfId="0" applyFont="true" applyBorder="false" applyAlignment="true" applyProtection="true">
      <alignment horizontal="general" vertical="bottom" textRotation="0" wrapText="false" indent="0" shrinkToFit="false"/>
      <protection locked="true" hidden="false"/>
    </xf>
    <xf numFmtId="170" applyNumberFormat="1" fontId="13" fillId="0" borderId="0" xfId="0" applyFont="true" applyBorder="false" applyAlignment="true" applyProtection="true">
      <alignment horizontal="general" vertical="bottom" textRotation="0" wrapText="false" indent="0" shrinkToFit="false"/>
      <protection locked="true" hidden="false"/>
    </xf>
    <xf numFmtId="170" applyNumberFormat="1" fontId="14" fillId="0" borderId="0" xfId="0" applyFont="true" applyBorder="false" applyAlignment="true" applyProtection="true">
      <alignment horizontal="general" vertical="bottom" textRotation="0" wrapText="false" indent="0" shrinkToFit="false"/>
      <protection locked="true" hidden="false"/>
    </xf>
    <xf numFmtId="170" applyNumberFormat="1" fontId="14" fillId="0" borderId="0" xfId="0" applyFont="true" applyBorder="false" applyAlignment="true" applyProtection="true">
      <alignment horizontal="general" vertical="bottom" textRotation="0" wrapText="false" indent="0" shrinkToFit="false"/>
      <protection locked="true" hidden="false"/>
    </xf>
    <xf numFmtId="170" applyNumberFormat="1" fontId="13" fillId="0" borderId="0" xfId="0" applyFont="true" applyBorder="false" applyAlignment="true" applyProtection="true">
      <alignment horizontal="general" vertical="bottom" textRotation="0" wrapText="false" indent="0" shrinkToFit="false"/>
      <protection locked="true" hidden="false"/>
    </xf>
    <xf numFmtId="170" applyNumberFormat="1" fontId="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2" t="s">
        <v>5</v>
      </c>
    </row>
    <row r="8" customFormat="false" ht="15.5" hidden="false" customHeight="false" outlineLevel="0" collapsed="false">
      <c r="A8" s="3" t="s">
        <v>6</v>
      </c>
      <c r="B8" s="3"/>
      <c r="C8" s="3"/>
    </row>
    <row r="9" customFormat="false" ht="15.5" hidden="false" customHeight="false" outlineLevel="0" collapsed="false">
      <c r="A9" s="2" t="s">
        <v>7</v>
      </c>
    </row>
    <row r="11" customFormat="false" ht="15" hidden="false" customHeight="false" outlineLevel="0" collapsed="false">
      <c r="A11" s="4" t="s">
        <v>8</v>
      </c>
    </row>
    <row r="12" customFormat="false" ht="29" hidden="false" customHeight="false" outlineLevel="0" collapsed="false">
      <c r="A12" s="30" t="s">
        <v>9</v>
      </c>
    </row>
    <row r="13" customFormat="false" ht="29" hidden="false" customHeight="false" outlineLevel="0" collapsed="false">
      <c r="A13" s="30" t="s">
        <v>10</v>
      </c>
    </row>
    <row r="14" customFormat="false" ht="15" hidden="false" customHeight="false" outlineLevel="0" collapsed="false">
      <c r="A14" s="5"/>
    </row>
    <row r="15" customFormat="false" ht="15" hidden="false" customHeight="false" outlineLevel="0" collapsed="false">
      <c r="A15" s="4" t="s">
        <v>11</v>
      </c>
    </row>
    <row r="16" customFormat="false" ht="15" hidden="false" customHeight="1" outlineLevel="0" collapsed="false">
      <c r="A16" s="31" t="s">
        <v>12</v>
      </c>
      <c r="B16" s="6"/>
      <c r="C16" s="6"/>
    </row>
    <row r="17" customFormat="false" ht="42" hidden="false" customHeight="false" outlineLevel="0" collapsed="false">
      <c r="A17" s="30" t="s">
        <v>13</v>
      </c>
    </row>
    <row r="18" customFormat="false" ht="15" hidden="false" customHeight="1" outlineLevel="0" collapsed="false">
      <c r="A18" s="31" t="s">
        <v>14</v>
      </c>
      <c r="B18" s="6"/>
      <c r="C18" s="6"/>
    </row>
    <row r="19" customFormat="false" ht="15" hidden="false" customHeight="false" outlineLevel="0" collapsed="false">
      <c r="A19" s="5"/>
    </row>
    <row r="20" customFormat="false" ht="15" hidden="false" customHeight="false" outlineLevel="0" collapsed="false">
      <c r="A20" s="4" t="s">
        <v>15</v>
      </c>
    </row>
    <row r="21" customFormat="false" ht="30" hidden="false" customHeight="false" outlineLevel="0" collapsed="false">
      <c r="A21" s="30" t="s">
        <v>16</v>
      </c>
    </row>
    <row r="22" customFormat="false" ht="29" hidden="false" customHeight="false" outlineLevel="0" collapsed="false">
      <c r="A22" s="30" t="s">
        <v>17</v>
      </c>
    </row>
    <row r="23" customFormat="false" ht="29" hidden="false" customHeight="false" outlineLevel="0" collapsed="false">
      <c r="A23" s="30" t="s">
        <v>18</v>
      </c>
    </row>
    <row r="24" customFormat="false" ht="29" hidden="false" customHeight="false" outlineLevel="0" collapsed="false">
      <c r="A24" s="30" t="s">
        <v>19</v>
      </c>
    </row>
    <row r="25" customFormat="false" ht="30" hidden="false" customHeight="false" outlineLevel="0" collapsed="false">
      <c r="A25" s="30" t="s">
        <v>20</v>
      </c>
    </row>
    <row r="26" customFormat="false" ht="43" hidden="false" customHeight="false" outlineLevel="0" collapsed="false">
      <c r="A26" s="30" t="s">
        <v>21</v>
      </c>
    </row>
    <row r="27" customFormat="false" ht="42" hidden="false" customHeight="false" outlineLevel="0" collapsed="false">
      <c r="A27" s="32" t="s">
        <v>22</v>
      </c>
    </row>
    <row r="28" customFormat="false" ht="15" hidden="false" customHeight="false" outlineLevel="0" collapsed="false">
      <c r="A28" s="7" t="s">
        <v>23</v>
      </c>
    </row>
    <row r="29" customFormat="false" ht="30" hidden="false" customHeight="false" outlineLevel="0" collapsed="false">
      <c r="A29" s="30" t="s">
        <v>24</v>
      </c>
    </row>
    <row r="30" customFormat="false" ht="30" hidden="false" customHeight="false" outlineLevel="0" collapsed="false">
      <c r="A30" s="32" t="s">
        <v>25</v>
      </c>
    </row>
    <row r="31" customFormat="false" ht="30" hidden="false" customHeight="false" outlineLevel="0" collapsed="false">
      <c r="A31" s="30" t="s">
        <v>26</v>
      </c>
    </row>
    <row r="32" customFormat="false" ht="15" hidden="false" customHeight="1" outlineLevel="0" collapsed="false">
      <c r="A32" s="33" t="s">
        <v>27</v>
      </c>
      <c r="B32" s="8"/>
      <c r="C32" s="8"/>
    </row>
    <row r="33" customFormat="false" ht="16" hidden="false" customHeight="false" outlineLevel="0" collapsed="false">
      <c r="A33" s="32" t="s">
        <v>28</v>
      </c>
    </row>
    <row r="34" customFormat="false" ht="43" hidden="false" customHeight="false" outlineLevel="0" collapsed="false">
      <c r="A34" s="30" t="s">
        <v>29</v>
      </c>
    </row>
    <row r="35" customFormat="false" ht="43" hidden="false" customHeight="false" outlineLevel="0" collapsed="false">
      <c r="A35" s="30" t="s">
        <v>30</v>
      </c>
    </row>
    <row r="36" customFormat="false" ht="15" hidden="false" customHeight="false" outlineLevel="0" collapsed="false">
      <c r="A36" s="7" t="s">
        <v>31</v>
      </c>
    </row>
    <row r="37" customFormat="false" ht="30" hidden="false" customHeight="false" outlineLevel="0" collapsed="false">
      <c r="A37" s="30" t="s">
        <v>32</v>
      </c>
    </row>
    <row r="38" customFormat="false" ht="42" hidden="false" customHeight="false" outlineLevel="0" collapsed="false">
      <c r="A38" s="32" t="s">
        <v>33</v>
      </c>
    </row>
    <row r="39" customFormat="false" ht="42" hidden="false" customHeight="false" outlineLevel="0" collapsed="false">
      <c r="A39" s="32" t="s">
        <v>34</v>
      </c>
    </row>
    <row r="41" customFormat="false" ht="15" hidden="false" customHeight="false" outlineLevel="0" collapsed="false">
      <c r="A41" s="4" t="s">
        <v>35</v>
      </c>
    </row>
    <row r="42" customFormat="false" ht="15" hidden="false" customHeight="false" outlineLevel="0" collapsed="false">
      <c r="A42" s="7"/>
    </row>
    <row r="43" customFormat="false" ht="43" hidden="false" customHeight="false" outlineLevel="0" collapsed="false">
      <c r="A43" s="32" t="s">
        <v>36</v>
      </c>
    </row>
    <row r="44" customFormat="false" ht="42" hidden="false" customHeight="false" outlineLevel="0" collapsed="false">
      <c r="A44" s="32" t="s">
        <v>37</v>
      </c>
    </row>
    <row r="45" customFormat="false" ht="30" hidden="false" customHeight="false" outlineLevel="0" collapsed="false">
      <c r="A45" s="32" t="s">
        <v>38</v>
      </c>
    </row>
    <row r="46" customFormat="false" ht="15" hidden="false" customHeight="false" outlineLevel="0" collapsed="false">
      <c r="A46" s="7"/>
    </row>
    <row r="47" customFormat="false" ht="16" hidden="false" customHeight="false" outlineLevel="0" collapsed="false">
      <c r="A47" s="7" t="s">
        <v>39</v>
      </c>
    </row>
    <row r="48" customFormat="false" ht="15" hidden="false" customHeight="false" outlineLevel="0" collapsed="false">
      <c r="A48" s="7"/>
    </row>
    <row r="49" customFormat="false" ht="28" hidden="false" customHeight="false" outlineLevel="0" collapsed="false">
      <c r="A49" s="32" t="s">
        <v>40</v>
      </c>
    </row>
    <row r="50" customFormat="false" ht="30" hidden="false" customHeight="false" outlineLevel="0" collapsed="false">
      <c r="A50" s="32" t="s">
        <v>41</v>
      </c>
    </row>
    <row r="51" customFormat="false" ht="15" hidden="false" customHeight="1" outlineLevel="0" collapsed="false">
      <c r="A51" s="31" t="s">
        <v>42</v>
      </c>
      <c r="B51" s="6"/>
      <c r="C51" s="6"/>
    </row>
    <row r="52" customFormat="false" ht="30" hidden="false" customHeight="false" outlineLevel="0" collapsed="false">
      <c r="A52" s="30" t="s">
        <v>43</v>
      </c>
    </row>
    <row r="53" customFormat="false" ht="16" hidden="false" customHeight="false" outlineLevel="0" collapsed="false">
      <c r="A53" s="5" t="s">
        <v>44</v>
      </c>
    </row>
    <row r="54" customFormat="false" ht="15" hidden="false" customHeight="1" outlineLevel="0" collapsed="false">
      <c r="A54" s="33" t="s">
        <v>45</v>
      </c>
      <c r="B54" s="8"/>
      <c r="C54" s="8"/>
      <c r="D54" s="8"/>
    </row>
    <row r="55" customFormat="false" ht="16" hidden="false" customHeight="false" outlineLevel="0" collapsed="false">
      <c r="A55" s="5" t="s">
        <v>46</v>
      </c>
    </row>
    <row r="56" customFormat="false" ht="16" hidden="false" customHeight="false" outlineLevel="0" collapsed="false">
      <c r="A56" s="5" t="s">
        <v>47</v>
      </c>
    </row>
    <row r="57" customFormat="false" ht="15" hidden="false" customHeight="1" outlineLevel="0" collapsed="false">
      <c r="A57" s="33" t="s">
        <v>48</v>
      </c>
      <c r="B57" s="8"/>
      <c r="C57" s="8"/>
      <c r="D57" s="8"/>
      <c r="E57" s="8"/>
    </row>
    <row r="58" customFormat="false" ht="29" hidden="false" customHeight="false" outlineLevel="0" collapsed="false">
      <c r="A58" s="32" t="s">
        <v>49</v>
      </c>
    </row>
    <row r="59" customFormat="false" ht="41" hidden="false" customHeight="false" outlineLevel="0" collapsed="false">
      <c r="A59" s="32" t="s">
        <v>50</v>
      </c>
    </row>
    <row r="60" customFormat="false" ht="15" hidden="false" customHeight="1" outlineLevel="0" collapsed="false">
      <c r="A60" s="33" t="s">
        <v>51</v>
      </c>
      <c r="B60" s="8"/>
      <c r="C60" s="8"/>
      <c r="D60" s="8"/>
      <c r="E60" s="8"/>
      <c r="F60" s="8"/>
      <c r="G60" s="8"/>
      <c r="H60" s="8"/>
      <c r="I60" s="8"/>
    </row>
    <row r="61" customFormat="false" ht="15" hidden="false" customHeight="1" outlineLevel="0" collapsed="false">
      <c r="A61" s="33" t="s">
        <v>52</v>
      </c>
      <c r="B61" s="8"/>
      <c r="C61" s="8"/>
      <c r="D61" s="8"/>
      <c r="E61" s="8"/>
      <c r="F61" s="8"/>
      <c r="G61" s="8"/>
      <c r="H61" s="8"/>
      <c r="I61" s="8"/>
    </row>
    <row r="62" customFormat="false" ht="15" hidden="false" customHeight="false" outlineLevel="0" collapsed="false">
      <c r="A62" s="7"/>
    </row>
    <row r="63" customFormat="false" ht="16" hidden="false" customHeight="false" outlineLevel="0" collapsed="false">
      <c r="A63" s="7" t="s">
        <v>53</v>
      </c>
    </row>
    <row r="64" customFormat="false" ht="15" hidden="false" customHeight="false" outlineLevel="0" collapsed="false">
      <c r="A64" s="7"/>
    </row>
    <row r="65" customFormat="false" ht="16" hidden="false" customHeight="false" outlineLevel="0" collapsed="false">
      <c r="A65" s="5" t="s">
        <v>54</v>
      </c>
    </row>
    <row r="66" customFormat="false" ht="15" hidden="false" customHeight="1" outlineLevel="0" collapsed="false">
      <c r="A66" s="33" t="s">
        <v>55</v>
      </c>
      <c r="B66" s="8"/>
      <c r="C66" s="8"/>
      <c r="D66" s="8"/>
      <c r="E66" s="8"/>
      <c r="F66" s="8"/>
      <c r="G66" s="8"/>
    </row>
    <row r="67" customFormat="false" ht="15" hidden="false" customHeight="1" outlineLevel="0" collapsed="false">
      <c r="A67" s="33" t="s">
        <v>56</v>
      </c>
      <c r="B67" s="8"/>
      <c r="C67" s="8"/>
    </row>
    <row r="68" customFormat="false" ht="16" hidden="false" customHeight="false" outlineLevel="0" collapsed="false">
      <c r="A68" s="5" t="s">
        <v>57</v>
      </c>
    </row>
    <row r="69" customFormat="false" ht="16" hidden="false" customHeight="false" outlineLevel="0" collapsed="false">
      <c r="A69" s="5" t="s">
        <v>58</v>
      </c>
    </row>
    <row r="70" customFormat="false" ht="16" hidden="false" customHeight="false" outlineLevel="0" collapsed="false">
      <c r="A70" s="5" t="s">
        <v>59</v>
      </c>
    </row>
    <row r="71" customFormat="false" ht="15" hidden="false" customHeight="1" outlineLevel="0" collapsed="false">
      <c r="A71" s="33" t="s">
        <v>60</v>
      </c>
      <c r="B71" s="8"/>
      <c r="C71" s="8"/>
      <c r="D71" s="8"/>
      <c r="E71" s="8"/>
      <c r="F71" s="8"/>
      <c r="G71" s="8"/>
      <c r="H71" s="8"/>
      <c r="I71" s="8"/>
    </row>
    <row r="72" customFormat="false" ht="15" hidden="false" customHeight="false" outlineLevel="0" collapsed="false">
      <c r="A72" s="7" t="s">
        <v>61</v>
      </c>
    </row>
    <row r="73" customFormat="false" ht="15" hidden="false" customHeight="false" outlineLevel="0" collapsed="false">
      <c r="A73" s="7" t="s">
        <v>62</v>
      </c>
    </row>
    <row r="74" customFormat="false" ht="29" hidden="false" customHeight="false" outlineLevel="0" collapsed="false">
      <c r="A74" s="30" t="s">
        <v>63</v>
      </c>
    </row>
    <row r="75" customFormat="false" ht="15" hidden="false" customHeight="1" outlineLevel="0" collapsed="false">
      <c r="A75" s="33" t="s">
        <v>64</v>
      </c>
      <c r="B75" s="8"/>
      <c r="C75" s="8"/>
      <c r="D75" s="8"/>
      <c r="E75" s="8"/>
      <c r="F75" s="8"/>
    </row>
    <row r="76" customFormat="false" ht="15" hidden="false" customHeight="false" outlineLevel="0" collapsed="false">
      <c r="A76" s="7"/>
    </row>
    <row r="77" customFormat="false" ht="16" hidden="false" customHeight="false" outlineLevel="0" collapsed="false">
      <c r="A77" s="7" t="s">
        <v>65</v>
      </c>
    </row>
    <row r="78" customFormat="false" ht="15" hidden="false" customHeight="false" outlineLevel="0" collapsed="false">
      <c r="A78" s="7"/>
    </row>
    <row r="79" customFormat="false" ht="15" hidden="false" customHeight="1" outlineLevel="0" collapsed="false">
      <c r="A79" s="33" t="s">
        <v>66</v>
      </c>
      <c r="B79" s="8"/>
      <c r="C79" s="8"/>
      <c r="D79" s="8"/>
      <c r="E79" s="8"/>
      <c r="F79" s="8"/>
      <c r="G79" s="8"/>
      <c r="H79" s="8"/>
      <c r="I79" s="8"/>
    </row>
    <row r="80" customFormat="false" ht="15" hidden="false" customHeight="1" outlineLevel="0" collapsed="false">
      <c r="A80" s="33" t="s">
        <v>67</v>
      </c>
      <c r="B80" s="8"/>
      <c r="C80" s="8"/>
      <c r="D80" s="8"/>
      <c r="E80" s="8"/>
      <c r="F80" s="8"/>
      <c r="G80" s="8"/>
      <c r="H80" s="8"/>
      <c r="I80" s="8"/>
    </row>
    <row r="81" customFormat="false" ht="15" hidden="false" customHeight="false" outlineLevel="0" collapsed="false">
      <c r="A81" s="7" t="s">
        <v>68</v>
      </c>
    </row>
    <row r="82" customFormat="false" ht="15" hidden="false" customHeight="1" outlineLevel="0" collapsed="false">
      <c r="A82" s="31" t="s">
        <v>69</v>
      </c>
      <c r="B82" s="6"/>
      <c r="C82" s="6"/>
      <c r="D82" s="6"/>
      <c r="E82" s="6"/>
      <c r="F82" s="6"/>
      <c r="G82" s="6"/>
    </row>
    <row r="83" customFormat="false" ht="15" hidden="false" customHeight="1" outlineLevel="0" collapsed="false">
      <c r="A83" s="33" t="s">
        <v>70</v>
      </c>
      <c r="B83" s="8"/>
      <c r="C83" s="8"/>
      <c r="D83" s="8"/>
      <c r="E83" s="8"/>
    </row>
    <row r="84" customFormat="false" ht="15" hidden="false" customHeight="false" outlineLevel="0" collapsed="false">
      <c r="A84" s="7" t="s">
        <v>71</v>
      </c>
    </row>
    <row r="85" customFormat="false" ht="41" hidden="false" customHeight="false" outlineLevel="0" collapsed="false">
      <c r="A85" s="32" t="s">
        <v>72</v>
      </c>
    </row>
    <row r="86" customFormat="false" ht="15" hidden="false" customHeight="1" outlineLevel="0" collapsed="false">
      <c r="A86" s="33" t="s">
        <v>73</v>
      </c>
      <c r="B86" s="8"/>
      <c r="C86" s="8"/>
      <c r="D86" s="8"/>
    </row>
    <row r="87" customFormat="false" ht="41" hidden="false" customHeight="false" outlineLevel="0" collapsed="false">
      <c r="A87" s="32" t="s">
        <v>74</v>
      </c>
    </row>
    <row r="88" customFormat="false" ht="15" hidden="false" customHeight="1" outlineLevel="0" collapsed="false">
      <c r="A88" s="33" t="s">
        <v>75</v>
      </c>
      <c r="B88" s="8"/>
      <c r="C88" s="8"/>
      <c r="D88" s="8"/>
      <c r="E88" s="8"/>
      <c r="F88" s="8"/>
      <c r="G88" s="8"/>
      <c r="H88" s="8"/>
      <c r="I88" s="8"/>
    </row>
    <row r="89" customFormat="false" ht="16" hidden="false" customHeight="false" outlineLevel="0" collapsed="false">
      <c r="A89" s="5" t="s">
        <v>76</v>
      </c>
    </row>
    <row r="90" customFormat="false" ht="15" hidden="false" customHeight="1" outlineLevel="0" collapsed="false">
      <c r="A90" s="33" t="s">
        <v>77</v>
      </c>
      <c r="B90" s="8"/>
      <c r="C90" s="8"/>
      <c r="D90" s="8"/>
    </row>
    <row r="91" customFormat="false" ht="15" hidden="false" customHeight="1" outlineLevel="0" collapsed="false">
      <c r="A91" s="33" t="s">
        <v>78</v>
      </c>
      <c r="B91" s="8"/>
      <c r="C91" s="8"/>
    </row>
    <row r="92" customFormat="false" ht="30" hidden="false" customHeight="false" outlineLevel="0" collapsed="false">
      <c r="A92" s="32" t="s">
        <v>79</v>
      </c>
    </row>
    <row r="93" customFormat="false" ht="15" hidden="false" customHeight="1" outlineLevel="0" collapsed="false">
      <c r="A93" s="33" t="s">
        <v>80</v>
      </c>
      <c r="B93" s="8"/>
      <c r="C93" s="8"/>
    </row>
    <row r="94" customFormat="false" ht="42" hidden="false" customHeight="false" outlineLevel="0" collapsed="false">
      <c r="A94" s="32" t="s">
        <v>81</v>
      </c>
    </row>
    <row r="95" customFormat="false" ht="15" hidden="false" customHeight="false" outlineLevel="0" collapsed="false">
      <c r="A95" s="7"/>
    </row>
    <row r="96" customFormat="false" ht="16" hidden="false" customHeight="false" outlineLevel="0" collapsed="false">
      <c r="A96" s="7" t="s">
        <v>82</v>
      </c>
    </row>
    <row r="97" customFormat="false" ht="15" hidden="false" customHeight="false" outlineLevel="0" collapsed="false">
      <c r="A97" s="7"/>
    </row>
    <row r="98" customFormat="false" ht="15" hidden="false" customHeight="1" outlineLevel="0" collapsed="false">
      <c r="A98" s="33" t="s">
        <v>83</v>
      </c>
      <c r="B98" s="8"/>
      <c r="C98" s="8"/>
      <c r="D98" s="8"/>
    </row>
    <row r="99" customFormat="false" ht="43" hidden="false" customHeight="false" outlineLevel="0" collapsed="false">
      <c r="A99" s="32" t="s">
        <v>84</v>
      </c>
    </row>
    <row r="100" customFormat="false" ht="15" hidden="false" customHeight="false" outlineLevel="0" collapsed="false">
      <c r="A100" s="7"/>
    </row>
    <row r="101" customFormat="false" ht="16" hidden="false" customHeight="false" outlineLevel="0" collapsed="false">
      <c r="A101" s="7" t="s">
        <v>85</v>
      </c>
    </row>
    <row r="102" customFormat="false" ht="15" hidden="false" customHeight="false" outlineLevel="0" collapsed="false">
      <c r="A102" s="7"/>
    </row>
    <row r="103" customFormat="false" ht="15" hidden="false" customHeight="1" outlineLevel="0" collapsed="false">
      <c r="A103" s="33" t="s">
        <v>86</v>
      </c>
      <c r="B103" s="8"/>
      <c r="C103" s="8"/>
      <c r="D103" s="8"/>
    </row>
    <row r="104" customFormat="false" ht="43" hidden="false" customHeight="false" outlineLevel="0" collapsed="false">
      <c r="A104" s="32" t="s">
        <v>87</v>
      </c>
    </row>
    <row r="105" customFormat="false" ht="15" hidden="false" customHeight="1" outlineLevel="0" collapsed="false">
      <c r="A105" s="33" t="s">
        <v>88</v>
      </c>
      <c r="B105" s="8"/>
      <c r="C105" s="8"/>
    </row>
    <row r="106" customFormat="false" ht="28" hidden="false" customHeight="false" outlineLevel="0" collapsed="false">
      <c r="A106" s="32" t="s">
        <v>89</v>
      </c>
    </row>
    <row r="107" customFormat="false" ht="15" hidden="false" customHeight="false" outlineLevel="0" collapsed="false">
      <c r="A107" s="30" t="s">
        <v>90</v>
      </c>
    </row>
    <row r="108" customFormat="false" ht="15" hidden="false" customHeight="false" outlineLevel="0" collapsed="false">
      <c r="A108" s="30" t="s">
        <v>91</v>
      </c>
    </row>
    <row r="109" customFormat="false" ht="16" hidden="false" customHeight="false" outlineLevel="0" collapsed="false">
      <c r="A109" s="30" t="s">
        <v>92</v>
      </c>
    </row>
    <row r="110" customFormat="false" ht="15" hidden="false" customHeight="false" outlineLevel="0" collapsed="false">
      <c r="A110" s="30" t="s">
        <v>93</v>
      </c>
    </row>
    <row r="111" customFormat="false" ht="15" hidden="false" customHeight="false" outlineLevel="0" collapsed="false">
      <c r="A111" s="32" t="s">
        <v>94</v>
      </c>
    </row>
    <row r="112" customFormat="false" ht="15" hidden="false" customHeight="1" outlineLevel="0" collapsed="false">
      <c r="A112" s="33" t="s">
        <v>95</v>
      </c>
      <c r="B112" s="8"/>
      <c r="C112" s="8"/>
      <c r="D112" s="8"/>
      <c r="E112" s="8"/>
      <c r="F112" s="8"/>
    </row>
    <row r="113" customFormat="false" ht="15" hidden="false" customHeight="1" outlineLevel="0" collapsed="false">
      <c r="A113" s="33" t="s">
        <v>96</v>
      </c>
      <c r="B113" s="8"/>
      <c r="C113" s="8"/>
    </row>
    <row r="114" customFormat="false" ht="30" hidden="false" customHeight="false" outlineLevel="0" collapsed="false">
      <c r="A114" s="32" t="s">
        <v>97</v>
      </c>
    </row>
    <row r="115" customFormat="false" ht="15" hidden="false" customHeight="false" outlineLevel="0" collapsed="false">
      <c r="A115" s="7"/>
    </row>
    <row r="116" customFormat="false" ht="16" hidden="false" customHeight="false" outlineLevel="0" collapsed="false">
      <c r="A116" s="7" t="s">
        <v>98</v>
      </c>
    </row>
    <row r="117" customFormat="false" ht="15" hidden="false" customHeight="false" outlineLevel="0" collapsed="false">
      <c r="A117" s="7"/>
    </row>
    <row r="118" customFormat="false" ht="15" hidden="false" customHeight="1" outlineLevel="0" collapsed="false">
      <c r="A118" s="33" t="s">
        <v>99</v>
      </c>
      <c r="B118" s="8"/>
      <c r="C118" s="8"/>
      <c r="D118" s="8"/>
      <c r="E118" s="8"/>
      <c r="F118" s="8"/>
      <c r="G118" s="8"/>
    </row>
    <row r="119" customFormat="false" ht="15" hidden="false" customHeight="1" outlineLevel="0" collapsed="false">
      <c r="A119" s="33" t="s">
        <v>100</v>
      </c>
      <c r="B119" s="8"/>
      <c r="C119" s="8"/>
      <c r="D119" s="8"/>
    </row>
    <row r="120" customFormat="false" ht="15" hidden="false" customHeight="false" outlineLevel="0" collapsed="false">
      <c r="A120" s="7"/>
    </row>
    <row r="121" customFormat="false" ht="16" hidden="false" customHeight="false" outlineLevel="0" collapsed="false">
      <c r="A121" s="7" t="s">
        <v>101</v>
      </c>
    </row>
    <row r="122" customFormat="false" ht="15" hidden="false" customHeight="false" outlineLevel="0" collapsed="false">
      <c r="A122" s="7"/>
    </row>
    <row r="123" customFormat="false" ht="29" hidden="false" customHeight="false" outlineLevel="0" collapsed="false">
      <c r="A123" s="32" t="s">
        <v>102</v>
      </c>
    </row>
    <row r="124" customFormat="false" ht="15" hidden="false" customHeight="false" outlineLevel="0" collapsed="false">
      <c r="A124" s="7" t="s">
        <v>103</v>
      </c>
    </row>
    <row r="125" customFormat="false" ht="16" hidden="false" customHeight="false" outlineLevel="0" collapsed="false">
      <c r="A125" s="5" t="s">
        <v>104</v>
      </c>
    </row>
    <row r="126" customFormat="false" ht="15" hidden="false" customHeight="1" outlineLevel="0" collapsed="false">
      <c r="A126" s="33" t="s">
        <v>105</v>
      </c>
      <c r="B126" s="8"/>
      <c r="C126" s="8"/>
      <c r="D126" s="8"/>
      <c r="E126" s="8"/>
      <c r="F126" s="8"/>
      <c r="G126" s="8"/>
      <c r="H126" s="8"/>
      <c r="I126" s="8"/>
    </row>
    <row r="127" customFormat="false" ht="15" hidden="false" customHeight="1" outlineLevel="0" collapsed="false">
      <c r="A127" s="33" t="s">
        <v>106</v>
      </c>
      <c r="B127" s="8"/>
      <c r="C127" s="8"/>
      <c r="D127" s="8"/>
      <c r="E127" s="8"/>
      <c r="F127" s="8"/>
    </row>
    <row r="128" customFormat="false" ht="28" hidden="false" customHeight="false" outlineLevel="0" collapsed="false">
      <c r="A128" s="32" t="s">
        <v>107</v>
      </c>
    </row>
    <row r="129" customFormat="false" ht="15" hidden="false" customHeight="false" outlineLevel="0" collapsed="false">
      <c r="A129" s="7" t="s">
        <v>108</v>
      </c>
    </row>
    <row r="130" customFormat="false" ht="15" hidden="false" customHeight="1" outlineLevel="0" collapsed="false">
      <c r="A130" s="31" t="s">
        <v>109</v>
      </c>
      <c r="B130" s="6"/>
      <c r="C130" s="6"/>
      <c r="D130" s="6"/>
      <c r="E130" s="6"/>
      <c r="F130" s="6"/>
      <c r="G130" s="6"/>
      <c r="H130" s="6"/>
      <c r="I130" s="6"/>
    </row>
    <row r="131" customFormat="false" ht="15" hidden="false" customHeight="1" outlineLevel="0" collapsed="false">
      <c r="A131" s="33" t="s">
        <v>110</v>
      </c>
      <c r="B131" s="8"/>
      <c r="C131" s="8"/>
      <c r="D131" s="8"/>
      <c r="E131" s="8"/>
      <c r="F131" s="8"/>
      <c r="G131" s="8"/>
      <c r="H131" s="8"/>
      <c r="I131" s="8"/>
    </row>
    <row r="132" customFormat="false" ht="15" hidden="false" customHeight="1" outlineLevel="0" collapsed="false">
      <c r="A132" s="33" t="s">
        <v>111</v>
      </c>
      <c r="B132" s="8"/>
      <c r="C132" s="8"/>
      <c r="D132" s="8"/>
      <c r="E132" s="8"/>
      <c r="F132" s="8"/>
      <c r="G132" s="8"/>
      <c r="H132" s="8"/>
      <c r="I132" s="8"/>
    </row>
    <row r="133" customFormat="false" ht="15" hidden="false" customHeight="false" outlineLevel="0" collapsed="false">
      <c r="A133" s="7"/>
    </row>
    <row r="134" customFormat="false" ht="16" hidden="false" customHeight="false" outlineLevel="0" collapsed="false">
      <c r="A134" s="7" t="s">
        <v>112</v>
      </c>
    </row>
    <row r="135" customFormat="false" ht="15" hidden="false" customHeight="false" outlineLevel="0" collapsed="false">
      <c r="A135" s="7"/>
    </row>
    <row r="136" customFormat="false" ht="15" hidden="false" customHeight="1" outlineLevel="0" collapsed="false">
      <c r="A136" s="33" t="s">
        <v>113</v>
      </c>
      <c r="B136" s="8"/>
      <c r="C136" s="8"/>
    </row>
    <row r="137" customFormat="false" ht="40.5" hidden="false" customHeight="false" outlineLevel="0" collapsed="false">
      <c r="A137" s="32" t="s">
        <v>114</v>
      </c>
    </row>
    <row r="139" customFormat="false" ht="15.5" hidden="false" customHeight="false" outlineLevel="0" collapsed="false">
      <c r="A139" s="34" t="s">
        <v>115</v>
      </c>
    </row>
    <row r="140" customFormat="false" ht="15.5" hidden="false" customHeight="false" outlineLevel="0" collapsed="false">
      <c r="A140" s="2" t="s">
        <v>116</v>
      </c>
    </row>
    <row r="141" customFormat="false" ht="15.5" hidden="false" customHeight="false" outlineLevel="0" collapsed="false">
      <c r="A141" s="2" t="s">
        <v>117</v>
      </c>
    </row>
    <row r="142" customFormat="false" ht="15.5" hidden="false" customHeight="false" outlineLevel="0" collapsed="false">
      <c r="A142" s="2" t="s">
        <v>118</v>
      </c>
    </row>
    <row r="143" customFormat="false" ht="15.5" hidden="false" customHeight="false" outlineLevel="0" collapsed="false">
      <c r="A143" s="2" t="s">
        <v>119</v>
      </c>
    </row>
    <row r="144" customFormat="false" ht="15.5" hidden="false" customHeight="false" outlineLevel="0" collapsed="false">
      <c r="A144" s="2" t="s">
        <v>120</v>
      </c>
    </row>
    <row r="145" customFormat="false" ht="15.5" hidden="false" customHeight="false" outlineLevel="0" collapsed="false">
      <c r="A145" s="2" t="s">
        <v>121</v>
      </c>
    </row>
    <row r="146" customFormat="false" ht="15.5" hidden="false" customHeight="false" outlineLevel="0" collapsed="false">
      <c r="A146" s="2" t="s">
        <v>122</v>
      </c>
    </row>
    <row r="147" customFormat="false" ht="15.5" hidden="false" customHeight="false" outlineLevel="0" collapsed="false">
      <c r="A147" s="2" t="s">
        <v>123</v>
      </c>
    </row>
    <row r="149" customFormat="false" ht="15" hidden="false" customHeight="false" outlineLevel="0" collapsed="false">
      <c r="A149" s="4" t="s">
        <v>124</v>
      </c>
    </row>
    <row r="150" customFormat="false" ht="30" hidden="false" customHeight="false" outlineLevel="0" collapsed="false">
      <c r="A150" s="32" t="s">
        <v>125</v>
      </c>
    </row>
    <row r="151" customFormat="false" ht="28" hidden="false" customHeight="false" outlineLevel="0" collapsed="false">
      <c r="A151" s="32" t="s">
        <v>126</v>
      </c>
    </row>
    <row r="152" customFormat="false" ht="15" hidden="false" customHeight="false" outlineLevel="0" collapsed="false">
      <c r="A152" s="7"/>
    </row>
    <row r="153" customFormat="false" ht="15" hidden="false" customHeight="false" outlineLevel="0" collapsed="false">
      <c r="A153" s="4" t="s">
        <v>127</v>
      </c>
    </row>
    <row r="154" customFormat="false" ht="28" hidden="false" customHeight="false" outlineLevel="0" collapsed="false">
      <c r="A154" s="32" t="s">
        <v>128</v>
      </c>
    </row>
    <row r="155" customFormat="false" ht="29" hidden="false" customHeight="false" outlineLevel="0" collapsed="false">
      <c r="A155" s="32" t="s">
        <v>129</v>
      </c>
    </row>
    <row r="157" customFormat="false" ht="15.5" hidden="false" customHeight="false" outlineLevel="0" collapsed="false">
      <c r="A157" s="9" t="s">
        <v>130</v>
      </c>
    </row>
  </sheetData>
  <mergeCells count="37">
    <mergeCell ref="A5:L5"/>
    <mergeCell ref="A6:J6"/>
    <mergeCell ref="A8:G8"/>
    <mergeCell ref="A16:I16"/>
    <mergeCell ref="A18:J18"/>
    <mergeCell ref="A32:J32"/>
    <mergeCell ref="A51:I51"/>
    <mergeCell ref="A54:K54"/>
    <mergeCell ref="A57:N57"/>
    <mergeCell ref="A60:AH60"/>
    <mergeCell ref="A61:AK61"/>
    <mergeCell ref="A66:P66"/>
    <mergeCell ref="A67:I67"/>
    <mergeCell ref="A71:Y71"/>
    <mergeCell ref="A75:O75"/>
    <mergeCell ref="A79:S79"/>
    <mergeCell ref="A80:W80"/>
    <mergeCell ref="A82:Q82"/>
    <mergeCell ref="A83:M83"/>
    <mergeCell ref="A86:L86"/>
    <mergeCell ref="A88:AH88"/>
    <mergeCell ref="A90:K90"/>
    <mergeCell ref="A91:J91"/>
    <mergeCell ref="A93:J93"/>
    <mergeCell ref="A98:L98"/>
    <mergeCell ref="A103:K103"/>
    <mergeCell ref="A105:K105"/>
    <mergeCell ref="A112:N112"/>
    <mergeCell ref="A113:J113"/>
    <mergeCell ref="A118:Q118"/>
    <mergeCell ref="A119:K119"/>
    <mergeCell ref="A126:U126"/>
    <mergeCell ref="A127:O127"/>
    <mergeCell ref="A130:AF130"/>
    <mergeCell ref="A131:S131"/>
    <mergeCell ref="A132:AC132"/>
    <mergeCell ref="A136:J1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77"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131</v>
      </c>
      <c r="B1" s="11"/>
      <c r="C1" s="11"/>
      <c r="D1" s="11"/>
      <c r="E1" s="11"/>
      <c r="F1" s="11"/>
      <c r="G1" s="11"/>
      <c r="H1" s="11"/>
    </row>
    <row r="3" customFormat="false" ht="15.5" hidden="false" customHeight="false" outlineLevel="0" collapsed="false">
      <c r="A3" s="12" t="s">
        <v>132</v>
      </c>
      <c r="B3" s="12"/>
      <c r="C3" s="12"/>
      <c r="D3" s="13"/>
      <c r="E3" s="13"/>
      <c r="F3" s="13"/>
      <c r="G3" s="13"/>
      <c r="H3" s="13"/>
    </row>
    <row r="4" customFormat="false" ht="15" hidden="false" customHeight="false" outlineLevel="0" collapsed="false">
      <c r="A4" s="14" t="s">
        <v>133</v>
      </c>
      <c r="B4" s="14" t="s">
        <v>134</v>
      </c>
      <c r="C4" s="14"/>
      <c r="D4" s="14"/>
    </row>
    <row r="5" customFormat="false" ht="16" hidden="false" customHeight="false" outlineLevel="0" collapsed="false">
      <c r="A5" s="10" t="s">
        <v>135</v>
      </c>
      <c r="B5" s="15" t="s">
        <v>136</v>
      </c>
      <c r="C5" s="16" t="s">
        <v>137</v>
      </c>
      <c r="D5" s="16"/>
    </row>
    <row r="6" customFormat="false" ht="16" hidden="false" customHeight="false" outlineLevel="0" collapsed="false">
      <c r="A6" s="10" t="s">
        <v>138</v>
      </c>
      <c r="B6" s="10" t="s">
        <v>139</v>
      </c>
      <c r="C6" s="10" t="s">
        <v>140</v>
      </c>
    </row>
    <row r="7" customFormat="false" ht="15" hidden="false" customHeight="false" outlineLevel="0" collapsed="false">
      <c r="A7" s="10" t="s">
        <v>141</v>
      </c>
      <c r="B7" s="10" t="s">
        <v>142</v>
      </c>
      <c r="C7" s="16" t="s">
        <v>143</v>
      </c>
      <c r="D7" s="16"/>
    </row>
    <row r="8" customFormat="false" ht="15" hidden="false" customHeight="false" outlineLevel="0" collapsed="false">
      <c r="A8" s="15" t="s">
        <v>144</v>
      </c>
      <c r="B8" s="10" t="s">
        <v>145</v>
      </c>
      <c r="C8" s="10" t="s">
        <v>146</v>
      </c>
    </row>
    <row r="9" customFormat="false" ht="16" hidden="false" customHeight="false" outlineLevel="0" collapsed="false">
      <c r="A9" s="15" t="s">
        <v>147</v>
      </c>
      <c r="B9" s="10" t="s">
        <v>148</v>
      </c>
      <c r="C9" s="16" t="s">
        <v>149</v>
      </c>
      <c r="D9" s="16"/>
      <c r="E9" s="16"/>
    </row>
    <row r="11" customFormat="false" ht="15.5" hidden="false" customHeight="false" outlineLevel="0" collapsed="false">
      <c r="A11" s="12" t="s">
        <v>150</v>
      </c>
      <c r="B11" s="12"/>
      <c r="C11" s="12"/>
      <c r="D11" s="13"/>
      <c r="E11" s="13"/>
      <c r="F11" s="13"/>
      <c r="G11" s="13"/>
      <c r="H11" s="13"/>
    </row>
    <row r="12" customFormat="false" ht="15" hidden="false" customHeight="false" outlineLevel="0" collapsed="false">
      <c r="A12" s="14" t="s">
        <v>151</v>
      </c>
      <c r="B12" s="14" t="s">
        <v>15</v>
      </c>
      <c r="C12" s="14"/>
      <c r="D12" s="14"/>
    </row>
    <row r="13" customFormat="false" ht="16" hidden="false" customHeight="false" outlineLevel="0" collapsed="false">
      <c r="A13" s="10" t="s">
        <v>152</v>
      </c>
      <c r="B13" s="16" t="s">
        <v>153</v>
      </c>
      <c r="C13" s="16"/>
      <c r="D13" s="16"/>
      <c r="E13" s="16"/>
      <c r="F13" s="16"/>
      <c r="G13" s="16"/>
      <c r="H13" s="16"/>
    </row>
    <row r="14" customFormat="false" ht="16" hidden="false" customHeight="false" outlineLevel="0" collapsed="false">
      <c r="A14" s="10" t="s">
        <v>154</v>
      </c>
      <c r="B14" s="16" t="s">
        <v>155</v>
      </c>
      <c r="C14" s="16"/>
      <c r="D14" s="16"/>
      <c r="E14" s="16"/>
      <c r="F14" s="16"/>
      <c r="G14" s="16"/>
      <c r="H14" s="16"/>
    </row>
    <row r="15" customFormat="false" ht="16" hidden="false" customHeight="false" outlineLevel="0" collapsed="false">
      <c r="A15" s="10" t="s">
        <v>156</v>
      </c>
      <c r="B15" s="16" t="s">
        <v>157</v>
      </c>
      <c r="C15" s="16"/>
      <c r="D15" s="16"/>
      <c r="E15" s="16"/>
      <c r="F15" s="16"/>
      <c r="G15" s="16"/>
      <c r="H15" s="16"/>
    </row>
    <row r="16" customFormat="false" ht="15" hidden="false" customHeight="false" outlineLevel="0" collapsed="false">
      <c r="A16" s="10" t="s">
        <v>158</v>
      </c>
      <c r="B16" s="16" t="s">
        <v>159</v>
      </c>
      <c r="C16" s="16"/>
      <c r="D16" s="16"/>
      <c r="E16" s="16"/>
      <c r="F16" s="16"/>
      <c r="G16" s="16"/>
    </row>
    <row r="18" customFormat="false" ht="15.5" hidden="false" customHeight="false" outlineLevel="0" collapsed="false">
      <c r="A18" s="12" t="s">
        <v>160</v>
      </c>
      <c r="B18" s="12"/>
      <c r="C18" s="12"/>
      <c r="D18" s="12"/>
      <c r="E18" s="12"/>
      <c r="F18" s="12"/>
      <c r="G18" s="13"/>
      <c r="H18" s="13"/>
    </row>
    <row r="19" customFormat="false" ht="15.5" hidden="false" customHeight="false" outlineLevel="0" collapsed="false">
      <c r="A19" s="14" t="s">
        <v>138</v>
      </c>
      <c r="B19" s="14" t="s">
        <v>161</v>
      </c>
      <c r="C19" s="14" t="s">
        <v>162</v>
      </c>
      <c r="D19" s="14" t="s">
        <v>163</v>
      </c>
      <c r="E19" s="14" t="s">
        <v>164</v>
      </c>
      <c r="F19" s="14" t="s">
        <v>165</v>
      </c>
      <c r="G19" s="14" t="s">
        <v>166</v>
      </c>
      <c r="H19" s="14" t="s">
        <v>167</v>
      </c>
    </row>
    <row r="20" customFormat="false" ht="16" hidden="false" customHeight="false" outlineLevel="0" collapsed="false">
      <c r="A20" s="10" t="s">
        <v>168</v>
      </c>
      <c r="B20" s="17" t="n">
        <v>0.1157</v>
      </c>
      <c r="C20" s="38" t="n">
        <f aca="false">B20^3</f>
        <v>0.001548816893</v>
      </c>
      <c r="D20" s="19" t="n">
        <f aca="false">1/C20</f>
        <v>645.654114775981</v>
      </c>
      <c r="E20" s="20" t="n">
        <v>645</v>
      </c>
      <c r="F20" s="21" t="str">
        <f aca="false">IF(ABS(D20-E20)/E20&lt;0.02,"✓","✗")</f>
        <v>✓</v>
      </c>
      <c r="G20" s="20" t="n">
        <v>8</v>
      </c>
      <c r="H20" s="22" t="n">
        <f aca="false">C20*G20</f>
        <v>0.012390535144</v>
      </c>
    </row>
    <row r="21" customFormat="false" ht="16" hidden="false" customHeight="false" outlineLevel="0" collapsed="false">
      <c r="A21" s="10" t="s">
        <v>169</v>
      </c>
      <c r="B21" s="17" t="n">
        <v>0.0964</v>
      </c>
      <c r="C21" s="38" t="n">
        <f aca="false">B21^3</f>
        <v>0.000895841344</v>
      </c>
      <c r="D21" s="19" t="n">
        <f aca="false">1/C21</f>
        <v>1116.2690879335</v>
      </c>
      <c r="E21" s="20" t="n">
        <v>1116</v>
      </c>
      <c r="F21" s="21" t="str">
        <f aca="false">IF(ABS(D21-E21)/E21&lt;0.02,"✓","✗")</f>
        <v>✓</v>
      </c>
      <c r="G21" s="20" t="n">
        <v>4</v>
      </c>
      <c r="H21" s="22" t="n">
        <f aca="false">C21*G21</f>
        <v>0.003583365376</v>
      </c>
    </row>
    <row r="22" customFormat="false" ht="16" hidden="false" customHeight="false" outlineLevel="0" collapsed="false">
      <c r="A22" s="10" t="s">
        <v>170</v>
      </c>
      <c r="B22" s="17" t="n">
        <v>0.0804</v>
      </c>
      <c r="C22" s="38" t="n">
        <f aca="false">B22^3</f>
        <v>0.000519718464</v>
      </c>
      <c r="D22" s="19" t="n">
        <f aca="false">1/C22</f>
        <v>1924.11867052697</v>
      </c>
      <c r="E22" s="20" t="n">
        <v>1924</v>
      </c>
      <c r="F22" s="21" t="str">
        <f aca="false">IF(ABS(D22-E22)/E22&lt;0.02,"✓","✗")</f>
        <v>✓</v>
      </c>
      <c r="G22" s="20" t="n">
        <v>2</v>
      </c>
      <c r="H22" s="22" t="n">
        <f aca="false">C22*G22</f>
        <v>0.001039436928</v>
      </c>
    </row>
    <row r="23" customFormat="false" ht="16" hidden="false" customHeight="false" outlineLevel="0" collapsed="false">
      <c r="A23" s="10" t="s">
        <v>171</v>
      </c>
      <c r="B23" s="17" t="n">
        <v>0.067</v>
      </c>
      <c r="C23" s="38" t="n">
        <f aca="false">B23^3</f>
        <v>0.000300763</v>
      </c>
      <c r="D23" s="19" t="n">
        <f aca="false">1/C23</f>
        <v>3324.87706267061</v>
      </c>
      <c r="E23" s="20" t="n">
        <v>3325</v>
      </c>
      <c r="F23" s="21" t="str">
        <f aca="false">IF(ABS(D23-E23)/E23&lt;0.02,"✓","✗")</f>
        <v>✓</v>
      </c>
      <c r="G23" s="20" t="n">
        <v>1</v>
      </c>
      <c r="H23" s="22" t="n">
        <f aca="false">C23*G23</f>
        <v>0.000300763</v>
      </c>
    </row>
    <row r="24" customFormat="false" ht="16" hidden="false" customHeight="false" outlineLevel="0" collapsed="false">
      <c r="A24" s="10" t="s">
        <v>172</v>
      </c>
      <c r="B24" s="39" t="n">
        <f aca="false">1-SUM(B20:B23)</f>
        <v>0.6405</v>
      </c>
      <c r="C24" s="10" t="s">
        <v>173</v>
      </c>
      <c r="D24" s="10" t="s">
        <v>173</v>
      </c>
      <c r="E24" s="10" t="s">
        <v>173</v>
      </c>
      <c r="G24" s="10" t="s">
        <v>173</v>
      </c>
      <c r="H24" s="10" t="s">
        <v>174</v>
      </c>
    </row>
    <row r="25" customFormat="false" ht="16" hidden="false" customHeight="false" outlineLevel="0" collapsed="false">
      <c r="A25" s="24" t="s">
        <v>175</v>
      </c>
      <c r="B25" s="39" t="n">
        <f aca="false">SUM(B20:B23)+B24</f>
        <v>1</v>
      </c>
      <c r="H25" s="10" t="s">
        <v>176</v>
      </c>
    </row>
    <row r="26" customFormat="false" ht="15.5" hidden="false" customHeight="true" outlineLevel="0" collapsed="false">
      <c r="A26" s="25" t="s">
        <v>177</v>
      </c>
      <c r="B26" s="25"/>
      <c r="C26" s="25"/>
      <c r="D26" s="25"/>
      <c r="E26" s="25"/>
      <c r="F26" s="25"/>
      <c r="G26" s="25"/>
      <c r="H26" s="25"/>
      <c r="I26" s="25"/>
      <c r="J26" s="25"/>
      <c r="K26" s="25"/>
      <c r="L26" s="25"/>
    </row>
    <row r="28" customFormat="false" ht="15.5" hidden="false" customHeight="false" outlineLevel="0" collapsed="false">
      <c r="A28" s="12" t="s">
        <v>178</v>
      </c>
      <c r="B28" s="12"/>
      <c r="C28" s="12"/>
      <c r="D28" s="13"/>
      <c r="E28" s="13"/>
      <c r="F28" s="13"/>
      <c r="G28" s="13"/>
      <c r="H28" s="13"/>
    </row>
    <row r="29" customFormat="false" ht="15" hidden="false" customHeight="false" outlineLevel="0" collapsed="false">
      <c r="A29" s="14" t="s">
        <v>133</v>
      </c>
      <c r="B29" s="14" t="s">
        <v>179</v>
      </c>
      <c r="C29" s="14" t="s">
        <v>127</v>
      </c>
      <c r="D29" s="14"/>
      <c r="E29" s="14"/>
      <c r="F29" s="14"/>
      <c r="G29" s="14"/>
      <c r="H29" s="14"/>
    </row>
    <row r="30" customFormat="false" ht="16" hidden="false" customHeight="false" outlineLevel="0" collapsed="false">
      <c r="A30" s="10" t="s">
        <v>180</v>
      </c>
      <c r="B30" s="26" t="n">
        <f aca="false">SUM(H20:H23)</f>
        <v>0.017314100448</v>
      </c>
      <c r="C30" s="10" t="s">
        <v>181</v>
      </c>
    </row>
    <row r="31" customFormat="false" ht="16" hidden="false" customHeight="false" outlineLevel="0" collapsed="false">
      <c r="A31" s="15" t="s">
        <v>182</v>
      </c>
      <c r="B31" s="27" t="n">
        <v>0.95</v>
      </c>
      <c r="C31" s="16" t="s">
        <v>183</v>
      </c>
      <c r="D31" s="16"/>
      <c r="E31" s="16"/>
      <c r="F31" s="16"/>
      <c r="G31" s="16"/>
      <c r="H31" s="16"/>
    </row>
    <row r="32" customFormat="false" ht="16" hidden="false" customHeight="false" outlineLevel="0" collapsed="false">
      <c r="A32" s="24" t="s">
        <v>184</v>
      </c>
      <c r="B32" s="22" t="n">
        <f aca="false">B30+B31</f>
        <v>0.967314100448</v>
      </c>
      <c r="C32" s="16" t="s">
        <v>185</v>
      </c>
      <c r="D32" s="16"/>
      <c r="E32" s="16"/>
      <c r="F32" s="16"/>
    </row>
    <row r="33" customFormat="false" ht="16" hidden="false" customHeight="false" outlineLevel="0" collapsed="false">
      <c r="A33" s="10" t="s">
        <v>186</v>
      </c>
      <c r="B33" s="28" t="n">
        <v>0.9651</v>
      </c>
      <c r="C33" s="16" t="s">
        <v>187</v>
      </c>
      <c r="D33" s="16"/>
    </row>
    <row r="34" customFormat="false" ht="16" hidden="false" customHeight="false" outlineLevel="0" collapsed="false">
      <c r="A34" s="10" t="s">
        <v>188</v>
      </c>
      <c r="B34" s="28" t="n">
        <v>0.9664</v>
      </c>
      <c r="C34" s="16" t="s">
        <v>189</v>
      </c>
      <c r="D34" s="16"/>
      <c r="E34" s="16"/>
    </row>
    <row r="36" customFormat="false" ht="15.5" hidden="false" customHeight="false" outlineLevel="0" collapsed="false">
      <c r="A36" s="12" t="s">
        <v>190</v>
      </c>
      <c r="B36" s="12"/>
      <c r="C36" s="12"/>
      <c r="D36" s="13"/>
      <c r="E36" s="13"/>
      <c r="F36" s="13"/>
      <c r="G36" s="13"/>
      <c r="H36" s="13"/>
    </row>
    <row r="37" customFormat="false" ht="15.5" hidden="false" customHeight="false" outlineLevel="0" collapsed="false">
      <c r="A37" s="14" t="s">
        <v>133</v>
      </c>
      <c r="B37" s="14" t="s">
        <v>191</v>
      </c>
      <c r="C37" s="14" t="s">
        <v>127</v>
      </c>
      <c r="D37" s="14"/>
    </row>
    <row r="38" customFormat="false" ht="16" hidden="false" customHeight="false" outlineLevel="0" collapsed="false">
      <c r="A38" s="10" t="s">
        <v>192</v>
      </c>
      <c r="B38" s="15" t="s">
        <v>193</v>
      </c>
      <c r="C38" s="10" t="s">
        <v>194</v>
      </c>
    </row>
    <row r="39" customFormat="false" ht="15" hidden="false" customHeight="false" outlineLevel="0" collapsed="false">
      <c r="A39" s="15" t="s">
        <v>195</v>
      </c>
      <c r="B39" s="15" t="s">
        <v>196</v>
      </c>
      <c r="C39" s="10" t="s">
        <v>194</v>
      </c>
    </row>
    <row r="40" customFormat="false" ht="16" hidden="false" customHeight="false" outlineLevel="0" collapsed="false">
      <c r="A40" s="15" t="s">
        <v>197</v>
      </c>
      <c r="B40" s="15" t="s">
        <v>198</v>
      </c>
      <c r="C40" s="16" t="s">
        <v>199</v>
      </c>
      <c r="D40" s="16"/>
      <c r="E40" s="16"/>
    </row>
    <row r="41" customFormat="false" ht="16" hidden="false" customHeight="false" outlineLevel="0" collapsed="false">
      <c r="A41" s="35">
        <v>28</v>
      </c>
      <c r="B41" s="15" t="s">
        <v>201</v>
      </c>
      <c r="C41" s="16" t="s">
        <v>202</v>
      </c>
      <c r="D41" s="16"/>
    </row>
    <row r="42" customFormat="false" ht="16" hidden="false" customHeight="false" outlineLevel="0" collapsed="false">
      <c r="A42" s="10" t="s">
        <v>203</v>
      </c>
      <c r="B42" s="10" t="s">
        <v>204</v>
      </c>
      <c r="C42" s="16" t="s">
        <v>205</v>
      </c>
      <c r="D42" s="16"/>
    </row>
    <row r="43" customFormat="false" ht="16" hidden="false" customHeight="false" outlineLevel="0" collapsed="false">
      <c r="A43" s="15" t="s">
        <v>206</v>
      </c>
      <c r="B43" s="36">
        <v>0.9642</v>
      </c>
      <c r="C43" s="16" t="s">
        <v>208</v>
      </c>
      <c r="D43" s="16"/>
    </row>
    <row r="44" customFormat="false" ht="16" hidden="false" customHeight="false" outlineLevel="0" collapsed="false">
      <c r="A44" s="15" t="s">
        <v>209</v>
      </c>
      <c r="B44" s="36">
        <v>0.9677</v>
      </c>
      <c r="C44" s="16" t="s">
        <v>211</v>
      </c>
      <c r="D44" s="16"/>
    </row>
    <row r="46" customFormat="false" ht="15.5" hidden="false" customHeight="false" outlineLevel="0" collapsed="false">
      <c r="A46" s="12" t="s">
        <v>212</v>
      </c>
      <c r="B46" s="12"/>
      <c r="C46" s="12"/>
      <c r="D46" s="13"/>
      <c r="E46" s="13"/>
      <c r="F46" s="13"/>
      <c r="G46" s="13"/>
      <c r="H46" s="13"/>
    </row>
    <row r="47" customFormat="false" ht="15" hidden="false" customHeight="false" outlineLevel="0" collapsed="false">
      <c r="A47" s="14" t="s">
        <v>213</v>
      </c>
      <c r="B47" s="14" t="s">
        <v>214</v>
      </c>
      <c r="C47" s="14" t="s">
        <v>127</v>
      </c>
      <c r="D47" s="14"/>
      <c r="E47" s="14"/>
      <c r="F47" s="14"/>
      <c r="G47" s="14"/>
      <c r="H47" s="14"/>
    </row>
    <row r="48" customFormat="false" ht="16" hidden="false" customHeight="false" outlineLevel="0" collapsed="false">
      <c r="A48" s="10" t="s">
        <v>215</v>
      </c>
      <c r="B48" s="21" t="str">
        <f aca="false">IF(SUM(B20:B23)&lt;1,"✓","✗")</f>
        <v>✓</v>
      </c>
      <c r="C48" s="10" t="s">
        <v>216</v>
      </c>
    </row>
    <row r="49" customFormat="false" ht="16" hidden="false" customHeight="false" outlineLevel="0" collapsed="false">
      <c r="A49" s="10" t="s">
        <v>217</v>
      </c>
      <c r="B49" s="21" t="str">
        <f aca="false">IF(ABS(B25-1)&lt;0.000001,"✓","✗")</f>
        <v>✓</v>
      </c>
      <c r="C49" s="10" t="s">
        <v>181</v>
      </c>
    </row>
    <row r="50" customFormat="false" ht="16" hidden="false" customHeight="false" outlineLevel="0" collapsed="false">
      <c r="A50" s="10" t="s">
        <v>218</v>
      </c>
      <c r="B50" s="21" t="str">
        <f aca="false">IF(COUNTIF(F20:F23,"✓")=4,"✓","✗")</f>
        <v>✓</v>
      </c>
      <c r="C50" s="29" t="s">
        <v>219</v>
      </c>
      <c r="D50" s="29"/>
      <c r="E50" s="29"/>
    </row>
    <row r="51" customFormat="false" ht="16" hidden="false" customHeight="false" outlineLevel="0" collapsed="false">
      <c r="A51" s="10" t="s">
        <v>220</v>
      </c>
      <c r="B51" s="21" t="str">
        <f aca="false">IF(AND(B32&gt;=0.95,B32&lt;=0.97),"✓","✗")</f>
        <v>✓</v>
      </c>
      <c r="C51" s="10" t="s">
        <v>221</v>
      </c>
    </row>
    <row r="52" customFormat="false" ht="16" hidden="false" customHeight="false" outlineLevel="0" collapsed="false">
      <c r="A52" s="10" t="s">
        <v>222</v>
      </c>
      <c r="B52" s="21" t="str">
        <f aca="false">IF(ABS(0.9642-B32)&lt;0.02,"✓","✗")</f>
        <v>✓</v>
      </c>
      <c r="C52" s="29" t="s">
        <v>223</v>
      </c>
      <c r="D52" s="29"/>
      <c r="E52" s="29"/>
      <c r="F52" s="29"/>
    </row>
    <row r="54" customFormat="false" ht="15" hidden="false" customHeight="true" outlineLevel="0" collapsed="false">
      <c r="A54" s="25" t="s">
        <v>224</v>
      </c>
      <c r="B54" s="25"/>
      <c r="C54" s="25"/>
      <c r="D54" s="25"/>
      <c r="E54" s="25"/>
      <c r="F54" s="25"/>
      <c r="G54" s="25"/>
      <c r="H54" s="25"/>
    </row>
  </sheetData>
  <mergeCells count="27">
    <mergeCell ref="A1:H1"/>
    <mergeCell ref="A3:C3"/>
    <mergeCell ref="C5:D5"/>
    <mergeCell ref="C7:D7"/>
    <mergeCell ref="C9:E9"/>
    <mergeCell ref="A11:C11"/>
    <mergeCell ref="B13:H13"/>
    <mergeCell ref="B14:H14"/>
    <mergeCell ref="B15:H15"/>
    <mergeCell ref="B16:G16"/>
    <mergeCell ref="A18:F18"/>
    <mergeCell ref="A26:L26"/>
    <mergeCell ref="A28:C28"/>
    <mergeCell ref="C31:H31"/>
    <mergeCell ref="C32:F32"/>
    <mergeCell ref="C33:D33"/>
    <mergeCell ref="C34:E34"/>
    <mergeCell ref="A36:C36"/>
    <mergeCell ref="C40:E40"/>
    <mergeCell ref="C41:D41"/>
    <mergeCell ref="C42:D42"/>
    <mergeCell ref="C43:D43"/>
    <mergeCell ref="C44:D44"/>
    <mergeCell ref="A46:C46"/>
    <mergeCell ref="C50:E50"/>
    <mergeCell ref="C52:F52"/>
    <mergeCell ref="A54:H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Q74"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2026-09-29T15:06:27Z</dcterms:created>
  <dc:creator>openpyxl</dc:creator>
  <dc:description/>
  <dc:language>zh-CN</dc:language>
  <cp:lastModifiedBy/>
  <dcterms:modified xsi:type="dcterms:W3CDTF">2026-09-29T15:06:27Z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