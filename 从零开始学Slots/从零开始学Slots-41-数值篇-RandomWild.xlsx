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<sst xmlns="http://schemas.openxmlformats.org/spreadsheetml/2006/main" count="233" uniqueCount="197">
  <si>
    <r>
      <rPr>
        <b val="true"/>
        <sz val="14"/>
        <color rgb="FF1F4E79"/>
        <rFont val="Noto Sans SC"/>
        <family val="2"/>
        <charset val="134"/>
      </rPr>
      <t xml:space="preserve">从零开始学</t>
    </r>
    <r>
      <rPr>
        <b val="true"/>
        <sz val="14"/>
        <color rgb="FF1F4E79"/>
        <rFont val="Cambria"/>
        <family val="0"/>
        <charset val="1"/>
      </rPr>
      <t xml:space="preserve">Slots 41 —— </t>
    </r>
    <r>
      <rPr>
        <b val="true"/>
        <sz val="14"/>
        <color rgb="FF1F4E79"/>
        <rFont val="Noto Sans SC"/>
        <family val="2"/>
        <charset val="134"/>
      </rPr>
      <t xml:space="preserve">数值篇：</t>
    </r>
    <r>
      <rPr>
        <b val="true"/>
        <sz val="14"/>
        <color rgb="FF1F4E79"/>
        <rFont val="Cambria"/>
        <family val="0"/>
        <charset val="1"/>
      </rPr>
      <t xml:space="preserve">Random Wild</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</si>
  <si>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Random Wild</t>
    </r>
    <r>
      <rPr>
        <sz val="11"/>
        <color rgb="FF808080"/>
        <rFont val="Noto Sans SC"/>
        <family val="2"/>
        <charset val="134"/>
      </rPr>
      <t xml:space="preserve">》  </t>
    </r>
    <r>
      <rPr>
        <sz val="11"/>
        <color rgb="FF808080"/>
        <rFont val="Cambria"/>
        <family val="0"/>
        <charset val="1"/>
      </rPr>
      <t xml:space="preserve">https://zhuanlan.zhihu.com/p/638130127</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</si>
  <si>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</si>
  <si>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</si>
  <si>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</si>
  <si>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配表说明：分类思路（</t>
    </r>
    <r>
      <rPr>
        <sz val="11"/>
        <color rgb="FF808080"/>
        <rFont val="Cambria"/>
        <family val="0"/>
        <charset val="1"/>
      </rPr>
      <t xml:space="preserve">16 </t>
    </r>
    <r>
      <rPr>
        <sz val="11"/>
        <color rgb="FF808080"/>
        <rFont val="Noto Sans SC"/>
        <family val="2"/>
        <charset val="134"/>
      </rPr>
      <t xml:space="preserve">类 </t>
    </r>
    <r>
      <rPr>
        <sz val="11"/>
        <color rgb="FF808080"/>
        <rFont val="Cambria"/>
        <family val="0"/>
        <charset val="1"/>
      </rPr>
      <t xml:space="preserve">× 32 </t>
    </r>
    <r>
      <rPr>
        <sz val="11"/>
        <color rgb="FF808080"/>
        <rFont val="Noto Sans SC"/>
        <family val="2"/>
        <charset val="134"/>
      </rPr>
      <t xml:space="preserve">种 ＝ </t>
    </r>
    <r>
      <rPr>
        <sz val="11"/>
        <color rgb="FF808080"/>
        <rFont val="Cambria"/>
        <family val="0"/>
        <charset val="1"/>
      </rPr>
      <t xml:space="preserve">512 </t>
    </r>
    <r>
      <rPr>
        <sz val="11"/>
        <color rgb="FF808080"/>
        <rFont val="Noto Sans SC"/>
        <family val="2"/>
        <charset val="134"/>
      </rPr>
      <t xml:space="preserve">类）、</t>
    </r>
    <r>
      <rPr>
        <sz val="11"/>
        <color rgb="FF808080"/>
        <rFont val="Cambria"/>
        <family val="0"/>
        <charset val="1"/>
      </rPr>
      <t xml:space="preserve">3*3 </t>
    </r>
    <r>
      <rPr>
        <sz val="11"/>
        <color rgb="FF808080"/>
        <rFont val="Noto Sans SC"/>
        <family val="2"/>
        <charset val="134"/>
      </rPr>
      <t xml:space="preserve">的 </t>
    </r>
    <r>
      <rPr>
        <sz val="11"/>
        <color rgb="FF808080"/>
        <rFont val="Cambria"/>
        <family val="0"/>
        <charset val="1"/>
      </rPr>
      <t xml:space="preserve">8 </t>
    </r>
    <r>
      <rPr>
        <sz val="11"/>
        <color rgb="FF808080"/>
        <rFont val="Noto Sans SC"/>
        <family val="2"/>
        <charset val="134"/>
      </rPr>
      <t xml:space="preserve">种分布、「事件数 ＝ </t>
    </r>
    <r>
      <rPr>
        <sz val="11"/>
        <color rgb="FF808080"/>
        <rFont val="Cambria"/>
        <family val="0"/>
        <charset val="1"/>
      </rPr>
      <t xml:space="preserve">COMBIN(9,k)</t>
    </r>
    <r>
      <rPr>
        <sz val="11"/>
        <color rgb="FF808080"/>
        <rFont val="Noto Sans SC"/>
        <family val="2"/>
        <charset val="134"/>
      </rPr>
      <t xml:space="preserve">，按线上分布拆成 </t>
    </r>
    <r>
      <rPr>
        <sz val="11"/>
        <color rgb="FF808080"/>
        <rFont val="Cambria"/>
        <family val="0"/>
        <charset val="1"/>
      </rPr>
      <t xml:space="preserve">COMBIN(6,k−j)</t>
    </r>
    <r>
      <rPr>
        <sz val="11"/>
        <color rgb="FF808080"/>
        <rFont val="Noto Sans SC"/>
        <family val="2"/>
        <charset val="134"/>
      </rPr>
      <t xml:space="preserve">」等要点全部取自原文；</t>
    </r>
  </si>
  <si>
    <r>
      <rPr>
        <sz val="11"/>
        <color rgb="FF808080"/>
        <rFont val="Noto Sans SC"/>
        <family val="2"/>
        <charset val="134"/>
      </rPr>
      <t xml:space="preserve">各分布的 </t>
    </r>
    <r>
      <rPr>
        <sz val="11"/>
        <color rgb="FF808080"/>
        <rFont val="Cambria"/>
        <family val="0"/>
        <charset val="1"/>
      </rPr>
      <t xml:space="preserve">RTP </t>
    </r>
    <r>
      <rPr>
        <sz val="11"/>
        <color rgb="FF808080"/>
        <rFont val="Noto Sans SC"/>
        <family val="2"/>
        <charset val="134"/>
      </rPr>
      <t xml:space="preserve">原文在配图中，本表用示意值（蓝字可改），但分布几率由公式精确算出，并自检「同一 </t>
    </r>
    <r>
      <rPr>
        <sz val="11"/>
        <color rgb="FF808080"/>
        <rFont val="Cambria"/>
        <family val="0"/>
        <charset val="1"/>
      </rPr>
      <t xml:space="preserve">k </t>
    </r>
    <r>
      <rPr>
        <sz val="11"/>
        <color rgb="FF808080"/>
        <rFont val="Noto Sans SC"/>
        <family val="2"/>
        <charset val="134"/>
      </rPr>
      <t xml:space="preserve">下 </t>
    </r>
    <r>
      <rPr>
        <sz val="11"/>
        <color rgb="FF808080"/>
        <rFont val="Cambria"/>
        <family val="0"/>
        <charset val="1"/>
      </rPr>
      <t xml:space="preserve">8 </t>
    </r>
    <r>
      <rPr>
        <sz val="11"/>
        <color rgb="FF808080"/>
        <rFont val="Noto Sans SC"/>
        <family val="2"/>
        <charset val="134"/>
      </rPr>
      <t xml:space="preserve">种分布几率之和 ＝ </t>
    </r>
    <r>
      <rPr>
        <sz val="11"/>
        <color rgb="FF808080"/>
        <rFont val="Cambria"/>
        <family val="0"/>
        <charset val="1"/>
      </rPr>
      <t xml:space="preserve">100%</t>
    </r>
    <r>
      <rPr>
        <sz val="11"/>
        <color rgb="FF808080"/>
        <rFont val="Noto Sans SC"/>
        <family val="2"/>
        <charset val="134"/>
      </rPr>
      <t xml:space="preserve">」。</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</si>
  <si>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</si>
  <si>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</si>
  <si>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</si>
  <si>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</si>
  <si>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images/slots/638130127-NN.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</si>
  <si>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</si>
  <si>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</si>
  <si>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</si>
  <si>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Random Wild</t>
    </r>
    <r>
      <rPr>
        <sz val="11"/>
        <color theme="1"/>
        <rFont val="Noto Sans SC"/>
        <family val="2"/>
        <charset val="134"/>
      </rPr>
      <t xml:space="preserve">（又叫 </t>
    </r>
    <r>
      <rPr>
        <sz val="11"/>
        <color theme="1"/>
        <rFont val="Calibri"/>
        <family val="2"/>
        <charset val="1"/>
      </rPr>
      <t xml:space="preserve">Additional Wild</t>
    </r>
    <r>
      <rPr>
        <sz val="11"/>
        <color theme="1"/>
        <rFont val="Noto Sans SC"/>
        <family val="2"/>
        <charset val="134"/>
      </rPr>
      <t xml:space="preserve">）：摇奖结束后，用 </t>
    </r>
    <r>
      <rPr>
        <sz val="11"/>
        <color theme="1"/>
        <rFont val="Calibri"/>
        <family val="2"/>
        <charset val="1"/>
      </rPr>
      <t xml:space="preserve">0~K </t>
    </r>
    <r>
      <rPr>
        <sz val="11"/>
        <color theme="1"/>
        <rFont val="Noto Sans SC"/>
        <family val="2"/>
        <charset val="134"/>
      </rPr>
      <t xml:space="preserve">个百搭图标</t>
    </r>
    <r>
      <rPr>
        <sz val="11"/>
        <color theme="1"/>
        <rFont val="Calibri"/>
        <family val="2"/>
        <charset val="1"/>
      </rPr>
      <t xml:space="preserve">**</t>
    </r>
    <r>
      <rPr>
        <sz val="11"/>
        <color theme="1"/>
        <rFont val="Noto Sans SC"/>
        <family val="2"/>
        <charset val="134"/>
      </rPr>
      <t xml:space="preserve">不重复地</t>
    </r>
    <r>
      <rPr>
        <sz val="11"/>
        <color theme="1"/>
        <rFont val="Calibri"/>
        <family val="2"/>
        <charset val="1"/>
      </rPr>
      <t xml:space="preserve">**</t>
    </r>
    <r>
      <rPr>
        <sz val="11"/>
        <color theme="1"/>
        <rFont val="Noto Sans SC"/>
        <family val="2"/>
        <charset val="134"/>
      </rPr>
      <t xml:space="preserve">覆盖卷轴上的任意位置；</t>
    </r>
  </si>
  <si>
    <t xml:space="preserve">  它与摇奖本身无关，因此数值上必须在「图标出现几率」之外再配一套几率体系。</t>
  </si>
  <si>
    <r>
      <rPr>
        <sz val="11"/>
        <color theme="1"/>
        <rFont val="Calibri"/>
        <family val="2"/>
        <charset val="1"/>
      </rPr>
      <t xml:space="preserve">· </t>
    </r>
    <r>
      <rPr>
        <sz val="11"/>
        <color theme="1"/>
        <rFont val="Noto Sans SC"/>
        <family val="2"/>
        <charset val="134"/>
      </rPr>
      <t xml:space="preserve">难点是情况数爆炸：</t>
    </r>
    <r>
      <rPr>
        <sz val="11"/>
        <color theme="1"/>
        <rFont val="Calibri"/>
        <family val="2"/>
        <charset val="1"/>
      </rPr>
      <t xml:space="preserve">3*5 </t>
    </r>
    <r>
      <rPr>
        <sz val="11"/>
        <color theme="1"/>
        <rFont val="Noto Sans SC"/>
        <family val="2"/>
        <charset val="134"/>
      </rPr>
      <t xml:space="preserve">卷轴每个位置「被覆盖 </t>
    </r>
    <r>
      <rPr>
        <sz val="11"/>
        <color theme="1"/>
        <rFont val="Calibri"/>
        <family val="2"/>
        <charset val="1"/>
      </rPr>
      <t xml:space="preserve">/ </t>
    </r>
    <r>
      <rPr>
        <sz val="11"/>
        <color theme="1"/>
        <rFont val="Noto Sans SC"/>
        <family val="2"/>
        <charset val="134"/>
      </rPr>
      <t xml:space="preserve">不被覆盖」→ </t>
    </r>
    <r>
      <rPr>
        <sz val="11"/>
        <color theme="1"/>
        <rFont val="Calibri"/>
        <family val="2"/>
        <charset val="1"/>
      </rPr>
      <t xml:space="preserve">2¹⁵ </t>
    </r>
    <r>
      <rPr>
        <sz val="11"/>
        <color theme="1"/>
        <rFont val="Noto Sans SC"/>
        <family val="2"/>
        <charset val="134"/>
      </rPr>
      <t xml:space="preserve">＝ </t>
    </r>
    <r>
      <rPr>
        <sz val="11"/>
        <color theme="1"/>
        <rFont val="Calibri"/>
        <family val="2"/>
        <charset val="1"/>
      </rPr>
      <t xml:space="preserve">32,768 </t>
    </r>
    <r>
      <rPr>
        <sz val="11"/>
        <color theme="1"/>
        <rFont val="Noto Sans SC"/>
        <family val="2"/>
        <charset val="134"/>
      </rPr>
      <t xml:space="preserve">种；</t>
    </r>
  </si>
  <si>
    <t xml:space="preserve">  尺寸更大就更多，所以必须分类。</t>
  </si>
  <si>
    <r>
      <rPr>
        <sz val="11"/>
        <color theme="1"/>
        <rFont val="Calibri"/>
        <family val="2"/>
        <charset val="1"/>
      </rPr>
      <t xml:space="preserve">· </t>
    </r>
    <r>
      <rPr>
        <sz val="11"/>
        <color theme="1"/>
        <rFont val="Noto Sans SC"/>
        <family val="2"/>
        <charset val="134"/>
      </rPr>
      <t xml:space="preserve">分类依据（原文）：① 图标个数（</t>
    </r>
    <r>
      <rPr>
        <sz val="11"/>
        <color theme="1"/>
        <rFont val="Calibri"/>
        <family val="2"/>
        <charset val="1"/>
      </rPr>
      <t xml:space="preserve">3*5 </t>
    </r>
    <r>
      <rPr>
        <sz val="11"/>
        <color theme="1"/>
        <rFont val="Noto Sans SC"/>
        <family val="2"/>
        <charset val="134"/>
      </rPr>
      <t xml:space="preserve">时为 </t>
    </r>
    <r>
      <rPr>
        <sz val="11"/>
        <color theme="1"/>
        <rFont val="Calibri"/>
        <family val="2"/>
        <charset val="1"/>
      </rPr>
      <t xml:space="preserve">0~15</t>
    </r>
    <r>
      <rPr>
        <sz val="11"/>
        <color theme="1"/>
        <rFont val="Noto Sans SC"/>
        <family val="2"/>
        <charset val="134"/>
      </rPr>
      <t xml:space="preserve">，共 </t>
    </r>
    <r>
      <rPr>
        <sz val="11"/>
        <color theme="1"/>
        <rFont val="Calibri"/>
        <family val="2"/>
        <charset val="1"/>
      </rPr>
      <t xml:space="preserve">16 </t>
    </r>
    <r>
      <rPr>
        <sz val="11"/>
        <color theme="1"/>
        <rFont val="Noto Sans SC"/>
        <family val="2"/>
        <charset val="134"/>
      </rPr>
      <t xml:space="preserve">类）；</t>
    </r>
  </si>
  <si>
    <r>
      <rPr>
        <sz val="11"/>
        <color theme="1"/>
        <rFont val="Noto Sans SC"/>
        <family val="2"/>
        <charset val="134"/>
      </rPr>
      <t xml:space="preserve">  ② 图标在</t>
    </r>
    <r>
      <rPr>
        <sz val="11"/>
        <color theme="1"/>
        <rFont val="Calibri"/>
        <family val="2"/>
        <charset val="1"/>
      </rPr>
      <t xml:space="preserve">**</t>
    </r>
    <r>
      <rPr>
        <sz val="11"/>
        <color theme="1"/>
        <rFont val="Noto Sans SC"/>
        <family val="2"/>
        <charset val="134"/>
      </rPr>
      <t xml:space="preserve">中奖线上</t>
    </r>
    <r>
      <rPr>
        <sz val="11"/>
        <color theme="1"/>
        <rFont val="Calibri"/>
        <family val="2"/>
        <charset val="1"/>
      </rPr>
      <t xml:space="preserve">**</t>
    </r>
    <r>
      <rPr>
        <sz val="11"/>
        <color theme="1"/>
        <rFont val="Noto Sans SC"/>
        <family val="2"/>
        <charset val="134"/>
      </rPr>
      <t xml:space="preserve">的分布（多线玩法只聚焦一条中奖线 ⇒ </t>
    </r>
    <r>
      <rPr>
        <sz val="11"/>
        <color theme="1"/>
        <rFont val="Calibri"/>
        <family val="2"/>
        <charset val="1"/>
      </rPr>
      <t xml:space="preserve">5 </t>
    </r>
    <r>
      <rPr>
        <sz val="11"/>
        <color theme="1"/>
        <rFont val="Noto Sans SC"/>
        <family val="2"/>
        <charset val="134"/>
      </rPr>
      <t xml:space="preserve">列只有 </t>
    </r>
    <r>
      <rPr>
        <sz val="11"/>
        <color theme="1"/>
        <rFont val="Calibri"/>
        <family val="2"/>
        <charset val="1"/>
      </rPr>
      <t xml:space="preserve">32 </t>
    </r>
    <r>
      <rPr>
        <sz val="11"/>
        <color theme="1"/>
        <rFont val="Noto Sans SC"/>
        <family val="2"/>
        <charset val="134"/>
      </rPr>
      <t xml:space="preserve">种）→ </t>
    </r>
    <r>
      <rPr>
        <sz val="11"/>
        <color theme="1"/>
        <rFont val="Calibri"/>
        <family val="2"/>
        <charset val="1"/>
      </rPr>
      <t xml:space="preserve">32 × 16 </t>
    </r>
    <r>
      <rPr>
        <sz val="11"/>
        <color theme="1"/>
        <rFont val="Noto Sans SC"/>
        <family val="2"/>
        <charset val="134"/>
      </rPr>
      <t xml:space="preserve">＝ </t>
    </r>
    <r>
      <rPr>
        <sz val="11"/>
        <color theme="1"/>
        <rFont val="Calibri"/>
        <family val="2"/>
        <charset val="1"/>
      </rPr>
      <t xml:space="preserve">512 </t>
    </r>
    <r>
      <rPr>
        <sz val="11"/>
        <color theme="1"/>
        <rFont val="Noto Sans SC"/>
        <family val="2"/>
        <charset val="134"/>
      </rPr>
      <t xml:space="preserve">类。</t>
    </r>
  </si>
  <si>
    <r>
      <rPr>
        <sz val="11"/>
        <color theme="1"/>
        <rFont val="Calibri"/>
        <family val="2"/>
        <charset val="1"/>
      </rPr>
      <t xml:space="preserve">· 3*3 </t>
    </r>
    <r>
      <rPr>
        <sz val="11"/>
        <color theme="1"/>
        <rFont val="Noto Sans SC"/>
        <family val="2"/>
        <charset val="134"/>
      </rPr>
      <t xml:space="preserve">示例：中奖线只有 </t>
    </r>
    <r>
      <rPr>
        <sz val="11"/>
        <color theme="1"/>
        <rFont val="Calibri"/>
        <family val="2"/>
        <charset val="1"/>
      </rPr>
      <t xml:space="preserve">3 </t>
    </r>
    <r>
      <rPr>
        <sz val="11"/>
        <color theme="1"/>
        <rFont val="Noto Sans SC"/>
        <family val="2"/>
        <charset val="134"/>
      </rPr>
      <t xml:space="preserve">个位置 → </t>
    </r>
    <r>
      <rPr>
        <sz val="11"/>
        <color theme="1"/>
        <rFont val="Calibri"/>
        <family val="2"/>
        <charset val="1"/>
      </rPr>
      <t xml:space="preserve">8 </t>
    </r>
    <r>
      <rPr>
        <sz val="11"/>
        <color theme="1"/>
        <rFont val="Noto Sans SC"/>
        <family val="2"/>
        <charset val="134"/>
      </rPr>
      <t xml:space="preserve">种分布（</t>
    </r>
    <r>
      <rPr>
        <sz val="11"/>
        <color theme="1"/>
        <rFont val="Calibri"/>
        <family val="2"/>
        <charset val="1"/>
      </rPr>
      <t xml:space="preserve">Case1~Case8</t>
    </r>
    <r>
      <rPr>
        <sz val="11"/>
        <color theme="1"/>
        <rFont val="Noto Sans SC"/>
        <family val="2"/>
        <charset val="134"/>
      </rPr>
      <t xml:space="preserve">），计算量小得多；</t>
    </r>
  </si>
  <si>
    <r>
      <rPr>
        <sz val="11"/>
        <color theme="1"/>
        <rFont val="Noto Sans SC"/>
        <family val="2"/>
        <charset val="134"/>
      </rPr>
      <t xml:space="preserve">  但流程与 </t>
    </r>
    <r>
      <rPr>
        <sz val="11"/>
        <color theme="1"/>
        <rFont val="Calibri"/>
        <family val="2"/>
        <charset val="1"/>
      </rPr>
      <t xml:space="preserve">3*5 </t>
    </r>
    <r>
      <rPr>
        <sz val="11"/>
        <color theme="1"/>
        <rFont val="Noto Sans SC"/>
        <family val="2"/>
        <charset val="134"/>
      </rPr>
      <t xml:space="preserve">完全一致，只是 </t>
    </r>
    <r>
      <rPr>
        <sz val="11"/>
        <color theme="1"/>
        <rFont val="Calibri"/>
        <family val="2"/>
        <charset val="1"/>
      </rPr>
      <t xml:space="preserve">3*5 </t>
    </r>
    <r>
      <rPr>
        <sz val="11"/>
        <color theme="1"/>
        <rFont val="Noto Sans SC"/>
        <family val="2"/>
        <charset val="134"/>
      </rPr>
      <t xml:space="preserve">还要多考虑几种中奖组合。</t>
    </r>
  </si>
  <si>
    <r>
      <rPr>
        <sz val="11"/>
        <color theme="1"/>
        <rFont val="Calibri"/>
        <family val="2"/>
        <charset val="1"/>
      </rPr>
      <t xml:space="preserve">· </t>
    </r>
    <r>
      <rPr>
        <sz val="11"/>
        <color theme="1"/>
        <rFont val="Noto Sans SC"/>
        <family val="2"/>
        <charset val="134"/>
      </rPr>
      <t xml:space="preserve">示例设定：</t>
    </r>
    <r>
      <rPr>
        <sz val="11"/>
        <color theme="1"/>
        <rFont val="Calibri"/>
        <family val="2"/>
        <charset val="1"/>
      </rPr>
      <t xml:space="preserve">3*3</t>
    </r>
    <r>
      <rPr>
        <sz val="11"/>
        <color theme="1"/>
        <rFont val="Noto Sans SC"/>
        <family val="2"/>
        <charset val="134"/>
      </rPr>
      <t xml:space="preserve">，标准图标 </t>
    </r>
    <r>
      <rPr>
        <sz val="11"/>
        <color theme="1"/>
        <rFont val="Calibri"/>
        <family val="2"/>
        <charset val="1"/>
      </rPr>
      <t xml:space="preserve">9/10/J/Q/K </t>
    </r>
    <r>
      <rPr>
        <sz val="11"/>
        <color theme="1"/>
        <rFont val="Noto Sans SC"/>
        <family val="2"/>
        <charset val="134"/>
      </rPr>
      <t xml:space="preserve">＋ </t>
    </r>
    <r>
      <rPr>
        <sz val="11"/>
        <color theme="1"/>
        <rFont val="Calibri"/>
        <family val="2"/>
        <charset val="1"/>
      </rPr>
      <t xml:space="preserve">Wild</t>
    </r>
    <r>
      <rPr>
        <sz val="11"/>
        <color theme="1"/>
        <rFont val="Noto Sans SC"/>
        <family val="2"/>
        <charset val="134"/>
      </rPr>
      <t xml:space="preserve">；抽到 </t>
    </r>
    <r>
      <rPr>
        <sz val="11"/>
        <color theme="1"/>
        <rFont val="Calibri"/>
        <family val="2"/>
        <charset val="1"/>
      </rPr>
      <t xml:space="preserve">k </t>
    </r>
    <r>
      <rPr>
        <sz val="11"/>
        <color theme="1"/>
        <rFont val="Noto Sans SC"/>
        <family val="2"/>
        <charset val="134"/>
      </rPr>
      <t xml:space="preserve">个随机百搭就覆盖 </t>
    </r>
    <r>
      <rPr>
        <sz val="11"/>
        <color theme="1"/>
        <rFont val="Calibri"/>
        <family val="2"/>
        <charset val="1"/>
      </rPr>
      <t xml:space="preserve">k </t>
    </r>
    <r>
      <rPr>
        <sz val="11"/>
        <color theme="1"/>
        <rFont val="Noto Sans SC"/>
        <family val="2"/>
        <charset val="134"/>
      </rPr>
      <t xml:space="preserve">个不重复位置；</t>
    </r>
  </si>
  <si>
    <t xml:space="preserve">  因为卷轴本身也可能抽到百搭，所以会出现「百搭覆盖百搭」。</t>
  </si>
  <si>
    <r>
      <rPr>
        <sz val="11"/>
        <color theme="1"/>
        <rFont val="Calibri"/>
        <family val="2"/>
        <charset val="1"/>
      </rPr>
      <t xml:space="preserve">· </t>
    </r>
    <r>
      <rPr>
        <sz val="11"/>
        <color theme="1"/>
        <rFont val="Noto Sans SC"/>
        <family val="2"/>
        <charset val="134"/>
      </rPr>
      <t xml:space="preserve">分布几率算法：随机百搭个数固定为 </t>
    </r>
    <r>
      <rPr>
        <sz val="11"/>
        <color theme="1"/>
        <rFont val="Calibri"/>
        <family val="2"/>
        <charset val="1"/>
      </rPr>
      <t xml:space="preserve">k </t>
    </r>
    <r>
      <rPr>
        <sz val="11"/>
        <color theme="1"/>
        <rFont val="Noto Sans SC"/>
        <family val="2"/>
        <charset val="134"/>
      </rPr>
      <t xml:space="preserve">时，卷轴上的总事件数 ＝ </t>
    </r>
    <r>
      <rPr>
        <sz val="11"/>
        <color theme="1"/>
        <rFont val="Calibri"/>
        <family val="2"/>
        <charset val="1"/>
      </rPr>
      <t xml:space="preserve">COMBIN(9, k)</t>
    </r>
    <r>
      <rPr>
        <sz val="11"/>
        <color theme="1"/>
        <rFont val="Noto Sans SC"/>
        <family val="2"/>
        <charset val="134"/>
      </rPr>
      <t xml:space="preserve">；</t>
    </r>
  </si>
  <si>
    <r>
      <rPr>
        <sz val="11"/>
        <color theme="1"/>
        <rFont val="Noto Sans SC"/>
        <family val="2"/>
        <charset val="134"/>
      </rPr>
      <t xml:space="preserve">  某一种中奖线分布（线上被覆盖 </t>
    </r>
    <r>
      <rPr>
        <sz val="11"/>
        <color theme="1"/>
        <rFont val="Calibri"/>
        <family val="2"/>
        <charset val="1"/>
      </rPr>
      <t xml:space="preserve">j </t>
    </r>
    <r>
      <rPr>
        <sz val="11"/>
        <color theme="1"/>
        <rFont val="Noto Sans SC"/>
        <family val="2"/>
        <charset val="134"/>
      </rPr>
      <t xml:space="preserve">个位置）的事件数 ＝ </t>
    </r>
    <r>
      <rPr>
        <sz val="11"/>
        <color theme="1"/>
        <rFont val="Calibri"/>
        <family val="2"/>
        <charset val="1"/>
      </rPr>
      <t xml:space="preserve">COMBIN(9−3, k−j) </t>
    </r>
    <r>
      <rPr>
        <sz val="11"/>
        <color theme="1"/>
        <rFont val="Noto Sans SC"/>
        <family val="2"/>
        <charset val="134"/>
      </rPr>
      <t xml:space="preserve">＝ </t>
    </r>
    <r>
      <rPr>
        <sz val="11"/>
        <color theme="1"/>
        <rFont val="Calibri"/>
        <family val="2"/>
        <charset val="1"/>
      </rPr>
      <t xml:space="preserve">COMBIN(6, k−j)</t>
    </r>
    <r>
      <rPr>
        <sz val="11"/>
        <color theme="1"/>
        <rFont val="Noto Sans SC"/>
        <family val="2"/>
        <charset val="134"/>
      </rPr>
      <t xml:space="preserve">，</t>
    </r>
  </si>
  <si>
    <r>
      <rPr>
        <sz val="11"/>
        <color theme="1"/>
        <rFont val="Noto Sans SC"/>
        <family val="2"/>
        <charset val="134"/>
      </rPr>
      <t xml:space="preserve">  两者相除即该分布在该 </t>
    </r>
    <r>
      <rPr>
        <sz val="11"/>
        <color theme="1"/>
        <rFont val="Calibri"/>
        <family val="2"/>
        <charset val="1"/>
      </rPr>
      <t xml:space="preserve">k </t>
    </r>
    <r>
      <rPr>
        <sz val="11"/>
        <color theme="1"/>
        <rFont val="Noto Sans SC"/>
        <family val="2"/>
        <charset val="134"/>
      </rPr>
      <t xml:space="preserve">下的出现几率（同一 </t>
    </r>
    <r>
      <rPr>
        <sz val="11"/>
        <color theme="1"/>
        <rFont val="Calibri"/>
        <family val="2"/>
        <charset val="1"/>
      </rPr>
      <t xml:space="preserve">k </t>
    </r>
    <r>
      <rPr>
        <sz val="11"/>
        <color theme="1"/>
        <rFont val="Noto Sans SC"/>
        <family val="2"/>
        <charset val="134"/>
      </rPr>
      <t xml:space="preserve">下 </t>
    </r>
    <r>
      <rPr>
        <sz val="11"/>
        <color theme="1"/>
        <rFont val="Calibri"/>
        <family val="2"/>
        <charset val="1"/>
      </rPr>
      <t xml:space="preserve">8 </t>
    </r>
    <r>
      <rPr>
        <sz val="11"/>
        <color theme="1"/>
        <rFont val="Noto Sans SC"/>
        <family val="2"/>
        <charset val="134"/>
      </rPr>
      <t xml:space="preserve">种分布几率之和必为 </t>
    </r>
    <r>
      <rPr>
        <sz val="11"/>
        <color theme="1"/>
        <rFont val="Calibri"/>
        <family val="2"/>
        <charset val="1"/>
      </rPr>
      <t xml:space="preserve">1</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</si>
  <si>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各情况 </t>
    </r>
    <r>
      <rPr>
        <sz val="11"/>
        <color theme="1"/>
        <rFont val="Calibri"/>
        <family val="2"/>
        <charset val="1"/>
      </rPr>
      <t xml:space="preserve">RTP</t>
    </r>
    <r>
      <rPr>
        <sz val="11"/>
        <color theme="1"/>
        <rFont val="Noto Sans SC"/>
        <family val="2"/>
        <charset val="134"/>
      </rPr>
      <t xml:space="preserve">：哪个位置被覆盖，就把该位置的百搭出现几率设为 </t>
    </r>
    <r>
      <rPr>
        <sz val="11"/>
        <color theme="1"/>
        <rFont val="Calibri"/>
        <family val="2"/>
        <charset val="1"/>
      </rPr>
      <t xml:space="preserve">100%</t>
    </r>
    <r>
      <rPr>
        <sz val="11"/>
        <color theme="1"/>
        <rFont val="Noto Sans SC"/>
        <family val="2"/>
        <charset val="134"/>
      </rPr>
      <t xml:space="preserve">；</t>
    </r>
  </si>
  <si>
    <r>
      <rPr>
        <sz val="11"/>
        <color theme="1"/>
        <rFont val="Noto Sans SC"/>
        <family val="2"/>
        <charset val="134"/>
      </rPr>
      <t xml:space="preserve">  注意百搭本身没有赔付倍数，所以「整条线全是百搭」（</t>
    </r>
    <r>
      <rPr>
        <sz val="11"/>
        <color theme="1"/>
        <rFont val="Calibri"/>
        <family val="2"/>
        <charset val="1"/>
      </rPr>
      <t xml:space="preserve">Case8</t>
    </r>
    <r>
      <rPr>
        <sz val="11"/>
        <color theme="1"/>
        <rFont val="Noto Sans SC"/>
        <family val="2"/>
        <charset val="134"/>
      </rPr>
      <t xml:space="preserve">）的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</si>
  <si>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最后两步加权：① 同一 </t>
    </r>
    <r>
      <rPr>
        <sz val="11"/>
        <color theme="1"/>
        <rFont val="Calibri"/>
        <family val="2"/>
        <charset val="1"/>
      </rPr>
      <t xml:space="preserve">k </t>
    </r>
    <r>
      <rPr>
        <sz val="11"/>
        <color theme="1"/>
        <rFont val="Noto Sans SC"/>
        <family val="2"/>
        <charset val="134"/>
      </rPr>
      <t xml:space="preserve">下：</t>
    </r>
    <r>
      <rPr>
        <sz val="11"/>
        <color theme="1"/>
        <rFont val="Calibri"/>
        <family val="2"/>
        <charset val="1"/>
      </rPr>
      <t xml:space="preserve">Σ(8 </t>
    </r>
    <r>
      <rPr>
        <sz val="11"/>
        <color theme="1"/>
        <rFont val="Noto Sans SC"/>
        <family val="2"/>
        <charset val="134"/>
      </rPr>
      <t xml:space="preserve">种分布几率 </t>
    </r>
    <r>
      <rPr>
        <sz val="11"/>
        <color theme="1"/>
        <rFont val="Calibri"/>
        <family val="2"/>
        <charset val="1"/>
      </rPr>
      <t xml:space="preserve">× </t>
    </r>
    <r>
      <rPr>
        <sz val="11"/>
        <color theme="1"/>
        <rFont val="Noto Sans SC"/>
        <family val="2"/>
        <charset val="134"/>
      </rPr>
      <t xml:space="preserve">各自 </t>
    </r>
    <r>
      <rPr>
        <sz val="11"/>
        <color theme="1"/>
        <rFont val="Calibri"/>
        <family val="2"/>
        <charset val="1"/>
      </rPr>
      <t xml:space="preserve">RTP)</t>
    </r>
    <r>
      <rPr>
        <sz val="11"/>
        <color theme="1"/>
        <rFont val="Noto Sans SC"/>
        <family val="2"/>
        <charset val="134"/>
      </rPr>
      <t xml:space="preserve">；② 再按各 </t>
    </r>
    <r>
      <rPr>
        <sz val="11"/>
        <color theme="1"/>
        <rFont val="Calibri"/>
        <family val="2"/>
        <charset val="1"/>
      </rPr>
      <t xml:space="preserve">k </t>
    </r>
    <r>
      <rPr>
        <sz val="11"/>
        <color theme="1"/>
        <rFont val="Noto Sans SC"/>
        <family val="2"/>
        <charset val="134"/>
      </rPr>
      <t xml:space="preserve">的出现几率加权平均。</t>
    </r>
  </si>
  <si>
    <t xml:space="preserve">原文整理（全文，按原文小标题分段）</t>
  </si>
  <si>
    <r>
      <rPr>
        <sz val="11"/>
        <color theme="1"/>
        <rFont val="Noto Sans SC"/>
        <family val="2"/>
        <charset val="134"/>
      </rPr>
      <t xml:space="preserve">上篇介绍了随机百搭的基础机制和一些变种，本篇将从示例出发，介绍</t>
    </r>
    <r>
      <rPr>
        <sz val="11"/>
        <color theme="1"/>
        <rFont val="Calibri"/>
        <family val="2"/>
        <charset val="1"/>
      </rPr>
      <t xml:space="preserve">Random Wild</t>
    </r>
    <r>
      <rPr>
        <sz val="11"/>
        <color theme="1"/>
        <rFont val="Noto Sans SC"/>
        <family val="2"/>
        <charset val="134"/>
      </rPr>
      <t xml:space="preserve">的数值模型搭建步骤</t>
    </r>
  </si>
  <si>
    <r>
      <rPr>
        <sz val="11"/>
        <color theme="1"/>
        <rFont val="Noto Sans SC"/>
        <family val="2"/>
        <charset val="134"/>
      </rPr>
      <t xml:space="preserve">对</t>
    </r>
    <r>
      <rPr>
        <sz val="11"/>
        <color theme="1"/>
        <rFont val="Calibri"/>
        <family val="2"/>
        <charset val="1"/>
      </rPr>
      <t xml:space="preserve">Random Wild</t>
    </r>
    <r>
      <rPr>
        <sz val="11"/>
        <color theme="1"/>
        <rFont val="Noto Sans SC"/>
        <family val="2"/>
        <charset val="134"/>
      </rPr>
      <t xml:space="preserve">还不是很熟悉的话，可以点击下方链接查看机制介绍</t>
    </r>
  </si>
  <si>
    <r>
      <rPr>
        <sz val="11"/>
        <color theme="1"/>
        <rFont val="Noto Sans SC"/>
        <family val="2"/>
        <charset val="134"/>
      </rPr>
      <t xml:space="preserve">［内链卡片封面］</t>
    </r>
    <r>
      <rPr>
        <sz val="11"/>
        <color theme="1"/>
        <rFont val="Calibri"/>
        <family val="2"/>
        <charset val="1"/>
      </rPr>
      <t xml:space="preserve">638130127-01.png</t>
    </r>
  </si>
  <si>
    <r>
      <rPr>
        <sz val="11"/>
        <color theme="1"/>
        <rFont val="Noto Sans SC"/>
        <family val="2"/>
        <charset val="134"/>
      </rPr>
      <t xml:space="preserve">［原文内链卡片］《</t>
    </r>
    <r>
      <rPr>
        <sz val="11"/>
        <color theme="1"/>
        <rFont val="Calibri"/>
        <family val="2"/>
        <charset val="1"/>
      </rPr>
      <t xml:space="preserve">Slots</t>
    </r>
    <r>
      <rPr>
        <sz val="11"/>
        <color theme="1"/>
        <rFont val="Noto Sans SC"/>
        <family val="2"/>
        <charset val="134"/>
      </rPr>
      <t xml:space="preserve">基础篇——</t>
    </r>
    <r>
      <rPr>
        <sz val="11"/>
        <color theme="1"/>
        <rFont val="Calibri"/>
        <family val="2"/>
        <charset val="1"/>
      </rPr>
      <t xml:space="preserve">Random Wild</t>
    </r>
    <r>
      <rPr>
        <sz val="11"/>
        <color theme="1"/>
        <rFont val="Noto Sans SC"/>
        <family val="2"/>
        <charset val="134"/>
      </rPr>
      <t xml:space="preserve">》（</t>
    </r>
    <r>
      <rPr>
        <sz val="11"/>
        <color theme="1"/>
        <rFont val="Calibri"/>
        <family val="2"/>
        <charset val="1"/>
      </rPr>
      <t xml:space="preserve">6 </t>
    </r>
    <r>
      <rPr>
        <sz val="11"/>
        <color theme="1"/>
        <rFont val="Noto Sans SC"/>
        <family val="2"/>
        <charset val="134"/>
      </rPr>
      <t xml:space="preserve">赞同 </t>
    </r>
    <r>
      <rPr>
        <sz val="11"/>
        <color theme="1"/>
        <rFont val="Calibri"/>
        <family val="2"/>
        <charset val="1"/>
      </rPr>
      <t xml:space="preserve">· 1 </t>
    </r>
    <r>
      <rPr>
        <sz val="11"/>
        <color theme="1"/>
        <rFont val="Noto Sans SC"/>
        <family val="2"/>
        <charset val="134"/>
      </rPr>
      <t xml:space="preserve">评论）</t>
    </r>
  </si>
  <si>
    <r>
      <rPr>
        <sz val="11"/>
        <color theme="1"/>
        <rFont val="Calibri"/>
        <family val="2"/>
        <charset val="1"/>
      </rPr>
      <t xml:space="preserve">Random Wild</t>
    </r>
    <r>
      <rPr>
        <sz val="11"/>
        <color theme="1"/>
        <rFont val="Noto Sans SC"/>
        <family val="2"/>
        <charset val="134"/>
      </rPr>
      <t xml:space="preserve">其机制为在卷轴上随机生成</t>
    </r>
    <r>
      <rPr>
        <sz val="11"/>
        <color theme="1"/>
        <rFont val="Calibri"/>
        <family val="2"/>
        <charset val="1"/>
      </rPr>
      <t xml:space="preserve">Wild</t>
    </r>
    <r>
      <rPr>
        <sz val="11"/>
        <color theme="1"/>
        <rFont val="Noto Sans SC"/>
        <family val="2"/>
        <charset val="134"/>
      </rPr>
      <t xml:space="preserve">图标，该</t>
    </r>
    <r>
      <rPr>
        <sz val="11"/>
        <color theme="1"/>
        <rFont val="Calibri"/>
        <family val="2"/>
        <charset val="1"/>
      </rPr>
      <t xml:space="preserve">Wild</t>
    </r>
    <r>
      <rPr>
        <sz val="11"/>
        <color theme="1"/>
        <rFont val="Noto Sans SC"/>
        <family val="2"/>
        <charset val="134"/>
      </rPr>
      <t xml:space="preserve">图标和摇奖无关，并且会覆盖抽取到的图标</t>
    </r>
  </si>
  <si>
    <r>
      <rPr>
        <sz val="11"/>
        <color theme="1"/>
        <rFont val="Noto Sans SC"/>
        <family val="2"/>
        <charset val="134"/>
      </rPr>
      <t xml:space="preserve">这类和抽取图标无关的</t>
    </r>
    <r>
      <rPr>
        <sz val="11"/>
        <color theme="1"/>
        <rFont val="Calibri"/>
        <family val="2"/>
        <charset val="1"/>
      </rPr>
      <t xml:space="preserve">Feature</t>
    </r>
    <r>
      <rPr>
        <sz val="11"/>
        <color theme="1"/>
        <rFont val="Noto Sans SC"/>
        <family val="2"/>
        <charset val="134"/>
      </rPr>
      <t xml:space="preserve">在数值上基本上都需要设置图标出现几率之外的一套几率体系，问题在于如何实施</t>
    </r>
  </si>
  <si>
    <r>
      <rPr>
        <sz val="11"/>
        <color theme="1"/>
        <rFont val="Noto Sans SC"/>
        <family val="2"/>
        <charset val="134"/>
      </rPr>
      <t xml:space="preserve">以</t>
    </r>
    <r>
      <rPr>
        <sz val="11"/>
        <color theme="1"/>
        <rFont val="Calibri"/>
        <family val="2"/>
        <charset val="1"/>
      </rPr>
      <t xml:space="preserve">3*5</t>
    </r>
    <r>
      <rPr>
        <sz val="11"/>
        <color theme="1"/>
        <rFont val="Noto Sans SC"/>
        <family val="2"/>
        <charset val="134"/>
      </rPr>
      <t xml:space="preserve">的卷轴为例，将每个位置分为被</t>
    </r>
    <r>
      <rPr>
        <sz val="11"/>
        <color theme="1"/>
        <rFont val="Calibri"/>
        <family val="2"/>
        <charset val="1"/>
      </rPr>
      <t xml:space="preserve">Wild</t>
    </r>
    <r>
      <rPr>
        <sz val="11"/>
        <color theme="1"/>
        <rFont val="Noto Sans SC"/>
        <family val="2"/>
        <charset val="134"/>
      </rPr>
      <t xml:space="preserve">覆盖和不被覆盖两种情况，就有</t>
    </r>
    <r>
      <rPr>
        <sz val="11"/>
        <color theme="1"/>
        <rFont val="Calibri"/>
        <family val="2"/>
        <charset val="1"/>
      </rPr>
      <t xml:space="preserve">2^15 = 32,768</t>
    </r>
    <r>
      <rPr>
        <sz val="11"/>
        <color theme="1"/>
        <rFont val="Noto Sans SC"/>
        <family val="2"/>
        <charset val="134"/>
      </rPr>
      <t xml:space="preserve">种情况，尺寸更大的卷轴则会更多，所以首先就需要将这些情况分类，将其数量控制在一个比较能接受的范围内</t>
    </r>
  </si>
  <si>
    <t xml:space="preserve">一般工作中会选择图标个数和图标在中奖线上的分布情况作为分组依据</t>
  </si>
  <si>
    <r>
      <rPr>
        <sz val="11"/>
        <color theme="1"/>
        <rFont val="Noto Sans SC"/>
        <family val="2"/>
        <charset val="134"/>
      </rPr>
      <t xml:space="preserve">图标个数比较好理解，一个</t>
    </r>
    <r>
      <rPr>
        <sz val="11"/>
        <color theme="1"/>
        <rFont val="Calibri"/>
        <family val="2"/>
        <charset val="1"/>
      </rPr>
      <t xml:space="preserve">3*5</t>
    </r>
    <r>
      <rPr>
        <sz val="11"/>
        <color theme="1"/>
        <rFont val="Noto Sans SC"/>
        <family val="2"/>
        <charset val="134"/>
      </rPr>
      <t xml:space="preserve">的卷轴上，被覆盖的区域可能为</t>
    </r>
    <r>
      <rPr>
        <sz val="11"/>
        <color theme="1"/>
        <rFont val="Calibri"/>
        <family val="2"/>
        <charset val="1"/>
      </rPr>
      <t xml:space="preserve">0~15</t>
    </r>
    <r>
      <rPr>
        <sz val="11"/>
        <color theme="1"/>
        <rFont val="Noto Sans SC"/>
        <family val="2"/>
        <charset val="134"/>
      </rPr>
      <t xml:space="preserve">个，将其分为这</t>
    </r>
    <r>
      <rPr>
        <sz val="11"/>
        <color theme="1"/>
        <rFont val="Calibri"/>
        <family val="2"/>
        <charset val="1"/>
      </rPr>
      <t xml:space="preserve">16</t>
    </r>
    <r>
      <rPr>
        <sz val="11"/>
        <color theme="1"/>
        <rFont val="Noto Sans SC"/>
        <family val="2"/>
        <charset val="134"/>
      </rPr>
      <t xml:space="preserve">类即可</t>
    </r>
  </si>
  <si>
    <r>
      <rPr>
        <sz val="11"/>
        <color theme="1"/>
        <rFont val="Noto Sans SC"/>
        <family val="2"/>
        <charset val="134"/>
      </rPr>
      <t xml:space="preserve">在中奖线上的分布则是因为多线</t>
    </r>
    <r>
      <rPr>
        <sz val="11"/>
        <color theme="1"/>
        <rFont val="Calibri"/>
        <family val="2"/>
        <charset val="1"/>
      </rPr>
      <t xml:space="preserve">Slot</t>
    </r>
    <r>
      <rPr>
        <sz val="11"/>
        <color theme="1"/>
        <rFont val="Noto Sans SC"/>
        <family val="2"/>
        <charset val="134"/>
      </rPr>
      <t xml:space="preserve">的数值计算就是专注于一条中奖线进行的，因此只考虑这一条中奖线上的图标分布，能够减少需要考虑的情况</t>
    </r>
  </si>
  <si>
    <r>
      <rPr>
        <sz val="11"/>
        <color theme="1"/>
        <rFont val="Noto Sans SC"/>
        <family val="2"/>
        <charset val="134"/>
      </rPr>
      <t xml:space="preserve">一如一个五列的</t>
    </r>
    <r>
      <rPr>
        <sz val="11"/>
        <color theme="1"/>
        <rFont val="Calibri"/>
        <family val="2"/>
        <charset val="1"/>
      </rPr>
      <t xml:space="preserve">Slot</t>
    </r>
    <r>
      <rPr>
        <sz val="11"/>
        <color theme="1"/>
        <rFont val="Noto Sans SC"/>
        <family val="2"/>
        <charset val="134"/>
      </rPr>
      <t xml:space="preserve">产品，就能够将一条中奖线上被百搭图标覆盖的情况分为如下</t>
    </r>
    <r>
      <rPr>
        <sz val="11"/>
        <color theme="1"/>
        <rFont val="Calibri"/>
        <family val="2"/>
        <charset val="1"/>
      </rPr>
      <t xml:space="preserve">32</t>
    </r>
    <r>
      <rPr>
        <sz val="11"/>
        <color theme="1"/>
        <rFont val="Noto Sans SC"/>
        <family val="2"/>
        <charset val="134"/>
      </rPr>
      <t xml:space="preserve">种</t>
    </r>
  </si>
  <si>
    <r>
      <rPr>
        <sz val="11"/>
        <color theme="1"/>
        <rFont val="Noto Sans SC"/>
        <family val="2"/>
        <charset val="134"/>
      </rPr>
      <t xml:space="preserve">至此，就可以将</t>
    </r>
    <r>
      <rPr>
        <sz val="11"/>
        <color theme="1"/>
        <rFont val="Calibri"/>
        <family val="2"/>
        <charset val="1"/>
      </rPr>
      <t xml:space="preserve">32,768</t>
    </r>
    <r>
      <rPr>
        <sz val="11"/>
        <color theme="1"/>
        <rFont val="Noto Sans SC"/>
        <family val="2"/>
        <charset val="134"/>
      </rPr>
      <t xml:space="preserve">中情况分类成</t>
    </r>
    <r>
      <rPr>
        <sz val="11"/>
        <color theme="1"/>
        <rFont val="Calibri"/>
        <family val="2"/>
        <charset val="1"/>
      </rPr>
      <t xml:space="preserve">32 * 16 = 512</t>
    </r>
    <r>
      <rPr>
        <sz val="11"/>
        <color theme="1"/>
        <rFont val="Noto Sans SC"/>
        <family val="2"/>
        <charset val="134"/>
      </rPr>
      <t xml:space="preserve">种情况，虽然还是很多，但是可以通过搭建表格来简化计算步骤</t>
    </r>
  </si>
  <si>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638130127-02.jpg</t>
    </r>
  </si>
  <si>
    <t xml:space="preserve">图中青色方块代表中奖线上被随机百搭覆盖的位置</t>
  </si>
  <si>
    <t xml:space="preserve">示例简介</t>
  </si>
  <si>
    <r>
      <rPr>
        <sz val="11"/>
        <color theme="1"/>
        <rFont val="Noto Sans SC"/>
        <family val="2"/>
        <charset val="134"/>
      </rPr>
      <t xml:space="preserve">本次使用的示例是一款</t>
    </r>
    <r>
      <rPr>
        <sz val="11"/>
        <color theme="1"/>
        <rFont val="Calibri"/>
        <family val="2"/>
        <charset val="1"/>
      </rPr>
      <t xml:space="preserve">3*3</t>
    </r>
    <r>
      <rPr>
        <sz val="11"/>
        <color theme="1"/>
        <rFont val="Noto Sans SC"/>
        <family val="2"/>
        <charset val="134"/>
      </rPr>
      <t xml:space="preserve">的</t>
    </r>
    <r>
      <rPr>
        <sz val="11"/>
        <color theme="1"/>
        <rFont val="Calibri"/>
        <family val="2"/>
        <charset val="1"/>
      </rPr>
      <t xml:space="preserve">Slot</t>
    </r>
    <r>
      <rPr>
        <sz val="11"/>
        <color theme="1"/>
        <rFont val="Noto Sans SC"/>
        <family val="2"/>
        <charset val="134"/>
      </rPr>
      <t xml:space="preserve">，主要原因是因为</t>
    </r>
    <r>
      <rPr>
        <sz val="11"/>
        <color theme="1"/>
        <rFont val="Calibri"/>
        <family val="2"/>
        <charset val="1"/>
      </rPr>
      <t xml:space="preserve">3*5</t>
    </r>
    <r>
      <rPr>
        <sz val="11"/>
        <color theme="1"/>
        <rFont val="Noto Sans SC"/>
        <family val="2"/>
        <charset val="134"/>
      </rPr>
      <t xml:space="preserve">的</t>
    </r>
    <r>
      <rPr>
        <sz val="11"/>
        <color theme="1"/>
        <rFont val="Calibri"/>
        <family val="2"/>
        <charset val="1"/>
      </rPr>
      <t xml:space="preserve">Slot</t>
    </r>
    <r>
      <rPr>
        <sz val="11"/>
        <color theme="1"/>
        <rFont val="Noto Sans SC"/>
        <family val="2"/>
        <charset val="134"/>
      </rPr>
      <t xml:space="preserve">还是需要计算</t>
    </r>
    <r>
      <rPr>
        <sz val="11"/>
        <color theme="1"/>
        <rFont val="Calibri"/>
        <family val="2"/>
        <charset val="1"/>
      </rPr>
      <t xml:space="preserve">0~15</t>
    </r>
    <r>
      <rPr>
        <sz val="11"/>
        <color theme="1"/>
        <rFont val="Noto Sans SC"/>
        <family val="2"/>
        <charset val="134"/>
      </rPr>
      <t xml:space="preserve">个位置被百搭图标覆盖这</t>
    </r>
    <r>
      <rPr>
        <sz val="11"/>
        <color theme="1"/>
        <rFont val="Calibri"/>
        <family val="2"/>
        <charset val="1"/>
      </rPr>
      <t xml:space="preserve">16</t>
    </r>
    <r>
      <rPr>
        <sz val="11"/>
        <color theme="1"/>
        <rFont val="Noto Sans SC"/>
        <family val="2"/>
        <charset val="134"/>
      </rPr>
      <t xml:space="preserve">种情况的</t>
    </r>
    <r>
      <rPr>
        <sz val="11"/>
        <color theme="1"/>
        <rFont val="Calibri"/>
        <family val="2"/>
        <charset val="1"/>
      </rPr>
      <t xml:space="preserve">RTP</t>
    </r>
    <r>
      <rPr>
        <sz val="11"/>
        <color theme="1"/>
        <rFont val="Noto Sans SC"/>
        <family val="2"/>
        <charset val="134"/>
      </rPr>
      <t xml:space="preserve">，不是很方便列举，因此这里使用</t>
    </r>
    <r>
      <rPr>
        <sz val="11"/>
        <color theme="1"/>
        <rFont val="Calibri"/>
        <family val="2"/>
        <charset val="1"/>
      </rPr>
      <t xml:space="preserve">3*3</t>
    </r>
    <r>
      <rPr>
        <sz val="11"/>
        <color theme="1"/>
        <rFont val="Noto Sans SC"/>
        <family val="2"/>
        <charset val="134"/>
      </rPr>
      <t xml:space="preserve">的卷轴，就只需要计算如下</t>
    </r>
    <r>
      <rPr>
        <sz val="11"/>
        <color theme="1"/>
        <rFont val="Calibri"/>
        <family val="2"/>
        <charset val="1"/>
      </rPr>
      <t xml:space="preserve">8</t>
    </r>
    <r>
      <rPr>
        <sz val="11"/>
        <color theme="1"/>
        <rFont val="Noto Sans SC"/>
        <family val="2"/>
        <charset val="134"/>
      </rPr>
      <t xml:space="preserve">种情况的</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</si>
  <si>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638130127-03.jpg</t>
    </r>
  </si>
  <si>
    <r>
      <rPr>
        <sz val="11"/>
        <color theme="1"/>
        <rFont val="Noto Sans SC"/>
        <family val="2"/>
        <charset val="134"/>
      </rPr>
      <t xml:space="preserve">当然计算流程都是一样的，需要注意</t>
    </r>
    <r>
      <rPr>
        <sz val="11"/>
        <color theme="1"/>
        <rFont val="Calibri"/>
        <family val="2"/>
        <charset val="1"/>
      </rPr>
      <t xml:space="preserve">3*5</t>
    </r>
    <r>
      <rPr>
        <sz val="11"/>
        <color theme="1"/>
        <rFont val="Noto Sans SC"/>
        <family val="2"/>
        <charset val="134"/>
      </rPr>
      <t xml:space="preserve">的卷轴和</t>
    </r>
    <r>
      <rPr>
        <sz val="11"/>
        <color theme="1"/>
        <rFont val="Calibri"/>
        <family val="2"/>
        <charset val="1"/>
      </rPr>
      <t xml:space="preserve">3*3</t>
    </r>
    <r>
      <rPr>
        <sz val="11"/>
        <color theme="1"/>
        <rFont val="Noto Sans SC"/>
        <family val="2"/>
        <charset val="134"/>
      </rPr>
      <t xml:space="preserve">的卷轴相比存在多种中奖组合即可</t>
    </r>
  </si>
  <si>
    <r>
      <rPr>
        <sz val="11"/>
        <color theme="1"/>
        <rFont val="Noto Sans SC"/>
        <family val="2"/>
        <charset val="134"/>
      </rPr>
      <t xml:space="preserve">卷轴尺寸：</t>
    </r>
    <r>
      <rPr>
        <sz val="11"/>
        <color theme="1"/>
        <rFont val="Calibri"/>
        <family val="2"/>
        <charset val="1"/>
      </rPr>
      <t xml:space="preserve">3*3</t>
    </r>
  </si>
  <si>
    <t xml:space="preserve">图标类型：</t>
  </si>
  <si>
    <r>
      <rPr>
        <sz val="11"/>
        <color theme="1"/>
        <rFont val="Calibri"/>
        <family val="2"/>
        <charset val="1"/>
      </rPr>
      <t xml:space="preserve">6</t>
    </r>
    <r>
      <rPr>
        <sz val="11"/>
        <color theme="1"/>
        <rFont val="Noto Sans SC"/>
        <family val="2"/>
        <charset val="134"/>
      </rPr>
      <t xml:space="preserve">种标准图标：</t>
    </r>
    <r>
      <rPr>
        <sz val="11"/>
        <color theme="1"/>
        <rFont val="Calibri"/>
        <family val="2"/>
        <charset val="1"/>
      </rPr>
      <t xml:space="preserve">9</t>
    </r>
    <r>
      <rPr>
        <sz val="11"/>
        <color theme="1"/>
        <rFont val="Noto Sans SC"/>
        <family val="2"/>
        <charset val="134"/>
      </rPr>
      <t xml:space="preserve">、</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J</t>
    </r>
    <r>
      <rPr>
        <sz val="11"/>
        <color theme="1"/>
        <rFont val="Noto Sans SC"/>
        <family val="2"/>
        <charset val="134"/>
      </rPr>
      <t xml:space="preserve">、</t>
    </r>
    <r>
      <rPr>
        <sz val="11"/>
        <color theme="1"/>
        <rFont val="Calibri"/>
        <family val="2"/>
        <charset val="1"/>
      </rPr>
      <t xml:space="preserve">Q</t>
    </r>
    <r>
      <rPr>
        <sz val="11"/>
        <color theme="1"/>
        <rFont val="Noto Sans SC"/>
        <family val="2"/>
        <charset val="134"/>
      </rPr>
      <t xml:space="preserve">、</t>
    </r>
    <r>
      <rPr>
        <sz val="11"/>
        <color theme="1"/>
        <rFont val="Calibri"/>
        <family val="2"/>
        <charset val="1"/>
      </rPr>
      <t xml:space="preserve">K</t>
    </r>
  </si>
  <si>
    <r>
      <rPr>
        <sz val="11"/>
        <color theme="1"/>
        <rFont val="Calibri"/>
        <family val="2"/>
        <charset val="1"/>
      </rPr>
      <t xml:space="preserve">1</t>
    </r>
    <r>
      <rPr>
        <sz val="11"/>
        <color theme="1"/>
        <rFont val="Noto Sans SC"/>
        <family val="2"/>
        <charset val="134"/>
      </rPr>
      <t xml:space="preserve">中特殊图标：</t>
    </r>
    <r>
      <rPr>
        <sz val="11"/>
        <color theme="1"/>
        <rFont val="Calibri"/>
        <family val="2"/>
        <charset val="1"/>
      </rPr>
      <t xml:space="preserve">Wild</t>
    </r>
    <r>
      <rPr>
        <sz val="11"/>
        <color theme="1"/>
        <rFont val="Noto Sans SC"/>
        <family val="2"/>
        <charset val="134"/>
      </rPr>
      <t xml:space="preserve">百搭图标</t>
    </r>
  </si>
  <si>
    <r>
      <rPr>
        <sz val="11"/>
        <color theme="1"/>
        <rFont val="Noto Sans SC"/>
        <family val="2"/>
        <charset val="134"/>
      </rPr>
      <t xml:space="preserve">特殊机制：</t>
    </r>
    <r>
      <rPr>
        <sz val="11"/>
        <color theme="1"/>
        <rFont val="Calibri"/>
        <family val="2"/>
        <charset val="1"/>
      </rPr>
      <t xml:space="preserve">Random Wild </t>
    </r>
    <r>
      <rPr>
        <sz val="11"/>
        <color theme="1"/>
        <rFont val="Noto Sans SC"/>
        <family val="2"/>
        <charset val="134"/>
      </rPr>
      <t xml:space="preserve">或 </t>
    </r>
    <r>
      <rPr>
        <sz val="11"/>
        <color theme="1"/>
        <rFont val="Calibri"/>
        <family val="2"/>
        <charset val="1"/>
      </rPr>
      <t xml:space="preserve">Additional Wild</t>
    </r>
  </si>
  <si>
    <r>
      <rPr>
        <sz val="11"/>
        <color theme="1"/>
        <rFont val="Noto Sans SC"/>
        <family val="2"/>
        <charset val="134"/>
      </rPr>
      <t xml:space="preserve">随机百搭在每次摇奖之后会使用</t>
    </r>
    <r>
      <rPr>
        <sz val="11"/>
        <color theme="1"/>
        <rFont val="Calibri"/>
        <family val="2"/>
        <charset val="1"/>
      </rPr>
      <t xml:space="preserve">0~15</t>
    </r>
    <r>
      <rPr>
        <sz val="11"/>
        <color theme="1"/>
        <rFont val="Noto Sans SC"/>
        <family val="2"/>
        <charset val="134"/>
      </rPr>
      <t xml:space="preserve">个百搭图标，不重复地覆盖卷轴上任意位置</t>
    </r>
  </si>
  <si>
    <t xml:space="preserve">需要注意的是，因为卷轴本身也可以抽取到百搭图标，因此存在百搭图标覆盖百搭图标的情况</t>
  </si>
  <si>
    <t xml:space="preserve">计算步骤</t>
  </si>
  <si>
    <t xml:space="preserve">第一步：设置图标出现几率</t>
  </si>
  <si>
    <t xml:space="preserve">这一步设置的是卷轴摇奖的图标出现几率，和随机百搭图标的出现几率无关</t>
  </si>
  <si>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638130127-04.jpg</t>
    </r>
  </si>
  <si>
    <t xml:space="preserve">第二步：设置随机百搭图标数量几率</t>
  </si>
  <si>
    <r>
      <rPr>
        <sz val="11"/>
        <color theme="1"/>
        <rFont val="Noto Sans SC"/>
        <family val="2"/>
        <charset val="134"/>
      </rPr>
      <t xml:space="preserve">这里设置的是随机百搭图标的个数几率，例如抽取到</t>
    </r>
    <r>
      <rPr>
        <sz val="11"/>
        <color theme="1"/>
        <rFont val="Calibri"/>
        <family val="2"/>
        <charset val="1"/>
      </rPr>
      <t xml:space="preserve">1</t>
    </r>
    <r>
      <rPr>
        <sz val="11"/>
        <color theme="1"/>
        <rFont val="Noto Sans SC"/>
        <family val="2"/>
        <charset val="134"/>
      </rPr>
      <t xml:space="preserve">个，就会有一个位置被随机百搭图标覆盖，但是覆盖的位置随机且不重复</t>
    </r>
  </si>
  <si>
    <r>
      <rPr>
        <sz val="11"/>
        <color theme="1"/>
        <rFont val="Noto Sans SC"/>
        <family val="2"/>
        <charset val="134"/>
      </rPr>
      <t xml:space="preserve">本示例中，</t>
    </r>
    <r>
      <rPr>
        <sz val="11"/>
        <color theme="1"/>
        <rFont val="Calibri"/>
        <family val="2"/>
        <charset val="1"/>
      </rPr>
      <t xml:space="preserve">8</t>
    </r>
    <r>
      <rPr>
        <sz val="11"/>
        <color theme="1"/>
        <rFont val="Noto Sans SC"/>
        <family val="2"/>
        <charset val="134"/>
      </rPr>
      <t xml:space="preserve">种情况出现的几率相等</t>
    </r>
  </si>
  <si>
    <r>
      <rPr>
        <sz val="11"/>
        <color theme="1"/>
        <rFont val="Noto Sans SC"/>
        <family val="2"/>
        <charset val="134"/>
      </rPr>
      <t xml:space="preserve">如果不相等，在最后计算</t>
    </r>
    <r>
      <rPr>
        <sz val="11"/>
        <color theme="1"/>
        <rFont val="Calibri"/>
        <family val="2"/>
        <charset val="1"/>
      </rPr>
      <t xml:space="preserve">RTP</t>
    </r>
    <r>
      <rPr>
        <sz val="11"/>
        <color theme="1"/>
        <rFont val="Noto Sans SC"/>
        <family val="2"/>
        <charset val="134"/>
      </rPr>
      <t xml:space="preserve">时需要使用出现几率进行加权平均</t>
    </r>
  </si>
  <si>
    <t xml:space="preserve">第三步：列举百搭图标分布情况</t>
  </si>
  <si>
    <r>
      <rPr>
        <sz val="11"/>
        <color theme="1"/>
        <rFont val="Noto Sans SC"/>
        <family val="2"/>
        <charset val="134"/>
      </rPr>
      <t xml:space="preserve">列举百搭图标在中奖线上的分布情况，在</t>
    </r>
    <r>
      <rPr>
        <sz val="11"/>
        <color theme="1"/>
        <rFont val="Calibri"/>
        <family val="2"/>
        <charset val="1"/>
      </rPr>
      <t xml:space="preserve">3</t>
    </r>
    <r>
      <rPr>
        <sz val="11"/>
        <color theme="1"/>
        <rFont val="Noto Sans SC"/>
        <family val="2"/>
        <charset val="134"/>
      </rPr>
      <t xml:space="preserve">列的中奖线上，百搭图标共能够实现</t>
    </r>
    <r>
      <rPr>
        <sz val="11"/>
        <color theme="1"/>
        <rFont val="Calibri"/>
        <family val="2"/>
        <charset val="1"/>
      </rPr>
      <t xml:space="preserve">8</t>
    </r>
    <r>
      <rPr>
        <sz val="11"/>
        <color theme="1"/>
        <rFont val="Noto Sans SC"/>
        <family val="2"/>
        <charset val="134"/>
      </rPr>
      <t xml:space="preserve">种分布情况</t>
    </r>
  </si>
  <si>
    <r>
      <rPr>
        <sz val="11"/>
        <color theme="1"/>
        <rFont val="Noto Sans SC"/>
        <family val="2"/>
        <charset val="134"/>
      </rPr>
      <t xml:space="preserve">这里将分布情况使用表格列举出来，分别命名为</t>
    </r>
    <r>
      <rPr>
        <sz val="11"/>
        <color theme="1"/>
        <rFont val="Calibri"/>
        <family val="2"/>
        <charset val="1"/>
      </rPr>
      <t xml:space="preserve">Case1~8</t>
    </r>
  </si>
  <si>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638130127-05.jpg</t>
    </r>
  </si>
  <si>
    <t xml:space="preserve">第四步：计算分布情况出现几率</t>
  </si>
  <si>
    <r>
      <rPr>
        <sz val="11"/>
        <color theme="1"/>
        <rFont val="Noto Sans SC"/>
        <family val="2"/>
        <charset val="134"/>
      </rPr>
      <t xml:space="preserve">在</t>
    </r>
    <r>
      <rPr>
        <sz val="11"/>
        <color theme="1"/>
        <rFont val="Calibri"/>
        <family val="2"/>
        <charset val="1"/>
      </rPr>
      <t xml:space="preserve">Random Wild</t>
    </r>
    <r>
      <rPr>
        <sz val="11"/>
        <color theme="1"/>
        <rFont val="Noto Sans SC"/>
        <family val="2"/>
        <charset val="134"/>
      </rPr>
      <t xml:space="preserve">的数值计算中，选择的是配置随机百搭数量作为配置项目</t>
    </r>
  </si>
  <si>
    <r>
      <rPr>
        <sz val="11"/>
        <color theme="1"/>
        <rFont val="Noto Sans SC"/>
        <family val="2"/>
        <charset val="134"/>
      </rPr>
      <t xml:space="preserve">因此，每个随机百搭出现个数对应的八种分布情况出现几率之和为</t>
    </r>
    <r>
      <rPr>
        <sz val="11"/>
        <color theme="1"/>
        <rFont val="Calibri"/>
        <family val="2"/>
        <charset val="1"/>
      </rPr>
      <t xml:space="preserve">1</t>
    </r>
  </si>
  <si>
    <t xml:space="preserve">将其列举出来得到下表：</t>
  </si>
  <si>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638130127-06.jpg</t>
    </r>
  </si>
  <si>
    <t xml:space="preserve">这里使用的方法依旧是计算满足条件的事件数</t>
  </si>
  <si>
    <r>
      <rPr>
        <sz val="11"/>
        <color theme="1"/>
        <rFont val="Noto Sans SC"/>
        <family val="2"/>
        <charset val="134"/>
      </rPr>
      <t xml:space="preserve">当随机百搭图标个数固定时，图标在卷轴上的分布事件数为</t>
    </r>
    <r>
      <rPr>
        <sz val="11"/>
        <color theme="1"/>
        <rFont val="Calibri"/>
        <family val="2"/>
        <charset val="1"/>
      </rPr>
      <t xml:space="preserve">COMBIN</t>
    </r>
    <r>
      <rPr>
        <sz val="11"/>
        <color theme="1"/>
        <rFont val="Noto Sans SC"/>
        <family val="2"/>
        <charset val="134"/>
      </rPr>
      <t xml:space="preserve">（</t>
    </r>
    <r>
      <rPr>
        <sz val="11"/>
        <color theme="1"/>
        <rFont val="Calibri"/>
        <family val="2"/>
        <charset val="1"/>
      </rPr>
      <t xml:space="preserve">9</t>
    </r>
    <r>
      <rPr>
        <sz val="11"/>
        <color theme="1"/>
        <rFont val="Noto Sans SC"/>
        <family val="2"/>
        <charset val="134"/>
      </rPr>
      <t xml:space="preserve">，随机百搭个数）</t>
    </r>
  </si>
  <si>
    <r>
      <rPr>
        <sz val="11"/>
        <color theme="1"/>
        <rFont val="Noto Sans SC"/>
        <family val="2"/>
        <charset val="134"/>
      </rPr>
      <t xml:space="preserve">使用该公式即可得出单列的总事件数，其中</t>
    </r>
    <r>
      <rPr>
        <sz val="11"/>
        <color theme="1"/>
        <rFont val="Calibri"/>
        <family val="2"/>
        <charset val="1"/>
      </rPr>
      <t xml:space="preserve">9</t>
    </r>
    <r>
      <rPr>
        <sz val="11"/>
        <color theme="1"/>
        <rFont val="Noto Sans SC"/>
        <family val="2"/>
        <charset val="134"/>
      </rPr>
      <t xml:space="preserve">是卷轴上总共的图标个数</t>
    </r>
  </si>
  <si>
    <t xml:space="preserve">另外还需要计算满足该图标分布情况的事件数，这里的思路是先将所有的事件中满足中间线分布情况的事件都提炼出来</t>
  </si>
  <si>
    <r>
      <rPr>
        <sz val="11"/>
        <color theme="1"/>
        <rFont val="Noto Sans SC"/>
        <family val="2"/>
        <charset val="134"/>
      </rPr>
      <t xml:space="preserve">也就是中奖线这</t>
    </r>
    <r>
      <rPr>
        <sz val="11"/>
        <color theme="1"/>
        <rFont val="Calibri"/>
        <family val="2"/>
        <charset val="1"/>
      </rPr>
      <t xml:space="preserve">3</t>
    </r>
    <r>
      <rPr>
        <sz val="11"/>
        <color theme="1"/>
        <rFont val="Noto Sans SC"/>
        <family val="2"/>
        <charset val="134"/>
      </rPr>
      <t xml:space="preserve">个位置的分布情况既定时，中奖线之外的区域能够产生多少种分布情况</t>
    </r>
  </si>
  <si>
    <r>
      <rPr>
        <sz val="11"/>
        <color theme="1"/>
        <rFont val="Noto Sans SC"/>
        <family val="2"/>
        <charset val="134"/>
      </rPr>
      <t xml:space="preserve">第五步：计算各情况</t>
    </r>
    <r>
      <rPr>
        <sz val="11"/>
        <color theme="1"/>
        <rFont val="Calibri"/>
        <family val="2"/>
        <charset val="1"/>
      </rPr>
      <t xml:space="preserve">RTP</t>
    </r>
  </si>
  <si>
    <r>
      <rPr>
        <sz val="11"/>
        <color theme="1"/>
        <rFont val="Noto Sans SC"/>
        <family val="2"/>
        <charset val="134"/>
      </rPr>
      <t xml:space="preserve">这里分别计算</t>
    </r>
    <r>
      <rPr>
        <sz val="11"/>
        <color theme="1"/>
        <rFont val="Calibri"/>
        <family val="2"/>
        <charset val="1"/>
      </rPr>
      <t xml:space="preserve">Case1~8</t>
    </r>
    <r>
      <rPr>
        <sz val="11"/>
        <color theme="1"/>
        <rFont val="Noto Sans SC"/>
        <family val="2"/>
        <charset val="134"/>
      </rPr>
      <t xml:space="preserve">的</t>
    </r>
    <r>
      <rPr>
        <sz val="11"/>
        <color theme="1"/>
        <rFont val="Calibri"/>
        <family val="2"/>
        <charset val="1"/>
      </rPr>
      <t xml:space="preserve">RTP</t>
    </r>
  </si>
  <si>
    <r>
      <rPr>
        <sz val="11"/>
        <color theme="1"/>
        <rFont val="Noto Sans SC"/>
        <family val="2"/>
        <charset val="134"/>
      </rPr>
      <t xml:space="preserve">其中，哪个位置被百搭图标覆盖，就将该位置的百搭图标出现几率设置为</t>
    </r>
    <r>
      <rPr>
        <sz val="11"/>
        <color theme="1"/>
        <rFont val="Calibri"/>
        <family val="2"/>
        <charset val="1"/>
      </rPr>
      <t xml:space="preserve">100%</t>
    </r>
    <r>
      <rPr>
        <sz val="11"/>
        <color theme="1"/>
        <rFont val="Noto Sans SC"/>
        <family val="2"/>
        <charset val="134"/>
      </rPr>
      <t xml:space="preserve">即可</t>
    </r>
  </si>
  <si>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638130127-07.jpg</t>
    </r>
  </si>
  <si>
    <r>
      <rPr>
        <sz val="11"/>
        <color theme="1"/>
        <rFont val="Noto Sans SC"/>
        <family val="2"/>
        <charset val="134"/>
      </rPr>
      <t xml:space="preserve">需要注意的是，因为百搭图标本身没有赔付倍数，因此在</t>
    </r>
    <r>
      <rPr>
        <sz val="11"/>
        <color theme="1"/>
        <rFont val="Calibri"/>
        <family val="2"/>
        <charset val="1"/>
      </rPr>
      <t xml:space="preserve">Case8</t>
    </r>
    <r>
      <rPr>
        <sz val="11"/>
        <color theme="1"/>
        <rFont val="Noto Sans SC"/>
        <family val="2"/>
        <charset val="134"/>
      </rPr>
      <t xml:space="preserve">中，完全由百搭图标构成的中奖线并没有赔付金额和</t>
    </r>
    <r>
      <rPr>
        <sz val="11"/>
        <color theme="1"/>
        <rFont val="Calibri"/>
        <family val="2"/>
        <charset val="1"/>
      </rPr>
      <t xml:space="preserve">RTP</t>
    </r>
  </si>
  <si>
    <r>
      <rPr>
        <sz val="11"/>
        <color theme="1"/>
        <rFont val="Noto Sans SC"/>
        <family val="2"/>
        <charset val="134"/>
      </rPr>
      <t xml:space="preserve">第六步：计算</t>
    </r>
    <r>
      <rPr>
        <sz val="11"/>
        <color theme="1"/>
        <rFont val="Calibri"/>
        <family val="2"/>
        <charset val="1"/>
      </rPr>
      <t xml:space="preserve">RTP</t>
    </r>
  </si>
  <si>
    <t xml:space="preserve">这一步分为两个小步骤</t>
  </si>
  <si>
    <r>
      <rPr>
        <sz val="11"/>
        <color theme="1"/>
        <rFont val="Noto Sans SC"/>
        <family val="2"/>
        <charset val="134"/>
      </rPr>
      <t xml:space="preserve">第一个小步骤是使用各随机百搭图表数量下各分布情况的出现几率乘上其对应的</t>
    </r>
    <r>
      <rPr>
        <sz val="11"/>
        <color theme="1"/>
        <rFont val="Calibri"/>
        <family val="2"/>
        <charset val="1"/>
      </rPr>
      <t xml:space="preserve">RTP</t>
    </r>
    <r>
      <rPr>
        <sz val="11"/>
        <color theme="1"/>
        <rFont val="Noto Sans SC"/>
        <family val="2"/>
        <charset val="134"/>
      </rPr>
      <t xml:space="preserve">加权求和得到该图标个数下的综合</t>
    </r>
    <r>
      <rPr>
        <sz val="11"/>
        <color theme="1"/>
        <rFont val="Calibri"/>
        <family val="2"/>
        <charset val="1"/>
      </rPr>
      <t xml:space="preserve">RTP</t>
    </r>
  </si>
  <si>
    <r>
      <rPr>
        <sz val="11"/>
        <color theme="1"/>
        <rFont val="Noto Sans SC"/>
        <family val="2"/>
        <charset val="134"/>
      </rPr>
      <t xml:space="preserve">再使用各随机图标个数的出现几率进行一次加权平均。因为该示例中出现</t>
    </r>
    <r>
      <rPr>
        <sz val="11"/>
        <color theme="1"/>
        <rFont val="Calibri"/>
        <family val="2"/>
        <charset val="1"/>
      </rPr>
      <t xml:space="preserve">0~9</t>
    </r>
    <r>
      <rPr>
        <sz val="11"/>
        <color theme="1"/>
        <rFont val="Noto Sans SC"/>
        <family val="2"/>
        <charset val="134"/>
      </rPr>
      <t xml:space="preserve">个图标的几率相等，因此这里直接求平均数即可得到最终的</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</si>
  <si>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638130127-08.jpg</t>
    </r>
  </si>
  <si>
    <r>
      <rPr>
        <sz val="11"/>
        <color theme="1"/>
        <rFont val="Noto Sans SC"/>
        <family val="2"/>
        <charset val="134"/>
      </rPr>
      <t xml:space="preserve">以上就是包含</t>
    </r>
    <r>
      <rPr>
        <sz val="11"/>
        <color theme="1"/>
        <rFont val="Calibri"/>
        <family val="2"/>
        <charset val="1"/>
      </rPr>
      <t xml:space="preserve">Random Wild</t>
    </r>
    <r>
      <rPr>
        <sz val="11"/>
        <color theme="1"/>
        <rFont val="Noto Sans SC"/>
        <family val="2"/>
        <charset val="134"/>
      </rPr>
      <t xml:space="preserve">的</t>
    </r>
    <r>
      <rPr>
        <sz val="11"/>
        <color theme="1"/>
        <rFont val="Calibri"/>
        <family val="2"/>
        <charset val="1"/>
      </rPr>
      <t xml:space="preserve">Slots</t>
    </r>
    <r>
      <rPr>
        <sz val="11"/>
        <color theme="1"/>
        <rFont val="Noto Sans SC"/>
        <family val="2"/>
        <charset val="134"/>
      </rPr>
      <t xml:space="preserve">的数值体系搭建方法，当卷轴的尺寸增加时，对应的分布情况也会增加，导致需要讨论的情况会多一些，但是和所有分布情况相比还是要简单很多</t>
    </r>
  </si>
  <si>
    <t xml:space="preserve">当然如果本身随机百搭图标的机制就已经是简化过的，例如只出现在部分区域、必定整列出现等等，只要是能够减少图标在卷轴上分布情况的，都能够大大降低随机百搭图标的数值计算难度</t>
  </si>
  <si>
    <r>
      <rPr>
        <b val="true"/>
        <sz val="11"/>
        <rFont val="Noto Sans SC"/>
        <family val="2"/>
        <charset val="134"/>
      </rPr>
      <t xml:space="preserve">原文配图清单（共 </t>
    </r>
    <r>
      <rPr>
        <b val="true"/>
        <sz val="11"/>
        <rFont val="Cambria"/>
        <family val="0"/>
        <charset val="1"/>
      </rPr>
      <t xml:space="preserve">7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</si>
  <si>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638130127-02.jpg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</si>
  <si>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638130127-03.jpg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</si>
  <si>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638130127-04.jpg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</si>
  <si>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638130127-05.jpg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</si>
  <si>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638130127-06.jpg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</si>
  <si>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638130127-07.jpg</t>
    </r>
  </si>
  <si>
    <r>
      <rPr>
        <sz val="11"/>
        <color rgb="FF808080"/>
        <rFont val="Noto Sans SC"/>
        <family val="2"/>
        <charset val="134"/>
      </rPr>
      <t xml:space="preserve">［配图 </t>
    </r>
    <r>
      <rPr>
        <sz val="11"/>
        <color rgb="FF808080"/>
        <rFont val="Cambria"/>
        <family val="0"/>
        <charset val="1"/>
      </rPr>
      <t xml:space="preserve">08</t>
    </r>
    <r>
      <rPr>
        <sz val="11"/>
        <color rgb="FF808080"/>
        <rFont val="Noto Sans SC"/>
        <family val="2"/>
        <charset val="134"/>
      </rPr>
      <t xml:space="preserve">］</t>
    </r>
    <r>
      <rPr>
        <sz val="11"/>
        <color rgb="FF808080"/>
        <rFont val="Cambria"/>
        <family val="0"/>
        <charset val="1"/>
      </rPr>
      <t xml:space="preserve">638130127-08.jpg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</si>
  <si>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</si>
  <si>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</si>
  <si>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</si>
  <si>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</si>
  <si>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</si>
  <si>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</si>
  <si>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Random Wild</t>
    </r>
    <r>
      <rPr>
        <sz val="11"/>
        <color rgb="FF808080"/>
        <rFont val="Noto Sans SC"/>
        <family val="2"/>
        <charset val="134"/>
      </rPr>
      <t xml:space="preserve">》</t>
    </r>
    <r>
      <rPr>
        <sz val="11"/>
        <color rgb="FF808080"/>
        <rFont val="Cambria"/>
        <family val="0"/>
        <charset val="1"/>
      </rPr>
      <t xml:space="preserve">, https://zhuanlan.zhihu.com/p/638130127</t>
    </r>
  </si>
  <si>
    <r>
      <rPr>
        <b val="true"/>
        <sz val="14"/>
        <color rgb="FF1F4E79"/>
        <rFont val="Noto Sans SC"/>
        <family val="2"/>
        <charset val="134"/>
      </rPr>
      <t xml:space="preserve">数值篇 </t>
    </r>
    <r>
      <rPr>
        <b val="true"/>
        <sz val="14"/>
        <color rgb="FF1F4E79"/>
        <rFont val="Cambria"/>
        <family val="0"/>
        <charset val="1"/>
      </rPr>
      <t xml:space="preserve">· Random Wild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</si>
  <si>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】机制与分类思路</t>
    </r>
  </si>
  <si>
    <t xml:space="preserve">项目</t>
  </si>
  <si>
    <t xml:space="preserve">内容</t>
  </si>
  <si>
    <t xml:space="preserve">数值</t>
  </si>
  <si>
    <t xml:space="preserve">机制</t>
  </si>
  <si>
    <r>
      <rPr>
        <sz val="11"/>
        <color theme="1"/>
        <rFont val="Noto Sans SC"/>
        <family val="2"/>
        <charset val="134"/>
      </rPr>
      <t xml:space="preserve">摇奖后用 </t>
    </r>
    <r>
      <rPr>
        <sz val="11"/>
        <color theme="1"/>
        <rFont val="Calibri"/>
        <family val="2"/>
        <charset val="1"/>
      </rPr>
      <t xml:space="preserve">0~K </t>
    </r>
    <r>
      <rPr>
        <sz val="11"/>
        <color theme="1"/>
        <rFont val="Noto Sans SC"/>
        <family val="2"/>
        <charset val="134"/>
      </rPr>
      <t xml:space="preserve">个百搭不重复覆盖任意位置（与摇奖无关）</t>
    </r>
  </si>
  <si>
    <t xml:space="preserve">需在图标几率之外单独配一套几率</t>
  </si>
  <si>
    <r>
      <rPr>
        <sz val="11"/>
        <color theme="1"/>
        <rFont val="Calibri"/>
        <family val="2"/>
        <charset val="1"/>
      </rPr>
      <t xml:space="preserve">3*5 </t>
    </r>
    <r>
      <rPr>
        <sz val="11"/>
        <color theme="1"/>
        <rFont val="Noto Sans SC"/>
        <family val="2"/>
        <charset val="134"/>
      </rPr>
      <t xml:space="preserve">的全部情况</t>
    </r>
  </si>
  <si>
    <r>
      <rPr>
        <sz val="11"/>
        <color theme="1"/>
        <rFont val="Noto Sans SC"/>
        <family val="2"/>
        <charset val="134"/>
      </rPr>
      <t xml:space="preserve">每个位置「被覆盖 </t>
    </r>
    <r>
      <rPr>
        <sz val="11"/>
        <color theme="1"/>
        <rFont val="Calibri"/>
        <family val="2"/>
        <charset val="1"/>
      </rPr>
      <t xml:space="preserve">/ </t>
    </r>
    <r>
      <rPr>
        <sz val="11"/>
        <color theme="1"/>
        <rFont val="Noto Sans SC"/>
        <family val="2"/>
        <charset val="134"/>
      </rPr>
      <t xml:space="preserve">不被覆盖」→ </t>
    </r>
    <r>
      <rPr>
        <sz val="11"/>
        <color theme="1"/>
        <rFont val="Calibri"/>
        <family val="2"/>
        <charset val="1"/>
      </rPr>
      <t xml:space="preserve">32,768 </t>
    </r>
    <r>
      <rPr>
        <sz val="11"/>
        <color theme="1"/>
        <rFont val="Noto Sans SC"/>
        <family val="2"/>
        <charset val="134"/>
      </rPr>
      <t xml:space="preserve">种</t>
    </r>
  </si>
  <si>
    <t xml:space="preserve">分类依据① 图标个数</t>
  </si>
  <si>
    <r>
      <rPr>
        <sz val="11"/>
        <color theme="1"/>
        <rFont val="Noto Sans SC"/>
        <family val="2"/>
        <charset val="134"/>
      </rPr>
      <t xml:space="preserve">被覆盖 </t>
    </r>
    <r>
      <rPr>
        <sz val="11"/>
        <color theme="1"/>
        <rFont val="Calibri"/>
        <family val="2"/>
        <charset val="1"/>
      </rPr>
      <t xml:space="preserve">0~15 </t>
    </r>
    <r>
      <rPr>
        <sz val="11"/>
        <color theme="1"/>
        <rFont val="Noto Sans SC"/>
        <family val="2"/>
        <charset val="134"/>
      </rPr>
      <t xml:space="preserve">个 → </t>
    </r>
    <r>
      <rPr>
        <sz val="11"/>
        <color theme="1"/>
        <rFont val="Calibri"/>
        <family val="2"/>
        <charset val="1"/>
      </rPr>
      <t xml:space="preserve">16 </t>
    </r>
    <r>
      <rPr>
        <sz val="11"/>
        <color theme="1"/>
        <rFont val="Noto Sans SC"/>
        <family val="2"/>
        <charset val="134"/>
      </rPr>
      <t xml:space="preserve">类</t>
    </r>
  </si>
  <si>
    <t xml:space="preserve">分类依据② 中奖线分布</t>
  </si>
  <si>
    <r>
      <rPr>
        <sz val="11"/>
        <color theme="1"/>
        <rFont val="Calibri"/>
        <family val="2"/>
        <charset val="1"/>
      </rPr>
      <t xml:space="preserve">5 </t>
    </r>
    <r>
      <rPr>
        <sz val="11"/>
        <color theme="1"/>
        <rFont val="Noto Sans SC"/>
        <family val="2"/>
        <charset val="134"/>
      </rPr>
      <t xml:space="preserve">列中奖线上每个位置是否被覆盖 → </t>
    </r>
    <r>
      <rPr>
        <sz val="11"/>
        <color theme="1"/>
        <rFont val="Calibri"/>
        <family val="2"/>
        <charset val="1"/>
      </rPr>
      <t xml:space="preserve">32 </t>
    </r>
    <r>
      <rPr>
        <sz val="11"/>
        <color theme="1"/>
        <rFont val="Noto Sans SC"/>
        <family val="2"/>
        <charset val="134"/>
      </rPr>
      <t xml:space="preserve">种</t>
    </r>
  </si>
  <si>
    <t xml:space="preserve">压缩后的情况数</t>
  </si>
  <si>
    <r>
      <rPr>
        <sz val="11"/>
        <color theme="1"/>
        <rFont val="Noto Sans SC"/>
        <family val="2"/>
        <charset val="134"/>
      </rPr>
      <t xml:space="preserve">＝ </t>
    </r>
    <r>
      <rPr>
        <sz val="11"/>
        <color theme="1"/>
        <rFont val="Calibri"/>
        <family val="2"/>
        <charset val="1"/>
      </rPr>
      <t xml:space="preserve">16 × 32 </t>
    </r>
    <r>
      <rPr>
        <sz val="11"/>
        <color theme="1"/>
        <rFont val="Noto Sans SC"/>
        <family val="2"/>
        <charset val="134"/>
      </rPr>
      <t xml:space="preserve">＝ </t>
    </r>
    <r>
      <rPr>
        <sz val="11"/>
        <color theme="1"/>
        <rFont val="Calibri"/>
        <family val="2"/>
        <charset val="1"/>
      </rPr>
      <t xml:space="preserve">512 </t>
    </r>
    <r>
      <rPr>
        <sz val="11"/>
        <color theme="1"/>
        <rFont val="Noto Sans SC"/>
        <family val="2"/>
        <charset val="134"/>
      </rPr>
      <t xml:space="preserve">类（原文）</t>
    </r>
  </si>
  <si>
    <r>
      <rPr>
        <sz val="11"/>
        <color theme="1"/>
        <rFont val="Calibri"/>
        <family val="2"/>
        <charset val="1"/>
      </rPr>
      <t xml:space="preserve">3*3 </t>
    </r>
    <r>
      <rPr>
        <sz val="11"/>
        <color theme="1"/>
        <rFont val="Noto Sans SC"/>
        <family val="2"/>
        <charset val="134"/>
      </rPr>
      <t xml:space="preserve">示例的情况</t>
    </r>
  </si>
  <si>
    <r>
      <rPr>
        <sz val="11"/>
        <color theme="1"/>
        <rFont val="Noto Sans SC"/>
        <family val="2"/>
        <charset val="134"/>
      </rPr>
      <t xml:space="preserve">中奖线只有 </t>
    </r>
    <r>
      <rPr>
        <sz val="11"/>
        <color theme="1"/>
        <rFont val="Calibri"/>
        <family val="2"/>
        <charset val="1"/>
      </rPr>
      <t xml:space="preserve">3 </t>
    </r>
    <r>
      <rPr>
        <sz val="11"/>
        <color theme="1"/>
        <rFont val="Noto Sans SC"/>
        <family val="2"/>
        <charset val="134"/>
      </rPr>
      <t xml:space="preserve">个位置 → </t>
    </r>
    <r>
      <rPr>
        <sz val="11"/>
        <color theme="1"/>
        <rFont val="Calibri"/>
        <family val="2"/>
        <charset val="1"/>
      </rPr>
      <t xml:space="preserve">8 </t>
    </r>
    <r>
      <rPr>
        <sz val="11"/>
        <color theme="1"/>
        <rFont val="Noto Sans SC"/>
        <family val="2"/>
        <charset val="134"/>
      </rPr>
      <t xml:space="preserve">种分布（</t>
    </r>
    <r>
      <rPr>
        <sz val="11"/>
        <color theme="1"/>
        <rFont val="Calibri"/>
        <family val="2"/>
        <charset val="1"/>
      </rPr>
      <t xml:space="preserve">Case1~8</t>
    </r>
    <r>
      <rPr>
        <sz val="11"/>
        <color theme="1"/>
        <rFont val="Noto Sans SC"/>
        <family val="2"/>
        <charset val="134"/>
      </rPr>
      <t xml:space="preserve">）</t>
    </r>
  </si>
  <si>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】示例基本设定</t>
    </r>
  </si>
  <si>
    <t xml:space="preserve">卷轴尺寸</t>
  </si>
  <si>
    <t xml:space="preserve">3*3</t>
  </si>
  <si>
    <r>
      <rPr>
        <sz val="11"/>
        <color theme="1"/>
        <rFont val="Noto Sans SC"/>
        <family val="2"/>
        <charset val="134"/>
      </rPr>
      <t xml:space="preserve">原文用 </t>
    </r>
    <r>
      <rPr>
        <sz val="11"/>
        <color theme="1"/>
        <rFont val="Calibri"/>
        <family val="2"/>
        <charset val="1"/>
      </rPr>
      <t xml:space="preserve">3*3 </t>
    </r>
    <r>
      <rPr>
        <sz val="11"/>
        <color theme="1"/>
        <rFont val="Noto Sans SC"/>
        <family val="2"/>
        <charset val="134"/>
      </rPr>
      <t xml:space="preserve">是为了便于列举（</t>
    </r>
    <r>
      <rPr>
        <sz val="11"/>
        <color theme="1"/>
        <rFont val="Calibri"/>
        <family val="2"/>
        <charset val="1"/>
      </rPr>
      <t xml:space="preserve">3*5 </t>
    </r>
    <r>
      <rPr>
        <sz val="11"/>
        <color theme="1"/>
        <rFont val="Noto Sans SC"/>
        <family val="2"/>
        <charset val="134"/>
      </rPr>
      <t xml:space="preserve">要算 </t>
    </r>
    <r>
      <rPr>
        <sz val="11"/>
        <color theme="1"/>
        <rFont val="Calibri"/>
        <family val="2"/>
        <charset val="1"/>
      </rPr>
      <t xml:space="preserve">0~15 </t>
    </r>
    <r>
      <rPr>
        <sz val="11"/>
        <color theme="1"/>
        <rFont val="Noto Sans SC"/>
        <family val="2"/>
        <charset val="134"/>
      </rPr>
      <t xml:space="preserve">个的 </t>
    </r>
    <r>
      <rPr>
        <sz val="11"/>
        <color theme="1"/>
        <rFont val="Calibri"/>
        <family val="2"/>
        <charset val="1"/>
      </rPr>
      <t xml:space="preserve">16 </t>
    </r>
    <r>
      <rPr>
        <sz val="11"/>
        <color theme="1"/>
        <rFont val="Noto Sans SC"/>
        <family val="2"/>
        <charset val="134"/>
      </rPr>
      <t xml:space="preserve">种情况）</t>
    </r>
  </si>
  <si>
    <t xml:space="preserve">图标</t>
  </si>
  <si>
    <r>
      <rPr>
        <sz val="11"/>
        <color rgb="FF0000FF"/>
        <rFont val="Cambria"/>
        <family val="0"/>
        <charset val="1"/>
      </rPr>
      <t xml:space="preserve">9 / 10 / J / Q / K </t>
    </r>
    <r>
      <rPr>
        <sz val="11"/>
        <color rgb="FF0000FF"/>
        <rFont val="Noto Sans SC"/>
        <family val="2"/>
        <charset val="134"/>
      </rPr>
      <t xml:space="preserve">＋ </t>
    </r>
    <r>
      <rPr>
        <sz val="11"/>
        <color rgb="FF0000FF"/>
        <rFont val="Cambria"/>
        <family val="0"/>
        <charset val="1"/>
      </rPr>
      <t xml:space="preserve">Wild</t>
    </r>
  </si>
  <si>
    <r>
      <rPr>
        <sz val="11"/>
        <color theme="1"/>
        <rFont val="Calibri"/>
        <family val="2"/>
        <charset val="1"/>
      </rPr>
      <t xml:space="preserve">5 </t>
    </r>
    <r>
      <rPr>
        <sz val="11"/>
        <color theme="1"/>
        <rFont val="Noto Sans SC"/>
        <family val="2"/>
        <charset val="134"/>
      </rPr>
      <t xml:space="preserve">个标准图标 ＋ </t>
    </r>
    <r>
      <rPr>
        <sz val="11"/>
        <color theme="1"/>
        <rFont val="Calibri"/>
        <family val="2"/>
        <charset val="1"/>
      </rPr>
      <t xml:space="preserve">1 </t>
    </r>
    <r>
      <rPr>
        <sz val="11"/>
        <color theme="1"/>
        <rFont val="Noto Sans SC"/>
        <family val="2"/>
        <charset val="134"/>
      </rPr>
      <t xml:space="preserve">个百搭</t>
    </r>
  </si>
  <si>
    <t xml:space="preserve">随机百搭个数</t>
  </si>
  <si>
    <t xml:space="preserve">0 ~ 9</t>
  </si>
  <si>
    <r>
      <rPr>
        <sz val="11"/>
        <color theme="1"/>
        <rFont val="Noto Sans SC"/>
        <family val="2"/>
        <charset val="134"/>
      </rPr>
      <t xml:space="preserve">不重复覆盖，最多 </t>
    </r>
    <r>
      <rPr>
        <sz val="11"/>
        <color theme="1"/>
        <rFont val="Calibri"/>
        <family val="2"/>
        <charset val="1"/>
      </rPr>
      <t xml:space="preserve">9 </t>
    </r>
    <r>
      <rPr>
        <sz val="11"/>
        <color theme="1"/>
        <rFont val="Noto Sans SC"/>
        <family val="2"/>
        <charset val="134"/>
      </rPr>
      <t xml:space="preserve">个（＝卷轴格数）</t>
    </r>
  </si>
  <si>
    <t xml:space="preserve">各个数出现几率</t>
  </si>
  <si>
    <r>
      <rPr>
        <sz val="11"/>
        <color rgb="FF0000FF"/>
        <rFont val="Noto Sans SC"/>
        <family val="2"/>
        <charset val="134"/>
      </rPr>
      <t xml:space="preserve">本示例相等（各 </t>
    </r>
    <r>
      <rPr>
        <sz val="11"/>
        <color rgb="FF0000FF"/>
        <rFont val="Cambria"/>
        <family val="0"/>
        <charset val="1"/>
      </rPr>
      <t xml:space="preserve">1/10</t>
    </r>
    <r>
      <rPr>
        <sz val="11"/>
        <color rgb="FF0000FF"/>
        <rFont val="Noto Sans SC"/>
        <family val="2"/>
        <charset val="134"/>
      </rPr>
      <t xml:space="preserve">）</t>
    </r>
  </si>
  <si>
    <t xml:space="preserve">不相等时最后用出现几率加权平均</t>
  </si>
  <si>
    <t xml:space="preserve">注意</t>
  </si>
  <si>
    <t xml:space="preserve">卷轴本身也可能抽到百搭</t>
  </si>
  <si>
    <t xml:space="preserve">因此存在「百搭覆盖百搭」</t>
  </si>
  <si>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】第三步 </t>
    </r>
    <r>
      <rPr>
        <b val="true"/>
        <sz val="11"/>
        <color rgb="FF1F4E79"/>
        <rFont val="Cambria"/>
        <family val="0"/>
        <charset val="1"/>
      </rPr>
      <t xml:space="preserve">/ </t>
    </r>
    <r>
      <rPr>
        <b val="true"/>
        <sz val="11"/>
        <color rgb="FF1F4E79"/>
        <rFont val="Noto Sans SC"/>
        <family val="2"/>
        <charset val="134"/>
      </rPr>
      <t xml:space="preserve">第四步：</t>
    </r>
    <r>
      <rPr>
        <b val="true"/>
        <sz val="11"/>
        <color rgb="FF1F4E79"/>
        <rFont val="Cambria"/>
        <family val="0"/>
        <charset val="1"/>
      </rPr>
      <t xml:space="preserve">8 </t>
    </r>
    <r>
      <rPr>
        <b val="true"/>
        <sz val="11"/>
        <color rgb="FF1F4E79"/>
        <rFont val="Noto Sans SC"/>
        <family val="2"/>
        <charset val="134"/>
      </rPr>
      <t xml:space="preserve">种中奖线分布及其出现几率（公式计算）</t>
    </r>
  </si>
  <si>
    <t xml:space="preserve">分布</t>
  </si>
  <si>
    <r>
      <rPr>
        <b val="true"/>
        <sz val="11"/>
        <color rgb="FF1F4E79"/>
        <rFont val="Noto Sans SC"/>
        <family val="2"/>
        <charset val="134"/>
      </rPr>
      <t xml:space="preserve">位置</t>
    </r>
    <r>
      <rPr>
        <b val="true"/>
        <sz val="11"/>
        <color rgb="FF1F4E79"/>
        <rFont val="Cambria"/>
        <family val="0"/>
        <charset val="1"/>
      </rPr>
      <t xml:space="preserve">1</t>
    </r>
  </si>
  <si>
    <r>
      <rPr>
        <b val="true"/>
        <sz val="11"/>
        <color rgb="FF1F4E79"/>
        <rFont val="Noto Sans SC"/>
        <family val="2"/>
        <charset val="134"/>
      </rPr>
      <t xml:space="preserve">位置</t>
    </r>
    <r>
      <rPr>
        <b val="true"/>
        <sz val="11"/>
        <color rgb="FF1F4E79"/>
        <rFont val="Cambria"/>
        <family val="0"/>
        <charset val="1"/>
      </rPr>
      <t xml:space="preserve">2</t>
    </r>
  </si>
  <si>
    <r>
      <rPr>
        <b val="true"/>
        <sz val="11"/>
        <color rgb="FF1F4E79"/>
        <rFont val="Noto Sans SC"/>
        <family val="2"/>
        <charset val="134"/>
      </rPr>
      <t xml:space="preserve">位置</t>
    </r>
    <r>
      <rPr>
        <b val="true"/>
        <sz val="11"/>
        <color rgb="FF1F4E79"/>
        <rFont val="Cambria"/>
        <family val="0"/>
        <charset val="1"/>
      </rPr>
      <t xml:space="preserve">3</t>
    </r>
  </si>
  <si>
    <r>
      <rPr>
        <b val="true"/>
        <sz val="11"/>
        <color rgb="FF1F4E79"/>
        <rFont val="Noto Sans SC"/>
        <family val="2"/>
        <charset val="134"/>
      </rPr>
      <t xml:space="preserve">线上被覆盖 </t>
    </r>
    <r>
      <rPr>
        <b val="true"/>
        <sz val="11"/>
        <color rgb="FF1F4E79"/>
        <rFont val="Cambria"/>
        <family val="0"/>
        <charset val="1"/>
      </rPr>
      <t xml:space="preserve">j </t>
    </r>
    <r>
      <rPr>
        <b val="true"/>
        <sz val="11"/>
        <color rgb="FF1F4E79"/>
        <rFont val="Noto Sans SC"/>
        <family val="2"/>
        <charset val="134"/>
      </rPr>
      <t xml:space="preserve">个</t>
    </r>
  </si>
  <si>
    <r>
      <rPr>
        <b val="true"/>
        <sz val="11"/>
        <color rgb="FF1F4E79"/>
        <rFont val="Noto Sans SC"/>
        <family val="2"/>
        <charset val="134"/>
      </rPr>
      <t xml:space="preserve">该 </t>
    </r>
    <r>
      <rPr>
        <b val="true"/>
        <sz val="11"/>
        <color rgb="FF1F4E79"/>
        <rFont val="Cambria"/>
        <family val="0"/>
        <charset val="1"/>
      </rPr>
      <t xml:space="preserve">k </t>
    </r>
    <r>
      <rPr>
        <b val="true"/>
        <sz val="11"/>
        <color rgb="FF1F4E79"/>
        <rFont val="Noto Sans SC"/>
        <family val="2"/>
        <charset val="134"/>
      </rPr>
      <t xml:space="preserve">下的事件数</t>
    </r>
  </si>
  <si>
    <r>
      <rPr>
        <b val="true"/>
        <sz val="11"/>
        <color rgb="FF1F4E79"/>
        <rFont val="Noto Sans SC"/>
        <family val="2"/>
        <charset val="134"/>
      </rPr>
      <t xml:space="preserve">该 </t>
    </r>
    <r>
      <rPr>
        <b val="true"/>
        <sz val="11"/>
        <color rgb="FF1F4E79"/>
        <rFont val="Cambria"/>
        <family val="0"/>
        <charset val="1"/>
      </rPr>
      <t xml:space="preserve">k </t>
    </r>
    <r>
      <rPr>
        <b val="true"/>
        <sz val="11"/>
        <color rgb="FF1F4E79"/>
        <rFont val="Noto Sans SC"/>
        <family val="2"/>
        <charset val="134"/>
      </rPr>
      <t xml:space="preserve">下的出现几率</t>
    </r>
  </si>
  <si>
    <r>
      <rPr>
        <sz val="11"/>
        <color theme="1"/>
        <rFont val="Noto Sans SC"/>
        <family val="2"/>
        <charset val="134"/>
      </rPr>
      <t xml:space="preserve">当前随机百搭个数 </t>
    </r>
    <r>
      <rPr>
        <sz val="11"/>
        <color theme="1"/>
        <rFont val="Calibri"/>
        <family val="2"/>
        <charset val="1"/>
      </rPr>
      <t xml:space="preserve">k</t>
    </r>
    <r>
      <rPr>
        <sz val="11"/>
        <color theme="1"/>
        <rFont val="Noto Sans SC"/>
        <family val="2"/>
        <charset val="134"/>
      </rPr>
      <t xml:space="preserve">（蓝字可改，改它即可看不同 </t>
    </r>
    <r>
      <rPr>
        <sz val="11"/>
        <color theme="1"/>
        <rFont val="Calibri"/>
        <family val="2"/>
        <charset val="1"/>
      </rPr>
      <t xml:space="preserve">k</t>
    </r>
    <r>
      <rPr>
        <sz val="11"/>
        <color theme="1"/>
        <rFont val="Noto Sans SC"/>
        <family val="2"/>
        <charset val="134"/>
      </rPr>
      <t xml:space="preserve">）</t>
    </r>
  </si>
  <si>
    <t xml:space="preserve">Case2</t>
  </si>
  <si>
    <t xml:space="preserve">X</t>
  </si>
  <si>
    <t xml:space="preserve">Case3</t>
  </si>
  <si>
    <t xml:space="preserve">S</t>
  </si>
  <si>
    <t xml:space="preserve">Case4</t>
  </si>
  <si>
    <t xml:space="preserve">Case5</t>
  </si>
  <si>
    <t xml:space="preserve">Case6</t>
  </si>
  <si>
    <t xml:space="preserve">Case7</t>
  </si>
  <si>
    <t xml:space="preserve">Case8</t>
  </si>
  <si>
    <t xml:space="preserve">Case9</t>
  </si>
  <si>
    <r>
      <rPr>
        <sz val="11"/>
        <color theme="1"/>
        <rFont val="Noto Sans SC"/>
        <family val="2"/>
        <charset val="134"/>
      </rPr>
      <t xml:space="preserve">整条线全被覆盖 →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t>
    </r>
  </si>
  <si>
    <r>
      <rPr>
        <b val="true"/>
        <sz val="11"/>
        <rFont val="Noto Sans SC"/>
        <family val="2"/>
        <charset val="134"/>
      </rPr>
      <t xml:space="preserve">合计（同一 </t>
    </r>
    <r>
      <rPr>
        <b val="true"/>
        <sz val="11"/>
        <rFont val="Cambria"/>
        <family val="0"/>
        <charset val="1"/>
      </rPr>
      <t xml:space="preserve">k </t>
    </r>
    <r>
      <rPr>
        <b val="true"/>
        <sz val="11"/>
        <rFont val="Noto Sans SC"/>
        <family val="2"/>
        <charset val="134"/>
      </rPr>
      <t xml:space="preserve">下 </t>
    </r>
    <r>
      <rPr>
        <b val="true"/>
        <sz val="11"/>
        <rFont val="Cambria"/>
        <family val="0"/>
        <charset val="1"/>
      </rPr>
      <t xml:space="preserve">8 </t>
    </r>
    <r>
      <rPr>
        <b val="true"/>
        <sz val="11"/>
        <rFont val="Noto Sans SC"/>
        <family val="2"/>
        <charset val="134"/>
      </rPr>
      <t xml:space="preserve">种分布）</t>
    </r>
  </si>
  <si>
    <r>
      <rPr>
        <sz val="11"/>
        <color theme="1"/>
        <rFont val="Noto Sans SC"/>
        <family val="2"/>
        <charset val="134"/>
      </rPr>
      <t xml:space="preserve">应等于 </t>
    </r>
    <r>
      <rPr>
        <sz val="11"/>
        <color theme="1"/>
        <rFont val="Calibri"/>
        <family val="2"/>
        <charset val="1"/>
      </rPr>
      <t xml:space="preserve">COMBIN(9,k) </t>
    </r>
    <r>
      <rPr>
        <sz val="11"/>
        <color theme="1"/>
        <rFont val="Noto Sans SC"/>
        <family val="2"/>
        <charset val="134"/>
      </rPr>
      <t xml:space="preserve">与 </t>
    </r>
    <r>
      <rPr>
        <sz val="11"/>
        <color theme="1"/>
        <rFont val="Calibri"/>
        <family val="2"/>
        <charset val="1"/>
      </rPr>
      <t xml:space="preserve">100%</t>
    </r>
  </si>
  <si>
    <r>
      <rPr>
        <sz val="11"/>
        <color rgb="FF808080"/>
        <rFont val="Noto Sans SC"/>
        <family val="2"/>
        <charset val="134"/>
      </rPr>
      <t xml:space="preserve">事件数说明：中奖线 </t>
    </r>
    <r>
      <rPr>
        <sz val="11"/>
        <color rgb="FF808080"/>
        <rFont val="Cambria"/>
        <family val="0"/>
        <charset val="1"/>
      </rPr>
      <t xml:space="preserve">3 </t>
    </r>
    <r>
      <rPr>
        <sz val="11"/>
        <color rgb="FF808080"/>
        <rFont val="Noto Sans SC"/>
        <family val="2"/>
        <charset val="134"/>
      </rPr>
      <t xml:space="preserve">个位置的分布确定后，剩下的 </t>
    </r>
    <r>
      <rPr>
        <sz val="11"/>
        <color rgb="FF808080"/>
        <rFont val="Cambria"/>
        <family val="0"/>
        <charset val="1"/>
      </rPr>
      <t xml:space="preserve">9 − 3 </t>
    </r>
    <r>
      <rPr>
        <sz val="11"/>
        <color rgb="FF808080"/>
        <rFont val="Noto Sans SC"/>
        <family val="2"/>
        <charset val="134"/>
      </rPr>
      <t xml:space="preserve">＝ </t>
    </r>
    <r>
      <rPr>
        <sz val="11"/>
        <color rgb="FF808080"/>
        <rFont val="Cambria"/>
        <family val="0"/>
        <charset val="1"/>
      </rPr>
      <t xml:space="preserve">6 </t>
    </r>
    <r>
      <rPr>
        <sz val="11"/>
        <color rgb="FF808080"/>
        <rFont val="Noto Sans SC"/>
        <family val="2"/>
        <charset val="134"/>
      </rPr>
      <t xml:space="preserve">格中还要放 </t>
    </r>
    <r>
      <rPr>
        <sz val="11"/>
        <color rgb="FF808080"/>
        <rFont val="Cambria"/>
        <family val="0"/>
        <charset val="1"/>
      </rPr>
      <t xml:space="preserve">k − j </t>
    </r>
    <r>
      <rPr>
        <sz val="11"/>
        <color rgb="FF808080"/>
        <rFont val="Noto Sans SC"/>
        <family val="2"/>
        <charset val="134"/>
      </rPr>
      <t xml:space="preserve">个百搭 → </t>
    </r>
    <r>
      <rPr>
        <sz val="11"/>
        <color rgb="FF808080"/>
        <rFont val="Cambria"/>
        <family val="0"/>
        <charset val="1"/>
      </rPr>
      <t xml:space="preserve">COMBIN(6, k−j)</t>
    </r>
    <r>
      <rPr>
        <sz val="11"/>
        <color rgb="FF808080"/>
        <rFont val="Noto Sans SC"/>
        <family val="2"/>
        <charset val="134"/>
      </rPr>
      <t xml:space="preserve">；</t>
    </r>
    <r>
      <rPr>
        <sz val="11"/>
        <color rgb="FF808080"/>
        <rFont val="Cambria"/>
        <family val="0"/>
        <charset val="1"/>
      </rPr>
      <t xml:space="preserve">k </t>
    </r>
    <r>
      <rPr>
        <sz val="11"/>
        <color rgb="FF808080"/>
        <rFont val="Noto Sans SC"/>
        <family val="2"/>
        <charset val="134"/>
      </rPr>
      <t xml:space="preserve">小于 </t>
    </r>
    <r>
      <rPr>
        <sz val="11"/>
        <color rgb="FF808080"/>
        <rFont val="Cambria"/>
        <family val="0"/>
        <charset val="1"/>
      </rPr>
      <t xml:space="preserve">j </t>
    </r>
    <r>
      <rPr>
        <sz val="11"/>
        <color rgb="FF808080"/>
        <rFont val="Noto Sans SC"/>
        <family val="2"/>
        <charset val="134"/>
      </rPr>
      <t xml:space="preserve">时为 </t>
    </r>
    <r>
      <rPr>
        <sz val="11"/>
        <color rgb="FF808080"/>
        <rFont val="Cambria"/>
        <family val="0"/>
        <charset val="1"/>
      </rPr>
      <t xml:space="preserve">0</t>
    </r>
    <r>
      <rPr>
        <sz val="11"/>
        <color rgb="FF808080"/>
        <rFont val="Noto Sans SC"/>
        <family val="2"/>
        <charset val="134"/>
      </rPr>
      <t xml:space="preserve">（该分布不可能出现）。所有 </t>
    </r>
    <r>
      <rPr>
        <sz val="11"/>
        <color rgb="FF808080"/>
        <rFont val="Cambria"/>
        <family val="0"/>
        <charset val="1"/>
      </rPr>
      <t xml:space="preserve">k </t>
    </r>
    <r>
      <rPr>
        <sz val="11"/>
        <color rgb="FF808080"/>
        <rFont val="Noto Sans SC"/>
        <family val="2"/>
        <charset val="134"/>
      </rPr>
      <t xml:space="preserve">下 </t>
    </r>
    <r>
      <rPr>
        <sz val="11"/>
        <color rgb="FF808080"/>
        <rFont val="Cambria"/>
        <family val="0"/>
        <charset val="1"/>
      </rPr>
      <t xml:space="preserve">8 </t>
    </r>
    <r>
      <rPr>
        <sz val="11"/>
        <color rgb="FF808080"/>
        <rFont val="Noto Sans SC"/>
        <family val="2"/>
        <charset val="134"/>
      </rPr>
      <t xml:space="preserve">种分布的几率之和恒为 </t>
    </r>
    <r>
      <rPr>
        <sz val="11"/>
        <color rgb="FF808080"/>
        <rFont val="Cambria"/>
        <family val="0"/>
        <charset val="1"/>
      </rPr>
      <t xml:space="preserve">1</t>
    </r>
    <r>
      <rPr>
        <sz val="11"/>
        <color rgb="FF808080"/>
        <rFont val="Noto Sans SC"/>
        <family val="2"/>
        <charset val="134"/>
      </rPr>
      <t xml:space="preserve">（等于把 </t>
    </r>
    <r>
      <rPr>
        <sz val="11"/>
        <color rgb="FF808080"/>
        <rFont val="Cambria"/>
        <family val="0"/>
        <charset val="1"/>
      </rPr>
      <t xml:space="preserve">C(9,k) </t>
    </r>
    <r>
      <rPr>
        <sz val="11"/>
        <color rgb="FF808080"/>
        <rFont val="Noto Sans SC"/>
        <family val="2"/>
        <charset val="134"/>
      </rPr>
      <t xml:space="preserve">按线上覆盖数拆开）。</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</si>
  <si>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】第五步：各情况 </t>
    </r>
    <r>
      <rPr>
        <b val="true"/>
        <sz val="11"/>
        <color rgb="FF1F4E79"/>
        <rFont val="Cambria"/>
        <family val="0"/>
        <charset val="1"/>
      </rPr>
      <t xml:space="preserve">RTP</t>
    </r>
    <r>
      <rPr>
        <b val="true"/>
        <sz val="11"/>
        <color rgb="FF1F4E79"/>
        <rFont val="Noto Sans SC"/>
        <family val="2"/>
        <charset val="134"/>
      </rPr>
      <t xml:space="preserve">（示意值可改；覆盖位置百搭几率设为 </t>
    </r>
    <r>
      <rPr>
        <b val="true"/>
        <sz val="11"/>
        <color rgb="FF1F4E79"/>
        <rFont val="Cambria"/>
        <family val="0"/>
        <charset val="1"/>
      </rPr>
      <t xml:space="preserve">100%</t>
    </r>
    <r>
      <rPr>
        <b val="true"/>
        <sz val="11"/>
        <color rgb="FF1F4E79"/>
        <rFont val="Noto Sans SC"/>
        <family val="2"/>
        <charset val="134"/>
      </rPr>
      <t xml:space="preserve">）</t>
    </r>
  </si>
  <si>
    <t xml:space="preserve">线上被覆盖情况</t>
  </si>
  <si>
    <r>
      <rPr>
        <b val="true"/>
        <sz val="11"/>
        <color rgb="FF1F4E79"/>
        <rFont val="Noto Sans SC"/>
        <family val="2"/>
        <charset val="134"/>
      </rPr>
      <t xml:space="preserve">该情况 </t>
    </r>
    <r>
      <rPr>
        <b val="true"/>
        <sz val="11"/>
        <color rgb="FF1F4E79"/>
        <rFont val="Cambria"/>
        <family val="0"/>
        <charset val="1"/>
      </rPr>
      <t xml:space="preserve">RTP</t>
    </r>
    <r>
      <rPr>
        <b val="true"/>
        <sz val="11"/>
        <color rgb="FF1F4E79"/>
        <rFont val="Noto Sans SC"/>
        <family val="2"/>
        <charset val="134"/>
      </rPr>
      <t xml:space="preserve">（示意）</t>
    </r>
  </si>
  <si>
    <t xml:space="preserve">第 无 个位置被覆盖</t>
  </si>
  <si>
    <r>
      <rPr>
        <sz val="11"/>
        <color theme="1"/>
        <rFont val="Noto Sans SC"/>
        <family val="2"/>
        <charset val="134"/>
      </rPr>
      <t xml:space="preserve">第 </t>
    </r>
    <r>
      <rPr>
        <sz val="11"/>
        <color theme="1"/>
        <rFont val="Calibri"/>
        <family val="2"/>
        <charset val="1"/>
      </rPr>
      <t xml:space="preserve">1 </t>
    </r>
    <r>
      <rPr>
        <sz val="11"/>
        <color theme="1"/>
        <rFont val="Noto Sans SC"/>
        <family val="2"/>
        <charset val="134"/>
      </rPr>
      <t xml:space="preserve">个位置被覆盖</t>
    </r>
  </si>
  <si>
    <r>
      <rPr>
        <sz val="11"/>
        <color theme="1"/>
        <rFont val="Noto Sans SC"/>
        <family val="2"/>
        <charset val="134"/>
      </rPr>
      <t xml:space="preserve">第 </t>
    </r>
    <r>
      <rPr>
        <sz val="11"/>
        <color theme="1"/>
        <rFont val="Calibri"/>
        <family val="2"/>
        <charset val="1"/>
      </rPr>
      <t xml:space="preserve">2 </t>
    </r>
    <r>
      <rPr>
        <sz val="11"/>
        <color theme="1"/>
        <rFont val="Noto Sans SC"/>
        <family val="2"/>
        <charset val="134"/>
      </rPr>
      <t xml:space="preserve">个位置被覆盖</t>
    </r>
  </si>
  <si>
    <r>
      <rPr>
        <sz val="11"/>
        <color theme="1"/>
        <rFont val="Noto Sans SC"/>
        <family val="2"/>
        <charset val="134"/>
      </rPr>
      <t xml:space="preserve">第 </t>
    </r>
    <r>
      <rPr>
        <sz val="11"/>
        <color theme="1"/>
        <rFont val="Calibri"/>
        <family val="2"/>
        <charset val="1"/>
      </rPr>
      <t xml:space="preserve">3 </t>
    </r>
    <r>
      <rPr>
        <sz val="11"/>
        <color theme="1"/>
        <rFont val="Noto Sans SC"/>
        <family val="2"/>
        <charset val="134"/>
      </rPr>
      <t xml:space="preserve">个位置被覆盖</t>
    </r>
  </si>
  <si>
    <r>
      <rPr>
        <sz val="11"/>
        <color theme="1"/>
        <rFont val="Noto Sans SC"/>
        <family val="2"/>
        <charset val="134"/>
      </rPr>
      <t xml:space="preserve">第 </t>
    </r>
    <r>
      <rPr>
        <sz val="11"/>
        <color theme="1"/>
        <rFont val="Calibri"/>
        <family val="2"/>
        <charset val="1"/>
      </rPr>
      <t xml:space="preserve">1,2 </t>
    </r>
    <r>
      <rPr>
        <sz val="11"/>
        <color theme="1"/>
        <rFont val="Noto Sans SC"/>
        <family val="2"/>
        <charset val="134"/>
      </rPr>
      <t xml:space="preserve">个位置被覆盖</t>
    </r>
  </si>
  <si>
    <r>
      <rPr>
        <sz val="11"/>
        <color theme="1"/>
        <rFont val="Noto Sans SC"/>
        <family val="2"/>
        <charset val="134"/>
      </rPr>
      <t xml:space="preserve">第 </t>
    </r>
    <r>
      <rPr>
        <sz val="11"/>
        <color theme="1"/>
        <rFont val="Calibri"/>
        <family val="2"/>
        <charset val="1"/>
      </rPr>
      <t xml:space="preserve">1,3 </t>
    </r>
    <r>
      <rPr>
        <sz val="11"/>
        <color theme="1"/>
        <rFont val="Noto Sans SC"/>
        <family val="2"/>
        <charset val="134"/>
      </rPr>
      <t xml:space="preserve">个位置被覆盖</t>
    </r>
  </si>
  <si>
    <r>
      <rPr>
        <sz val="11"/>
        <color theme="1"/>
        <rFont val="Noto Sans SC"/>
        <family val="2"/>
        <charset val="134"/>
      </rPr>
      <t xml:space="preserve">第 </t>
    </r>
    <r>
      <rPr>
        <sz val="11"/>
        <color theme="1"/>
        <rFont val="Calibri"/>
        <family val="2"/>
        <charset val="1"/>
      </rPr>
      <t xml:space="preserve">2,3 </t>
    </r>
    <r>
      <rPr>
        <sz val="11"/>
        <color theme="1"/>
        <rFont val="Noto Sans SC"/>
        <family val="2"/>
        <charset val="134"/>
      </rPr>
      <t xml:space="preserve">个位置被覆盖</t>
    </r>
  </si>
  <si>
    <r>
      <rPr>
        <sz val="11"/>
        <color theme="1"/>
        <rFont val="Noto Sans SC"/>
        <family val="2"/>
        <charset val="134"/>
      </rPr>
      <t xml:space="preserve">第 </t>
    </r>
    <r>
      <rPr>
        <sz val="11"/>
        <color theme="1"/>
        <rFont val="Calibri"/>
        <family val="2"/>
        <charset val="1"/>
      </rPr>
      <t xml:space="preserve">1,2,3 </t>
    </r>
    <r>
      <rPr>
        <sz val="11"/>
        <color theme="1"/>
        <rFont val="Noto Sans SC"/>
        <family val="2"/>
        <charset val="134"/>
      </rPr>
      <t xml:space="preserve">个位置被覆盖</t>
    </r>
  </si>
  <si>
    <t xml:space="preserve">整条线全百搭 → 无赔付</t>
  </si>
  <si>
    <r>
      <rPr>
        <sz val="11"/>
        <color rgb="FF808080"/>
        <rFont val="Cambria"/>
        <family val="0"/>
        <charset val="1"/>
      </rPr>
      <t xml:space="preserve">RTP </t>
    </r>
    <r>
      <rPr>
        <sz val="11"/>
        <color rgb="FF808080"/>
        <rFont val="Noto Sans SC"/>
        <family val="2"/>
        <charset val="134"/>
      </rPr>
      <t xml:space="preserve">的算法：把被覆盖位置的百搭出现几率设为 </t>
    </r>
    <r>
      <rPr>
        <sz val="11"/>
        <color rgb="FF808080"/>
        <rFont val="Cambria"/>
        <family val="0"/>
        <charset val="1"/>
      </rPr>
      <t xml:space="preserve">100%</t>
    </r>
    <r>
      <rPr>
        <sz val="11"/>
        <color rgb="FF808080"/>
        <rFont val="Noto Sans SC"/>
        <family val="2"/>
        <charset val="134"/>
      </rPr>
      <t xml:space="preserve">（其余位置照基础几率），再走常规「中奖率 </t>
    </r>
    <r>
      <rPr>
        <sz val="11"/>
        <color rgb="FF808080"/>
        <rFont val="Cambria"/>
        <family val="0"/>
        <charset val="1"/>
      </rPr>
      <t xml:space="preserve">× </t>
    </r>
    <r>
      <rPr>
        <sz val="11"/>
        <color rgb="FF808080"/>
        <rFont val="Noto Sans SC"/>
        <family val="2"/>
        <charset val="134"/>
      </rPr>
      <t xml:space="preserve">赔付倍数 → 期望」的流程。</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</si>
  <si>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】第六步：加权汇总</t>
    </r>
  </si>
  <si>
    <r>
      <rPr>
        <sz val="11"/>
        <color theme="1"/>
        <rFont val="Noto Sans SC"/>
        <family val="2"/>
        <charset val="134"/>
      </rPr>
      <t xml:space="preserve">① 当前 </t>
    </r>
    <r>
      <rPr>
        <sz val="11"/>
        <color theme="1"/>
        <rFont val="Calibri"/>
        <family val="2"/>
        <charset val="1"/>
      </rPr>
      <t xml:space="preserve">k </t>
    </r>
    <r>
      <rPr>
        <sz val="11"/>
        <color theme="1"/>
        <rFont val="Noto Sans SC"/>
        <family val="2"/>
        <charset val="134"/>
      </rPr>
      <t xml:space="preserve">下的综合 </t>
    </r>
    <r>
      <rPr>
        <sz val="11"/>
        <color theme="1"/>
        <rFont val="Calibri"/>
        <family val="2"/>
        <charset val="1"/>
      </rPr>
      <t xml:space="preserve">RTP</t>
    </r>
  </si>
  <si>
    <r>
      <rPr>
        <sz val="11"/>
        <color theme="1"/>
        <rFont val="Noto Sans SC"/>
        <family val="2"/>
        <charset val="134"/>
      </rPr>
      <t xml:space="preserve">＝ </t>
    </r>
    <r>
      <rPr>
        <sz val="11"/>
        <color theme="1"/>
        <rFont val="Calibri"/>
        <family val="2"/>
        <charset val="1"/>
      </rPr>
      <t xml:space="preserve">Σ(8 </t>
    </r>
    <r>
      <rPr>
        <sz val="11"/>
        <color theme="1"/>
        <rFont val="Noto Sans SC"/>
        <family val="2"/>
        <charset val="134"/>
      </rPr>
      <t xml:space="preserve">种分布几率 </t>
    </r>
    <r>
      <rPr>
        <sz val="11"/>
        <color theme="1"/>
        <rFont val="Calibri"/>
        <family val="2"/>
        <charset val="1"/>
      </rPr>
      <t xml:space="preserve">× </t>
    </r>
    <r>
      <rPr>
        <sz val="11"/>
        <color theme="1"/>
        <rFont val="Noto Sans SC"/>
        <family val="2"/>
        <charset val="134"/>
      </rPr>
      <t xml:space="preserve">各自 </t>
    </r>
    <r>
      <rPr>
        <sz val="11"/>
        <color theme="1"/>
        <rFont val="Calibri"/>
        <family val="2"/>
        <charset val="1"/>
      </rPr>
      <t xml:space="preserve">RTP)</t>
    </r>
  </si>
  <si>
    <r>
      <rPr>
        <sz val="11"/>
        <color theme="1"/>
        <rFont val="Noto Sans SC"/>
        <family val="2"/>
        <charset val="134"/>
      </rPr>
      <t xml:space="preserve">② 该 </t>
    </r>
    <r>
      <rPr>
        <sz val="11"/>
        <color theme="1"/>
        <rFont val="Calibri"/>
        <family val="2"/>
        <charset val="1"/>
      </rPr>
      <t xml:space="preserve">k </t>
    </r>
    <r>
      <rPr>
        <sz val="11"/>
        <color theme="1"/>
        <rFont val="Noto Sans SC"/>
        <family val="2"/>
        <charset val="134"/>
      </rPr>
      <t xml:space="preserve">的出现几率（本示例各 </t>
    </r>
    <r>
      <rPr>
        <sz val="11"/>
        <color theme="1"/>
        <rFont val="Calibri"/>
        <family val="2"/>
        <charset val="1"/>
      </rPr>
      <t xml:space="preserve">k </t>
    </r>
    <r>
      <rPr>
        <sz val="11"/>
        <color theme="1"/>
        <rFont val="Noto Sans SC"/>
        <family val="2"/>
        <charset val="134"/>
      </rPr>
      <t xml:space="preserve">相等）</t>
    </r>
  </si>
  <si>
    <r>
      <rPr>
        <sz val="11"/>
        <color theme="1"/>
        <rFont val="Noto Sans SC"/>
        <family val="2"/>
        <charset val="134"/>
      </rPr>
      <t xml:space="preserve">出现 </t>
    </r>
    <r>
      <rPr>
        <sz val="11"/>
        <color theme="1"/>
        <rFont val="Calibri"/>
        <family val="2"/>
        <charset val="1"/>
      </rPr>
      <t xml:space="preserve">0~9 </t>
    </r>
    <r>
      <rPr>
        <sz val="11"/>
        <color theme="1"/>
        <rFont val="Noto Sans SC"/>
        <family val="2"/>
        <charset val="134"/>
      </rPr>
      <t xml:space="preserve">个各 </t>
    </r>
    <r>
      <rPr>
        <sz val="11"/>
        <color theme="1"/>
        <rFont val="Calibri"/>
        <family val="2"/>
        <charset val="1"/>
      </rPr>
      <t xml:space="preserve">1/10</t>
    </r>
  </si>
  <si>
    <r>
      <rPr>
        <b val="true"/>
        <sz val="11"/>
        <rFont val="Noto Sans SC"/>
        <family val="2"/>
        <charset val="134"/>
      </rPr>
      <t xml:space="preserve">③ 对所有 </t>
    </r>
    <r>
      <rPr>
        <b val="true"/>
        <sz val="11"/>
        <rFont val="Cambria"/>
        <family val="0"/>
        <charset val="1"/>
      </rPr>
      <t xml:space="preserve">k </t>
    </r>
    <r>
      <rPr>
        <b val="true"/>
        <sz val="11"/>
        <rFont val="Noto Sans SC"/>
        <family val="2"/>
        <charset val="134"/>
      </rPr>
      <t xml:space="preserve">加权平均</t>
    </r>
  </si>
  <si>
    <r>
      <rPr>
        <sz val="11"/>
        <color theme="1"/>
        <rFont val="Noto Sans SC"/>
        <family val="2"/>
        <charset val="134"/>
      </rPr>
      <t xml:space="preserve">本示例各 </t>
    </r>
    <r>
      <rPr>
        <sz val="11"/>
        <color theme="1"/>
        <rFont val="Calibri"/>
        <family val="2"/>
        <charset val="1"/>
      </rPr>
      <t xml:space="preserve">k </t>
    </r>
    <r>
      <rPr>
        <sz val="11"/>
        <color theme="1"/>
        <rFont val="Noto Sans SC"/>
        <family val="2"/>
        <charset val="134"/>
      </rPr>
      <t xml:space="preserve">相等（直接取平均）；不相等时用 </t>
    </r>
    <r>
      <rPr>
        <sz val="11"/>
        <color theme="1"/>
        <rFont val="Calibri"/>
        <family val="2"/>
        <charset val="1"/>
      </rPr>
      <t xml:space="preserve">SUMPRODUCT </t>
    </r>
    <r>
      <rPr>
        <sz val="11"/>
        <color theme="1"/>
        <rFont val="Noto Sans SC"/>
        <family val="2"/>
        <charset val="134"/>
      </rPr>
      <t xml:space="preserve">加权</t>
    </r>
  </si>
  <si>
    <r>
      <rPr>
        <sz val="11"/>
        <color rgb="FF808080"/>
        <rFont val="Noto Sans SC"/>
        <family val="2"/>
        <charset val="134"/>
      </rPr>
      <t xml:space="preserve">若各 </t>
    </r>
    <r>
      <rPr>
        <sz val="11"/>
        <color rgb="FF808080"/>
        <rFont val="Cambria"/>
        <family val="0"/>
        <charset val="1"/>
      </rPr>
      <t xml:space="preserve">k </t>
    </r>
    <r>
      <rPr>
        <sz val="11"/>
        <color rgb="FF808080"/>
        <rFont val="Noto Sans SC"/>
        <family val="2"/>
        <charset val="134"/>
      </rPr>
      <t xml:space="preserve">的出现几率不同，把「① 当前 </t>
    </r>
    <r>
      <rPr>
        <sz val="11"/>
        <color rgb="FF808080"/>
        <rFont val="Cambria"/>
        <family val="0"/>
        <charset val="1"/>
      </rPr>
      <t xml:space="preserve">k </t>
    </r>
    <r>
      <rPr>
        <sz val="11"/>
        <color rgb="FF808080"/>
        <rFont val="Noto Sans SC"/>
        <family val="2"/>
        <charset val="134"/>
      </rPr>
      <t xml:space="preserve">下的综合 </t>
    </r>
    <r>
      <rPr>
        <sz val="11"/>
        <color rgb="FF808080"/>
        <rFont val="Cambria"/>
        <family val="0"/>
        <charset val="1"/>
      </rPr>
      <t xml:space="preserve">RTP</t>
    </r>
    <r>
      <rPr>
        <sz val="11"/>
        <color rgb="FF808080"/>
        <rFont val="Noto Sans SC"/>
        <family val="2"/>
        <charset val="134"/>
      </rPr>
      <t xml:space="preserve">」做成 </t>
    </r>
    <r>
      <rPr>
        <sz val="11"/>
        <color rgb="FF808080"/>
        <rFont val="Cambria"/>
        <family val="0"/>
        <charset val="1"/>
      </rPr>
      <t xml:space="preserve">0~9 </t>
    </r>
    <r>
      <rPr>
        <sz val="11"/>
        <color rgb="FF808080"/>
        <rFont val="Noto Sans SC"/>
        <family val="2"/>
        <charset val="134"/>
      </rPr>
      <t xml:space="preserve">共 </t>
    </r>
    <r>
      <rPr>
        <sz val="11"/>
        <color rgb="FF808080"/>
        <rFont val="Cambria"/>
        <family val="0"/>
        <charset val="1"/>
      </rPr>
      <t xml:space="preserve">10 </t>
    </r>
    <r>
      <rPr>
        <sz val="11"/>
        <color rgb="FF808080"/>
        <rFont val="Noto Sans SC"/>
        <family val="2"/>
        <charset val="134"/>
      </rPr>
      <t xml:space="preserve">行，再与各 </t>
    </r>
    <r>
      <rPr>
        <sz val="11"/>
        <color rgb="FF808080"/>
        <rFont val="Cambria"/>
        <family val="0"/>
        <charset val="1"/>
      </rPr>
      <t xml:space="preserve">k </t>
    </r>
    <r>
      <rPr>
        <sz val="11"/>
        <color rgb="FF808080"/>
        <rFont val="Noto Sans SC"/>
        <family val="2"/>
        <charset val="134"/>
      </rPr>
      <t xml:space="preserve">的出现几率做 </t>
    </r>
    <r>
      <rPr>
        <sz val="11"/>
        <color rgb="FF808080"/>
        <rFont val="Cambria"/>
        <family val="0"/>
        <charset val="1"/>
      </rPr>
      <t xml:space="preserve">SUMPRODUCT </t>
    </r>
    <r>
      <rPr>
        <sz val="11"/>
        <color rgb="FF808080"/>
        <rFont val="Noto Sans SC"/>
        <family val="2"/>
        <charset val="134"/>
      </rPr>
      <t xml:space="preserve">即可（本表用单行演示结构）。</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</si>
  <si>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】自检</t>
    </r>
  </si>
  <si>
    <t xml:space="preserve">检查项</t>
  </si>
  <si>
    <t xml:space="preserve">结果</t>
  </si>
  <si>
    <r>
      <rPr>
        <sz val="11"/>
        <color theme="1"/>
        <rFont val="Calibri"/>
        <family val="2"/>
        <charset val="1"/>
      </rPr>
      <t xml:space="preserve">8 </t>
    </r>
    <r>
      <rPr>
        <sz val="11"/>
        <color theme="1"/>
        <rFont val="Noto Sans SC"/>
        <family val="2"/>
        <charset val="134"/>
      </rPr>
      <t xml:space="preserve">种分布数 ＝ </t>
    </r>
    <r>
      <rPr>
        <sz val="11"/>
        <color theme="1"/>
        <rFont val="Calibri"/>
        <family val="2"/>
        <charset val="1"/>
      </rPr>
      <t xml:space="preserve">2³</t>
    </r>
  </si>
  <si>
    <r>
      <rPr>
        <sz val="11"/>
        <color theme="1"/>
        <rFont val="Noto Sans SC"/>
        <family val="2"/>
        <charset val="134"/>
      </rPr>
      <t xml:space="preserve">【</t>
    </r>
    <r>
      <rPr>
        <sz val="11"/>
        <color theme="1"/>
        <rFont val="Calibri"/>
        <family val="2"/>
        <charset val="1"/>
      </rPr>
      <t xml:space="preserve">3</t>
    </r>
    <r>
      <rPr>
        <sz val="11"/>
        <color theme="1"/>
        <rFont val="Noto Sans SC"/>
        <family val="2"/>
        <charset val="134"/>
      </rPr>
      <t xml:space="preserve">】</t>
    </r>
  </si>
  <si>
    <r>
      <rPr>
        <sz val="11"/>
        <color theme="1"/>
        <rFont val="Noto Sans SC"/>
        <family val="2"/>
        <charset val="134"/>
      </rPr>
      <t xml:space="preserve">同一 </t>
    </r>
    <r>
      <rPr>
        <sz val="11"/>
        <color theme="1"/>
        <rFont val="Calibri"/>
        <family val="2"/>
        <charset val="1"/>
      </rPr>
      <t xml:space="preserve">k </t>
    </r>
    <r>
      <rPr>
        <sz val="11"/>
        <color theme="1"/>
        <rFont val="Noto Sans SC"/>
        <family val="2"/>
        <charset val="134"/>
      </rPr>
      <t xml:space="preserve">下事件数合计 ＝ </t>
    </r>
    <r>
      <rPr>
        <sz val="11"/>
        <color theme="1"/>
        <rFont val="Calibri"/>
        <family val="2"/>
        <charset val="1"/>
      </rPr>
      <t xml:space="preserve">COMBIN(9,k)</t>
    </r>
  </si>
  <si>
    <r>
      <rPr>
        <sz val="11"/>
        <color theme="1"/>
        <rFont val="Calibri"/>
        <family val="2"/>
        <charset val="1"/>
      </rPr>
      <t xml:space="preserve">k </t>
    </r>
    <r>
      <rPr>
        <sz val="11"/>
        <color theme="1"/>
        <rFont val="Noto Sans SC"/>
        <family val="2"/>
        <charset val="134"/>
      </rPr>
      <t xml:space="preserve">可改，恒成立</t>
    </r>
  </si>
  <si>
    <r>
      <rPr>
        <sz val="11"/>
        <color theme="1"/>
        <rFont val="Noto Sans SC"/>
        <family val="2"/>
        <charset val="134"/>
      </rPr>
      <t xml:space="preserve">同一 </t>
    </r>
    <r>
      <rPr>
        <sz val="11"/>
        <color theme="1"/>
        <rFont val="Calibri"/>
        <family val="2"/>
        <charset val="1"/>
      </rPr>
      <t xml:space="preserve">k </t>
    </r>
    <r>
      <rPr>
        <sz val="11"/>
        <color theme="1"/>
        <rFont val="Noto Sans SC"/>
        <family val="2"/>
        <charset val="134"/>
      </rPr>
      <t xml:space="preserve">下出现几率合计 ＝ </t>
    </r>
    <r>
      <rPr>
        <sz val="11"/>
        <color theme="1"/>
        <rFont val="Calibri"/>
        <family val="2"/>
        <charset val="1"/>
      </rPr>
      <t xml:space="preserve">100%</t>
    </r>
  </si>
  <si>
    <r>
      <rPr>
        <sz val="11"/>
        <color theme="1"/>
        <rFont val="Calibri"/>
        <family val="2"/>
        <charset val="1"/>
      </rPr>
      <t xml:space="preserve">Case8</t>
    </r>
    <r>
      <rPr>
        <sz val="11"/>
        <color theme="1"/>
        <rFont val="Noto Sans SC"/>
        <family val="2"/>
        <charset val="134"/>
      </rPr>
      <t xml:space="preserve">（整线全百搭）</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t>
    </r>
  </si>
  <si>
    <t xml:space="preserve">百搭无赔付倍数</t>
  </si>
  <si>
    <r>
      <rPr>
        <sz val="11"/>
        <color theme="1"/>
        <rFont val="Calibri"/>
        <family val="2"/>
        <charset val="1"/>
      </rPr>
      <t xml:space="preserve">3*5 </t>
    </r>
    <r>
      <rPr>
        <sz val="11"/>
        <color theme="1"/>
        <rFont val="Noto Sans SC"/>
        <family val="2"/>
        <charset val="134"/>
      </rPr>
      <t xml:space="preserve">压缩后情况数 ＝ </t>
    </r>
    <r>
      <rPr>
        <sz val="11"/>
        <color theme="1"/>
        <rFont val="Calibri"/>
        <family val="2"/>
        <charset val="1"/>
      </rPr>
      <t xml:space="preserve">512</t>
    </r>
  </si>
  <si>
    <t xml:space="preserve">16 × 32</t>
  </si>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</sst>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6">
    <numFmt numFmtId="164" formatCode="General"/>
    <numFmt numFmtId="165" formatCode="#,##0"/>
    <numFmt numFmtId="166" formatCode="0.0000%"/>
    <numFmt numFmtId="167" formatCode="0.0000"/>
    <numFmt numFmtId="168" formatCode="0.00%"/>
    <numFmt numFmtId="169" formatCode="0.00000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00"/>
      <name val="Cambria"/>
      <family val="0"/>
      <charset val="1"/>
    </font>
    <font>
      <sz val="11"/>
      <color rgb="FF0000FF"/>
      <name val="Cambria"/>
      <family val="0"/>
      <charset val="1"/>
    </font>
    <font>
      <sz val="11"/>
      <color rgb="FF0000FF"/>
      <name val="Noto Sans SC"/>
      <family val="2"/>
      <charset val="134"/>
    </font>
    <font>
      <sz val="11"/>
      <color rgb="FF000000"/>
      <name val="Noto Sans SC"/>
      <family val="2"/>
      <charset val="134"/>
    </font>
  </fonts>
  <fills count="4">
    <fill>
      <patternFill patternType="none"/>
    </fill>
    <fill>
      <patternFill patternType="gray125"/>
    </fill>
    <fill>
      <patternFill patternType="solid">
        <fgColor rgb="FFB4C7E7"/>
        <bgColor rgb="FFCCCCFF"/>
      </patternFill>
    </fill>
    <fill>
      <patternFill patternType="solid">
        <fgColor rgb="FFDE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7" fontId="14"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7" fontId="13" fillId="0" borderId="0" xfId="0" applyFont="true" applyBorder="false" applyAlignment="true" applyProtection="true">
      <alignment horizontal="general" vertical="bottom" textRotation="0" wrapText="false" indent="0" shrinkToFit="false"/>
      <protection locked="true" hidden="false"/>
    </xf>
    <xf numFmtId="168" fontId="14"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0" fontId="9" fillId="0" borderId="0" xfId="0" applyFont="true" applyBorder="false" applyAlignment="true" applyProtection="true">
      <alignment horizontal="general" vertical="top" textRotation="0" wrapText="true" indent="0" shrinkToFit="false"/>
      <protection locked="true" hidden="false"/>
    </xf>
    <xf numFmtId="0" fontId="9" fillId="0" borderId="0" xfId="0" applyFont="true" applyBorder="true" applyAlignment="true" applyProtection="true">
      <alignment horizontal="general" vertical="bottom" textRotation="0" wrapText="false" indent="0" shrinkToFit="false"/>
      <protection locked="true" hidden="false"/>
    </xf>
    <xf numFmtId="0" fontId="9" fillId="0" borderId="0" xfId="0" applyFont="true" applyBorder="false" applyAlignment="true" applyProtection="true">
      <alignment horizontal="general" vertical="bottom" textRotation="0" wrapText="false" indent="0" shrinkToFit="false"/>
      <protection locked="true" hidden="false"/>
    </xf>
    <xf numFmtId="169" applyNumberFormat="1" fontId="13" fillId="0" borderId="0" xfId="0" applyFont="true" applyBorder="false" applyAlignment="true" applyProtection="true">
      <alignment horizontal="general" vertical="bottom" textRotation="0" wrapText="false" indent="0" shrinkToFit="false"/>
      <protection locked="true" hidden="false"/>
    </xf>
    <xf numFmtId="169" applyNumberFormat="1" fontId="1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row>
    <row r="8" customFormat="false" ht="15.5" hidden="false" customHeight="false" outlineLevel="0" collapsed="false">
      <c r="A8" s="3" t="s">
        <v>6</v>
      </c>
      <c r="B8" s="3"/>
      <c r="C8" s="3"/>
      <c r="D8" s="3"/>
    </row>
    <row r="10" customFormat="false" ht="15" hidden="false" customHeight="false" outlineLevel="0" collapsed="false">
      <c r="A10" s="4" t="s">
        <v>7</v>
      </c>
    </row>
    <row r="11" customFormat="false" ht="29" hidden="false" customHeight="false" outlineLevel="0" collapsed="false">
      <c r="A11" s="29" t="s">
        <v>8</v>
      </c>
    </row>
    <row r="12" customFormat="false" ht="29" hidden="false" customHeight="false" outlineLevel="0" collapsed="false">
      <c r="A12" s="29" t="s">
        <v>9</v>
      </c>
    </row>
    <row r="13" customFormat="false" ht="15" hidden="false" customHeight="false" outlineLevel="0" collapsed="false">
      <c r="A13" s="5"/>
    </row>
    <row r="14" customFormat="false" ht="15" hidden="false" customHeight="false" outlineLevel="0" collapsed="false">
      <c r="A14" s="4" t="s">
        <v>10</v>
      </c>
    </row>
    <row r="15" customFormat="false" ht="15" hidden="false" customHeight="1" outlineLevel="0" collapsed="false">
      <c r="A15" s="30" t="s">
        <v>11</v>
      </c>
      <c r="B15" s="6"/>
      <c r="C15" s="6"/>
    </row>
    <row r="16" customFormat="false" ht="42" hidden="false" customHeight="false" outlineLevel="0" collapsed="false">
      <c r="A16" s="29" t="s">
        <v>12</v>
      </c>
    </row>
    <row r="17" customFormat="false" ht="15" hidden="false" customHeight="1" outlineLevel="0" collapsed="false">
      <c r="A17" s="30" t="s">
        <v>13</v>
      </c>
      <c r="B17" s="6"/>
      <c r="C17" s="6"/>
    </row>
    <row r="18" customFormat="false" ht="15" hidden="false" customHeight="false" outlineLevel="0" collapsed="false">
      <c r="A18" s="5"/>
    </row>
    <row r="19" customFormat="false" ht="15" hidden="false" customHeight="false" outlineLevel="0" collapsed="false">
      <c r="A19" s="4" t="s">
        <v>14</v>
      </c>
    </row>
    <row r="20" customFormat="false" ht="43" hidden="false" customHeight="false" outlineLevel="0" collapsed="false">
      <c r="A20" s="29" t="s">
        <v>15</v>
      </c>
    </row>
    <row r="21" customFormat="false" ht="28" hidden="false" customHeight="false" outlineLevel="0" collapsed="false">
      <c r="A21" s="31" t="s">
        <v>16</v>
      </c>
    </row>
    <row r="22" customFormat="false" ht="30" hidden="false" customHeight="false" outlineLevel="0" collapsed="false">
      <c r="A22" s="29" t="s">
        <v>17</v>
      </c>
    </row>
    <row r="23" customFormat="false" ht="15" hidden="false" customHeight="false" outlineLevel="0" collapsed="false">
      <c r="A23" s="7" t="s">
        <v>18</v>
      </c>
    </row>
    <row r="24" customFormat="false" ht="30" hidden="false" customHeight="false" outlineLevel="0" collapsed="false">
      <c r="A24" s="29" t="s">
        <v>19</v>
      </c>
    </row>
    <row r="25" customFormat="false" ht="30" hidden="false" customHeight="false" outlineLevel="0" collapsed="false">
      <c r="A25" s="31" t="s">
        <v>20</v>
      </c>
    </row>
    <row r="26" customFormat="false" ht="30" hidden="false" customHeight="false" outlineLevel="0" collapsed="false">
      <c r="A26" s="29" t="s">
        <v>21</v>
      </c>
    </row>
    <row r="27" customFormat="false" ht="29" hidden="false" customHeight="false" outlineLevel="0" collapsed="false">
      <c r="A27" s="31" t="s">
        <v>22</v>
      </c>
    </row>
    <row r="28" customFormat="false" ht="30" hidden="false" customHeight="false" outlineLevel="0" collapsed="false">
      <c r="A28" s="29" t="s">
        <v>23</v>
      </c>
    </row>
    <row r="29" customFormat="false" ht="28" hidden="false" customHeight="false" outlineLevel="0" collapsed="false">
      <c r="A29" s="31" t="s">
        <v>24</v>
      </c>
    </row>
    <row r="30" customFormat="false" ht="30" hidden="false" customHeight="false" outlineLevel="0" collapsed="false">
      <c r="A30" s="29" t="s">
        <v>25</v>
      </c>
    </row>
    <row r="31" customFormat="false" ht="30" hidden="false" customHeight="false" outlineLevel="0" collapsed="false">
      <c r="A31" s="31" t="s">
        <v>26</v>
      </c>
    </row>
    <row r="32" customFormat="false" ht="30" hidden="false" customHeight="false" outlineLevel="0" collapsed="false">
      <c r="A32" s="31" t="s">
        <v>27</v>
      </c>
    </row>
    <row r="33" customFormat="false" ht="30" hidden="false" customHeight="false" outlineLevel="0" collapsed="false">
      <c r="A33" s="29" t="s">
        <v>28</v>
      </c>
    </row>
    <row r="34" customFormat="false" ht="29" hidden="false" customHeight="false" outlineLevel="0" collapsed="false">
      <c r="A34" s="31" t="s">
        <v>29</v>
      </c>
    </row>
    <row r="35" customFormat="false" ht="30" hidden="false" customHeight="false" outlineLevel="0" collapsed="false">
      <c r="A35" s="29" t="s">
        <v>30</v>
      </c>
    </row>
    <row r="37" customFormat="false" ht="15" hidden="false" customHeight="false" outlineLevel="0" collapsed="false">
      <c r="A37" s="4" t="s">
        <v>31</v>
      </c>
    </row>
    <row r="38" customFormat="false" ht="15" hidden="false" customHeight="false" outlineLevel="0" collapsed="false">
      <c r="A38" s="7"/>
    </row>
    <row r="39" customFormat="false" ht="42" hidden="false" customHeight="false" outlineLevel="0" collapsed="false">
      <c r="A39" s="31" t="s">
        <v>32</v>
      </c>
    </row>
    <row r="40" customFormat="false" ht="29" hidden="false" customHeight="false" outlineLevel="0" collapsed="false">
      <c r="A40" s="31" t="s">
        <v>33</v>
      </c>
    </row>
    <row r="41" customFormat="false" ht="15" hidden="false" customHeight="false" outlineLevel="0" collapsed="false">
      <c r="A41" s="7"/>
    </row>
    <row r="42" customFormat="false" ht="16" hidden="false" customHeight="false" outlineLevel="0" collapsed="false">
      <c r="A42" s="7" t="s">
        <v>34</v>
      </c>
    </row>
    <row r="43" customFormat="false" ht="30" hidden="false" customHeight="false" outlineLevel="0" collapsed="false">
      <c r="A43" s="31" t="s">
        <v>35</v>
      </c>
    </row>
    <row r="44" customFormat="false" ht="30" hidden="false" customHeight="false" outlineLevel="0" collapsed="false">
      <c r="A44" s="29" t="s">
        <v>36</v>
      </c>
    </row>
    <row r="45" customFormat="false" ht="42" hidden="false" customHeight="false" outlineLevel="0" collapsed="false">
      <c r="A45" s="31" t="s">
        <v>37</v>
      </c>
    </row>
    <row r="46" customFormat="false" ht="15" hidden="false" customHeight="1" outlineLevel="0" collapsed="false">
      <c r="A46" s="32" t="s">
        <v>38</v>
      </c>
      <c r="B46" s="8"/>
      <c r="C46" s="8"/>
      <c r="D46" s="8"/>
      <c r="E46" s="8"/>
      <c r="F46" s="8"/>
      <c r="G46" s="8"/>
      <c r="H46" s="8"/>
    </row>
    <row r="47" customFormat="false" ht="28" hidden="false" customHeight="false" outlineLevel="0" collapsed="false">
      <c r="A47" s="31" t="s">
        <v>39</v>
      </c>
    </row>
    <row r="48" customFormat="false" ht="30" hidden="false" customHeight="false" outlineLevel="0" collapsed="false">
      <c r="A48" s="31" t="s">
        <v>40</v>
      </c>
    </row>
    <row r="49" customFormat="false" ht="15" hidden="false" customHeight="1" outlineLevel="0" collapsed="false">
      <c r="A49" s="32" t="s">
        <v>41</v>
      </c>
      <c r="B49" s="8"/>
      <c r="C49" s="8"/>
      <c r="D49" s="8"/>
    </row>
    <row r="50" customFormat="false" ht="30" hidden="false" customHeight="false" outlineLevel="0" collapsed="false">
      <c r="A50" s="31" t="s">
        <v>42</v>
      </c>
    </row>
    <row r="51" customFormat="false" ht="42" hidden="false" customHeight="false" outlineLevel="0" collapsed="false">
      <c r="A51" s="31" t="s">
        <v>43</v>
      </c>
    </row>
    <row r="52" customFormat="false" ht="15" hidden="false" customHeight="false" outlineLevel="0" collapsed="false">
      <c r="A52" s="7"/>
    </row>
    <row r="53" customFormat="false" ht="16" hidden="false" customHeight="false" outlineLevel="0" collapsed="false">
      <c r="A53" s="7" t="s">
        <v>44</v>
      </c>
    </row>
    <row r="54" customFormat="false" ht="15" hidden="false" customHeight="false" outlineLevel="0" collapsed="false">
      <c r="A54" s="7"/>
    </row>
    <row r="55" customFormat="false" ht="15" hidden="false" customHeight="false" outlineLevel="0" collapsed="false">
      <c r="A55" s="31" t="s">
        <v>45</v>
      </c>
    </row>
    <row r="56" customFormat="false" ht="15" hidden="false" customHeight="false" outlineLevel="0" collapsed="false">
      <c r="A56" s="7"/>
    </row>
    <row r="57" customFormat="false" ht="15" hidden="false" customHeight="false" outlineLevel="0" collapsed="false">
      <c r="A57" s="7" t="s">
        <v>46</v>
      </c>
    </row>
    <row r="58" customFormat="false" ht="15" hidden="false" customHeight="1" outlineLevel="0" collapsed="false">
      <c r="A58" s="32" t="s">
        <v>47</v>
      </c>
      <c r="B58" s="8"/>
      <c r="C58" s="8"/>
      <c r="D58" s="8"/>
      <c r="E58" s="8"/>
      <c r="F58" s="8"/>
      <c r="G58" s="8"/>
      <c r="H58" s="8"/>
    </row>
    <row r="59" customFormat="false" ht="15" hidden="false" customHeight="false" outlineLevel="0" collapsed="false">
      <c r="A59" s="7"/>
    </row>
    <row r="60" customFormat="false" ht="16" hidden="false" customHeight="false" outlineLevel="0" collapsed="false">
      <c r="A60" s="7" t="s">
        <v>48</v>
      </c>
    </row>
    <row r="61" customFormat="false" ht="15" hidden="false" customHeight="false" outlineLevel="0" collapsed="false">
      <c r="A61" s="7"/>
    </row>
    <row r="62" customFormat="false" ht="30" hidden="false" customHeight="false" outlineLevel="0" collapsed="false">
      <c r="A62" s="31" t="s">
        <v>49</v>
      </c>
    </row>
    <row r="63" customFormat="false" ht="16" hidden="false" customHeight="false" outlineLevel="0" collapsed="false">
      <c r="A63" s="7" t="s">
        <v>50</v>
      </c>
    </row>
    <row r="64" customFormat="false" ht="15" hidden="false" customHeight="false" outlineLevel="0" collapsed="false">
      <c r="A64" s="7" t="s">
        <v>51</v>
      </c>
    </row>
    <row r="65" customFormat="false" ht="16" hidden="false" customHeight="false" outlineLevel="0" collapsed="false">
      <c r="A65" s="34">
        <v>6</v>
      </c>
    </row>
    <row r="66" customFormat="false" ht="16" hidden="false" customHeight="false" outlineLevel="0" collapsed="false">
      <c r="A66" s="34">
        <v>1</v>
      </c>
    </row>
    <row r="67" customFormat="false" ht="16" hidden="false" customHeight="false" outlineLevel="0" collapsed="false">
      <c r="A67" s="7" t="s">
        <v>54</v>
      </c>
    </row>
    <row r="68" customFormat="false" ht="29" hidden="false" customHeight="false" outlineLevel="0" collapsed="false">
      <c r="A68" s="31" t="s">
        <v>55</v>
      </c>
    </row>
    <row r="69" customFormat="false" ht="28" hidden="false" customHeight="false" outlineLevel="0" collapsed="false">
      <c r="A69" s="31" t="s">
        <v>56</v>
      </c>
    </row>
    <row r="70" customFormat="false" ht="15" hidden="false" customHeight="false" outlineLevel="0" collapsed="false">
      <c r="A70" s="7" t="s">
        <v>57</v>
      </c>
    </row>
    <row r="71" customFormat="false" ht="15" hidden="false" customHeight="false" outlineLevel="0" collapsed="false">
      <c r="A71" s="7" t="s">
        <v>58</v>
      </c>
    </row>
    <row r="72" customFormat="false" ht="28" hidden="false" customHeight="false" outlineLevel="0" collapsed="false">
      <c r="A72" s="31" t="s">
        <v>59</v>
      </c>
    </row>
    <row r="73" customFormat="false" ht="15" hidden="false" customHeight="false" outlineLevel="0" collapsed="false">
      <c r="A73" s="7"/>
    </row>
    <row r="74" customFormat="false" ht="16" hidden="false" customHeight="false" outlineLevel="0" collapsed="false">
      <c r="A74" s="7" t="s">
        <v>60</v>
      </c>
    </row>
    <row r="75" customFormat="false" ht="15" hidden="false" customHeight="false" outlineLevel="0" collapsed="false">
      <c r="A75" s="7"/>
    </row>
    <row r="76" customFormat="false" ht="15" hidden="false" customHeight="false" outlineLevel="0" collapsed="false">
      <c r="A76" s="7" t="s">
        <v>61</v>
      </c>
    </row>
    <row r="77" customFormat="false" ht="15" hidden="false" customHeight="1" outlineLevel="0" collapsed="false">
      <c r="A77" s="32" t="s">
        <v>62</v>
      </c>
      <c r="B77" s="8"/>
      <c r="C77" s="8"/>
    </row>
    <row r="78" customFormat="false" ht="16" hidden="false" customHeight="false" outlineLevel="0" collapsed="false">
      <c r="A78" s="7" t="s">
        <v>63</v>
      </c>
    </row>
    <row r="79" customFormat="false" ht="29" hidden="false" customHeight="false" outlineLevel="0" collapsed="false">
      <c r="A79" s="31" t="s">
        <v>64</v>
      </c>
    </row>
    <row r="80" customFormat="false" ht="15" hidden="false" customHeight="false" outlineLevel="0" collapsed="false">
      <c r="A80" s="7" t="s">
        <v>65</v>
      </c>
    </row>
    <row r="81" customFormat="false" ht="30" hidden="false" customHeight="false" outlineLevel="0" collapsed="false">
      <c r="A81" s="31" t="s">
        <v>66</v>
      </c>
    </row>
    <row r="82" customFormat="false" ht="26.5" hidden="false" customHeight="false" outlineLevel="0" collapsed="false">
      <c r="A82" s="31" t="s">
        <v>67</v>
      </c>
    </row>
    <row r="83" customFormat="false" ht="15" hidden="false" customHeight="false" outlineLevel="0" collapsed="false">
      <c r="A83" s="7"/>
    </row>
    <row r="84" customFormat="false" ht="16" hidden="false" customHeight="false" outlineLevel="0" collapsed="false">
      <c r="A84" s="7" t="s">
        <v>68</v>
      </c>
    </row>
    <row r="85" customFormat="false" ht="15" hidden="false" customHeight="false" outlineLevel="0" collapsed="false">
      <c r="A85" s="7"/>
    </row>
    <row r="86" customFormat="false" ht="15" hidden="false" customHeight="false" outlineLevel="0" collapsed="false">
      <c r="A86" s="7" t="s">
        <v>69</v>
      </c>
    </row>
    <row r="87" customFormat="false" ht="29" hidden="false" customHeight="false" outlineLevel="0" collapsed="false">
      <c r="A87" s="31" t="s">
        <v>70</v>
      </c>
    </row>
    <row r="88" customFormat="false" ht="29" hidden="false" customHeight="false" outlineLevel="0" collapsed="false">
      <c r="A88" s="31" t="s">
        <v>71</v>
      </c>
    </row>
    <row r="89" customFormat="false" ht="15" hidden="false" customHeight="false" outlineLevel="0" collapsed="false">
      <c r="A89" s="7" t="s">
        <v>72</v>
      </c>
    </row>
    <row r="90" customFormat="false" ht="15" hidden="false" customHeight="false" outlineLevel="0" collapsed="false">
      <c r="A90" s="7"/>
    </row>
    <row r="91" customFormat="false" ht="16" hidden="false" customHeight="false" outlineLevel="0" collapsed="false">
      <c r="A91" s="7" t="s">
        <v>73</v>
      </c>
    </row>
    <row r="92" customFormat="false" ht="15" hidden="false" customHeight="false" outlineLevel="0" collapsed="false">
      <c r="A92" s="7"/>
    </row>
    <row r="93" customFormat="false" ht="15" hidden="false" customHeight="false" outlineLevel="0" collapsed="false">
      <c r="A93" s="7" t="s">
        <v>74</v>
      </c>
    </row>
    <row r="94" customFormat="false" ht="29" hidden="false" customHeight="false" outlineLevel="0" collapsed="false">
      <c r="A94" s="31" t="s">
        <v>75</v>
      </c>
    </row>
    <row r="95" customFormat="false" ht="29" hidden="false" customHeight="false" outlineLevel="0" collapsed="false">
      <c r="A95" s="31" t="s">
        <v>76</v>
      </c>
    </row>
    <row r="96" customFormat="false" ht="41" hidden="false" customHeight="false" outlineLevel="0" collapsed="false">
      <c r="A96" s="31" t="s">
        <v>77</v>
      </c>
    </row>
    <row r="97" customFormat="false" ht="29" hidden="false" customHeight="false" outlineLevel="0" collapsed="false">
      <c r="A97" s="31" t="s">
        <v>78</v>
      </c>
    </row>
    <row r="98" customFormat="false" ht="16" hidden="false" customHeight="false" outlineLevel="0" collapsed="false">
      <c r="A98" s="7" t="s">
        <v>79</v>
      </c>
    </row>
    <row r="99" customFormat="false" ht="16" hidden="false" customHeight="false" outlineLevel="0" collapsed="false">
      <c r="A99" s="7" t="s">
        <v>80</v>
      </c>
    </row>
    <row r="100" customFormat="false" ht="29" hidden="false" customHeight="false" outlineLevel="0" collapsed="false">
      <c r="A100" s="31" t="s">
        <v>81</v>
      </c>
    </row>
    <row r="101" customFormat="false" ht="15" hidden="false" customHeight="false" outlineLevel="0" collapsed="false">
      <c r="A101" s="7"/>
    </row>
    <row r="102" customFormat="false" ht="16" hidden="false" customHeight="false" outlineLevel="0" collapsed="false">
      <c r="A102" s="7" t="s">
        <v>82</v>
      </c>
    </row>
    <row r="103" customFormat="false" ht="15" hidden="false" customHeight="false" outlineLevel="0" collapsed="false">
      <c r="A103" s="7"/>
    </row>
    <row r="104" customFormat="false" ht="43" hidden="false" customHeight="false" outlineLevel="0" collapsed="false">
      <c r="A104" s="31" t="s">
        <v>83</v>
      </c>
    </row>
    <row r="105" customFormat="false" ht="16" hidden="false" customHeight="false" outlineLevel="0" collapsed="false">
      <c r="A105" s="7" t="s">
        <v>84</v>
      </c>
    </row>
    <row r="106" customFormat="false" ht="15" hidden="false" customHeight="false" outlineLevel="0" collapsed="false">
      <c r="A106" s="7" t="s">
        <v>85</v>
      </c>
    </row>
    <row r="107" customFormat="false" ht="43" hidden="false" customHeight="false" outlineLevel="0" collapsed="false">
      <c r="A107" s="31" t="s">
        <v>86</v>
      </c>
    </row>
    <row r="108" customFormat="false" ht="15" hidden="false" customHeight="1" outlineLevel="0" collapsed="false">
      <c r="A108" s="32" t="s">
        <v>87</v>
      </c>
      <c r="B108" s="8"/>
      <c r="C108" s="8"/>
      <c r="D108" s="8"/>
    </row>
    <row r="109" customFormat="false" ht="15" hidden="false" customHeight="false" outlineLevel="0" collapsed="false">
      <c r="A109" s="7"/>
    </row>
    <row r="110" customFormat="false" ht="16" hidden="false" customHeight="false" outlineLevel="0" collapsed="false">
      <c r="A110" s="7" t="s">
        <v>88</v>
      </c>
    </row>
    <row r="111" customFormat="false" ht="15" hidden="false" customHeight="false" outlineLevel="0" collapsed="false">
      <c r="A111" s="7"/>
    </row>
    <row r="112" customFormat="false" ht="15" hidden="false" customHeight="1" outlineLevel="0" collapsed="false">
      <c r="A112" s="32" t="s">
        <v>89</v>
      </c>
      <c r="B112" s="8"/>
      <c r="C112" s="8"/>
      <c r="D112" s="8"/>
      <c r="E112" s="8"/>
      <c r="F112" s="8"/>
    </row>
    <row r="113" customFormat="false" ht="15" hidden="false" customHeight="1" outlineLevel="0" collapsed="false">
      <c r="A113" s="32" t="s">
        <v>90</v>
      </c>
      <c r="B113" s="8"/>
      <c r="C113" s="8"/>
      <c r="D113" s="8"/>
      <c r="E113" s="8"/>
      <c r="F113" s="8"/>
      <c r="G113" s="8"/>
    </row>
    <row r="115" customFormat="false" ht="15.5" hidden="false" customHeight="false" outlineLevel="0" collapsed="false">
      <c r="A115" s="33" t="s">
        <v>91</v>
      </c>
    </row>
    <row r="116" customFormat="false" ht="15.5" hidden="false" customHeight="false" outlineLevel="0" collapsed="false">
      <c r="A116" s="2" t="s">
        <v>92</v>
      </c>
    </row>
    <row r="117" customFormat="false" ht="15.5" hidden="false" customHeight="false" outlineLevel="0" collapsed="false">
      <c r="A117" s="2" t="s">
        <v>93</v>
      </c>
    </row>
    <row r="118" customFormat="false" ht="15.5" hidden="false" customHeight="false" outlineLevel="0" collapsed="false">
      <c r="A118" s="2" t="s">
        <v>94</v>
      </c>
    </row>
    <row r="119" customFormat="false" ht="15.5" hidden="false" customHeight="false" outlineLevel="0" collapsed="false">
      <c r="A119" s="2" t="s">
        <v>95</v>
      </c>
    </row>
    <row r="120" customFormat="false" ht="15.5" hidden="false" customHeight="false" outlineLevel="0" collapsed="false">
      <c r="A120" s="2" t="s">
        <v>96</v>
      </c>
    </row>
    <row r="121" customFormat="false" ht="15.5" hidden="false" customHeight="false" outlineLevel="0" collapsed="false">
      <c r="A121" s="2" t="s">
        <v>97</v>
      </c>
    </row>
    <row r="122" customFormat="false" ht="15.5" hidden="false" customHeight="false" outlineLevel="0" collapsed="false">
      <c r="A122" s="2" t="s">
        <v>98</v>
      </c>
    </row>
    <row r="124" customFormat="false" ht="15" hidden="false" customHeight="false" outlineLevel="0" collapsed="false">
      <c r="A124" s="4" t="s">
        <v>99</v>
      </c>
    </row>
    <row r="125" customFormat="false" ht="30" hidden="false" customHeight="false" outlineLevel="0" collapsed="false">
      <c r="A125" s="31" t="s">
        <v>100</v>
      </c>
    </row>
    <row r="126" customFormat="false" ht="28" hidden="false" customHeight="false" outlineLevel="0" collapsed="false">
      <c r="A126" s="31" t="s">
        <v>101</v>
      </c>
    </row>
    <row r="127" customFormat="false" ht="15" hidden="false" customHeight="false" outlineLevel="0" collapsed="false">
      <c r="A127" s="7"/>
    </row>
    <row r="128" customFormat="false" ht="15" hidden="false" customHeight="false" outlineLevel="0" collapsed="false">
      <c r="A128" s="4" t="s">
        <v>102</v>
      </c>
    </row>
    <row r="129" customFormat="false" ht="28" hidden="false" customHeight="false" outlineLevel="0" collapsed="false">
      <c r="A129" s="31" t="s">
        <v>103</v>
      </c>
    </row>
    <row r="130" customFormat="false" ht="29" hidden="false" customHeight="false" outlineLevel="0" collapsed="false">
      <c r="A130" s="31" t="s">
        <v>104</v>
      </c>
    </row>
    <row r="132" customFormat="false" ht="15.5" hidden="false" customHeight="false" outlineLevel="0" collapsed="false">
      <c r="A132" s="9" t="s">
        <v>105</v>
      </c>
    </row>
  </sheetData>
  <mergeCells count="13">
    <mergeCell ref="A5:L5"/>
    <mergeCell ref="A6:J6"/>
    <mergeCell ref="A7:M7"/>
    <mergeCell ref="A8:K8"/>
    <mergeCell ref="A15:I15"/>
    <mergeCell ref="A17:J17"/>
    <mergeCell ref="A46:Q46"/>
    <mergeCell ref="A49:L49"/>
    <mergeCell ref="A58:Q58"/>
    <mergeCell ref="A77:J77"/>
    <mergeCell ref="A108:K108"/>
    <mergeCell ref="A112:O112"/>
    <mergeCell ref="A113:P1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M152"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106</v>
      </c>
      <c r="B1" s="11"/>
      <c r="C1" s="11"/>
      <c r="D1" s="11"/>
      <c r="E1" s="11"/>
      <c r="F1" s="11"/>
      <c r="G1" s="11"/>
      <c r="H1" s="11"/>
    </row>
    <row r="3" customFormat="false" ht="15.5" hidden="false" customHeight="false" outlineLevel="0" collapsed="false">
      <c r="A3" s="12" t="s">
        <v>107</v>
      </c>
      <c r="B3" s="12"/>
      <c r="C3" s="12"/>
      <c r="D3" s="13"/>
      <c r="E3" s="13"/>
      <c r="F3" s="13"/>
      <c r="G3" s="13"/>
      <c r="H3" s="13"/>
    </row>
    <row r="4" customFormat="false" ht="15" hidden="false" customHeight="false" outlineLevel="0" collapsed="false">
      <c r="A4" s="14" t="s">
        <v>108</v>
      </c>
      <c r="B4" s="14" t="s">
        <v>109</v>
      </c>
      <c r="C4" s="14" t="s">
        <v>110</v>
      </c>
      <c r="D4" s="14"/>
    </row>
    <row r="5" customFormat="false" ht="16" hidden="false" customHeight="false" outlineLevel="0" collapsed="false">
      <c r="A5" s="10" t="s">
        <v>111</v>
      </c>
      <c r="B5" s="10" t="s">
        <v>112</v>
      </c>
      <c r="C5" s="15" t="s">
        <v>113</v>
      </c>
      <c r="D5" s="15"/>
      <c r="E5" s="15"/>
    </row>
    <row r="6" customFormat="false" ht="16" hidden="false" customHeight="false" outlineLevel="0" collapsed="false">
      <c r="A6" s="16" t="s">
        <v>114</v>
      </c>
      <c r="B6" s="17" t="n">
        <f aca="false">2^15</f>
        <v>32768</v>
      </c>
      <c r="C6" s="15" t="s">
        <v>115</v>
      </c>
      <c r="D6" s="15"/>
      <c r="E6" s="15"/>
      <c r="F6" s="15"/>
    </row>
    <row r="7" customFormat="false" ht="16" hidden="false" customHeight="false" outlineLevel="0" collapsed="false">
      <c r="A7" s="10" t="s">
        <v>116</v>
      </c>
      <c r="B7" s="18" t="n">
        <v>16</v>
      </c>
      <c r="C7" s="15" t="s">
        <v>117</v>
      </c>
      <c r="D7" s="15"/>
    </row>
    <row r="8" customFormat="false" ht="16" hidden="false" customHeight="false" outlineLevel="0" collapsed="false">
      <c r="A8" s="10" t="s">
        <v>118</v>
      </c>
      <c r="B8" s="17" t="n">
        <f aca="false">2^5</f>
        <v>32</v>
      </c>
      <c r="C8" s="35">
        <v>5</v>
      </c>
      <c r="D8" s="19"/>
      <c r="E8" s="19"/>
      <c r="F8" s="19"/>
    </row>
    <row r="9" customFormat="false" ht="16" hidden="false" customHeight="false" outlineLevel="0" collapsed="false">
      <c r="A9" s="20" t="s">
        <v>120</v>
      </c>
      <c r="B9" s="17" t="n">
        <f aca="false">B7*B8</f>
        <v>512</v>
      </c>
      <c r="C9" s="15" t="s">
        <v>121</v>
      </c>
      <c r="D9" s="15"/>
      <c r="E9" s="15"/>
    </row>
    <row r="10" customFormat="false" ht="16" hidden="false" customHeight="false" outlineLevel="0" collapsed="false">
      <c r="A10" s="16" t="s">
        <v>122</v>
      </c>
      <c r="B10" s="17" t="n">
        <f aca="false">2^3</f>
        <v>8</v>
      </c>
      <c r="C10" s="15" t="s">
        <v>123</v>
      </c>
      <c r="D10" s="15"/>
      <c r="E10" s="15"/>
      <c r="F10" s="15"/>
    </row>
    <row r="12" customFormat="false" ht="15.5" hidden="false" customHeight="false" outlineLevel="0" collapsed="false">
      <c r="A12" s="12" t="s">
        <v>124</v>
      </c>
      <c r="B12" s="12"/>
      <c r="C12" s="12"/>
      <c r="D12" s="13"/>
      <c r="E12" s="13"/>
      <c r="F12" s="13"/>
      <c r="G12" s="13"/>
      <c r="H12" s="13"/>
    </row>
    <row r="13" customFormat="false" ht="15" hidden="false" customHeight="false" outlineLevel="0" collapsed="false">
      <c r="A13" s="14" t="s">
        <v>108</v>
      </c>
      <c r="B13" s="14" t="s">
        <v>110</v>
      </c>
      <c r="C13" s="14" t="s">
        <v>102</v>
      </c>
      <c r="D13" s="14"/>
      <c r="E13" s="14"/>
      <c r="F13" s="14"/>
      <c r="G13" s="14"/>
      <c r="H13" s="14"/>
    </row>
    <row r="14" customFormat="false" ht="16" hidden="false" customHeight="false" outlineLevel="0" collapsed="false">
      <c r="A14" s="10" t="s">
        <v>125</v>
      </c>
      <c r="B14" s="18" t="s">
        <v>126</v>
      </c>
      <c r="C14" s="15" t="s">
        <v>127</v>
      </c>
      <c r="D14" s="15"/>
      <c r="E14" s="15"/>
      <c r="F14" s="15"/>
      <c r="G14" s="15"/>
      <c r="H14" s="15"/>
    </row>
    <row r="15" customFormat="false" ht="16" hidden="false" customHeight="false" outlineLevel="0" collapsed="false">
      <c r="A15" s="10" t="s">
        <v>128</v>
      </c>
      <c r="B15" s="18" t="s">
        <v>129</v>
      </c>
      <c r="C15" s="35">
        <v>5</v>
      </c>
      <c r="D15" s="19"/>
      <c r="E15" s="19"/>
    </row>
    <row r="16" customFormat="false" ht="16" hidden="false" customHeight="false" outlineLevel="0" collapsed="false">
      <c r="A16" s="10" t="s">
        <v>131</v>
      </c>
      <c r="B16" s="18" t="s">
        <v>132</v>
      </c>
      <c r="C16" s="15" t="s">
        <v>133</v>
      </c>
      <c r="D16" s="15"/>
      <c r="E16" s="15"/>
      <c r="F16" s="15"/>
    </row>
    <row r="17" customFormat="false" ht="15.5" hidden="false" customHeight="false" outlineLevel="0" collapsed="false">
      <c r="A17" s="10" t="s">
        <v>134</v>
      </c>
      <c r="B17" s="21" t="s">
        <v>135</v>
      </c>
      <c r="C17" s="15" t="s">
        <v>136</v>
      </c>
      <c r="D17" s="15"/>
      <c r="E17" s="15"/>
    </row>
    <row r="18" customFormat="false" ht="15" hidden="false" customHeight="false" outlineLevel="0" collapsed="false">
      <c r="A18" s="10" t="s">
        <v>137</v>
      </c>
      <c r="B18" s="21" t="s">
        <v>138</v>
      </c>
      <c r="C18" s="15" t="s">
        <v>139</v>
      </c>
      <c r="D18" s="15"/>
      <c r="E18" s="15"/>
    </row>
    <row r="20" customFormat="false" ht="15.5" hidden="false" customHeight="false" outlineLevel="0" collapsed="false">
      <c r="A20" s="12" t="s">
        <v>140</v>
      </c>
      <c r="B20" s="12"/>
      <c r="C20" s="12"/>
      <c r="D20" s="12"/>
      <c r="E20" s="12"/>
      <c r="F20" s="12"/>
      <c r="G20" s="13"/>
      <c r="H20" s="13"/>
    </row>
    <row r="21" customFormat="false" ht="15.5" hidden="false" customHeight="false" outlineLevel="0" collapsed="false">
      <c r="A21" s="14" t="s">
        <v>141</v>
      </c>
      <c r="B21" s="14" t="s">
        <v>142</v>
      </c>
      <c r="C21" s="14" t="s">
        <v>143</v>
      </c>
      <c r="D21" s="14" t="s">
        <v>144</v>
      </c>
      <c r="E21" s="14" t="s">
        <v>145</v>
      </c>
      <c r="F21" s="14" t="s">
        <v>146</v>
      </c>
      <c r="G21" s="14" t="s">
        <v>147</v>
      </c>
      <c r="H21" s="14" t="s">
        <v>102</v>
      </c>
    </row>
    <row r="22" customFormat="false" ht="16" hidden="false" customHeight="false" outlineLevel="0" collapsed="false">
      <c r="A22" s="10" t="s">
        <v>148</v>
      </c>
      <c r="B22" s="18" t="n">
        <v>3</v>
      </c>
    </row>
    <row r="23" customFormat="false" ht="15" hidden="false" customHeight="false" outlineLevel="0" collapsed="false">
      <c r="A23" s="16" t="s">
        <v>149</v>
      </c>
      <c r="B23" s="18" t="s">
        <v>150</v>
      </c>
      <c r="C23" s="18" t="s">
        <v>150</v>
      </c>
      <c r="D23" s="18" t="s">
        <v>150</v>
      </c>
      <c r="E23" s="17" t="n">
        <f aca="false">COUNTIF(B23:D23,"S")</f>
        <v>0</v>
      </c>
      <c r="F23" s="17" t="n">
        <f aca="false">IF($B$22&lt;E23,0,COMBIN(6,$B$22-E23))</f>
        <v>20</v>
      </c>
      <c r="G23" s="37" t="n">
        <f aca="false">F23/COMBIN(9,$B$22)</f>
        <v>0.238095238095238</v>
      </c>
    </row>
    <row r="24" customFormat="false" ht="15" hidden="false" customHeight="false" outlineLevel="0" collapsed="false">
      <c r="A24" s="16" t="s">
        <v>151</v>
      </c>
      <c r="B24" s="18" t="s">
        <v>152</v>
      </c>
      <c r="C24" s="18" t="s">
        <v>150</v>
      </c>
      <c r="D24" s="18" t="s">
        <v>150</v>
      </c>
      <c r="E24" s="17" t="n">
        <f aca="false">COUNTIF(B24:D24,"S")</f>
        <v>1</v>
      </c>
      <c r="F24" s="17" t="n">
        <f aca="false">IF($B$22&lt;E24,0,COMBIN(6,$B$22-E24))</f>
        <v>15</v>
      </c>
      <c r="G24" s="37" t="n">
        <f aca="false">F24/COMBIN(9,$B$22)</f>
        <v>0.178571428571429</v>
      </c>
    </row>
    <row r="25" customFormat="false" ht="15" hidden="false" customHeight="false" outlineLevel="0" collapsed="false">
      <c r="A25" s="16" t="s">
        <v>153</v>
      </c>
      <c r="B25" s="18" t="s">
        <v>150</v>
      </c>
      <c r="C25" s="18" t="s">
        <v>152</v>
      </c>
      <c r="D25" s="18" t="s">
        <v>150</v>
      </c>
      <c r="E25" s="17" t="n">
        <f aca="false">COUNTIF(B25:D25,"S")</f>
        <v>1</v>
      </c>
      <c r="F25" s="17" t="n">
        <f aca="false">IF($B$22&lt;E25,0,COMBIN(6,$B$22-E25))</f>
        <v>15</v>
      </c>
      <c r="G25" s="37" t="n">
        <f aca="false">F25/COMBIN(9,$B$22)</f>
        <v>0.178571428571429</v>
      </c>
    </row>
    <row r="26" customFormat="false" ht="15" hidden="false" customHeight="false" outlineLevel="0" collapsed="false">
      <c r="A26" s="16" t="s">
        <v>154</v>
      </c>
      <c r="B26" s="18" t="s">
        <v>150</v>
      </c>
      <c r="C26" s="18" t="s">
        <v>150</v>
      </c>
      <c r="D26" s="18" t="s">
        <v>152</v>
      </c>
      <c r="E26" s="17" t="n">
        <f aca="false">COUNTIF(B26:D26,"S")</f>
        <v>1</v>
      </c>
      <c r="F26" s="17" t="n">
        <f aca="false">IF($B$22&lt;E26,0,COMBIN(6,$B$22-E26))</f>
        <v>15</v>
      </c>
      <c r="G26" s="37" t="n">
        <f aca="false">F26/COMBIN(9,$B$22)</f>
        <v>0.178571428571429</v>
      </c>
    </row>
    <row r="27" customFormat="false" ht="15" hidden="false" customHeight="false" outlineLevel="0" collapsed="false">
      <c r="A27" s="16" t="s">
        <v>155</v>
      </c>
      <c r="B27" s="18" t="s">
        <v>152</v>
      </c>
      <c r="C27" s="18" t="s">
        <v>152</v>
      </c>
      <c r="D27" s="18" t="s">
        <v>150</v>
      </c>
      <c r="E27" s="17" t="n">
        <f aca="false">COUNTIF(B27:D27,"S")</f>
        <v>2</v>
      </c>
      <c r="F27" s="17" t="n">
        <f aca="false">IF($B$22&lt;E27,0,COMBIN(6,$B$22-E27))</f>
        <v>6</v>
      </c>
      <c r="G27" s="37" t="n">
        <f aca="false">F27/COMBIN(9,$B$22)</f>
        <v>0.0714285714285714</v>
      </c>
    </row>
    <row r="28" customFormat="false" ht="15" hidden="false" customHeight="false" outlineLevel="0" collapsed="false">
      <c r="A28" s="16" t="s">
        <v>156</v>
      </c>
      <c r="B28" s="18" t="s">
        <v>152</v>
      </c>
      <c r="C28" s="18" t="s">
        <v>150</v>
      </c>
      <c r="D28" s="18" t="s">
        <v>152</v>
      </c>
      <c r="E28" s="17" t="n">
        <f aca="false">COUNTIF(B28:D28,"S")</f>
        <v>2</v>
      </c>
      <c r="F28" s="17" t="n">
        <f aca="false">IF($B$22&lt;E28,0,COMBIN(6,$B$22-E28))</f>
        <v>6</v>
      </c>
      <c r="G28" s="37" t="n">
        <f aca="false">F28/COMBIN(9,$B$22)</f>
        <v>0.0714285714285714</v>
      </c>
    </row>
    <row r="29" customFormat="false" ht="15" hidden="false" customHeight="false" outlineLevel="0" collapsed="false">
      <c r="A29" s="16" t="s">
        <v>157</v>
      </c>
      <c r="B29" s="18" t="s">
        <v>150</v>
      </c>
      <c r="C29" s="18" t="s">
        <v>152</v>
      </c>
      <c r="D29" s="18" t="s">
        <v>152</v>
      </c>
      <c r="E29" s="17" t="n">
        <f aca="false">COUNTIF(B29:D29,"S")</f>
        <v>2</v>
      </c>
      <c r="F29" s="17" t="n">
        <f aca="false">IF($B$22&lt;E29,0,COMBIN(6,$B$22-E29))</f>
        <v>6</v>
      </c>
      <c r="G29" s="37" t="n">
        <f aca="false">F29/COMBIN(9,$B$22)</f>
        <v>0.0714285714285714</v>
      </c>
    </row>
    <row r="30" customFormat="false" ht="16" hidden="false" customHeight="false" outlineLevel="0" collapsed="false">
      <c r="A30" s="16" t="s">
        <v>158</v>
      </c>
      <c r="B30" s="18" t="s">
        <v>152</v>
      </c>
      <c r="C30" s="18" t="s">
        <v>152</v>
      </c>
      <c r="D30" s="18" t="s">
        <v>152</v>
      </c>
      <c r="E30" s="17" t="n">
        <f aca="false">COUNTIF(B30:D30,"S")</f>
        <v>3</v>
      </c>
      <c r="F30" s="17" t="n">
        <f aca="false">IF($B$22&lt;E30,0,COMBIN(6,$B$22-E30))</f>
        <v>1</v>
      </c>
      <c r="G30" s="37" t="n">
        <f aca="false">F30/COMBIN(9,$B$22)</f>
        <v>0.0119047619047619</v>
      </c>
      <c r="H30" s="10" t="s">
        <v>159</v>
      </c>
    </row>
    <row r="31" customFormat="false" ht="16" hidden="false" customHeight="false" outlineLevel="0" collapsed="false">
      <c r="A31" s="20" t="s">
        <v>160</v>
      </c>
      <c r="F31" s="17" t="n">
        <f aca="false">SUM(F23:F30)</f>
        <v>84</v>
      </c>
      <c r="G31" s="37" t="n">
        <f aca="false">SUM(G23:G30)</f>
        <v>1</v>
      </c>
      <c r="H31" s="10" t="s">
        <v>161</v>
      </c>
    </row>
    <row r="32" customFormat="false" ht="15.5" hidden="false" customHeight="true" outlineLevel="0" collapsed="false">
      <c r="A32" s="23" t="s">
        <v>162</v>
      </c>
      <c r="B32" s="23"/>
      <c r="C32" s="23"/>
      <c r="D32" s="23"/>
      <c r="E32" s="23"/>
      <c r="F32" s="23"/>
      <c r="G32" s="23"/>
      <c r="H32" s="23"/>
      <c r="I32" s="23"/>
      <c r="J32" s="23"/>
      <c r="K32" s="23"/>
      <c r="L32" s="23"/>
      <c r="M32" s="23"/>
      <c r="N32" s="23"/>
    </row>
    <row r="34" customFormat="false" ht="15.5" hidden="false" customHeight="false" outlineLevel="0" collapsed="false">
      <c r="A34" s="12" t="s">
        <v>163</v>
      </c>
      <c r="B34" s="12"/>
      <c r="C34" s="12"/>
      <c r="D34" s="12"/>
      <c r="E34" s="13"/>
      <c r="F34" s="13"/>
      <c r="G34" s="13"/>
      <c r="H34" s="13"/>
    </row>
    <row r="35" customFormat="false" ht="15.5" hidden="false" customHeight="false" outlineLevel="0" collapsed="false">
      <c r="A35" s="14" t="s">
        <v>141</v>
      </c>
      <c r="B35" s="14" t="s">
        <v>164</v>
      </c>
      <c r="C35" s="14" t="s">
        <v>165</v>
      </c>
      <c r="D35" s="14" t="s">
        <v>102</v>
      </c>
      <c r="E35" s="14"/>
      <c r="F35" s="14"/>
      <c r="G35" s="14"/>
      <c r="H35" s="14"/>
    </row>
    <row r="36" customFormat="false" ht="15" hidden="false" customHeight="false" outlineLevel="0" collapsed="false">
      <c r="A36" s="16" t="s">
        <v>149</v>
      </c>
      <c r="B36" s="10" t="s">
        <v>166</v>
      </c>
      <c r="C36" s="24" t="n">
        <v>0.35</v>
      </c>
    </row>
    <row r="37" customFormat="false" ht="16" hidden="false" customHeight="false" outlineLevel="0" collapsed="false">
      <c r="A37" s="16" t="s">
        <v>151</v>
      </c>
      <c r="B37" s="10" t="s">
        <v>167</v>
      </c>
      <c r="C37" s="24" t="n">
        <v>0.47</v>
      </c>
    </row>
    <row r="38" customFormat="false" ht="16" hidden="false" customHeight="false" outlineLevel="0" collapsed="false">
      <c r="A38" s="16" t="s">
        <v>153</v>
      </c>
      <c r="B38" s="10" t="s">
        <v>168</v>
      </c>
      <c r="C38" s="24" t="n">
        <v>0.47</v>
      </c>
    </row>
    <row r="39" customFormat="false" ht="16" hidden="false" customHeight="false" outlineLevel="0" collapsed="false">
      <c r="A39" s="16" t="s">
        <v>154</v>
      </c>
      <c r="B39" s="10" t="s">
        <v>169</v>
      </c>
      <c r="C39" s="24" t="n">
        <v>0.47</v>
      </c>
    </row>
    <row r="40" customFormat="false" ht="16" hidden="false" customHeight="false" outlineLevel="0" collapsed="false">
      <c r="A40" s="16" t="s">
        <v>155</v>
      </c>
      <c r="B40" s="10" t="s">
        <v>170</v>
      </c>
      <c r="C40" s="24" t="n">
        <v>0.59</v>
      </c>
    </row>
    <row r="41" customFormat="false" ht="16" hidden="false" customHeight="false" outlineLevel="0" collapsed="false">
      <c r="A41" s="16" t="s">
        <v>156</v>
      </c>
      <c r="B41" s="10" t="s">
        <v>171</v>
      </c>
      <c r="C41" s="24" t="n">
        <v>0.59</v>
      </c>
    </row>
    <row r="42" customFormat="false" ht="16" hidden="false" customHeight="false" outlineLevel="0" collapsed="false">
      <c r="A42" s="16" t="s">
        <v>157</v>
      </c>
      <c r="B42" s="10" t="s">
        <v>172</v>
      </c>
      <c r="C42" s="24" t="n">
        <v>0.59</v>
      </c>
    </row>
    <row r="43" customFormat="false" ht="16" hidden="false" customHeight="false" outlineLevel="0" collapsed="false">
      <c r="A43" s="16" t="s">
        <v>158</v>
      </c>
      <c r="B43" s="10" t="s">
        <v>173</v>
      </c>
      <c r="C43" s="24" t="n">
        <v>0</v>
      </c>
      <c r="D43" s="15" t="s">
        <v>174</v>
      </c>
      <c r="E43" s="15"/>
    </row>
    <row r="44" customFormat="false" ht="15.5" hidden="false" customHeight="true" outlineLevel="0" collapsed="false">
      <c r="A44" s="25" t="s">
        <v>175</v>
      </c>
      <c r="B44" s="25"/>
      <c r="C44" s="25"/>
      <c r="D44" s="25"/>
      <c r="E44" s="25"/>
      <c r="F44" s="25"/>
      <c r="G44" s="25"/>
      <c r="H44" s="25"/>
    </row>
    <row r="46" customFormat="false" ht="15.5" hidden="false" customHeight="false" outlineLevel="0" collapsed="false">
      <c r="A46" s="12" t="s">
        <v>176</v>
      </c>
      <c r="B46" s="12"/>
      <c r="C46" s="12"/>
      <c r="D46" s="13"/>
      <c r="E46" s="13"/>
      <c r="F46" s="13"/>
      <c r="G46" s="13"/>
      <c r="H46" s="13"/>
    </row>
    <row r="47" customFormat="false" ht="15" hidden="false" customHeight="false" outlineLevel="0" collapsed="false">
      <c r="A47" s="14" t="s">
        <v>108</v>
      </c>
      <c r="B47" s="14" t="s">
        <v>110</v>
      </c>
      <c r="C47" s="14" t="s">
        <v>102</v>
      </c>
      <c r="D47" s="14"/>
      <c r="E47" s="14"/>
      <c r="F47" s="14"/>
      <c r="G47" s="14"/>
      <c r="H47" s="14"/>
    </row>
    <row r="48" customFormat="false" ht="16" hidden="false" customHeight="false" outlineLevel="0" collapsed="false">
      <c r="A48" s="10" t="s">
        <v>177</v>
      </c>
      <c r="B48" s="26" t="n">
        <f aca="false">SUMPRODUCT($G$23:$G$30,$C$36:$C$43)</f>
        <v>0.461547619047619</v>
      </c>
      <c r="C48" s="15" t="s">
        <v>178</v>
      </c>
      <c r="D48" s="15"/>
      <c r="E48" s="15"/>
    </row>
    <row r="49" customFormat="false" ht="16" hidden="false" customHeight="false" outlineLevel="0" collapsed="false">
      <c r="A49" s="10" t="s">
        <v>179</v>
      </c>
      <c r="B49" s="27" t="n">
        <v>0.1</v>
      </c>
      <c r="C49" s="15" t="s">
        <v>180</v>
      </c>
      <c r="D49" s="15"/>
    </row>
    <row r="50" customFormat="false" ht="16" hidden="false" customHeight="false" outlineLevel="0" collapsed="false">
      <c r="A50" s="20" t="s">
        <v>181</v>
      </c>
      <c r="B50" s="26" t="n">
        <f aca="false">B48*B49/B49</f>
        <v>0.461547619047619</v>
      </c>
      <c r="C50" s="15" t="s">
        <v>182</v>
      </c>
      <c r="D50" s="15"/>
      <c r="E50" s="15"/>
      <c r="F50" s="15"/>
      <c r="G50" s="15"/>
      <c r="H50" s="15"/>
    </row>
    <row r="51" customFormat="false" ht="15.5" hidden="false" customHeight="true" outlineLevel="0" collapsed="false">
      <c r="A51" s="23" t="s">
        <v>183</v>
      </c>
      <c r="B51" s="23"/>
      <c r="C51" s="23"/>
      <c r="D51" s="23"/>
      <c r="E51" s="23"/>
      <c r="F51" s="23"/>
      <c r="G51" s="23"/>
      <c r="H51" s="23"/>
    </row>
    <row r="53" customFormat="false" ht="15.5" hidden="false" customHeight="false" outlineLevel="0" collapsed="false">
      <c r="A53" s="12" t="s">
        <v>184</v>
      </c>
      <c r="B53" s="12"/>
      <c r="C53" s="12"/>
      <c r="D53" s="13"/>
      <c r="E53" s="13"/>
      <c r="F53" s="13"/>
      <c r="G53" s="13"/>
      <c r="H53" s="13"/>
    </row>
    <row r="54" customFormat="false" ht="15" hidden="false" customHeight="false" outlineLevel="0" collapsed="false">
      <c r="A54" s="14" t="s">
        <v>185</v>
      </c>
      <c r="B54" s="14" t="s">
        <v>186</v>
      </c>
      <c r="C54" s="14" t="s">
        <v>102</v>
      </c>
      <c r="D54" s="14"/>
      <c r="E54" s="14"/>
      <c r="F54" s="14"/>
      <c r="G54" s="14"/>
      <c r="H54" s="14"/>
    </row>
    <row r="55" customFormat="false" ht="16" hidden="false" customHeight="false" outlineLevel="0" collapsed="false">
      <c r="A55" s="36">
        <v>8</v>
      </c>
      <c r="B55" s="28" t="str">
        <f aca="false">IF(COUNTA($A$23:$A$30)=8,"✓","✗")</f>
        <v>✓</v>
      </c>
      <c r="C55" s="10" t="s">
        <v>188</v>
      </c>
    </row>
    <row r="56" customFormat="false" ht="16" hidden="false" customHeight="false" outlineLevel="0" collapsed="false">
      <c r="A56" s="10" t="s">
        <v>189</v>
      </c>
      <c r="B56" s="28" t="str">
        <f aca="false">IF(F31=COMBIN(9,$B$22),"✓","✗")</f>
        <v>✓</v>
      </c>
      <c r="C56" s="19" t="s">
        <v>190</v>
      </c>
      <c r="D56" s="19"/>
    </row>
    <row r="57" customFormat="false" ht="16" hidden="false" customHeight="false" outlineLevel="0" collapsed="false">
      <c r="A57" s="10" t="s">
        <v>191</v>
      </c>
      <c r="B57" s="28" t="str">
        <f aca="false">IF(ABS(G31-1)&lt;0.000001,"✓","✗")</f>
        <v>✓</v>
      </c>
      <c r="C57" s="10" t="s">
        <v>188</v>
      </c>
    </row>
    <row r="58" customFormat="false" ht="16" hidden="false" customHeight="false" outlineLevel="0" collapsed="false">
      <c r="A58" s="16" t="s">
        <v>192</v>
      </c>
      <c r="B58" s="28" t="str">
        <f aca="false">IF(C43=0,"✓","✗")</f>
        <v>✓</v>
      </c>
      <c r="C58" s="15" t="s">
        <v>193</v>
      </c>
      <c r="D58" s="15"/>
    </row>
    <row r="59" customFormat="false" ht="16" hidden="false" customHeight="false" outlineLevel="0" collapsed="false">
      <c r="A59" s="16" t="s">
        <v>194</v>
      </c>
      <c r="B59" s="28" t="str">
        <f aca="false">IF(B9=512,"✓","✗")</f>
        <v>✓</v>
      </c>
      <c r="C59" s="16" t="s">
        <v>195</v>
      </c>
    </row>
    <row r="61" customFormat="false" ht="15" hidden="false" customHeight="true" outlineLevel="0" collapsed="false">
      <c r="A61" s="23" t="s">
        <v>196</v>
      </c>
      <c r="B61" s="23"/>
      <c r="C61" s="23"/>
      <c r="D61" s="23"/>
      <c r="E61" s="23"/>
      <c r="F61" s="23"/>
      <c r="G61" s="23"/>
      <c r="H61" s="23"/>
    </row>
  </sheetData>
  <mergeCells count="28">
    <mergeCell ref="A1:H1"/>
    <mergeCell ref="A3:C3"/>
    <mergeCell ref="C5:E5"/>
    <mergeCell ref="C6:F6"/>
    <mergeCell ref="C7:D7"/>
    <mergeCell ref="C8:F8"/>
    <mergeCell ref="C9:E9"/>
    <mergeCell ref="C10:F10"/>
    <mergeCell ref="A12:C12"/>
    <mergeCell ref="C14:H14"/>
    <mergeCell ref="C15:E15"/>
    <mergeCell ref="C16:F16"/>
    <mergeCell ref="C17:E17"/>
    <mergeCell ref="C18:E18"/>
    <mergeCell ref="A20:F20"/>
    <mergeCell ref="A32:N32"/>
    <mergeCell ref="A34:D34"/>
    <mergeCell ref="D43:E43"/>
    <mergeCell ref="A44:H44"/>
    <mergeCell ref="A46:C46"/>
    <mergeCell ref="C48:E48"/>
    <mergeCell ref="C49:D49"/>
    <mergeCell ref="C50:H50"/>
    <mergeCell ref="A51:H51"/>
    <mergeCell ref="A53:C53"/>
    <mergeCell ref="C56:D56"/>
    <mergeCell ref="C58:D58"/>
    <mergeCell ref="A61:H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S81"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2026-09-29T15:06:27Z</dcterms:created>
  <dc:creator>openpyxl</dc:creator>
  <dc:description/>
  <dc:language>zh-CN</dc:language>
  <cp:lastModifiedBy/>
  <dcterms:modified xsi:type="dcterms:W3CDTF">2026-09-29T15:06:27Z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