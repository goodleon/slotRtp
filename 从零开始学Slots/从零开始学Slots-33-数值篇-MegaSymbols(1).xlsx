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<sst xmlns="http://schemas.openxmlformats.org/spreadsheetml/2006/main" count="180" uniqueCount="169">
  <si>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33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Mega Symbols(1)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</si>
  <si>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Mega Symbols(1)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https://zhuanlan.zhihu.com/p/635407035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</si>
  <si>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</si>
  <si>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</si>
  <si>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</si>
  <si>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配表说明：本例的 </t>
    </r>
    <r>
      <rPr>
        <sz val="11"/>
        <color rgb="FF808080"/>
        <rFont val="Cambria"/>
        <family val="0"/>
        <charset val="1"/>
      </rPr>
      <t xml:space="preserve">6 </t>
    </r>
    <r>
      <rPr>
        <sz val="11"/>
        <color rgb="FF808080"/>
        <rFont val="Noto Sans SC"/>
        <family val="2"/>
        <charset val="134"/>
      </rPr>
      <t xml:space="preserve">类 </t>
    </r>
    <r>
      <rPr>
        <sz val="11"/>
        <color rgb="FF808080"/>
        <rFont val="Cambria"/>
        <family val="0"/>
        <charset val="1"/>
      </rPr>
      <t xml:space="preserve">Case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8 </t>
    </r>
    <r>
      <rPr>
        <sz val="11"/>
        <color rgb="FF808080"/>
        <rFont val="Noto Sans SC"/>
        <family val="2"/>
        <charset val="134"/>
      </rPr>
      <t xml:space="preserve">种覆盖可能、</t>
    </r>
    <r>
      <rPr>
        <sz val="11"/>
        <color rgb="FF808080"/>
        <rFont val="Cambria"/>
        <family val="0"/>
        <charset val="1"/>
      </rPr>
      <t xml:space="preserve">4 </t>
    </r>
    <r>
      <rPr>
        <sz val="11"/>
        <color rgb="FF808080"/>
        <rFont val="Noto Sans SC"/>
        <family val="2"/>
        <charset val="134"/>
      </rPr>
      <t xml:space="preserve">种实际覆盖情况、以及「</t>
    </r>
    <r>
      <rPr>
        <sz val="11"/>
        <color rgb="FF808080"/>
        <rFont val="Cambria"/>
        <family val="0"/>
        <charset val="1"/>
      </rPr>
      <t xml:space="preserve">Mega </t>
    </r>
    <r>
      <rPr>
        <sz val="11"/>
        <color rgb="FF808080"/>
        <rFont val="Noto Sans SC"/>
        <family val="2"/>
        <charset val="134"/>
      </rPr>
      <t xml:space="preserve">上每局只有一种图标」等要点均取自原文；具体几率与各情况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原文在配图中，本表用示意值（蓝字可改）。</t>
    </r>
  </si>
  <si>
    <r>
      <rPr>
        <sz val="11"/>
        <color rgb="FF808080"/>
        <rFont val="Noto Sans SC"/>
        <family val="2"/>
        <charset val="134"/>
      </rPr>
      <t xml:space="preserve">【</t>
    </r>
    <r>
      <rPr>
        <sz val="11"/>
        <color rgb="FF808080"/>
        <rFont val="Cambria"/>
        <family val="0"/>
        <charset val="1"/>
      </rPr>
      <t xml:space="preserve">4</t>
    </r>
    <r>
      <rPr>
        <sz val="11"/>
        <color rgb="FF808080"/>
        <rFont val="Noto Sans SC"/>
        <family val="2"/>
        <charset val="134"/>
      </rPr>
      <t xml:space="preserve">】的映射表是本簿新增的工程化处理：把「</t>
    </r>
    <r>
      <rPr>
        <sz val="11"/>
        <color rgb="FF808080"/>
        <rFont val="Cambria"/>
        <family val="0"/>
        <charset val="1"/>
      </rPr>
      <t xml:space="preserve">Case → </t>
    </r>
    <r>
      <rPr>
        <sz val="11"/>
        <color rgb="FF808080"/>
        <rFont val="Noto Sans SC"/>
        <family val="2"/>
        <charset val="134"/>
      </rPr>
      <t xml:space="preserve">覆盖情况」的归属写成 </t>
    </r>
    <r>
      <rPr>
        <sz val="11"/>
        <color rgb="FF808080"/>
        <rFont val="Cambria"/>
        <family val="0"/>
        <charset val="1"/>
      </rPr>
      <t xml:space="preserve">1/0</t>
    </r>
    <r>
      <rPr>
        <sz val="11"/>
        <color rgb="FF808080"/>
        <rFont val="Noto Sans SC"/>
        <family val="2"/>
        <charset val="134"/>
      </rPr>
      <t xml:space="preserve">，换玩法时只改映射即可，组几率自动算出。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</si>
  <si>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</si>
  <si>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</si>
  <si>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</si>
  <si>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</si>
  <si>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images/slots/635407035-NN.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</si>
  <si>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</si>
  <si>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</si>
  <si>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</si>
  <si>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示例：</t>
    </r>
    <r>
      <rPr>
        <sz val="11"/>
        <color theme="1"/>
        <rFont val="Calibri"/>
        <family val="2"/>
        <charset val="1"/>
      </rPr>
      <t xml:space="preserve">3*5 Line Slots</t>
    </r>
    <r>
      <rPr>
        <sz val="11"/>
        <color theme="1"/>
        <rFont val="Noto Sans SC"/>
        <family val="2"/>
        <charset val="134"/>
      </rPr>
      <t xml:space="preserve">，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个标准图标（</t>
    </r>
    <r>
      <rPr>
        <sz val="11"/>
        <color theme="1"/>
        <rFont val="Calibri"/>
        <family val="2"/>
        <charset val="1"/>
      </rPr>
      <t xml:space="preserve">10/J/Q/K/A</t>
    </r>
    <r>
      <rPr>
        <sz val="11"/>
        <color theme="1"/>
        <rFont val="Noto Sans SC"/>
        <family val="2"/>
        <charset val="134"/>
      </rPr>
      <t xml:space="preserve">）＋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；</t>
    </r>
    <r>
      <rPr>
        <sz val="11"/>
        <color theme="1"/>
        <rFont val="Calibri"/>
        <family val="2"/>
        <charset val="1"/>
      </rPr>
      <t xml:space="preserve">Feature </t>
    </r>
    <r>
      <rPr>
        <sz val="11"/>
        <color theme="1"/>
        <rFont val="Noto Sans SC"/>
        <family val="2"/>
        <charset val="134"/>
      </rPr>
      <t xml:space="preserve">为 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；</t>
    </r>
  </si>
  <si>
    <r>
      <rPr>
        <sz val="11"/>
        <color theme="1"/>
        <rFont val="Calibri"/>
        <family val="2"/>
        <charset val="1"/>
      </rPr>
      <t xml:space="preserve">  3*3 </t>
    </r>
    <r>
      <rPr>
        <sz val="11"/>
        <color theme="1"/>
        <rFont val="Noto Sans SC"/>
        <family val="2"/>
        <charset val="134"/>
      </rPr>
      <t xml:space="preserve">的大型图标随机停留在 </t>
    </r>
    <r>
      <rPr>
        <sz val="11"/>
        <color theme="1"/>
        <rFont val="Calibri"/>
        <family val="2"/>
        <charset val="1"/>
      </rPr>
      <t xml:space="preserve">2~4 </t>
    </r>
    <r>
      <rPr>
        <sz val="11"/>
        <color theme="1"/>
        <rFont val="Noto Sans SC"/>
        <family val="2"/>
        <charset val="134"/>
      </rPr>
      <t xml:space="preserve">列，且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可能不完整地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停留在卷轴上；</t>
    </r>
  </si>
  <si>
    <r>
      <rPr>
        <sz val="11"/>
        <color theme="1"/>
        <rFont val="Noto Sans SC"/>
        <family val="2"/>
        <charset val="134"/>
      </rPr>
      <t xml:space="preserve">  该图标从标准图标中随机抽取作为展示图标；其任意位置落在 </t>
    </r>
    <r>
      <rPr>
        <sz val="11"/>
        <color theme="1"/>
        <rFont val="Calibri"/>
        <family val="2"/>
        <charset val="1"/>
      </rPr>
      <t xml:space="preserve">Pay Line </t>
    </r>
    <r>
      <rPr>
        <sz val="11"/>
        <color theme="1"/>
        <rFont val="Noto Sans SC"/>
        <family val="2"/>
        <charset val="134"/>
      </rPr>
      <t xml:space="preserve">上都视为该图标出现在中奖线上；</t>
    </r>
    <r>
      <rPr>
        <sz val="11"/>
        <color theme="1"/>
        <rFont val="Calibri"/>
        <family val="2"/>
        <charset val="1"/>
      </rPr>
      <t xml:space="preserve">Pay Line </t>
    </r>
    <r>
      <rPr>
        <sz val="11"/>
        <color theme="1"/>
        <rFont val="Noto Sans SC"/>
        <family val="2"/>
        <charset val="134"/>
      </rPr>
      <t xml:space="preserve">数量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</si>
  <si>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核心思想：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不是抽图标时抽出来的，而是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先正常生成卷轴，再单独抽取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的分布位置覆盖上去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，</t>
    </r>
  </si>
  <si>
    <t xml:space="preserve">  因此需要一套单独的分布概率来控制。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</si>
  <si>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七步流程：① 设置图标出现概率 ② 设置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上展示图标的概率（通常单独一套，因为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一般不抽到百搭</t>
    </r>
    <r>
      <rPr>
        <sz val="11"/>
        <color theme="1"/>
        <rFont val="Calibri"/>
        <family val="2"/>
        <charset val="1"/>
      </rPr>
      <t xml:space="preserve">/Scatter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</si>
  <si>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  ③ 设置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分布位置几率（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SC"/>
        <family val="2"/>
        <charset val="134"/>
      </rPr>
      <t xml:space="preserve">类 </t>
    </r>
    <r>
      <rPr>
        <sz val="11"/>
        <color theme="1"/>
        <rFont val="Calibri"/>
        <family val="2"/>
        <charset val="1"/>
      </rPr>
      <t xml:space="preserve">Case</t>
    </r>
    <r>
      <rPr>
        <sz val="11"/>
        <color theme="1"/>
        <rFont val="Noto Sans SC"/>
        <family val="2"/>
        <charset val="134"/>
      </rPr>
      <t xml:space="preserve">，几率之和 ＝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</si>
  <si>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Noto Sans SC"/>
        <family val="2"/>
        <charset val="134"/>
      </rPr>
      <t xml:space="preserve">  ④ 分析中奖线的覆盖情况（长度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  <charset val="134"/>
      </rPr>
      <t xml:space="preserve">的中奖线共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SC"/>
        <family val="2"/>
        <charset val="134"/>
      </rPr>
      <t xml:space="preserve">种可能，本例实际出现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种）</t>
    </r>
  </si>
  <si>
    <r>
      <rPr>
        <sz val="11"/>
        <color theme="1"/>
        <rFont val="Noto Sans SC"/>
        <family val="2"/>
        <charset val="134"/>
      </rPr>
      <t xml:space="preserve">  ⑤ 把 </t>
    </r>
    <r>
      <rPr>
        <sz val="11"/>
        <color theme="1"/>
        <rFont val="Calibri"/>
        <family val="2"/>
        <charset val="1"/>
      </rPr>
      <t xml:space="preserve">Case </t>
    </r>
    <r>
      <rPr>
        <sz val="11"/>
        <color theme="1"/>
        <rFont val="Noto Sans SC"/>
        <family val="2"/>
        <charset val="134"/>
      </rPr>
      <t xml:space="preserve">分入这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种情况 → 各情况的出现几率（作为最终加权数）</t>
    </r>
  </si>
  <si>
    <r>
      <rPr>
        <sz val="11"/>
        <color theme="1"/>
        <rFont val="Noto Sans SC"/>
        <family val="2"/>
        <charset val="134"/>
      </rPr>
      <t xml:space="preserve">  ⑥ 分别计算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种情况的 </t>
    </r>
    <r>
      <rPr>
        <sz val="11"/>
        <color theme="1"/>
        <rFont val="Calibri"/>
        <family val="2"/>
        <charset val="1"/>
      </rPr>
      <t xml:space="preserve">RTP ⑦ </t>
    </r>
    <r>
      <rPr>
        <sz val="11"/>
        <color theme="1"/>
        <rFont val="Noto Sans SC"/>
        <family val="2"/>
        <charset val="134"/>
      </rPr>
      <t xml:space="preserve">加权求和得到综合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</si>
  <si>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第 ⑥ 步的关键细节：每局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上只有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一种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图标 → 被覆盖的图标必定相同，</t>
    </r>
  </si>
  <si>
    <r>
      <rPr>
        <sz val="11"/>
        <color theme="1"/>
        <rFont val="Noto Sans SC"/>
        <family val="2"/>
        <charset val="134"/>
      </rPr>
      <t xml:space="preserve">  所以要相应调整该图标的出现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不出现几率（而不是按基础概率算）。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</si>
  <si>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若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必定完整出现（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Noto Sans SC"/>
        <family val="2"/>
        <charset val="134"/>
      </rPr>
      <t xml:space="preserve">篇），覆盖情况可直接简化为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种，步骤更简单。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</si>
  <si>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</si>
  <si>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上篇介绍了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基础机制和简单的数值模型，本篇将在上篇的基础上从示例出发，展示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的详细数值模型搭建流程</t>
    </r>
  </si>
  <si>
    <r>
      <rPr>
        <sz val="11"/>
        <color theme="1"/>
        <rFont val="Noto Sans SC"/>
        <family val="2"/>
        <charset val="134"/>
      </rPr>
      <t xml:space="preserve">如果对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还不太了解的话可以点击下方链接查看上篇的介绍</t>
    </r>
  </si>
  <si>
    <r>
      <rPr>
        <sz val="11"/>
        <color theme="1"/>
        <rFont val="Noto Sans SC"/>
        <family val="2"/>
        <charset val="134"/>
      </rPr>
      <t xml:space="preserve">［内链卡片封面］</t>
    </r>
    <r>
      <rPr>
        <sz val="11"/>
        <color theme="1"/>
        <rFont val="Calibri"/>
        <family val="2"/>
        <charset val="1"/>
      </rPr>
      <t xml:space="preserve">635407035-01.png</t>
    </r>
  </si>
  <si>
    <r>
      <rPr>
        <sz val="11"/>
        <color theme="1"/>
        <rFont val="Noto Sans SC"/>
        <family val="2"/>
        <charset val="134"/>
      </rPr>
      <t xml:space="preserve">［原文内链卡片］《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基础篇——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》（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SC"/>
        <family val="2"/>
        <charset val="134"/>
      </rPr>
      <t xml:space="preserve">赞同 </t>
    </r>
    <r>
      <rPr>
        <sz val="11"/>
        <color theme="1"/>
        <rFont val="Calibri"/>
        <family val="2"/>
        <charset val="1"/>
      </rPr>
      <t xml:space="preserve">· 1 </t>
    </r>
    <r>
      <rPr>
        <sz val="11"/>
        <color theme="1"/>
        <rFont val="Noto Sans SC"/>
        <family val="2"/>
        <charset val="134"/>
      </rPr>
      <t xml:space="preserve">评论）</t>
    </r>
  </si>
  <si>
    <t xml:space="preserve">基础设定</t>
  </si>
  <si>
    <t xml:space="preserve">本篇示例的基础信息如下：</t>
  </si>
  <si>
    <r>
      <rPr>
        <sz val="11"/>
        <color theme="1"/>
        <rFont val="Noto Sans SC"/>
        <family val="2"/>
        <charset val="134"/>
      </rPr>
      <t xml:space="preserve">卷轴尺寸：</t>
    </r>
    <r>
      <rPr>
        <sz val="11"/>
        <color theme="1"/>
        <rFont val="Calibri"/>
        <family val="2"/>
        <charset val="1"/>
      </rPr>
      <t xml:space="preserve">3*5</t>
    </r>
  </si>
  <si>
    <t xml:space="preserve">图标个数：</t>
  </si>
  <si>
    <r>
      <rPr>
        <sz val="11"/>
        <color theme="1"/>
        <rFont val="Calibri"/>
        <family val="2"/>
        <charset val="1"/>
      </rPr>
      <t xml:space="preserve"> 5</t>
    </r>
    <r>
      <rPr>
        <sz val="11"/>
        <color theme="1"/>
        <rFont val="Noto Sans SC"/>
        <family val="2"/>
        <charset val="134"/>
      </rPr>
      <t xml:space="preserve">个标准图标：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</si>
  <si>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1</t>
    </r>
    <r>
      <rPr>
        <sz val="11"/>
        <color theme="1"/>
        <rFont val="Noto Sans SC"/>
        <family val="2"/>
        <charset val="134"/>
      </rPr>
      <t xml:space="preserve">个特殊图标：</t>
    </r>
    <r>
      <rPr>
        <sz val="11"/>
        <color theme="1"/>
        <rFont val="Calibri"/>
        <family val="2"/>
        <charset val="1"/>
      </rPr>
      <t xml:space="preserve">Wild</t>
    </r>
  </si>
  <si>
    <r>
      <rPr>
        <sz val="11"/>
        <color theme="1"/>
        <rFont val="Noto Sans SC"/>
        <family val="2"/>
        <charset val="134"/>
      </rPr>
      <t xml:space="preserve">特殊机制：</t>
    </r>
    <r>
      <rPr>
        <sz val="11"/>
        <color theme="1"/>
        <rFont val="Calibri"/>
        <family val="2"/>
        <charset val="1"/>
      </rPr>
      <t xml:space="preserve">Mega Symbols</t>
    </r>
  </si>
  <si>
    <r>
      <rPr>
        <sz val="11"/>
        <color theme="1"/>
        <rFont val="Noto Sans SC"/>
        <family val="2"/>
        <charset val="134"/>
      </rPr>
      <t xml:space="preserve">尺寸为</t>
    </r>
    <r>
      <rPr>
        <sz val="11"/>
        <color theme="1"/>
        <rFont val="Calibri"/>
        <family val="2"/>
        <charset val="1"/>
      </rPr>
      <t xml:space="preserve">3*3</t>
    </r>
    <r>
      <rPr>
        <sz val="11"/>
        <color theme="1"/>
        <rFont val="Noto Sans SC"/>
        <family val="2"/>
        <charset val="134"/>
      </rPr>
      <t xml:space="preserve">的大型图标会随机停留在</t>
    </r>
    <r>
      <rPr>
        <sz val="11"/>
        <color theme="1"/>
        <rFont val="Calibri"/>
        <family val="2"/>
        <charset val="1"/>
      </rPr>
      <t xml:space="preserve">2~4</t>
    </r>
    <r>
      <rPr>
        <sz val="11"/>
        <color theme="1"/>
        <rFont val="Noto Sans SC"/>
        <family val="2"/>
        <charset val="134"/>
      </rPr>
      <t xml:space="preserve">列上，该图标会从标准图标中随机抽取图标作为其展示的图标</t>
    </r>
  </si>
  <si>
    <r>
      <rPr>
        <sz val="11"/>
        <color theme="1"/>
        <rFont val="Noto Sans SC"/>
        <family val="2"/>
        <charset val="134"/>
      </rPr>
      <t xml:space="preserve">该大型图标的任意位置出现在</t>
    </r>
    <r>
      <rPr>
        <sz val="11"/>
        <color theme="1"/>
        <rFont val="Calibri"/>
        <family val="2"/>
        <charset val="1"/>
      </rPr>
      <t xml:space="preserve">Pay Lines</t>
    </r>
    <r>
      <rPr>
        <sz val="11"/>
        <color theme="1"/>
        <rFont val="Noto Sans SC"/>
        <family val="2"/>
        <charset val="134"/>
      </rPr>
      <t xml:space="preserve">上都能够被视为该图标出现在中奖线上</t>
    </r>
  </si>
  <si>
    <r>
      <rPr>
        <sz val="11"/>
        <color theme="1"/>
        <rFont val="Calibri"/>
        <family val="2"/>
        <charset val="1"/>
      </rPr>
      <t xml:space="preserve">Pay Line</t>
    </r>
    <r>
      <rPr>
        <sz val="11"/>
        <color theme="1"/>
        <rFont val="Noto Sans SC"/>
        <family val="2"/>
        <charset val="134"/>
      </rPr>
      <t xml:space="preserve">数量：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，路径如下：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</si>
  <si>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635407035-02.png</t>
    </r>
  </si>
  <si>
    <t xml:space="preserve">计算流程</t>
  </si>
  <si>
    <r>
      <rPr>
        <sz val="11"/>
        <color theme="1"/>
        <rFont val="Noto Sans SC"/>
        <family val="2"/>
        <charset val="134"/>
      </rPr>
      <t xml:space="preserve">简单来说，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作为覆盖多列的大型的图标，需要单独列出其出现在卷轴上的不同情况对应的几率来进行控制</t>
    </r>
  </si>
  <si>
    <r>
      <rPr>
        <sz val="11"/>
        <color theme="1"/>
        <rFont val="Noto Sans SC"/>
        <family val="2"/>
        <charset val="134"/>
      </rPr>
      <t xml:space="preserve">也就是说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不是在抽取图标的时候抽取出来的，而是单独抽取后覆盖在卷轴上</t>
    </r>
  </si>
  <si>
    <t xml:space="preserve">具体的数值体系搭建流程如下：</t>
  </si>
  <si>
    <t xml:space="preserve">第一步：设置图标出现概率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</si>
  <si>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635407035-03.jpg</t>
    </r>
  </si>
  <si>
    <r>
      <rPr>
        <sz val="11"/>
        <color theme="1"/>
        <rFont val="Noto Sans SC"/>
        <family val="2"/>
        <charset val="134"/>
      </rPr>
      <t xml:space="preserve">第二步：设置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的图标出现概率</t>
    </r>
  </si>
  <si>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上展示的是哪个图标的几率配置方式和普通图标的基本一致</t>
    </r>
  </si>
  <si>
    <r>
      <rPr>
        <sz val="11"/>
        <color theme="1"/>
        <rFont val="Noto Sans SC"/>
        <family val="2"/>
        <charset val="134"/>
      </rPr>
      <t xml:space="preserve">一般情况下会另外给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单独设置一套几率，因为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在大部分产品中不会抽取到百搭或者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等功能图标，使用另一套概率进行控制的话更贴合数值计算的要求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</si>
  <si>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635407035-04.png</t>
    </r>
  </si>
  <si>
    <r>
      <rPr>
        <sz val="11"/>
        <color theme="1"/>
        <rFont val="Noto Sans SC"/>
        <family val="2"/>
        <charset val="134"/>
      </rPr>
      <t xml:space="preserve">第三步：设置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的分布位置几率</t>
    </r>
  </si>
  <si>
    <r>
      <rPr>
        <sz val="11"/>
        <color theme="1"/>
        <rFont val="Noto Sans SC"/>
        <family val="2"/>
        <charset val="134"/>
      </rPr>
      <t xml:space="preserve">如上篇所属，当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仅出现在</t>
    </r>
    <r>
      <rPr>
        <sz val="11"/>
        <color theme="1"/>
        <rFont val="Calibri"/>
        <family val="2"/>
        <charset val="1"/>
      </rPr>
      <t xml:space="preserve">2~4</t>
    </r>
    <r>
      <rPr>
        <sz val="11"/>
        <color theme="1"/>
        <rFont val="Noto Sans SC"/>
        <family val="2"/>
        <charset val="134"/>
      </rPr>
      <t xml:space="preserve">列并且可以不完整地出现在卷轴上时，可以将其在卷轴上的分布情况分为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SC"/>
        <family val="2"/>
        <charset val="134"/>
      </rPr>
      <t xml:space="preserve">类，将他们命名为</t>
    </r>
    <r>
      <rPr>
        <sz val="11"/>
        <color theme="1"/>
        <rFont val="Calibri"/>
        <family val="2"/>
        <charset val="1"/>
      </rPr>
      <t xml:space="preserve">Case1~Case6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</si>
  <si>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635407035-05.jpg</t>
    </r>
  </si>
  <si>
    <r>
      <rPr>
        <sz val="11"/>
        <color theme="1"/>
        <rFont val="Noto Sans SC"/>
        <family val="2"/>
        <charset val="134"/>
      </rPr>
      <t xml:space="preserve">得到这六种情况后，分别给六种情况设置出现的几率，注意其几率之和需要为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</si>
  <si>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635407035-06.png</t>
    </r>
  </si>
  <si>
    <t xml:space="preserve">第四步：中奖线的覆盖情况</t>
  </si>
  <si>
    <r>
      <rPr>
        <sz val="11"/>
        <color theme="1"/>
        <rFont val="Noto Sans SC"/>
        <family val="2"/>
        <charset val="134"/>
      </rPr>
      <t xml:space="preserve">上一步得到了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的分布情况，这一步需要依据中奖线上出现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的可能性将六种情况分组</t>
    </r>
  </si>
  <si>
    <r>
      <rPr>
        <sz val="11"/>
        <color theme="1"/>
        <rFont val="Noto Sans SC"/>
        <family val="2"/>
        <charset val="134"/>
      </rPr>
      <t xml:space="preserve">由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仅会出现在</t>
    </r>
    <r>
      <rPr>
        <sz val="11"/>
        <color theme="1"/>
        <rFont val="Calibri"/>
        <family val="2"/>
        <charset val="1"/>
      </rPr>
      <t xml:space="preserve">2~5</t>
    </r>
    <r>
      <rPr>
        <sz val="11"/>
        <color theme="1"/>
        <rFont val="Noto Sans SC"/>
        <family val="2"/>
        <charset val="134"/>
      </rPr>
      <t xml:space="preserve">列可知，中奖线可能出现以下八种情况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</si>
  <si>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635407035-07.jpg</t>
    </r>
  </si>
  <si>
    <r>
      <rPr>
        <sz val="11"/>
        <color theme="1"/>
        <rFont val="Noto Sans SC"/>
        <family val="2"/>
        <charset val="134"/>
      </rPr>
      <t xml:space="preserve">其中，符合该案例的情况共有如下四种，后续的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计算分为该四种情况讨论即可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</si>
  <si>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635407035-08.jpg</t>
    </r>
  </si>
  <si>
    <r>
      <rPr>
        <sz val="11"/>
        <color theme="1"/>
        <rFont val="Noto Sans SC"/>
        <family val="2"/>
        <charset val="134"/>
      </rPr>
      <t xml:space="preserve">第五步：将</t>
    </r>
    <r>
      <rPr>
        <sz val="11"/>
        <color theme="1"/>
        <rFont val="Calibri"/>
        <family val="2"/>
        <charset val="1"/>
      </rPr>
      <t xml:space="preserve">Case</t>
    </r>
    <r>
      <rPr>
        <sz val="11"/>
        <color theme="1"/>
        <rFont val="Noto Sans SC"/>
        <family val="2"/>
        <charset val="134"/>
      </rPr>
      <t xml:space="preserve">分类</t>
    </r>
  </si>
  <si>
    <r>
      <rPr>
        <sz val="11"/>
        <color theme="1"/>
        <rFont val="Noto Sans SC"/>
        <family val="2"/>
        <charset val="134"/>
      </rPr>
      <t xml:space="preserve">这一步需要依据上一步得出的</t>
    </r>
    <r>
      <rPr>
        <sz val="11"/>
        <color theme="1"/>
        <rFont val="Calibri"/>
        <family val="2"/>
        <charset val="1"/>
      </rPr>
      <t xml:space="preserve">Pay Line</t>
    </r>
    <r>
      <rPr>
        <sz val="11"/>
        <color theme="1"/>
        <rFont val="Noto Sans SC"/>
        <family val="2"/>
        <charset val="134"/>
      </rPr>
      <t xml:space="preserve">被覆盖的情况将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SC"/>
        <family val="2"/>
        <charset val="134"/>
      </rPr>
      <t xml:space="preserve">个</t>
    </r>
    <r>
      <rPr>
        <sz val="11"/>
        <color theme="1"/>
        <rFont val="Calibri"/>
        <family val="2"/>
        <charset val="1"/>
      </rPr>
      <t xml:space="preserve">Case</t>
    </r>
    <r>
      <rPr>
        <sz val="11"/>
        <color theme="1"/>
        <rFont val="Noto Sans SC"/>
        <family val="2"/>
        <charset val="134"/>
      </rPr>
      <t xml:space="preserve">分配到这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种情况中，可以得到：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</si>
  <si>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635407035-09.jpg</t>
    </r>
  </si>
  <si>
    <r>
      <rPr>
        <sz val="11"/>
        <color theme="1"/>
        <rFont val="Noto Sans SC"/>
        <family val="2"/>
        <charset val="134"/>
      </rPr>
      <t xml:space="preserve">由此，可以得到四种情况对应的出现几率，该几率会作为最终求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时的加权数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</si>
  <si>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635407035-10.jpg</t>
    </r>
  </si>
  <si>
    <r>
      <rPr>
        <sz val="11"/>
        <color theme="1"/>
        <rFont val="Noto Sans SC"/>
        <family val="2"/>
        <charset val="134"/>
      </rPr>
      <t xml:space="preserve">第六步：分别计算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</si>
  <si>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这一步相对比较简单，按照常规的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计算方法对这四种情况分别计算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即可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</si>
  <si>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635407035-11.jpg</t>
    </r>
  </si>
  <si>
    <r>
      <rPr>
        <sz val="11"/>
        <color theme="1"/>
        <rFont val="Noto Sans SC"/>
        <family val="2"/>
        <charset val="134"/>
      </rPr>
      <t xml:space="preserve">需要特别处理的是每局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上仅会出现一种图标，因此被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覆盖的图标必定相同，需要相对应地调整对应请款过得图标出现和不出现几率</t>
    </r>
  </si>
  <si>
    <r>
      <rPr>
        <sz val="11"/>
        <color theme="1"/>
        <rFont val="Noto Sans SC"/>
        <family val="2"/>
        <charset val="134"/>
      </rPr>
      <t xml:space="preserve">第七步：计算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</si>
  <si>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依据之前得到各情况出现几率和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，将其相乘后求和就能够得到该</t>
    </r>
    <r>
      <rPr>
        <sz val="11"/>
        <color theme="1"/>
        <rFont val="Calibri"/>
        <family val="2"/>
        <charset val="1"/>
      </rPr>
      <t xml:space="preserve">Slots</t>
    </r>
    <r>
      <rPr>
        <sz val="11"/>
        <color theme="1"/>
        <rFont val="Noto Sans SC"/>
        <family val="2"/>
        <charset val="134"/>
      </rPr>
      <t xml:space="preserve">的最终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</si>
  <si>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635407035-12.jpg</t>
    </r>
  </si>
  <si>
    <r>
      <rPr>
        <sz val="11"/>
        <color theme="1"/>
        <rFont val="Noto Sans SC"/>
        <family val="2"/>
        <charset val="134"/>
      </rPr>
      <t xml:space="preserve">本篇介绍的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是支持不完整地出现在卷轴上的类型，如果是必定完整出现在卷轴上的类型其主体逻辑不变，先配置</t>
    </r>
    <r>
      <rPr>
        <sz val="11"/>
        <color theme="1"/>
        <rFont val="Calibri"/>
        <family val="2"/>
        <charset val="1"/>
      </rPr>
      <t xml:space="preserve">Mega Symbols</t>
    </r>
    <r>
      <rPr>
        <sz val="11"/>
        <color theme="1"/>
        <rFont val="Noto Sans SC"/>
        <family val="2"/>
        <charset val="134"/>
      </rPr>
      <t xml:space="preserve">的各分布情况几率后，再依据中奖线可能存在的被覆盖情况进行分组求概率，再计算各组的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，最后进行加权平均即可得到最终的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了</t>
    </r>
  </si>
  <si>
    <r>
      <rPr>
        <sz val="11"/>
        <color theme="1"/>
        <rFont val="Noto Sans SC"/>
        <family val="2"/>
        <charset val="134"/>
      </rPr>
      <t xml:space="preserve">并且如果是必定完整出现的</t>
    </r>
    <r>
      <rPr>
        <sz val="11"/>
        <color theme="1"/>
        <rFont val="Calibri"/>
        <family val="2"/>
        <charset val="1"/>
      </rPr>
      <t xml:space="preserve">Symbols</t>
    </r>
    <r>
      <rPr>
        <sz val="11"/>
        <color theme="1"/>
        <rFont val="Noto Sans SC"/>
        <family val="2"/>
        <charset val="134"/>
      </rPr>
      <t xml:space="preserve">的话，计算过程还能够将</t>
    </r>
    <r>
      <rPr>
        <sz val="11"/>
        <color theme="1"/>
        <rFont val="Calibri"/>
        <family val="2"/>
        <charset val="1"/>
      </rPr>
      <t xml:space="preserve">Pay lines</t>
    </r>
    <r>
      <rPr>
        <sz val="11"/>
        <color theme="1"/>
        <rFont val="Noto Sans SC"/>
        <family val="2"/>
        <charset val="134"/>
      </rPr>
      <t xml:space="preserve">被覆盖的情况简化为四种，计算步骤会更加简单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</si>
  <si>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635407035-13.jpg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</si>
  <si>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</si>
  <si>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635407035-02.png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</si>
  <si>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</si>
  <si>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635407035-04.png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</si>
  <si>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</si>
  <si>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635407035-06.png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</si>
  <si>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635407035-07.jpg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</si>
  <si>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08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635407035-08.jpg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</si>
  <si>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09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635407035-09.jpg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</si>
  <si>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635407035-10.jpg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</si>
  <si>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635407035-11.jpg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</si>
  <si>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635407035-12.jpg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</si>
  <si>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13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635407035-13.jpg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</si>
  <si>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</si>
  <si>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</si>
  <si>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</si>
  <si>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</si>
  <si>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</si>
  <si>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</si>
  <si>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Mega Symbols(1)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https://zhuanlan.zhihu.com/p/635407035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</si>
  <si>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Mega Symbols(1)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</si>
  <si>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】基本设定</t>
    </r>
  </si>
  <si>
    <t xml:space="preserve">项目</t>
  </si>
  <si>
    <t xml:space="preserve">数值</t>
  </si>
  <si>
    <t xml:space="preserve">玩法</t>
  </si>
  <si>
    <t xml:space="preserve">3*5 Line Slots</t>
  </si>
  <si>
    <r>
      <rPr>
        <sz val="11"/>
        <color theme="1"/>
        <rFont val="Noto Sans SC"/>
        <family val="2"/>
        <charset val="134"/>
      </rPr>
      <t xml:space="preserve">标准图标 </t>
    </r>
    <r>
      <rPr>
        <sz val="11"/>
        <color theme="1"/>
        <rFont val="Calibri"/>
        <family val="2"/>
        <charset val="1"/>
      </rPr>
      <t xml:space="preserve">10/J/Q/K/A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Wild</t>
    </r>
  </si>
  <si>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尺寸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SC"/>
        <family val="2"/>
        <charset val="134"/>
      </rPr>
      <t xml:space="preserve">位置</t>
    </r>
  </si>
  <si>
    <r>
      <rPr>
        <sz val="11"/>
        <color rgb="FF0000FF"/>
        <rFont val="Cambria"/>
        <family val="0"/>
        <charset val="1"/>
      </rPr>
      <t xml:space="preserve">3*3</t>
    </r>
    <r>
      <rPr>
        <sz val="11"/>
        <color rgb="FF0000FF"/>
        <rFont val="Noto Sans SC"/>
        <family val="2"/>
        <charset val="134"/>
      </rPr>
      <t xml:space="preserve">，随机停在 </t>
    </r>
    <r>
      <rPr>
        <sz val="11"/>
        <color rgb="FF0000FF"/>
        <rFont val="Cambria"/>
        <family val="0"/>
        <charset val="1"/>
      </rPr>
      <t xml:space="preserve">2~4 </t>
    </r>
    <r>
      <rPr>
        <sz val="11"/>
        <color rgb="FF0000FF"/>
        <rFont val="Noto Sans SC"/>
        <family val="2"/>
        <charset val="134"/>
      </rPr>
      <t xml:space="preserve">列</t>
    </r>
  </si>
  <si>
    <t xml:space="preserve">可能不完整停留</t>
  </si>
  <si>
    <t xml:space="preserve">展示图标来源</t>
  </si>
  <si>
    <t xml:space="preserve">从标准图标中随机抽取</t>
  </si>
  <si>
    <r>
      <rPr>
        <sz val="11"/>
        <color theme="1"/>
        <rFont val="Noto Sans SC"/>
        <family val="2"/>
        <charset val="134"/>
      </rPr>
      <t xml:space="preserve">一般不含 </t>
    </r>
    <r>
      <rPr>
        <sz val="11"/>
        <color theme="1"/>
        <rFont val="Calibri"/>
        <family val="2"/>
        <charset val="1"/>
      </rPr>
      <t xml:space="preserve">Wild / Scatter</t>
    </r>
  </si>
  <si>
    <r>
      <rPr>
        <sz val="11"/>
        <color theme="1"/>
        <rFont val="Calibri"/>
        <family val="2"/>
        <charset val="1"/>
      </rPr>
      <t xml:space="preserve">Pay Line </t>
    </r>
    <r>
      <rPr>
        <sz val="11"/>
        <color theme="1"/>
        <rFont val="Noto Sans SC"/>
        <family val="2"/>
        <charset val="134"/>
      </rPr>
      <t xml:space="preserve">数量</t>
    </r>
  </si>
  <si>
    <r>
      <rPr>
        <sz val="11"/>
        <color theme="1"/>
        <rFont val="Noto Sans SC"/>
        <family val="2"/>
        <charset val="134"/>
      </rPr>
      <t xml:space="preserve">本例只有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条</t>
    </r>
  </si>
  <si>
    <t xml:space="preserve">中奖判定</t>
  </si>
  <si>
    <r>
      <rPr>
        <sz val="11"/>
        <color rgb="FF0000FF"/>
        <rFont val="Cambria"/>
        <family val="0"/>
        <charset val="1"/>
      </rPr>
      <t xml:space="preserve">Mega </t>
    </r>
    <r>
      <rPr>
        <sz val="11"/>
        <color rgb="FF0000FF"/>
        <rFont val="Noto Sans SC"/>
        <family val="2"/>
        <charset val="134"/>
      </rPr>
      <t xml:space="preserve">任意位置落在中奖线上即视为该图标出现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</si>
  <si>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】第一步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第二步：两套概率表</t>
    </r>
  </si>
  <si>
    <t xml:space="preserve">概率表</t>
  </si>
  <si>
    <t xml:space="preserve">用途</t>
  </si>
  <si>
    <t xml:space="preserve">基础图标出现概率</t>
  </si>
  <si>
    <r>
      <rPr>
        <sz val="11"/>
        <color theme="1"/>
        <rFont val="Noto Sans SC"/>
        <family val="2"/>
        <charset val="134"/>
      </rPr>
      <t xml:space="preserve">决定普通卷轴上各图标（含 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）的分布</t>
    </r>
  </si>
  <si>
    <t xml:space="preserve">与常规玩法一致</t>
  </si>
  <si>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展示图标概率</t>
    </r>
  </si>
  <si>
    <r>
      <rPr>
        <sz val="11"/>
        <color theme="1"/>
        <rFont val="Noto Sans SC"/>
        <family val="2"/>
        <charset val="134"/>
      </rPr>
      <t xml:space="preserve">决定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上显示哪个标准图标</t>
    </r>
  </si>
  <si>
    <r>
      <rPr>
        <sz val="11"/>
        <color theme="1"/>
        <rFont val="Noto Sans SC"/>
        <family val="2"/>
        <charset val="134"/>
      </rPr>
      <t xml:space="preserve">单独一套：多数产品里 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不会展示 </t>
    </r>
    <r>
      <rPr>
        <sz val="11"/>
        <color theme="1"/>
        <rFont val="Calibri"/>
        <family val="2"/>
        <charset val="1"/>
      </rPr>
      <t xml:space="preserve">Wild/Scatter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</si>
  <si>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】第三步：</t>
    </r>
    <r>
      <rPr>
        <b val="true"/>
        <sz val="11"/>
        <color rgb="FF1F4E79"/>
        <rFont val="Cambria"/>
        <family val="0"/>
        <charset val="1"/>
      </rPr>
      <t xml:space="preserve">Mega </t>
    </r>
    <r>
      <rPr>
        <b val="true"/>
        <sz val="11"/>
        <color rgb="FF1F4E79"/>
        <rFont val="Noto Sans SC"/>
        <family val="2"/>
        <charset val="134"/>
      </rPr>
      <t xml:space="preserve">分布位置几率（</t>
    </r>
    <r>
      <rPr>
        <b val="true"/>
        <sz val="11"/>
        <color rgb="FF1F4E79"/>
        <rFont val="Cambria"/>
        <family val="0"/>
        <charset val="1"/>
      </rPr>
      <t xml:space="preserve">6 </t>
    </r>
    <r>
      <rPr>
        <b val="true"/>
        <sz val="11"/>
        <color rgb="FF1F4E79"/>
        <rFont val="Noto Sans SC"/>
        <family val="2"/>
        <charset val="134"/>
      </rPr>
      <t xml:space="preserve">类 </t>
    </r>
    <r>
      <rPr>
        <b val="true"/>
        <sz val="11"/>
        <color rgb="FF1F4E79"/>
        <rFont val="Cambria"/>
        <family val="0"/>
        <charset val="1"/>
      </rPr>
      <t xml:space="preserve">Case</t>
    </r>
    <r>
      <rPr>
        <b val="true"/>
        <sz val="11"/>
        <color rgb="FF1F4E79"/>
        <rFont val="Noto Sans SC"/>
        <family val="2"/>
        <charset val="134"/>
      </rPr>
      <t xml:space="preserve">，示意值可改，合计需 ＝ </t>
    </r>
    <r>
      <rPr>
        <b val="true"/>
        <sz val="11"/>
        <color rgb="FF1F4E79"/>
        <rFont val="Cambria"/>
        <family val="0"/>
        <charset val="1"/>
      </rPr>
      <t xml:space="preserve">100%</t>
    </r>
    <r>
      <rPr>
        <b val="true"/>
        <sz val="11"/>
        <color rgb="FF1F4E79"/>
        <rFont val="Noto Sans SC"/>
        <family val="2"/>
        <charset val="134"/>
      </rPr>
      <t xml:space="preserve">）</t>
    </r>
  </si>
  <si>
    <t xml:space="preserve">分布</t>
  </si>
  <si>
    <t xml:space="preserve">出现几率</t>
  </si>
  <si>
    <t xml:space="preserve">覆盖描述（示意）</t>
  </si>
  <si>
    <t xml:space="preserve">Case1</t>
  </si>
  <si>
    <r>
      <rPr>
        <sz val="11"/>
        <color theme="1"/>
        <rFont val="Noto Sans SC"/>
        <family val="2"/>
        <charset val="134"/>
      </rPr>
      <t xml:space="preserve">示意：</t>
    </r>
    <r>
      <rPr>
        <sz val="11"/>
        <color theme="1"/>
        <rFont val="Calibri"/>
        <family val="2"/>
        <charset val="1"/>
      </rPr>
      <t xml:space="preserve">Mega </t>
    </r>
    <r>
      <rPr>
        <sz val="11"/>
        <color theme="1"/>
        <rFont val="Noto Sans SC"/>
        <family val="2"/>
        <charset val="134"/>
      </rPr>
      <t xml:space="preserve">完整落在 </t>
    </r>
    <r>
      <rPr>
        <sz val="11"/>
        <color theme="1"/>
        <rFont val="Calibri"/>
        <family val="2"/>
        <charset val="1"/>
      </rPr>
      <t xml:space="preserve">2~4 </t>
    </r>
    <r>
      <rPr>
        <sz val="11"/>
        <color theme="1"/>
        <rFont val="Noto Sans SC"/>
        <family val="2"/>
        <charset val="134"/>
      </rPr>
      <t xml:space="preserve">列</t>
    </r>
  </si>
  <si>
    <t xml:space="preserve">Case2</t>
  </si>
  <si>
    <t xml:space="preserve">示意：左移一列，最右列缺一格</t>
  </si>
  <si>
    <t xml:space="preserve">Case3</t>
  </si>
  <si>
    <t xml:space="preserve">示意：右移一列，最左列缺一格</t>
  </si>
  <si>
    <t xml:space="preserve">Case4</t>
  </si>
  <si>
    <t xml:space="preserve">示意：上下各缺一行</t>
  </si>
  <si>
    <t xml:space="preserve">Case5</t>
  </si>
  <si>
    <t xml:space="preserve">示意：只剩两列</t>
  </si>
  <si>
    <t xml:space="preserve">Case6</t>
  </si>
  <si>
    <r>
      <rPr>
        <sz val="11"/>
        <color theme="1"/>
        <rFont val="Noto Sans SC"/>
        <family val="2"/>
        <charset val="134"/>
      </rPr>
      <t xml:space="preserve">示意：只覆盖 </t>
    </r>
    <r>
      <rPr>
        <sz val="11"/>
        <color theme="1"/>
        <rFont val="Calibri"/>
        <family val="2"/>
        <charset val="1"/>
      </rPr>
      <t xml:space="preserve">2~4 </t>
    </r>
    <r>
      <rPr>
        <sz val="11"/>
        <color theme="1"/>
        <rFont val="Noto Sans SC"/>
        <family val="2"/>
        <charset val="134"/>
      </rPr>
      <t xml:space="preserve">列的上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下两行</t>
    </r>
  </si>
  <si>
    <t xml:space="preserve">合计</t>
  </si>
  <si>
    <r>
      <rPr>
        <sz val="11"/>
        <color theme="1"/>
        <rFont val="Noto Sans SC"/>
        <family val="2"/>
        <charset val="134"/>
      </rPr>
      <t xml:space="preserve">必须 ＝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</si>
  <si>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】第四步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第五步：中奖线覆盖情况分组（映射可改）</t>
    </r>
  </si>
  <si>
    <t xml:space="preserve">覆盖情况</t>
  </si>
  <si>
    <t xml:space="preserve">该情况几率</t>
  </si>
  <si>
    <r>
      <rPr>
        <sz val="11"/>
        <color theme="1"/>
        <rFont val="Noto Sans SC"/>
        <family val="2"/>
        <charset val="134"/>
      </rPr>
      <t xml:space="preserve">覆盖情况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</si>
  <si>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SC"/>
        <family val="2"/>
        <charset val="134"/>
      </rPr>
      <t xml:space="preserve">覆盖情况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</si>
  <si>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Noto Sans SC"/>
        <family val="2"/>
        <charset val="134"/>
      </rPr>
      <t xml:space="preserve">覆盖情况 </t>
    </r>
    <r>
      <rPr>
        <sz val="11"/>
        <color theme="1"/>
        <rFont val="Calibri"/>
        <family val="2"/>
        <charset val="1"/>
      </rPr>
      <t xml:space="preserve">3</t>
    </r>
  </si>
  <si>
    <r>
      <rPr>
        <sz val="11"/>
        <color theme="1"/>
        <rFont val="Noto Sans SC"/>
        <family val="2"/>
        <charset val="134"/>
      </rPr>
      <t xml:space="preserve">覆盖情况 </t>
    </r>
    <r>
      <rPr>
        <sz val="11"/>
        <color theme="1"/>
        <rFont val="Calibri"/>
        <family val="2"/>
        <charset val="1"/>
      </rPr>
      <t xml:space="preserve">4</t>
    </r>
  </si>
  <si>
    <t xml:space="preserve">四组几率合计</t>
  </si>
  <si>
    <r>
      <rPr>
        <sz val="11"/>
        <color rgb="FF808080"/>
        <rFont val="Noto Sans SC"/>
        <family val="2"/>
        <charset val="134"/>
      </rPr>
      <t xml:space="preserve">映射表：格子里填 </t>
    </r>
    <r>
      <rPr>
        <sz val="11"/>
        <color rgb="FF808080"/>
        <rFont val="Cambria"/>
        <family val="0"/>
        <charset val="1"/>
      </rPr>
      <t xml:space="preserve">1 </t>
    </r>
    <r>
      <rPr>
        <sz val="11"/>
        <color rgb="FF808080"/>
        <rFont val="Noto Sans SC"/>
        <family val="2"/>
        <charset val="134"/>
      </rPr>
      <t xml:space="preserve">表示「该 </t>
    </r>
    <r>
      <rPr>
        <sz val="11"/>
        <color rgb="FF808080"/>
        <rFont val="Cambria"/>
        <family val="0"/>
        <charset val="1"/>
      </rPr>
      <t xml:space="preserve">Case </t>
    </r>
    <r>
      <rPr>
        <sz val="11"/>
        <color rgb="FF808080"/>
        <rFont val="Noto Sans SC"/>
        <family val="2"/>
        <charset val="134"/>
      </rPr>
      <t xml:space="preserve">属于这一覆盖情况」。把 </t>
    </r>
    <r>
      <rPr>
        <sz val="11"/>
        <color rgb="FF808080"/>
        <rFont val="Cambria"/>
        <family val="0"/>
        <charset val="1"/>
      </rPr>
      <t xml:space="preserve">Case </t>
    </r>
    <r>
      <rPr>
        <sz val="11"/>
        <color rgb="FF808080"/>
        <rFont val="Noto Sans SC"/>
        <family val="2"/>
        <charset val="134"/>
      </rPr>
      <t xml:space="preserve">分入 </t>
    </r>
    <r>
      <rPr>
        <sz val="11"/>
        <color rgb="FF808080"/>
        <rFont val="Cambria"/>
        <family val="0"/>
        <charset val="1"/>
      </rPr>
      <t xml:space="preserve">4 </t>
    </r>
    <r>
      <rPr>
        <sz val="11"/>
        <color rgb="FF808080"/>
        <rFont val="Noto Sans SC"/>
        <family val="2"/>
        <charset val="134"/>
      </rPr>
      <t xml:space="preserve">组后，该组的出现几率 ＝ 组内各 </t>
    </r>
    <r>
      <rPr>
        <sz val="11"/>
        <color rgb="FF808080"/>
        <rFont val="Cambria"/>
        <family val="0"/>
        <charset val="1"/>
      </rPr>
      <t xml:space="preserve">Case </t>
    </r>
    <r>
      <rPr>
        <sz val="11"/>
        <color rgb="FF808080"/>
        <rFont val="Noto Sans SC"/>
        <family val="2"/>
        <charset val="134"/>
      </rPr>
      <t xml:space="preserve">几率之和（本表用 </t>
    </r>
    <r>
      <rPr>
        <sz val="11"/>
        <color rgb="FF808080"/>
        <rFont val="Cambria"/>
        <family val="0"/>
        <charset val="1"/>
      </rPr>
      <t xml:space="preserve">SUMPRODUCT </t>
    </r>
    <r>
      <rPr>
        <sz val="11"/>
        <color rgb="FF808080"/>
        <rFont val="Noto Sans SC"/>
        <family val="2"/>
        <charset val="134"/>
      </rPr>
      <t xml:space="preserve">自动完成）——原文正是用这 </t>
    </r>
    <r>
      <rPr>
        <sz val="11"/>
        <color rgb="FF808080"/>
        <rFont val="Cambria"/>
        <family val="0"/>
        <charset val="1"/>
      </rPr>
      <t xml:space="preserve">4 </t>
    </r>
    <r>
      <rPr>
        <sz val="11"/>
        <color rgb="FF808080"/>
        <rFont val="Noto Sans SC"/>
        <family val="2"/>
        <charset val="134"/>
      </rPr>
      <t xml:space="preserve">个几率作为最终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的加权数。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</si>
  <si>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】第六步 </t>
    </r>
    <r>
      <rPr>
        <b val="true"/>
        <sz val="11"/>
        <color rgb="FF1F4E79"/>
        <rFont val="Cambria"/>
        <family val="0"/>
        <charset val="1"/>
      </rPr>
      <t xml:space="preserve">/ </t>
    </r>
    <r>
      <rPr>
        <b val="true"/>
        <sz val="11"/>
        <color rgb="FF1F4E79"/>
        <rFont val="Noto Sans SC"/>
        <family val="2"/>
        <charset val="134"/>
      </rPr>
      <t xml:space="preserve">第七步：各情况 </t>
    </r>
    <r>
      <rPr>
        <b val="true"/>
        <sz val="11"/>
        <color rgb="FF1F4E79"/>
        <rFont val="Cambria"/>
        <family val="0"/>
        <charset val="1"/>
      </rPr>
      <t xml:space="preserve">RTP </t>
    </r>
    <r>
      <rPr>
        <b val="true"/>
        <sz val="11"/>
        <color rgb="FF1F4E79"/>
        <rFont val="Noto Sans SC"/>
        <family val="2"/>
        <charset val="134"/>
      </rPr>
      <t xml:space="preserve">与加权</t>
    </r>
  </si>
  <si>
    <r>
      <rPr>
        <b val="true"/>
        <sz val="11"/>
        <color rgb="FF1F4E79"/>
        <rFont val="Noto Sans SC"/>
        <family val="2"/>
        <charset val="134"/>
      </rPr>
      <t xml:space="preserve">该情况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（示意）</t>
    </r>
  </si>
  <si>
    <t xml:space="preserve">加权贡献</t>
  </si>
  <si>
    <r>
      <rPr>
        <b val="true"/>
        <sz val="11"/>
        <rFont val="Noto Sans SC"/>
        <family val="2"/>
        <charset val="134"/>
      </rPr>
      <t xml:space="preserve">综合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</si>
  <si>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SC"/>
        <family val="2"/>
        <charset val="134"/>
      </rPr>
      <t xml:space="preserve">各覆盖情况几率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该情况 </t>
    </r>
    <r>
      <rPr>
        <sz val="11"/>
        <color theme="1"/>
        <rFont val="Calibri"/>
        <family val="2"/>
        <charset val="1"/>
      </rPr>
      <t xml:space="preserve">RTP)</t>
    </r>
  </si>
  <si>
    <r>
      <rPr>
        <sz val="11"/>
        <color rgb="FF808080"/>
        <rFont val="Noto Sans SC"/>
        <family val="2"/>
        <charset val="134"/>
      </rPr>
      <t xml:space="preserve">各情况 </t>
    </r>
    <r>
      <rPr>
        <sz val="11"/>
        <color rgb="FF808080"/>
        <rFont val="Cambria"/>
        <family val="0"/>
        <charset val="1"/>
      </rPr>
      <t xml:space="preserve">RTP </t>
    </r>
    <r>
      <rPr>
        <sz val="11"/>
        <color rgb="FF808080"/>
        <rFont val="Noto Sans SC"/>
        <family val="2"/>
        <charset val="134"/>
      </rPr>
      <t xml:space="preserve">的计算方式是常规做法：分别按「</t>
    </r>
    <r>
      <rPr>
        <sz val="11"/>
        <color rgb="FF808080"/>
        <rFont val="Cambria"/>
        <family val="0"/>
        <charset val="1"/>
      </rPr>
      <t xml:space="preserve">Mega </t>
    </r>
    <r>
      <rPr>
        <sz val="11"/>
        <color rgb="FF808080"/>
        <rFont val="Noto Sans SC"/>
        <family val="2"/>
        <charset val="134"/>
      </rPr>
      <t xml:space="preserve">覆盖该情况」时的图标出现</t>
    </r>
    <r>
      <rPr>
        <sz val="11"/>
        <color rgb="FF808080"/>
        <rFont val="Cambria"/>
        <family val="0"/>
        <charset val="1"/>
      </rPr>
      <t xml:space="preserve">/</t>
    </r>
    <r>
      <rPr>
        <sz val="11"/>
        <color rgb="FF808080"/>
        <rFont val="Noto Sans SC"/>
        <family val="2"/>
        <charset val="134"/>
      </rPr>
      <t xml:space="preserve">不出现几率算中奖率与期望；注意 </t>
    </r>
    <r>
      <rPr>
        <sz val="11"/>
        <color rgb="FF808080"/>
        <rFont val="Cambria"/>
        <family val="0"/>
        <charset val="1"/>
      </rPr>
      <t xml:space="preserve">Mega </t>
    </r>
    <r>
      <rPr>
        <sz val="11"/>
        <color rgb="FF808080"/>
        <rFont val="Noto Sans SC"/>
        <family val="2"/>
        <charset val="134"/>
      </rPr>
      <t xml:space="preserve">上的图标每局只有一种，因此被覆盖列的对应图标几率要整体调整，不能沿用基础概率。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</si>
  <si>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</si>
  <si>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</si>
  <si>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</si>
  <si>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SC"/>
        <family val="2"/>
        <charset val="134"/>
      </rPr>
      <t xml:space="preserve">类 </t>
    </r>
    <r>
      <rPr>
        <sz val="11"/>
        <color theme="1"/>
        <rFont val="Calibri"/>
        <family val="2"/>
        <charset val="1"/>
      </rPr>
      <t xml:space="preserve">Case </t>
    </r>
    <r>
      <rPr>
        <sz val="11"/>
        <color theme="1"/>
        <rFont val="Noto Sans SC"/>
        <family val="2"/>
        <charset val="134"/>
      </rPr>
      <t xml:space="preserve">几率合计 ＝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</si>
  <si>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】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</si>
  <si>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组覆盖情况几率合计 ＝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</si>
  <si>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】（映射填满时成立）</t>
    </r>
  </si>
  <si>
    <r>
      <rPr>
        <sz val="11"/>
        <color theme="1"/>
        <rFont val="Noto Sans SC"/>
        <family val="2"/>
        <charset val="134"/>
      </rPr>
      <t xml:space="preserve">综合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＝ 加权求和</t>
    </r>
  </si>
  <si>
    <r>
      <rPr>
        <sz val="11"/>
        <color theme="1"/>
        <rFont val="Noto Sans SC"/>
        <family val="2"/>
        <charset val="134"/>
      </rPr>
      <t xml:space="preserve">【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】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</si>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</sst>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00"/>
    <numFmt numFmtId="167" formatCode="0.0000000000%"/>
  </numFmts>
  <fonts count="1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FF"/>
      <name val="Noto Sans SC"/>
      <family val="2"/>
      <charset val="134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applyNumberFormat="1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applyNumberFormat="1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3" t="s">
        <v>5</v>
      </c>
      <c r="B7" s="3"/>
      <c r="C7" s="3"/>
      <c r="D7" s="3"/>
      <c r="E7" s="3"/>
      <c r="F7" s="3"/>
      <c r="G7" s="3"/>
    </row>
    <row r="8" customFormat="false" ht="15.5" hidden="false" customHeight="false" outlineLevel="0" collapsed="false">
      <c r="A8" s="3" t="s">
        <v>6</v>
      </c>
      <c r="B8" s="3"/>
      <c r="C8" s="3"/>
    </row>
    <row r="10" customFormat="false" ht="15" hidden="false" customHeight="false" outlineLevel="0" collapsed="false">
      <c r="A10" s="4" t="s">
        <v>7</v>
      </c>
    </row>
    <row r="11" customFormat="false" ht="29" hidden="false" customHeight="false" outlineLevel="0" collapsed="false">
      <c r="A11" s="30" t="s">
        <v>8</v>
      </c>
    </row>
    <row r="12" customFormat="false" ht="29" hidden="false" customHeight="false" outlineLevel="0" collapsed="false">
      <c r="A12" s="30" t="s">
        <v>9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4" t="s">
        <v>10</v>
      </c>
    </row>
    <row r="15" customFormat="false" ht="15" hidden="false" customHeight="1" outlineLevel="0" collapsed="false">
      <c r="A15" s="31" t="s">
        <v>11</v>
      </c>
      <c r="B15" s="6"/>
      <c r="C15" s="6"/>
    </row>
    <row r="16" customFormat="false" ht="42" hidden="false" customHeight="false" outlineLevel="0" collapsed="false">
      <c r="A16" s="30" t="s">
        <v>12</v>
      </c>
    </row>
    <row r="17" customFormat="false" ht="15" hidden="false" customHeight="1" outlineLevel="0" collapsed="false">
      <c r="A17" s="31" t="s">
        <v>13</v>
      </c>
      <c r="B17" s="6"/>
      <c r="C17" s="6"/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4" t="s">
        <v>14</v>
      </c>
    </row>
    <row r="20" customFormat="false" ht="30" hidden="false" customHeight="false" outlineLevel="0" collapsed="false">
      <c r="A20" s="30" t="s">
        <v>15</v>
      </c>
    </row>
    <row r="21" customFormat="false" ht="30" hidden="false" customHeight="false" outlineLevel="0" collapsed="false">
      <c r="A21" s="30" t="s">
        <v>16</v>
      </c>
    </row>
    <row r="22" customFormat="false" ht="15" hidden="false" customHeight="1" outlineLevel="0" collapsed="false">
      <c r="A22" s="32" t="s">
        <v>17</v>
      </c>
      <c r="B22" s="7"/>
      <c r="C22" s="7"/>
    </row>
    <row r="23" customFormat="false" ht="44" hidden="false" customHeight="false" outlineLevel="0" collapsed="false">
      <c r="A23" s="30" t="s">
        <v>18</v>
      </c>
    </row>
    <row r="24" customFormat="false" ht="15" hidden="false" customHeight="false" outlineLevel="0" collapsed="false">
      <c r="A24" s="8" t="s">
        <v>19</v>
      </c>
    </row>
    <row r="25" customFormat="false" ht="15" hidden="false" customHeight="1" outlineLevel="0" collapsed="false">
      <c r="A25" s="31" t="s">
        <v>20</v>
      </c>
      <c r="B25" s="6"/>
      <c r="C25" s="6"/>
    </row>
    <row r="26" customFormat="false" ht="30" hidden="false" customHeight="false" outlineLevel="0" collapsed="false">
      <c r="A26" s="33" t="s">
        <v>21</v>
      </c>
    </row>
    <row r="27" customFormat="false" ht="30" hidden="false" customHeight="false" outlineLevel="0" collapsed="false">
      <c r="A27" s="33" t="s">
        <v>22</v>
      </c>
    </row>
    <row r="28" customFormat="false" ht="29" hidden="false" customHeight="false" outlineLevel="0" collapsed="false">
      <c r="A28" s="33" t="s">
        <v>23</v>
      </c>
    </row>
    <row r="29" customFormat="false" ht="30" hidden="false" customHeight="false" outlineLevel="0" collapsed="false">
      <c r="A29" s="33" t="s">
        <v>24</v>
      </c>
    </row>
    <row r="30" customFormat="false" ht="29" hidden="false" customHeight="false" outlineLevel="0" collapsed="false">
      <c r="A30" s="30" t="s">
        <v>25</v>
      </c>
    </row>
    <row r="31" customFormat="false" ht="29" hidden="false" customHeight="false" outlineLevel="0" collapsed="false">
      <c r="A31" s="33" t="s">
        <v>26</v>
      </c>
    </row>
    <row r="32" customFormat="false" ht="30" hidden="false" customHeight="false" outlineLevel="0" collapsed="false">
      <c r="A32" s="30" t="s">
        <v>27</v>
      </c>
    </row>
    <row r="34" customFormat="false" ht="15" hidden="false" customHeight="false" outlineLevel="0" collapsed="false">
      <c r="A34" s="4" t="s">
        <v>28</v>
      </c>
    </row>
    <row r="35" customFormat="false" ht="15" hidden="false" customHeight="false" outlineLevel="0" collapsed="false">
      <c r="A35" s="8"/>
    </row>
    <row r="36" customFormat="false" ht="15" hidden="false" customHeight="1" outlineLevel="0" collapsed="false">
      <c r="A36" s="32" t="s">
        <v>29</v>
      </c>
      <c r="B36" s="7"/>
      <c r="C36" s="7"/>
    </row>
    <row r="37" customFormat="false" ht="29" hidden="false" customHeight="false" outlineLevel="0" collapsed="false">
      <c r="A37" s="33" t="s">
        <v>30</v>
      </c>
    </row>
    <row r="38" customFormat="false" ht="15" hidden="false" customHeight="false" outlineLevel="0" collapsed="false">
      <c r="A38" s="8"/>
    </row>
    <row r="39" customFormat="false" ht="16" hidden="false" customHeight="false" outlineLevel="0" collapsed="false">
      <c r="A39" s="8" t="s">
        <v>31</v>
      </c>
    </row>
    <row r="40" customFormat="false" ht="30" hidden="false" customHeight="false" outlineLevel="0" collapsed="false">
      <c r="A40" s="33" t="s">
        <v>32</v>
      </c>
    </row>
    <row r="41" customFormat="false" ht="15" hidden="false" customHeight="false" outlineLevel="0" collapsed="false">
      <c r="A41" s="8" t="s">
        <v>33</v>
      </c>
    </row>
    <row r="42" customFormat="false" ht="15" hidden="false" customHeight="false" outlineLevel="0" collapsed="false">
      <c r="A42" s="8" t="s">
        <v>34</v>
      </c>
    </row>
    <row r="43" customFormat="false" ht="16" hidden="false" customHeight="false" outlineLevel="0" collapsed="false">
      <c r="A43" s="8" t="s">
        <v>35</v>
      </c>
    </row>
    <row r="44" customFormat="false" ht="15" hidden="false" customHeight="false" outlineLevel="0" collapsed="false">
      <c r="A44" s="8" t="s">
        <v>36</v>
      </c>
    </row>
    <row r="45" customFormat="false" ht="16" hidden="false" customHeight="false" outlineLevel="0" collapsed="false">
      <c r="A45" s="35">
        <v>5</v>
      </c>
    </row>
    <row r="46" customFormat="false" ht="16" hidden="false" customHeight="false" outlineLevel="0" collapsed="false">
      <c r="A46" s="35">
        <v>1</v>
      </c>
    </row>
    <row r="47" customFormat="false" ht="16" hidden="false" customHeight="false" outlineLevel="0" collapsed="false">
      <c r="A47" s="8" t="s">
        <v>39</v>
      </c>
    </row>
    <row r="48" customFormat="false" ht="29" hidden="false" customHeight="false" outlineLevel="0" collapsed="false">
      <c r="A48" s="33" t="s">
        <v>40</v>
      </c>
    </row>
    <row r="49" customFormat="false" ht="29" hidden="false" customHeight="false" outlineLevel="0" collapsed="false">
      <c r="A49" s="33" t="s">
        <v>41</v>
      </c>
    </row>
    <row r="50" customFormat="false" ht="16" hidden="false" customHeight="false" outlineLevel="0" collapsed="false">
      <c r="A50" s="5" t="s">
        <v>42</v>
      </c>
    </row>
    <row r="51" customFormat="false" ht="15" hidden="false" customHeight="false" outlineLevel="0" collapsed="false">
      <c r="A51" s="8"/>
    </row>
    <row r="52" customFormat="false" ht="16" hidden="false" customHeight="false" outlineLevel="0" collapsed="false">
      <c r="A52" s="8" t="s">
        <v>43</v>
      </c>
    </row>
    <row r="53" customFormat="false" ht="15" hidden="false" customHeight="false" outlineLevel="0" collapsed="false">
      <c r="A53" s="8"/>
    </row>
    <row r="54" customFormat="false" ht="15" hidden="false" customHeight="false" outlineLevel="0" collapsed="false">
      <c r="A54" s="8" t="s">
        <v>44</v>
      </c>
    </row>
    <row r="55" customFormat="false" ht="42" hidden="false" customHeight="false" outlineLevel="0" collapsed="false">
      <c r="A55" s="33" t="s">
        <v>45</v>
      </c>
    </row>
    <row r="56" customFormat="false" ht="29" hidden="false" customHeight="false" outlineLevel="0" collapsed="false">
      <c r="A56" s="33" t="s">
        <v>46</v>
      </c>
    </row>
    <row r="57" customFormat="false" ht="15" hidden="false" customHeight="false" outlineLevel="0" collapsed="false">
      <c r="A57" s="8" t="s">
        <v>47</v>
      </c>
    </row>
    <row r="58" customFormat="false" ht="15" hidden="false" customHeight="false" outlineLevel="0" collapsed="false">
      <c r="A58" s="8" t="s">
        <v>48</v>
      </c>
    </row>
    <row r="59" customFormat="false" ht="15" hidden="false" customHeight="false" outlineLevel="0" collapsed="false">
      <c r="A59" s="8"/>
    </row>
    <row r="60" customFormat="false" ht="16" hidden="false" customHeight="false" outlineLevel="0" collapsed="false">
      <c r="A60" s="8" t="s">
        <v>49</v>
      </c>
    </row>
    <row r="61" customFormat="false" ht="15" hidden="false" customHeight="false" outlineLevel="0" collapsed="false">
      <c r="A61" s="8"/>
    </row>
    <row r="62" customFormat="false" ht="16" hidden="false" customHeight="false" outlineLevel="0" collapsed="false">
      <c r="A62" s="8" t="s">
        <v>50</v>
      </c>
    </row>
    <row r="63" customFormat="false" ht="29" hidden="false" customHeight="false" outlineLevel="0" collapsed="false">
      <c r="A63" s="30" t="s">
        <v>51</v>
      </c>
    </row>
    <row r="64" customFormat="false" ht="15" hidden="false" customHeight="1" outlineLevel="0" collapsed="false">
      <c r="A64" s="32" t="s">
        <v>52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8"/>
    </row>
    <row r="66" customFormat="false" ht="16" hidden="false" customHeight="false" outlineLevel="0" collapsed="false">
      <c r="A66" s="8" t="s">
        <v>53</v>
      </c>
    </row>
    <row r="67" customFormat="false" ht="15" hidden="false" customHeight="false" outlineLevel="0" collapsed="false">
      <c r="A67" s="8"/>
    </row>
    <row r="68" customFormat="false" ht="16" hidden="false" customHeight="false" outlineLevel="0" collapsed="false">
      <c r="A68" s="8" t="s">
        <v>54</v>
      </c>
    </row>
    <row r="69" customFormat="false" ht="15" hidden="false" customHeight="1" outlineLevel="0" collapsed="false">
      <c r="A69" s="32" t="s">
        <v>55</v>
      </c>
      <c r="B69" s="7"/>
      <c r="C69" s="7"/>
      <c r="D69" s="7"/>
    </row>
    <row r="70" customFormat="false" ht="15" hidden="false" customHeight="false" outlineLevel="0" collapsed="false">
      <c r="A70" s="8"/>
    </row>
    <row r="71" customFormat="false" ht="16" hidden="false" customHeight="false" outlineLevel="0" collapsed="false">
      <c r="A71" s="8" t="s">
        <v>56</v>
      </c>
    </row>
    <row r="72" customFormat="false" ht="15" hidden="false" customHeight="false" outlineLevel="0" collapsed="false">
      <c r="A72" s="8"/>
    </row>
    <row r="73" customFormat="false" ht="29" hidden="false" customHeight="false" outlineLevel="0" collapsed="false">
      <c r="A73" s="33" t="s">
        <v>57</v>
      </c>
    </row>
    <row r="74" customFormat="false" ht="15" hidden="false" customHeight="false" outlineLevel="0" collapsed="false">
      <c r="A74" s="8"/>
    </row>
    <row r="75" customFormat="false" ht="16" hidden="false" customHeight="false" outlineLevel="0" collapsed="false">
      <c r="A75" s="8" t="s">
        <v>58</v>
      </c>
    </row>
    <row r="76" customFormat="false" ht="15" hidden="false" customHeight="false" outlineLevel="0" collapsed="false">
      <c r="A76" s="8"/>
    </row>
    <row r="77" customFormat="false" ht="15" hidden="false" customHeight="false" outlineLevel="0" collapsed="false">
      <c r="A77" s="8" t="s">
        <v>59</v>
      </c>
    </row>
    <row r="78" customFormat="false" ht="43" hidden="false" customHeight="false" outlineLevel="0" collapsed="false">
      <c r="A78" s="33" t="s">
        <v>60</v>
      </c>
    </row>
    <row r="79" customFormat="false" ht="29" hidden="false" customHeight="false" outlineLevel="0" collapsed="false">
      <c r="A79" s="33" t="s">
        <v>61</v>
      </c>
    </row>
    <row r="80" customFormat="false" ht="15" hidden="false" customHeight="false" outlineLevel="0" collapsed="false">
      <c r="A80" s="8"/>
    </row>
    <row r="81" customFormat="false" ht="16" hidden="false" customHeight="false" outlineLevel="0" collapsed="false">
      <c r="A81" s="8" t="s">
        <v>62</v>
      </c>
    </row>
    <row r="82" customFormat="false" ht="15" hidden="false" customHeight="false" outlineLevel="0" collapsed="false">
      <c r="A82" s="8"/>
    </row>
    <row r="83" customFormat="false" ht="29" hidden="false" customHeight="false" outlineLevel="0" collapsed="false">
      <c r="A83" s="33" t="s">
        <v>63</v>
      </c>
    </row>
    <row r="84" customFormat="false" ht="15" hidden="false" customHeight="false" outlineLevel="0" collapsed="false">
      <c r="A84" s="8"/>
    </row>
    <row r="85" customFormat="false" ht="16" hidden="false" customHeight="false" outlineLevel="0" collapsed="false">
      <c r="A85" s="8" t="s">
        <v>64</v>
      </c>
    </row>
    <row r="86" customFormat="false" ht="15" hidden="false" customHeight="false" outlineLevel="0" collapsed="false">
      <c r="A86" s="8"/>
    </row>
    <row r="87" customFormat="false" ht="16" hidden="false" customHeight="false" outlineLevel="0" collapsed="false">
      <c r="A87" s="8" t="s">
        <v>65</v>
      </c>
    </row>
    <row r="88" customFormat="false" ht="30" hidden="false" customHeight="false" outlineLevel="0" collapsed="false">
      <c r="A88" s="33" t="s">
        <v>66</v>
      </c>
    </row>
    <row r="89" customFormat="false" ht="15" hidden="false" customHeight="false" outlineLevel="0" collapsed="false">
      <c r="A89" s="8"/>
    </row>
    <row r="90" customFormat="false" ht="16" hidden="false" customHeight="false" outlineLevel="0" collapsed="false">
      <c r="A90" s="8" t="s">
        <v>67</v>
      </c>
    </row>
    <row r="91" customFormat="false" ht="15" hidden="false" customHeight="false" outlineLevel="0" collapsed="false">
      <c r="A91" s="8"/>
    </row>
    <row r="92" customFormat="false" ht="29" hidden="false" customHeight="false" outlineLevel="0" collapsed="false">
      <c r="A92" s="33" t="s">
        <v>68</v>
      </c>
    </row>
    <row r="93" customFormat="false" ht="15" hidden="false" customHeight="false" outlineLevel="0" collapsed="false">
      <c r="A93" s="8"/>
    </row>
    <row r="94" customFormat="false" ht="16" hidden="false" customHeight="false" outlineLevel="0" collapsed="false">
      <c r="A94" s="8" t="s">
        <v>69</v>
      </c>
    </row>
    <row r="95" customFormat="false" ht="15" hidden="false" customHeight="false" outlineLevel="0" collapsed="false">
      <c r="A95" s="8"/>
    </row>
    <row r="96" customFormat="false" ht="16" hidden="false" customHeight="false" outlineLevel="0" collapsed="false">
      <c r="A96" s="8" t="s">
        <v>70</v>
      </c>
    </row>
    <row r="97" customFormat="false" ht="30" hidden="false" customHeight="false" outlineLevel="0" collapsed="false">
      <c r="A97" s="33" t="s">
        <v>71</v>
      </c>
    </row>
    <row r="98" customFormat="false" ht="15" hidden="false" customHeight="false" outlineLevel="0" collapsed="false">
      <c r="A98" s="8"/>
    </row>
    <row r="99" customFormat="false" ht="16" hidden="false" customHeight="false" outlineLevel="0" collapsed="false">
      <c r="A99" s="8" t="s">
        <v>72</v>
      </c>
    </row>
    <row r="100" customFormat="false" ht="15" hidden="false" customHeight="false" outlineLevel="0" collapsed="false">
      <c r="A100" s="8"/>
    </row>
    <row r="101" customFormat="false" ht="15" hidden="false" customHeight="1" outlineLevel="0" collapsed="false">
      <c r="A101" s="32" t="s">
        <v>73</v>
      </c>
      <c r="B101" s="7"/>
      <c r="C101" s="7"/>
      <c r="D101" s="7"/>
      <c r="E101" s="7"/>
    </row>
    <row r="102" customFormat="false" ht="16" hidden="false" customHeight="false" outlineLevel="0" collapsed="false">
      <c r="A102" s="8" t="s">
        <v>74</v>
      </c>
    </row>
    <row r="103" customFormat="false" ht="30" hidden="false" customHeight="false" outlineLevel="0" collapsed="false">
      <c r="A103" s="33" t="s">
        <v>75</v>
      </c>
    </row>
    <row r="104" customFormat="false" ht="15" hidden="false" customHeight="false" outlineLevel="0" collapsed="false">
      <c r="A104" s="8"/>
    </row>
    <row r="105" customFormat="false" ht="16" hidden="false" customHeight="false" outlineLevel="0" collapsed="false">
      <c r="A105" s="8" t="s">
        <v>76</v>
      </c>
    </row>
    <row r="106" customFormat="false" ht="15" hidden="false" customHeight="false" outlineLevel="0" collapsed="false">
      <c r="A106" s="8"/>
    </row>
    <row r="107" customFormat="false" ht="15" hidden="false" customHeight="1" outlineLevel="0" collapsed="false">
      <c r="A107" s="32" t="s">
        <v>77</v>
      </c>
      <c r="B107" s="7"/>
      <c r="C107" s="7"/>
      <c r="D107" s="7"/>
      <c r="E107" s="7"/>
      <c r="F107" s="7"/>
      <c r="G107" s="7"/>
      <c r="H107" s="7"/>
      <c r="I107" s="7"/>
    </row>
    <row r="108" customFormat="false" ht="43" hidden="false" customHeight="false" outlineLevel="0" collapsed="false">
      <c r="A108" s="33" t="s">
        <v>78</v>
      </c>
    </row>
    <row r="109" customFormat="false" ht="15" hidden="false" customHeight="false" outlineLevel="0" collapsed="false">
      <c r="A109" s="8"/>
    </row>
    <row r="110" customFormat="false" ht="16" hidden="false" customHeight="false" outlineLevel="0" collapsed="false">
      <c r="A110" s="8" t="s">
        <v>79</v>
      </c>
    </row>
    <row r="112" customFormat="false" ht="29" hidden="false" customHeight="false" outlineLevel="0" collapsed="false">
      <c r="A112" s="34" t="s">
        <v>80</v>
      </c>
    </row>
    <row r="113" customFormat="false" ht="15.5" hidden="false" customHeight="false" outlineLevel="0" collapsed="false">
      <c r="A113" s="2" t="s">
        <v>81</v>
      </c>
    </row>
    <row r="114" customFormat="false" ht="15.5" hidden="false" customHeight="false" outlineLevel="0" collapsed="false">
      <c r="A114" s="2" t="s">
        <v>82</v>
      </c>
    </row>
    <row r="115" customFormat="false" ht="15.5" hidden="false" customHeight="false" outlineLevel="0" collapsed="false">
      <c r="A115" s="2" t="s">
        <v>83</v>
      </c>
    </row>
    <row r="116" customFormat="false" ht="15.5" hidden="false" customHeight="false" outlineLevel="0" collapsed="false">
      <c r="A116" s="2" t="s">
        <v>84</v>
      </c>
    </row>
    <row r="117" customFormat="false" ht="15.5" hidden="false" customHeight="false" outlineLevel="0" collapsed="false">
      <c r="A117" s="2" t="s">
        <v>85</v>
      </c>
    </row>
    <row r="118" customFormat="false" ht="15.5" hidden="false" customHeight="false" outlineLevel="0" collapsed="false">
      <c r="A118" s="2" t="s">
        <v>86</v>
      </c>
    </row>
    <row r="119" customFormat="false" ht="15.5" hidden="false" customHeight="false" outlineLevel="0" collapsed="false">
      <c r="A119" s="2" t="s">
        <v>87</v>
      </c>
    </row>
    <row r="120" customFormat="false" ht="15.5" hidden="false" customHeight="false" outlineLevel="0" collapsed="false">
      <c r="A120" s="2" t="s">
        <v>88</v>
      </c>
    </row>
    <row r="121" customFormat="false" ht="15.5" hidden="false" customHeight="false" outlineLevel="0" collapsed="false">
      <c r="A121" s="2" t="s">
        <v>89</v>
      </c>
    </row>
    <row r="122" customFormat="false" ht="15.5" hidden="false" customHeight="false" outlineLevel="0" collapsed="false">
      <c r="A122" s="2" t="s">
        <v>90</v>
      </c>
    </row>
    <row r="123" customFormat="false" ht="15.5" hidden="false" customHeight="false" outlineLevel="0" collapsed="false">
      <c r="A123" s="2" t="s">
        <v>91</v>
      </c>
    </row>
    <row r="124" customFormat="false" ht="15.5" hidden="false" customHeight="false" outlineLevel="0" collapsed="false">
      <c r="A124" s="2" t="s">
        <v>92</v>
      </c>
    </row>
    <row r="126" customFormat="false" ht="15" hidden="false" customHeight="false" outlineLevel="0" collapsed="false">
      <c r="A126" s="4" t="s">
        <v>93</v>
      </c>
    </row>
    <row r="127" customFormat="false" ht="30" hidden="false" customHeight="false" outlineLevel="0" collapsed="false">
      <c r="A127" s="33" t="s">
        <v>94</v>
      </c>
    </row>
    <row r="128" customFormat="false" ht="28" hidden="false" customHeight="false" outlineLevel="0" collapsed="false">
      <c r="A128" s="33" t="s">
        <v>95</v>
      </c>
    </row>
    <row r="129" customFormat="false" ht="15" hidden="false" customHeight="false" outlineLevel="0" collapsed="false">
      <c r="A129" s="8"/>
    </row>
    <row r="130" customFormat="false" ht="15" hidden="false" customHeight="false" outlineLevel="0" collapsed="false">
      <c r="A130" s="4" t="s">
        <v>96</v>
      </c>
    </row>
    <row r="131" customFormat="false" ht="28" hidden="false" customHeight="false" outlineLevel="0" collapsed="false">
      <c r="A131" s="33" t="s">
        <v>97</v>
      </c>
    </row>
    <row r="132" customFormat="false" ht="29" hidden="false" customHeight="false" outlineLevel="0" collapsed="false">
      <c r="A132" s="33" t="s">
        <v>98</v>
      </c>
    </row>
    <row r="134" customFormat="false" ht="15.5" hidden="false" customHeight="false" outlineLevel="0" collapsed="false">
      <c r="A134" s="9" t="s">
        <v>99</v>
      </c>
    </row>
  </sheetData>
  <mergeCells count="13">
    <mergeCell ref="A5:L5"/>
    <mergeCell ref="A6:J6"/>
    <mergeCell ref="A7:Q7"/>
    <mergeCell ref="A8:J8"/>
    <mergeCell ref="A15:I15"/>
    <mergeCell ref="A17:J17"/>
    <mergeCell ref="A22:J22"/>
    <mergeCell ref="A25:I25"/>
    <mergeCell ref="A36:J36"/>
    <mergeCell ref="A64:P64"/>
    <mergeCell ref="A69:L69"/>
    <mergeCell ref="A101:M101"/>
    <mergeCell ref="A107:Y10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N154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10" width="27.31"/>
    <col collapsed="false" customWidth="true" hidden="false" outlineLevel="0" max="7" min="2" style="10" width="14.56"/>
    <col collapsed="false" customWidth="true" hidden="false" outlineLevel="0" max="8" min="8" style="10" width="49.13"/>
  </cols>
  <sheetData>
    <row r="1" customFormat="false" ht="19" hidden="false" customHeight="false" outlineLevel="0" collapsed="false">
      <c r="A1" s="11" t="s">
        <v>100</v>
      </c>
      <c r="B1" s="11"/>
      <c r="C1" s="11"/>
      <c r="D1" s="11"/>
      <c r="E1" s="11"/>
      <c r="F1" s="11"/>
      <c r="G1" s="11"/>
      <c r="H1" s="11"/>
    </row>
    <row r="3" customFormat="false" ht="15.5" hidden="false" customHeight="false" outlineLevel="0" collapsed="false">
      <c r="A3" s="12" t="s">
        <v>101</v>
      </c>
      <c r="B3" s="12"/>
      <c r="C3" s="12"/>
      <c r="D3" s="13"/>
      <c r="E3" s="13"/>
      <c r="F3" s="13"/>
      <c r="G3" s="13"/>
      <c r="H3" s="13"/>
    </row>
    <row r="4" customFormat="false" ht="15" hidden="false" customHeight="false" outlineLevel="0" collapsed="false">
      <c r="A4" s="14" t="s">
        <v>102</v>
      </c>
      <c r="B4" s="14" t="s">
        <v>103</v>
      </c>
      <c r="C4" s="14" t="s">
        <v>96</v>
      </c>
      <c r="D4" s="14"/>
      <c r="E4" s="14"/>
      <c r="F4" s="14"/>
      <c r="G4" s="14"/>
      <c r="H4" s="14"/>
    </row>
    <row r="5" customFormat="false" ht="16" hidden="false" customHeight="false" outlineLevel="0" collapsed="false">
      <c r="A5" s="10" t="s">
        <v>104</v>
      </c>
      <c r="B5" s="15" t="s">
        <v>105</v>
      </c>
      <c r="C5" s="16" t="s">
        <v>106</v>
      </c>
      <c r="D5" s="16"/>
      <c r="E5" s="16"/>
    </row>
    <row r="6" customFormat="false" ht="16" hidden="false" customHeight="false" outlineLevel="0" collapsed="false">
      <c r="A6" s="17" t="s">
        <v>107</v>
      </c>
      <c r="B6" s="15" t="s">
        <v>108</v>
      </c>
      <c r="C6" s="16" t="s">
        <v>109</v>
      </c>
      <c r="D6" s="16"/>
    </row>
    <row r="7" customFormat="false" ht="16" hidden="false" customHeight="false" outlineLevel="0" collapsed="false">
      <c r="A7" s="10" t="s">
        <v>110</v>
      </c>
      <c r="B7" s="18" t="s">
        <v>111</v>
      </c>
      <c r="C7" s="16" t="s">
        <v>112</v>
      </c>
      <c r="D7" s="16"/>
      <c r="E7" s="16"/>
    </row>
    <row r="8" customFormat="false" ht="16" hidden="false" customHeight="false" outlineLevel="0" collapsed="false">
      <c r="A8" s="17" t="s">
        <v>113</v>
      </c>
      <c r="B8" s="15" t="n">
        <v>1</v>
      </c>
      <c r="C8" s="10" t="s">
        <v>114</v>
      </c>
    </row>
    <row r="9" customFormat="false" ht="15.5" hidden="false" customHeight="false" outlineLevel="0" collapsed="false">
      <c r="A9" s="10" t="s">
        <v>115</v>
      </c>
      <c r="B9" s="19" t="s">
        <v>116</v>
      </c>
      <c r="C9" s="19"/>
      <c r="D9" s="19"/>
      <c r="E9" s="19"/>
    </row>
    <row r="11" customFormat="false" ht="15.5" hidden="false" customHeight="false" outlineLevel="0" collapsed="false">
      <c r="A11" s="12" t="s">
        <v>117</v>
      </c>
      <c r="B11" s="12"/>
      <c r="C11" s="12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14" t="s">
        <v>118</v>
      </c>
      <c r="B12" s="14" t="s">
        <v>119</v>
      </c>
      <c r="C12" s="14" t="s">
        <v>96</v>
      </c>
      <c r="D12" s="14"/>
    </row>
    <row r="13" customFormat="false" ht="16" hidden="false" customHeight="false" outlineLevel="0" collapsed="false">
      <c r="A13" s="10" t="s">
        <v>120</v>
      </c>
      <c r="B13" s="10" t="s">
        <v>121</v>
      </c>
      <c r="C13" s="16" t="s">
        <v>122</v>
      </c>
      <c r="D13" s="16"/>
    </row>
    <row r="14" customFormat="false" ht="16" hidden="false" customHeight="false" outlineLevel="0" collapsed="false">
      <c r="A14" s="17" t="s">
        <v>123</v>
      </c>
      <c r="B14" s="10" t="s">
        <v>124</v>
      </c>
      <c r="C14" s="16" t="s">
        <v>125</v>
      </c>
      <c r="D14" s="16"/>
      <c r="E14" s="16"/>
      <c r="F14" s="16"/>
      <c r="G14" s="16"/>
    </row>
    <row r="16" customFormat="false" ht="15.5" hidden="false" customHeight="false" outlineLevel="0" collapsed="false">
      <c r="A16" s="12" t="s">
        <v>126</v>
      </c>
      <c r="B16" s="12"/>
      <c r="C16" s="12"/>
      <c r="D16" s="12"/>
      <c r="E16" s="13"/>
      <c r="F16" s="13"/>
      <c r="G16" s="13"/>
      <c r="H16" s="13"/>
    </row>
    <row r="17" customFormat="false" ht="15" hidden="false" customHeight="false" outlineLevel="0" collapsed="false">
      <c r="A17" s="14" t="s">
        <v>127</v>
      </c>
      <c r="B17" s="14" t="s">
        <v>128</v>
      </c>
      <c r="C17" s="20" t="s">
        <v>129</v>
      </c>
      <c r="D17" s="20"/>
    </row>
    <row r="18" customFormat="false" ht="16" hidden="false" customHeight="false" outlineLevel="0" collapsed="false">
      <c r="A18" s="17" t="s">
        <v>130</v>
      </c>
      <c r="B18" s="21" t="n">
        <v>0.3</v>
      </c>
      <c r="C18" s="16" t="s">
        <v>131</v>
      </c>
      <c r="D18" s="16"/>
      <c r="E18" s="16"/>
    </row>
    <row r="19" customFormat="false" ht="15" hidden="false" customHeight="false" outlineLevel="0" collapsed="false">
      <c r="A19" s="17" t="s">
        <v>132</v>
      </c>
      <c r="B19" s="21" t="n">
        <v>0.2</v>
      </c>
      <c r="C19" s="16" t="s">
        <v>133</v>
      </c>
      <c r="D19" s="16"/>
      <c r="E19" s="16"/>
    </row>
    <row r="20" customFormat="false" ht="15" hidden="false" customHeight="false" outlineLevel="0" collapsed="false">
      <c r="A20" s="17" t="s">
        <v>134</v>
      </c>
      <c r="B20" s="21" t="n">
        <v>0.15</v>
      </c>
      <c r="C20" s="16" t="s">
        <v>135</v>
      </c>
      <c r="D20" s="16"/>
      <c r="E20" s="16"/>
    </row>
    <row r="21" customFormat="false" ht="15" hidden="false" customHeight="false" outlineLevel="0" collapsed="false">
      <c r="A21" s="17" t="s">
        <v>136</v>
      </c>
      <c r="B21" s="21" t="n">
        <v>0.15</v>
      </c>
      <c r="C21" s="16" t="s">
        <v>137</v>
      </c>
      <c r="D21" s="16"/>
    </row>
    <row r="22" customFormat="false" ht="15" hidden="false" customHeight="false" outlineLevel="0" collapsed="false">
      <c r="A22" s="17" t="s">
        <v>138</v>
      </c>
      <c r="B22" s="21" t="n">
        <v>0.1</v>
      </c>
      <c r="C22" s="16" t="s">
        <v>139</v>
      </c>
      <c r="D22" s="16"/>
    </row>
    <row r="23" customFormat="false" ht="16" hidden="false" customHeight="false" outlineLevel="0" collapsed="false">
      <c r="A23" s="17" t="s">
        <v>140</v>
      </c>
      <c r="B23" s="21" t="n">
        <v>0.1</v>
      </c>
      <c r="C23" s="16" t="s">
        <v>141</v>
      </c>
      <c r="D23" s="16"/>
      <c r="E23" s="16"/>
    </row>
    <row r="24" customFormat="false" ht="16" hidden="false" customHeight="false" outlineLevel="0" collapsed="false">
      <c r="A24" s="22" t="s">
        <v>142</v>
      </c>
      <c r="B24" s="38" t="n">
        <f aca="false">SUM(B18:B23)</f>
        <v>1</v>
      </c>
      <c r="D24" s="10" t="s">
        <v>143</v>
      </c>
    </row>
    <row r="26" customFormat="false" ht="15.5" hidden="false" customHeight="false" outlineLevel="0" collapsed="false">
      <c r="A26" s="12" t="s">
        <v>144</v>
      </c>
      <c r="B26" s="12"/>
      <c r="C26" s="12"/>
      <c r="D26" s="12"/>
      <c r="E26" s="12"/>
      <c r="F26" s="12"/>
      <c r="G26" s="13"/>
      <c r="H26" s="13"/>
    </row>
    <row r="27" customFormat="false" ht="15" hidden="false" customHeight="false" outlineLevel="0" collapsed="false">
      <c r="A27" s="14" t="s">
        <v>145</v>
      </c>
      <c r="B27" s="24" t="s">
        <v>130</v>
      </c>
      <c r="C27" s="24" t="s">
        <v>132</v>
      </c>
      <c r="D27" s="24" t="s">
        <v>134</v>
      </c>
      <c r="E27" s="24" t="s">
        <v>136</v>
      </c>
      <c r="F27" s="24" t="s">
        <v>138</v>
      </c>
      <c r="G27" s="24" t="s">
        <v>140</v>
      </c>
      <c r="H27" s="14" t="s">
        <v>146</v>
      </c>
    </row>
    <row r="28" customFormat="false" ht="16" hidden="false" customHeight="false" outlineLevel="0" collapsed="false">
      <c r="A28" s="10" t="s">
        <v>147</v>
      </c>
      <c r="B28" s="15" t="n">
        <v>1</v>
      </c>
      <c r="C28" s="15" t="n">
        <v>0</v>
      </c>
      <c r="D28" s="15" t="n">
        <v>1</v>
      </c>
      <c r="E28" s="15" t="n">
        <v>0</v>
      </c>
      <c r="F28" s="15" t="n">
        <v>0</v>
      </c>
      <c r="G28" s="15" t="n">
        <v>0</v>
      </c>
      <c r="H28" s="38" t="n">
        <f aca="false">B28*$B$18+C28*$B$19+D28*$B$20+E28*$B$21+F28*$B$22+G28*$B$23</f>
        <v>0.45</v>
      </c>
    </row>
    <row r="29" customFormat="false" ht="16" hidden="false" customHeight="false" outlineLevel="0" collapsed="false">
      <c r="A29" s="10" t="s">
        <v>148</v>
      </c>
      <c r="B29" s="15" t="n">
        <v>0</v>
      </c>
      <c r="C29" s="15" t="n">
        <v>1</v>
      </c>
      <c r="D29" s="15" t="n">
        <v>0</v>
      </c>
      <c r="E29" s="15" t="n">
        <v>0</v>
      </c>
      <c r="F29" s="15" t="n">
        <v>1</v>
      </c>
      <c r="G29" s="15" t="n">
        <v>0</v>
      </c>
      <c r="H29" s="38" t="n">
        <f aca="false">B29*$B$18+C29*$B$19+D29*$B$20+E29*$B$21+F29*$B$22+G29*$B$23</f>
        <v>0.3</v>
      </c>
    </row>
    <row r="30" customFormat="false" ht="16" hidden="false" customHeight="false" outlineLevel="0" collapsed="false">
      <c r="A30" s="10" t="s">
        <v>149</v>
      </c>
      <c r="B30" s="15" t="n">
        <v>0</v>
      </c>
      <c r="C30" s="15" t="n">
        <v>0</v>
      </c>
      <c r="D30" s="15" t="n">
        <v>0</v>
      </c>
      <c r="E30" s="15" t="n">
        <v>1</v>
      </c>
      <c r="F30" s="15" t="n">
        <v>0</v>
      </c>
      <c r="G30" s="15" t="n">
        <v>1</v>
      </c>
      <c r="H30" s="38" t="n">
        <f aca="false">B30*$B$18+C30*$B$19+D30*$B$20+E30*$B$21+F30*$B$22+G30*$B$23</f>
        <v>0.25</v>
      </c>
    </row>
    <row r="31" customFormat="false" ht="16" hidden="false" customHeight="false" outlineLevel="0" collapsed="false">
      <c r="A31" s="10" t="s">
        <v>150</v>
      </c>
      <c r="B31" s="15" t="n">
        <v>0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38" t="n">
        <f aca="false">B31*$B$18+C31*$B$19+D31*$B$20+E31*$B$21+F31*$B$22+G31*$B$23</f>
        <v>0</v>
      </c>
    </row>
    <row r="32" customFormat="false" ht="15" hidden="false" customHeight="false" outlineLevel="0" collapsed="false">
      <c r="A32" s="22" t="s">
        <v>151</v>
      </c>
      <c r="H32" s="38" t="n">
        <f aca="false">SUM(H28:H31)</f>
        <v>1</v>
      </c>
    </row>
    <row r="33" customFormat="false" ht="15.5" hidden="false" customHeight="true" outlineLevel="0" collapsed="false">
      <c r="A33" s="25" t="s">
        <v>152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5" customFormat="false" ht="15.5" hidden="false" customHeight="false" outlineLevel="0" collapsed="false">
      <c r="A35" s="12" t="s">
        <v>153</v>
      </c>
      <c r="B35" s="12"/>
      <c r="C35" s="12"/>
      <c r="D35" s="12"/>
      <c r="E35" s="12"/>
      <c r="F35" s="12"/>
      <c r="G35" s="13"/>
      <c r="H35" s="13"/>
    </row>
    <row r="36" customFormat="false" ht="15.5" hidden="false" customHeight="false" outlineLevel="0" collapsed="false">
      <c r="A36" s="14" t="s">
        <v>145</v>
      </c>
      <c r="B36" s="14" t="s">
        <v>146</v>
      </c>
      <c r="C36" s="14" t="s">
        <v>154</v>
      </c>
      <c r="D36" s="14" t="s">
        <v>155</v>
      </c>
      <c r="E36" s="14"/>
      <c r="F36" s="14"/>
      <c r="G36" s="14"/>
      <c r="H36" s="14"/>
    </row>
    <row r="37" customFormat="false" ht="16" hidden="false" customHeight="false" outlineLevel="0" collapsed="false">
      <c r="A37" s="10" t="s">
        <v>147</v>
      </c>
      <c r="B37" s="38" t="n">
        <f aca="false">H28</f>
        <v>0.45</v>
      </c>
      <c r="C37" s="26" t="n">
        <v>0.95</v>
      </c>
      <c r="D37" s="27" t="n">
        <f aca="false">B37*C37</f>
        <v>0.4275</v>
      </c>
    </row>
    <row r="38" customFormat="false" ht="16" hidden="false" customHeight="false" outlineLevel="0" collapsed="false">
      <c r="A38" s="10" t="s">
        <v>148</v>
      </c>
      <c r="B38" s="38" t="n">
        <f aca="false">H29</f>
        <v>0.3</v>
      </c>
      <c r="C38" s="26" t="n">
        <v>0.98</v>
      </c>
      <c r="D38" s="27" t="n">
        <f aca="false">B38*C38</f>
        <v>0.294</v>
      </c>
    </row>
    <row r="39" customFormat="false" ht="16" hidden="false" customHeight="false" outlineLevel="0" collapsed="false">
      <c r="A39" s="10" t="s">
        <v>149</v>
      </c>
      <c r="B39" s="38" t="n">
        <f aca="false">H30</f>
        <v>0.25</v>
      </c>
      <c r="C39" s="26" t="n">
        <v>1.05</v>
      </c>
      <c r="D39" s="27" t="n">
        <f aca="false">B39*C39</f>
        <v>0.2625</v>
      </c>
    </row>
    <row r="40" customFormat="false" ht="16" hidden="false" customHeight="false" outlineLevel="0" collapsed="false">
      <c r="A40" s="10" t="s">
        <v>150</v>
      </c>
      <c r="B40" s="38" t="n">
        <f aca="false">H31</f>
        <v>0</v>
      </c>
      <c r="C40" s="26" t="n">
        <v>1.1</v>
      </c>
      <c r="D40" s="27" t="n">
        <f aca="false">B40*C40</f>
        <v>0</v>
      </c>
    </row>
    <row r="41" customFormat="false" ht="16" hidden="false" customHeight="false" outlineLevel="0" collapsed="false">
      <c r="A41" s="22" t="s">
        <v>156</v>
      </c>
      <c r="D41" s="28" t="n">
        <f aca="false">SUM(D37:D40)</f>
        <v>0.984</v>
      </c>
      <c r="H41" s="10" t="s">
        <v>157</v>
      </c>
    </row>
    <row r="42" customFormat="false" ht="15.5" hidden="false" customHeight="true" outlineLevel="0" collapsed="false">
      <c r="A42" s="25" t="s">
        <v>158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4" customFormat="false" ht="15.5" hidden="false" customHeight="false" outlineLevel="0" collapsed="false">
      <c r="A44" s="12" t="s">
        <v>159</v>
      </c>
      <c r="B44" s="12"/>
      <c r="C44" s="12"/>
      <c r="D44" s="13"/>
      <c r="E44" s="13"/>
      <c r="F44" s="13"/>
      <c r="G44" s="13"/>
      <c r="H44" s="13"/>
    </row>
    <row r="45" customFormat="false" ht="15" hidden="false" customHeight="false" outlineLevel="0" collapsed="false">
      <c r="A45" s="14" t="s">
        <v>160</v>
      </c>
      <c r="B45" s="14" t="s">
        <v>161</v>
      </c>
      <c r="C45" s="14" t="s">
        <v>96</v>
      </c>
      <c r="D45" s="14"/>
      <c r="E45" s="14"/>
      <c r="F45" s="14"/>
      <c r="G45" s="14"/>
      <c r="H45" s="14"/>
    </row>
    <row r="46" customFormat="false" ht="16" hidden="false" customHeight="false" outlineLevel="0" collapsed="false">
      <c r="A46" s="36">
        <v>6</v>
      </c>
      <c r="B46" s="29" t="str">
        <f aca="false">IF(ABS(B24-1)&lt;0.0001,"✓","✗")</f>
        <v>✓</v>
      </c>
      <c r="C46" s="10" t="s">
        <v>163</v>
      </c>
    </row>
    <row r="47" customFormat="false" ht="16" hidden="false" customHeight="false" outlineLevel="0" collapsed="false">
      <c r="A47" s="36">
        <v>4</v>
      </c>
      <c r="B47" s="29" t="str">
        <f aca="false">IF(ABS(H32-1)&lt;0.0001,"✓","✗")</f>
        <v>✓</v>
      </c>
      <c r="C47" s="16" t="s">
        <v>165</v>
      </c>
      <c r="D47" s="16"/>
      <c r="E47" s="16"/>
    </row>
    <row r="48" customFormat="false" ht="16" hidden="false" customHeight="false" outlineLevel="0" collapsed="false">
      <c r="A48" s="10" t="s">
        <v>166</v>
      </c>
      <c r="B48" s="29" t="str">
        <f aca="false">IF(ABS(D41-SUMPRODUCT(B37:B40,C37:C40))&lt;0.000001,"✓","✗")</f>
        <v>✓</v>
      </c>
      <c r="C48" s="10" t="s">
        <v>167</v>
      </c>
    </row>
    <row r="50" customFormat="false" ht="15" hidden="false" customHeight="true" outlineLevel="0" collapsed="false">
      <c r="A50" s="25" t="s">
        <v>168</v>
      </c>
      <c r="B50" s="25"/>
      <c r="C50" s="25"/>
      <c r="D50" s="25"/>
      <c r="E50" s="25"/>
      <c r="F50" s="25"/>
      <c r="G50" s="25"/>
      <c r="H50" s="25"/>
    </row>
  </sheetData>
  <mergeCells count="24">
    <mergeCell ref="A1:H1"/>
    <mergeCell ref="A3:C3"/>
    <mergeCell ref="C5:E5"/>
    <mergeCell ref="C6:D6"/>
    <mergeCell ref="C7:E7"/>
    <mergeCell ref="B9:E9"/>
    <mergeCell ref="A11:C11"/>
    <mergeCell ref="C13:D13"/>
    <mergeCell ref="C14:G14"/>
    <mergeCell ref="A16:D16"/>
    <mergeCell ref="C17:D17"/>
    <mergeCell ref="C18:E18"/>
    <mergeCell ref="C19:E19"/>
    <mergeCell ref="C20:E20"/>
    <mergeCell ref="C21:D21"/>
    <mergeCell ref="C22:D22"/>
    <mergeCell ref="C23:E23"/>
    <mergeCell ref="A26:F26"/>
    <mergeCell ref="A33:L33"/>
    <mergeCell ref="A35:F35"/>
    <mergeCell ref="A42:L42"/>
    <mergeCell ref="A44:C44"/>
    <mergeCell ref="C47:E47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Q7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2026-09-29T15:06:27Z</dcterms:created>
  <dc:creator>openpyxl</dc:creator>
  <dc:description/>
  <dc:language>zh-CN</dc:language>
  <cp:lastModifiedBy/>
  <dcterms:modified xsi:type="dcterms:W3CDTF">2026-09-29T15:06:27Z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