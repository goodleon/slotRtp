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说明" sheetId="1" state="visible" r:id="rId3"/>
    <sheet name="数据配表的实现" sheetId="2" state="visible" r:id="rId4"/>
  </sheets>
  <calcPr iterateCount="100" refMode="A1" iterate="false" iterateDelta="0.0001" fullCalcOnLoad="1"/>
  <extLst>
    <ext xmlns:loext="http://schemas.libreoffice.org/" uri="{7626C862-2A13-11E5-B345-FEFF819CDC9F}">
      <loext:extCalcPr stringRefSyntax="ExcelA1"/>
    </ext>
  </extLst>
</workbook>
</file>

<file path=xl/sharedStrings.xml><?xml version="1.0" encoding="utf-8"?>
<sst xmlns="http://schemas.openxmlformats.org/spreadsheetml/2006/main" count="249" uniqueCount="205">
  <si>
    <r>
      <rPr>
        <b val="true"/>
        <sz val="14"/>
        <color rgb="FF1F4E79"/>
        <rFont val="Noto Sans SC"/>
        <family val="2"/>
        <charset val="134"/>
      </rPr>
      <t xml:space="preserve">从零开始学</t>
    </r>
    <r>
      <rPr>
        <b val="true"/>
        <sz val="14"/>
        <color rgb="FF1F4E79"/>
        <rFont val="Cambria"/>
        <family val="0"/>
        <charset val="1"/>
      </rPr>
      <t xml:space="preserve">Slots 43 —— </t>
    </r>
    <r>
      <rPr>
        <b val="true"/>
        <sz val="14"/>
        <color rgb="FF1F4E79"/>
        <rFont val="Noto Sans SC"/>
        <family val="2"/>
        <charset val="134"/>
      </rPr>
      <t xml:space="preserve">数值篇：</t>
    </r>
    <r>
      <rPr>
        <b val="true"/>
        <sz val="14"/>
        <color rgb="FF1F4E79"/>
        <rFont val="Cambria"/>
        <family val="0"/>
        <charset val="1"/>
      </rPr>
      <t xml:space="preserve">Grid</t>
    </r>
  </si>
  <si>
    <r>
      <rPr>
        <sz val="11"/>
        <color rgb="FF808080"/>
        <rFont val="Noto Sans SC"/>
        <family val="2"/>
        <charset val="134"/>
      </rPr>
      <t xml:space="preserve">来源：知乎《</t>
    </r>
    <r>
      <rPr>
        <sz val="11"/>
        <color rgb="FF808080"/>
        <rFont val="Cambria"/>
        <family val="0"/>
        <charset val="1"/>
      </rPr>
      <t xml:space="preserve">Slots</t>
    </r>
    <r>
      <rPr>
        <sz val="11"/>
        <color rgb="FF808080"/>
        <rFont val="Noto Sans SC"/>
        <family val="2"/>
        <charset val="134"/>
      </rPr>
      <t xml:space="preserve">数值篇——</t>
    </r>
    <r>
      <rPr>
        <sz val="11"/>
        <color rgb="FF808080"/>
        <rFont val="Cambria"/>
        <family val="0"/>
        <charset val="1"/>
      </rPr>
      <t xml:space="preserve">Grid</t>
    </r>
    <r>
      <rPr>
        <sz val="11"/>
        <color rgb="FF808080"/>
        <rFont val="Noto Sans SC"/>
        <family val="2"/>
        <charset val="134"/>
      </rPr>
      <t xml:space="preserve">》 </t>
    </r>
    <r>
      <rPr>
        <sz val="11"/>
        <color rgb="FF808080"/>
        <rFont val="Cambria"/>
        <family val="0"/>
        <charset val="1"/>
      </rPr>
      <t xml:space="preserve">https://zhuanlan.zhihu.com/p/639548656</t>
    </r>
  </si>
  <si>
    <r>
      <rPr>
        <sz val="11"/>
        <color rgb="FF808080"/>
        <rFont val="Noto Sans SC"/>
        <family val="2"/>
        <charset val="134"/>
      </rPr>
      <t xml:space="preserve">专栏：从零开始学</t>
    </r>
    <r>
      <rPr>
        <sz val="11"/>
        <color rgb="FF808080"/>
        <rFont val="Cambria"/>
        <family val="0"/>
        <charset val="1"/>
      </rPr>
      <t xml:space="preserve">Slots https://zhuanlan.zhihu.com/c_1645024821070356480 </t>
    </r>
    <r>
      <rPr>
        <sz val="11"/>
        <color rgb="FF808080"/>
        <rFont val="Noto Sans SC"/>
        <family val="2"/>
        <charset val="134"/>
      </rPr>
      <t xml:space="preserve">｜ 作者：</t>
    </r>
    <r>
      <rPr>
        <sz val="11"/>
        <color rgb="FF808080"/>
        <rFont val="Cambria"/>
        <family val="0"/>
        <charset val="1"/>
      </rPr>
      <t xml:space="preserve">ASlot </t>
    </r>
    <r>
      <rPr>
        <sz val="11"/>
        <color rgb="FF808080"/>
        <rFont val="Noto Sans SC"/>
        <family val="2"/>
        <charset val="134"/>
      </rPr>
      <t xml:space="preserve">｜ 发布 </t>
    </r>
    <r>
      <rPr>
        <sz val="11"/>
        <color rgb="FF808080"/>
        <rFont val="Cambria"/>
        <family val="0"/>
        <charset val="1"/>
      </rPr>
      <t xml:space="preserve">2023-07-04</t>
    </r>
  </si>
  <si>
    <t xml:space="preserve">页签</t>
  </si>
  <si>
    <r>
      <rPr>
        <sz val="11"/>
        <color theme="1"/>
        <rFont val="Calibri"/>
        <family val="2"/>
        <charset val="1"/>
      </rPr>
      <t xml:space="preserve">· </t>
    </r>
    <r>
      <rPr>
        <sz val="11"/>
        <color theme="1"/>
        <rFont val="Noto Sans SC"/>
        <family val="2"/>
        <charset val="134"/>
      </rPr>
      <t xml:space="preserve">数据配表的实现：</t>
    </r>
    <r>
      <rPr>
        <sz val="11"/>
        <color theme="1"/>
        <rFont val="Calibri"/>
        <family val="2"/>
        <charset val="1"/>
      </rPr>
      <t xml:space="preserve">5*6 → </t>
    </r>
    <r>
      <rPr>
        <sz val="11"/>
        <color theme="1"/>
        <rFont val="Noto Sans SC"/>
        <family val="2"/>
        <charset val="134"/>
      </rPr>
      <t xml:space="preserve">图标出现几率（全位置一套）→ 多倍图标倍数几率 → 中奖区间与赔率 → 分 </t>
    </r>
    <r>
      <rPr>
        <sz val="11"/>
        <color theme="1"/>
        <rFont val="Calibri"/>
        <family val="2"/>
        <charset val="1"/>
      </rPr>
      <t xml:space="preserve">31 </t>
    </r>
    <r>
      <rPr>
        <sz val="11"/>
        <color theme="1"/>
        <rFont val="Noto Sans SC"/>
        <family val="2"/>
        <charset val="134"/>
      </rPr>
      <t xml:space="preserve">种多倍情形加权 </t>
    </r>
    <r>
      <rPr>
        <sz val="11"/>
        <color theme="1"/>
        <rFont val="Calibri"/>
        <family val="2"/>
        <charset val="1"/>
      </rPr>
      <t xml:space="preserve">RTP</t>
    </r>
  </si>
  <si>
    <t xml:space="preserve">一、示例设定（原文）</t>
  </si>
  <si>
    <r>
      <rPr>
        <sz val="11"/>
        <color theme="1"/>
        <rFont val="Calibri"/>
        <family val="2"/>
        <charset val="1"/>
      </rPr>
      <t xml:space="preserve">· </t>
    </r>
    <r>
      <rPr>
        <sz val="11"/>
        <color theme="1"/>
        <rFont val="Noto Sans SC"/>
        <family val="2"/>
        <charset val="134"/>
      </rPr>
      <t xml:space="preserve">卷轴尺寸：</t>
    </r>
    <r>
      <rPr>
        <sz val="11"/>
        <color theme="1"/>
        <rFont val="Calibri"/>
        <family val="2"/>
        <charset val="1"/>
      </rPr>
      <t xml:space="preserve">5 * 6</t>
    </r>
    <r>
      <rPr>
        <sz val="11"/>
        <color theme="1"/>
        <rFont val="Noto Sans SC"/>
        <family val="2"/>
        <charset val="134"/>
      </rPr>
      <t xml:space="preserve">　</t>
    </r>
    <r>
      <rPr>
        <sz val="11"/>
        <color theme="1"/>
        <rFont val="Calibri"/>
        <family val="2"/>
        <charset val="1"/>
      </rPr>
      <t xml:space="preserve">· </t>
    </r>
    <r>
      <rPr>
        <sz val="11"/>
        <color theme="1"/>
        <rFont val="Noto Sans SC"/>
        <family val="2"/>
        <charset val="134"/>
      </rPr>
      <t xml:space="preserve">结算模式：</t>
    </r>
    <r>
      <rPr>
        <sz val="11"/>
        <color theme="1"/>
        <rFont val="Calibri"/>
        <family val="2"/>
        <charset val="1"/>
      </rPr>
      <t xml:space="preserve">Cluster Pay</t>
    </r>
    <r>
      <rPr>
        <sz val="11"/>
        <color theme="1"/>
        <rFont val="Noto Sans SC"/>
        <family val="2"/>
        <charset val="134"/>
      </rPr>
      <t xml:space="preserve">（图标个数 ≥ 要求即中奖，不看位置）</t>
    </r>
  </si>
  <si>
    <r>
      <rPr>
        <sz val="11"/>
        <color theme="1"/>
        <rFont val="Calibri"/>
        <family val="2"/>
        <charset val="1"/>
      </rPr>
      <t xml:space="preserve">· </t>
    </r>
    <r>
      <rPr>
        <sz val="11"/>
        <color theme="1"/>
        <rFont val="Noto Sans SC"/>
        <family val="2"/>
        <charset val="134"/>
      </rPr>
      <t xml:space="preserve">图标：</t>
    </r>
    <r>
      <rPr>
        <sz val="11"/>
        <color theme="1"/>
        <rFont val="Calibri"/>
        <family val="2"/>
        <charset val="1"/>
      </rPr>
      <t xml:space="preserve">9 </t>
    </r>
    <r>
      <rPr>
        <sz val="11"/>
        <color theme="1"/>
        <rFont val="Noto Sans SC"/>
        <family val="2"/>
        <charset val="134"/>
      </rPr>
      <t xml:space="preserve">个标准图标（图标 </t>
    </r>
    <r>
      <rPr>
        <sz val="11"/>
        <color theme="1"/>
        <rFont val="Calibri"/>
        <family val="2"/>
        <charset val="1"/>
      </rPr>
      <t xml:space="preserve">1~9</t>
    </r>
    <r>
      <rPr>
        <sz val="11"/>
        <color theme="1"/>
        <rFont val="Noto Sans SC"/>
        <family val="2"/>
        <charset val="134"/>
      </rPr>
      <t xml:space="preserve">）＋ </t>
    </r>
    <r>
      <rPr>
        <sz val="11"/>
        <color theme="1"/>
        <rFont val="Calibri"/>
        <family val="2"/>
        <charset val="1"/>
      </rPr>
      <t xml:space="preserve">2 </t>
    </r>
    <r>
      <rPr>
        <sz val="11"/>
        <color theme="1"/>
        <rFont val="Noto Sans SC"/>
        <family val="2"/>
        <charset val="134"/>
      </rPr>
      <t xml:space="preserve">个特殊图标（</t>
    </r>
    <r>
      <rPr>
        <sz val="11"/>
        <color theme="1"/>
        <rFont val="Calibri"/>
        <family val="2"/>
        <charset val="1"/>
      </rPr>
      <t xml:space="preserve">Scatter</t>
    </r>
    <r>
      <rPr>
        <sz val="11"/>
        <color theme="1"/>
        <rFont val="Noto Sans SC"/>
        <family val="2"/>
        <charset val="134"/>
      </rPr>
      <t xml:space="preserve">、</t>
    </r>
    <r>
      <rPr>
        <sz val="11"/>
        <color theme="1"/>
        <rFont val="Calibri"/>
        <family val="2"/>
        <charset val="1"/>
      </rPr>
      <t xml:space="preserve">Multiplier</t>
    </r>
    <r>
      <rPr>
        <sz val="11"/>
        <color theme="1"/>
        <rFont val="Noto Sans SC"/>
        <family val="2"/>
        <charset val="134"/>
      </rPr>
      <t xml:space="preserve">）</t>
    </r>
  </si>
  <si>
    <r>
      <rPr>
        <sz val="11"/>
        <color theme="1"/>
        <rFont val="Calibri"/>
        <family val="2"/>
        <charset val="1"/>
      </rPr>
      <t xml:space="preserve">· </t>
    </r>
    <r>
      <rPr>
        <sz val="11"/>
        <color theme="1"/>
        <rFont val="Noto Sans SC"/>
        <family val="2"/>
        <charset val="134"/>
      </rPr>
      <t xml:space="preserve">标准图标中奖组合：区间 </t>
    </r>
    <r>
      <rPr>
        <sz val="11"/>
        <color theme="1"/>
        <rFont val="Calibri"/>
        <family val="2"/>
        <charset val="1"/>
      </rPr>
      <t xml:space="preserve">[8,9]</t>
    </r>
    <r>
      <rPr>
        <sz val="11"/>
        <color theme="1"/>
        <rFont val="Noto Sans SC"/>
        <family val="2"/>
        <charset val="134"/>
      </rPr>
      <t xml:space="preserve">、</t>
    </r>
    <r>
      <rPr>
        <sz val="11"/>
        <color theme="1"/>
        <rFont val="Calibri"/>
        <family val="2"/>
        <charset val="1"/>
      </rPr>
      <t xml:space="preserve">[10,11]</t>
    </r>
    <r>
      <rPr>
        <sz val="11"/>
        <color theme="1"/>
        <rFont val="Noto Sans SC"/>
        <family val="2"/>
        <charset val="134"/>
      </rPr>
      <t xml:space="preserve">、</t>
    </r>
    <r>
      <rPr>
        <sz val="11"/>
        <color theme="1"/>
        <rFont val="Calibri"/>
        <family val="2"/>
        <charset val="1"/>
      </rPr>
      <t xml:space="preserve">[12,30]</t>
    </r>
    <r>
      <rPr>
        <sz val="11"/>
        <color theme="1"/>
        <rFont val="Noto Sans SC"/>
        <family val="2"/>
        <charset val="134"/>
      </rPr>
      <t xml:space="preserve">；</t>
    </r>
    <r>
      <rPr>
        <sz val="11"/>
        <color theme="1"/>
        <rFont val="Calibri"/>
        <family val="2"/>
        <charset val="1"/>
      </rPr>
      <t xml:space="preserve">Scatter</t>
    </r>
    <r>
      <rPr>
        <sz val="11"/>
        <color theme="1"/>
        <rFont val="Noto Sans SC"/>
        <family val="2"/>
        <charset val="134"/>
      </rPr>
      <t xml:space="preserve">：区间 </t>
    </r>
    <r>
      <rPr>
        <sz val="11"/>
        <color theme="1"/>
        <rFont val="Calibri"/>
        <family val="2"/>
        <charset val="1"/>
      </rPr>
      <t xml:space="preserve">[4]</t>
    </r>
    <r>
      <rPr>
        <sz val="11"/>
        <color theme="1"/>
        <rFont val="Noto Sans SC"/>
        <family val="2"/>
        <charset val="134"/>
      </rPr>
      <t xml:space="preserve">、</t>
    </r>
    <r>
      <rPr>
        <sz val="11"/>
        <color theme="1"/>
        <rFont val="Calibri"/>
        <family val="2"/>
        <charset val="1"/>
      </rPr>
      <t xml:space="preserve">[5]</t>
    </r>
    <r>
      <rPr>
        <sz val="11"/>
        <color theme="1"/>
        <rFont val="Noto Sans SC"/>
        <family val="2"/>
        <charset val="134"/>
      </rPr>
      <t xml:space="preserve">、</t>
    </r>
    <r>
      <rPr>
        <sz val="11"/>
        <color theme="1"/>
        <rFont val="Calibri"/>
        <family val="2"/>
        <charset val="1"/>
      </rPr>
      <t xml:space="preserve">[6,30]</t>
    </r>
  </si>
  <si>
    <r>
      <rPr>
        <sz val="11"/>
        <color theme="1"/>
        <rFont val="Calibri"/>
        <family val="2"/>
        <charset val="1"/>
      </rPr>
      <t xml:space="preserve">· </t>
    </r>
    <r>
      <rPr>
        <sz val="11"/>
        <color theme="1"/>
        <rFont val="Noto Sans SC"/>
        <family val="2"/>
        <charset val="134"/>
      </rPr>
      <t xml:space="preserve">注意：此处的 </t>
    </r>
    <r>
      <rPr>
        <sz val="11"/>
        <color theme="1"/>
        <rFont val="Calibri"/>
        <family val="2"/>
        <charset val="1"/>
      </rPr>
      <t xml:space="preserve">Scatter </t>
    </r>
    <r>
      <rPr>
        <sz val="11"/>
        <color theme="1"/>
        <rFont val="Noto Sans SC"/>
        <family val="2"/>
        <charset val="134"/>
      </rPr>
      <t xml:space="preserve">不触发免费摇；免费摇仍按常规算法（免费摇标准图标 </t>
    </r>
    <r>
      <rPr>
        <sz val="11"/>
        <color theme="1"/>
        <rFont val="Calibri"/>
        <family val="2"/>
        <charset val="1"/>
      </rPr>
      <t xml:space="preserve">RTP × </t>
    </r>
    <r>
      <rPr>
        <sz val="11"/>
        <color theme="1"/>
        <rFont val="Noto Sans SC"/>
        <family val="2"/>
        <charset val="134"/>
      </rPr>
      <t xml:space="preserve">期望免费摇次数 </t>
    </r>
    <r>
      <rPr>
        <sz val="11"/>
        <color theme="1"/>
        <rFont val="Calibri"/>
        <family val="2"/>
        <charset val="1"/>
      </rPr>
      <t xml:space="preserve">× </t>
    </r>
    <r>
      <rPr>
        <sz val="11"/>
        <color theme="1"/>
        <rFont val="Noto Sans SC"/>
        <family val="2"/>
        <charset val="134"/>
      </rPr>
      <t xml:space="preserve">期望额外次数）。</t>
    </r>
  </si>
  <si>
    <r>
      <rPr>
        <b val="true"/>
        <sz val="11"/>
        <rFont val="Noto Sans SC"/>
        <family val="2"/>
        <charset val="134"/>
      </rPr>
      <t xml:space="preserve">二、多倍图标（</t>
    </r>
    <r>
      <rPr>
        <b val="true"/>
        <sz val="11"/>
        <rFont val="Cambria"/>
        <family val="0"/>
        <charset val="1"/>
      </rPr>
      <t xml:space="preserve">Multiplier</t>
    </r>
    <r>
      <rPr>
        <b val="true"/>
        <sz val="11"/>
        <rFont val="Noto Sans SC"/>
        <family val="2"/>
        <charset val="134"/>
      </rPr>
      <t xml:space="preserve">）</t>
    </r>
  </si>
  <si>
    <t xml:space="preserve">当玩家中奖且同时抽到多倍图标时，本次摇奖最终中奖金额乘以该图标倍数。</t>
  </si>
  <si>
    <t xml:space="preserve">多种不同倍数的多倍图标在抽取时都视为「多倍图标」，具体倍数在抽中后再按倍数几率二次抽取 —— 因此要单独配一张倍数几率表。</t>
  </si>
  <si>
    <t xml:space="preserve">也可以使用连续型倍数（把出现几率相等的一段求中位数即可）。</t>
  </si>
  <si>
    <t xml:space="preserve">三、计算步骤（原文五步）</t>
  </si>
  <si>
    <r>
      <rPr>
        <sz val="11"/>
        <color theme="1"/>
        <rFont val="Noto Sans SC"/>
        <family val="2"/>
        <charset val="134"/>
      </rPr>
      <t xml:space="preserve">第一步 设置图标出现几率：</t>
    </r>
    <r>
      <rPr>
        <sz val="11"/>
        <color theme="1"/>
        <rFont val="Calibri"/>
        <family val="2"/>
        <charset val="1"/>
      </rPr>
      <t xml:space="preserve">Grid </t>
    </r>
    <r>
      <rPr>
        <sz val="11"/>
        <color theme="1"/>
        <rFont val="Noto Sans SC"/>
        <family val="2"/>
        <charset val="134"/>
      </rPr>
      <t xml:space="preserve">的图标位置与结算无关，一般只设「一套」几率用于所有位置（按列设置也可以，但后续算个数期望更麻烦）。</t>
    </r>
  </si>
  <si>
    <t xml:space="preserve">第二步 设置多倍图标的倍数几率。</t>
  </si>
  <si>
    <t xml:space="preserve">第三步 列举中奖组合与赔付倍数：中奖组合不是固定组合，而是图标个数区间，因此按区间配赔率。</t>
  </si>
  <si>
    <r>
      <rPr>
        <sz val="11"/>
        <color theme="1"/>
        <rFont val="Noto Sans SC"/>
        <family val="2"/>
        <charset val="134"/>
      </rPr>
      <t xml:space="preserve">第四步 计算 </t>
    </r>
    <r>
      <rPr>
        <sz val="11"/>
        <color theme="1"/>
        <rFont val="Calibri"/>
        <family val="2"/>
        <charset val="1"/>
      </rPr>
      <t xml:space="preserve">RTP</t>
    </r>
    <r>
      <rPr>
        <sz val="11"/>
        <color theme="1"/>
        <rFont val="Noto Sans SC"/>
        <family val="2"/>
        <charset val="134"/>
      </rPr>
      <t xml:space="preserve">：含多倍图标时必须分情况讨论 —— </t>
    </r>
    <r>
      <rPr>
        <sz val="11"/>
        <color theme="1"/>
        <rFont val="Calibri"/>
        <family val="2"/>
        <charset val="1"/>
      </rPr>
      <t xml:space="preserve">5*6 </t>
    </r>
    <r>
      <rPr>
        <sz val="11"/>
        <color theme="1"/>
        <rFont val="Noto Sans SC"/>
        <family val="2"/>
        <charset val="134"/>
      </rPr>
      <t xml:space="preserve">＝ </t>
    </r>
    <r>
      <rPr>
        <sz val="11"/>
        <color theme="1"/>
        <rFont val="Calibri"/>
        <family val="2"/>
        <charset val="1"/>
      </rPr>
      <t xml:space="preserve">30 </t>
    </r>
    <r>
      <rPr>
        <sz val="11"/>
        <color theme="1"/>
        <rFont val="Noto Sans SC"/>
        <family val="2"/>
        <charset val="134"/>
      </rPr>
      <t xml:space="preserve">个位置可能出现 </t>
    </r>
    <r>
      <rPr>
        <sz val="11"/>
        <color theme="1"/>
        <rFont val="Calibri"/>
        <family val="2"/>
        <charset val="1"/>
      </rPr>
      <t xml:space="preserve">0~30 </t>
    </r>
    <r>
      <rPr>
        <sz val="11"/>
        <color theme="1"/>
        <rFont val="Noto Sans SC"/>
        <family val="2"/>
        <charset val="134"/>
      </rPr>
      <t xml:space="preserve">个多倍图标，</t>
    </r>
  </si>
  <si>
    <r>
      <rPr>
        <sz val="11"/>
        <color theme="1"/>
        <rFont val="Noto Sans SC"/>
        <family val="2"/>
        <charset val="134"/>
      </rPr>
      <t xml:space="preserve">　　　把这 </t>
    </r>
    <r>
      <rPr>
        <sz val="11"/>
        <color theme="1"/>
        <rFont val="Calibri"/>
        <family val="2"/>
        <charset val="1"/>
      </rPr>
      <t xml:space="preserve">31 </t>
    </r>
    <r>
      <rPr>
        <sz val="11"/>
        <color theme="1"/>
        <rFont val="Noto Sans SC"/>
        <family val="2"/>
        <charset val="134"/>
      </rPr>
      <t xml:space="preserve">种情况分别算 </t>
    </r>
    <r>
      <rPr>
        <sz val="11"/>
        <color theme="1"/>
        <rFont val="Calibri"/>
        <family val="2"/>
        <charset val="1"/>
      </rPr>
      <t xml:space="preserve">RTP</t>
    </r>
    <r>
      <rPr>
        <sz val="11"/>
        <color theme="1"/>
        <rFont val="Noto Sans SC"/>
        <family val="2"/>
        <charset val="134"/>
      </rPr>
      <t xml:space="preserve">，再按各情况出现几率加权求和。</t>
    </r>
  </si>
  <si>
    <r>
      <rPr>
        <sz val="11"/>
        <color theme="1"/>
        <rFont val="Noto Sans SC"/>
        <family val="2"/>
        <charset val="134"/>
      </rPr>
      <t xml:space="preserve">第五步 添加 </t>
    </r>
    <r>
      <rPr>
        <sz val="11"/>
        <color theme="1"/>
        <rFont val="Calibri"/>
        <family val="2"/>
        <charset val="1"/>
      </rPr>
      <t xml:space="preserve">Tumble Feature / Cascading</t>
    </r>
    <r>
      <rPr>
        <sz val="11"/>
        <color theme="1"/>
        <rFont val="Noto Sans SC"/>
        <family val="2"/>
        <charset val="134"/>
      </rPr>
      <t xml:space="preserve">：</t>
    </r>
    <r>
      <rPr>
        <sz val="11"/>
        <color theme="1"/>
        <rFont val="Calibri"/>
        <family val="2"/>
        <charset val="1"/>
      </rPr>
      <t xml:space="preserve">Excel </t>
    </r>
    <r>
      <rPr>
        <sz val="11"/>
        <color theme="1"/>
        <rFont val="Noto Sans SC"/>
        <family val="2"/>
        <charset val="134"/>
      </rPr>
      <t xml:space="preserve">算出的 </t>
    </r>
    <r>
      <rPr>
        <sz val="11"/>
        <color theme="1"/>
        <rFont val="Calibri"/>
        <family val="2"/>
        <charset val="1"/>
      </rPr>
      <t xml:space="preserve">RTP </t>
    </r>
    <r>
      <rPr>
        <sz val="11"/>
        <color theme="1"/>
        <rFont val="Noto Sans SC"/>
        <family val="2"/>
        <charset val="134"/>
      </rPr>
      <t xml:space="preserve">未含消除，需借助跑数据结算消除特性后的 </t>
    </r>
    <r>
      <rPr>
        <sz val="11"/>
        <color theme="1"/>
        <rFont val="Calibri"/>
        <family val="2"/>
        <charset val="1"/>
      </rPr>
      <t xml:space="preserve">RTP</t>
    </r>
    <r>
      <rPr>
        <sz val="11"/>
        <color theme="1"/>
        <rFont val="Noto Sans SC"/>
        <family val="2"/>
        <charset val="134"/>
      </rPr>
      <t xml:space="preserve">。</t>
    </r>
  </si>
  <si>
    <t xml:space="preserve">四、原文的校验数据</t>
  </si>
  <si>
    <r>
      <rPr>
        <sz val="11"/>
        <color theme="1"/>
        <rFont val="Calibri"/>
        <family val="2"/>
        <charset val="1"/>
      </rPr>
      <t xml:space="preserve">· Excel </t>
    </r>
    <r>
      <rPr>
        <sz val="11"/>
        <color theme="1"/>
        <rFont val="Noto Sans SC"/>
        <family val="2"/>
        <charset val="134"/>
      </rPr>
      <t xml:space="preserve">计算 </t>
    </r>
    <r>
      <rPr>
        <sz val="11"/>
        <color theme="1"/>
        <rFont val="Calibri"/>
        <family val="2"/>
        <charset val="1"/>
      </rPr>
      <t xml:space="preserve">RTP </t>
    </r>
    <r>
      <rPr>
        <sz val="11"/>
        <color theme="1"/>
        <rFont val="Noto Sans SC"/>
        <family val="2"/>
        <charset val="134"/>
      </rPr>
      <t xml:space="preserve">＝ </t>
    </r>
    <r>
      <rPr>
        <sz val="11"/>
        <color theme="1"/>
        <rFont val="Calibri"/>
        <family val="2"/>
        <charset val="1"/>
      </rPr>
      <t xml:space="preserve">0.5455</t>
    </r>
    <r>
      <rPr>
        <sz val="11"/>
        <color theme="1"/>
        <rFont val="Noto Sans SC"/>
        <family val="2"/>
        <charset val="134"/>
      </rPr>
      <t xml:space="preserve">；</t>
    </r>
  </si>
  <si>
    <r>
      <rPr>
        <sz val="11"/>
        <color theme="1"/>
        <rFont val="Calibri"/>
        <family val="2"/>
        <charset val="1"/>
      </rPr>
      <t xml:space="preserve">· </t>
    </r>
    <r>
      <rPr>
        <sz val="11"/>
        <color theme="1"/>
        <rFont val="Noto Sans SC"/>
        <family val="2"/>
        <charset val="134"/>
      </rPr>
      <t xml:space="preserve">屏蔽消除的跑数据（</t>
    </r>
    <r>
      <rPr>
        <sz val="11"/>
        <color theme="1"/>
        <rFont val="Calibri"/>
        <family val="2"/>
        <charset val="1"/>
      </rPr>
      <t xml:space="preserve">10,000 </t>
    </r>
    <r>
      <rPr>
        <sz val="11"/>
        <color theme="1"/>
        <rFont val="Noto Sans SC"/>
        <family val="2"/>
        <charset val="134"/>
      </rPr>
      <t xml:space="preserve">局）</t>
    </r>
    <r>
      <rPr>
        <sz val="11"/>
        <color theme="1"/>
        <rFont val="Calibri"/>
        <family val="2"/>
        <charset val="1"/>
      </rPr>
      <t xml:space="preserve">RTP </t>
    </r>
    <r>
      <rPr>
        <sz val="11"/>
        <color theme="1"/>
        <rFont val="Noto Sans SC"/>
        <family val="2"/>
        <charset val="134"/>
      </rPr>
      <t xml:space="preserve">＝ </t>
    </r>
    <r>
      <rPr>
        <sz val="11"/>
        <color theme="1"/>
        <rFont val="Calibri"/>
        <family val="2"/>
        <charset val="1"/>
      </rPr>
      <t xml:space="preserve">0.5407</t>
    </r>
    <r>
      <rPr>
        <sz val="11"/>
        <color theme="1"/>
        <rFont val="Noto Sans SC"/>
        <family val="2"/>
        <charset val="134"/>
      </rPr>
      <t xml:space="preserve">、标准差 </t>
    </r>
    <r>
      <rPr>
        <sz val="11"/>
        <color theme="1"/>
        <rFont val="Calibri"/>
        <family val="2"/>
        <charset val="1"/>
      </rPr>
      <t xml:space="preserve">0.0244 —— </t>
    </r>
    <r>
      <rPr>
        <sz val="11"/>
        <color theme="1"/>
        <rFont val="Noto Sans SC"/>
        <family val="2"/>
        <charset val="134"/>
      </rPr>
      <t xml:space="preserve">与 </t>
    </r>
    <r>
      <rPr>
        <sz val="11"/>
        <color theme="1"/>
        <rFont val="Calibri"/>
        <family val="2"/>
        <charset val="1"/>
      </rPr>
      <t xml:space="preserve">Excel </t>
    </r>
    <r>
      <rPr>
        <sz val="11"/>
        <color theme="1"/>
        <rFont val="Noto Sans SC"/>
        <family val="2"/>
        <charset val="134"/>
      </rPr>
      <t xml:space="preserve">结果接近，验证模拟逻辑与 </t>
    </r>
    <r>
      <rPr>
        <sz val="11"/>
        <color theme="1"/>
        <rFont val="Calibri"/>
        <family val="2"/>
        <charset val="1"/>
      </rPr>
      <t xml:space="preserve">Excel </t>
    </r>
    <r>
      <rPr>
        <sz val="11"/>
        <color theme="1"/>
        <rFont val="Noto Sans SC"/>
        <family val="2"/>
        <charset val="134"/>
      </rPr>
      <t xml:space="preserve">一致；</t>
    </r>
  </si>
  <si>
    <r>
      <rPr>
        <sz val="11"/>
        <color theme="1"/>
        <rFont val="Calibri"/>
        <family val="2"/>
        <charset val="1"/>
      </rPr>
      <t xml:space="preserve">· </t>
    </r>
    <r>
      <rPr>
        <sz val="11"/>
        <color theme="1"/>
        <rFont val="Noto Sans SC"/>
        <family val="2"/>
        <charset val="134"/>
      </rPr>
      <t xml:space="preserve">加上 </t>
    </r>
    <r>
      <rPr>
        <sz val="11"/>
        <color theme="1"/>
        <rFont val="Calibri"/>
        <family val="2"/>
        <charset val="1"/>
      </rPr>
      <t xml:space="preserve">Tumble</t>
    </r>
    <r>
      <rPr>
        <sz val="11"/>
        <color theme="1"/>
        <rFont val="Noto Sans SC"/>
        <family val="2"/>
        <charset val="134"/>
      </rPr>
      <t xml:space="preserve">（消除掉落）后，</t>
    </r>
    <r>
      <rPr>
        <sz val="11"/>
        <color theme="1"/>
        <rFont val="Calibri"/>
        <family val="2"/>
        <charset val="1"/>
      </rPr>
      <t xml:space="preserve">RTP </t>
    </r>
    <r>
      <rPr>
        <sz val="11"/>
        <color theme="1"/>
        <rFont val="Noto Sans SC"/>
        <family val="2"/>
        <charset val="134"/>
      </rPr>
      <t xml:space="preserve">约在 </t>
    </r>
    <r>
      <rPr>
        <sz val="11"/>
        <color theme="1"/>
        <rFont val="Calibri"/>
        <family val="2"/>
        <charset val="1"/>
      </rPr>
      <t xml:space="preserve">0.7138 ~ 0.7641 </t>
    </r>
    <r>
      <rPr>
        <sz val="11"/>
        <color theme="1"/>
        <rFont val="Noto Sans SC"/>
        <family val="2"/>
        <charset val="134"/>
      </rPr>
      <t xml:space="preserve">之间。</t>
    </r>
  </si>
  <si>
    <t xml:space="preserve">五、数据特征（原文）</t>
  </si>
  <si>
    <r>
      <rPr>
        <sz val="11"/>
        <color theme="1"/>
        <rFont val="Noto Sans SC"/>
        <family val="2"/>
        <charset val="134"/>
      </rPr>
      <t xml:space="preserve">一般 </t>
    </r>
    <r>
      <rPr>
        <sz val="11"/>
        <color theme="1"/>
        <rFont val="Calibri"/>
        <family val="2"/>
        <charset val="1"/>
      </rPr>
      <t xml:space="preserve">Slot </t>
    </r>
    <r>
      <rPr>
        <sz val="11"/>
        <color theme="1"/>
        <rFont val="Noto Sans SC"/>
        <family val="2"/>
        <charset val="134"/>
      </rPr>
      <t xml:space="preserve">模拟局数增大时标准差会收敛；但 </t>
    </r>
    <r>
      <rPr>
        <sz val="11"/>
        <color theme="1"/>
        <rFont val="Calibri"/>
        <family val="2"/>
        <charset val="1"/>
      </rPr>
      <t xml:space="preserve">Grid </t>
    </r>
    <r>
      <rPr>
        <sz val="11"/>
        <color theme="1"/>
        <rFont val="Noto Sans SC"/>
        <family val="2"/>
        <charset val="134"/>
      </rPr>
      <t xml:space="preserve">的标准差不随局数增加而下降，而是稳定在 </t>
    </r>
    <r>
      <rPr>
        <sz val="11"/>
        <color theme="1"/>
        <rFont val="Calibri"/>
        <family val="2"/>
        <charset val="1"/>
      </rPr>
      <t xml:space="preserve">2%~3% —— Grid </t>
    </r>
    <r>
      <rPr>
        <sz val="11"/>
        <color theme="1"/>
        <rFont val="Noto Sans SC"/>
        <family val="2"/>
        <charset val="134"/>
      </rPr>
      <t xml:space="preserve">的波动性远大于其他玩法。</t>
    </r>
  </si>
  <si>
    <r>
      <rPr>
        <sz val="11"/>
        <color theme="1"/>
        <rFont val="Noto Sans SC"/>
        <family val="2"/>
        <charset val="134"/>
      </rPr>
      <t xml:space="preserve">想稳定回收就不适合 </t>
    </r>
    <r>
      <rPr>
        <sz val="11"/>
        <color theme="1"/>
        <rFont val="Calibri"/>
        <family val="2"/>
        <charset val="1"/>
      </rPr>
      <t xml:space="preserve">Grid</t>
    </r>
    <r>
      <rPr>
        <sz val="11"/>
        <color theme="1"/>
        <rFont val="Noto Sans SC"/>
        <family val="2"/>
        <charset val="134"/>
      </rPr>
      <t xml:space="preserve">；想做出明显心流波动则可以考虑。本示例已是简化结果；</t>
    </r>
  </si>
  <si>
    <r>
      <rPr>
        <sz val="11"/>
        <color theme="1"/>
        <rFont val="Noto Sans SC"/>
        <family val="2"/>
        <charset val="134"/>
      </rPr>
      <t xml:space="preserve">若复用线上规则（如 </t>
    </r>
    <r>
      <rPr>
        <sz val="11"/>
        <color theme="1"/>
        <rFont val="Calibri"/>
        <family val="2"/>
        <charset val="1"/>
      </rPr>
      <t xml:space="preserve">Gates of Olympus</t>
    </r>
    <r>
      <rPr>
        <sz val="11"/>
        <color theme="1"/>
        <rFont val="Noto Sans SC"/>
        <family val="2"/>
        <charset val="134"/>
      </rPr>
      <t xml:space="preserve">、</t>
    </r>
    <r>
      <rPr>
        <sz val="11"/>
        <color theme="1"/>
        <rFont val="Calibri"/>
        <family val="2"/>
        <charset val="1"/>
      </rPr>
      <t xml:space="preserve">Sweet Bonanza</t>
    </r>
    <r>
      <rPr>
        <sz val="11"/>
        <color theme="1"/>
        <rFont val="Noto Sans SC"/>
        <family val="2"/>
        <charset val="134"/>
      </rPr>
      <t xml:space="preserve">），标准差会更大。</t>
    </r>
  </si>
  <si>
    <t xml:space="preserve">六、抓取说明</t>
  </si>
  <si>
    <r>
      <rPr>
        <sz val="11"/>
        <color theme="1"/>
        <rFont val="Noto Sans SC"/>
        <family val="2"/>
        <charset val="134"/>
      </rPr>
      <t xml:space="preserve">正文与配图均取自本机离线保存的网页原件；本篇配图已按篇归档（</t>
    </r>
    <r>
      <rPr>
        <sz val="11"/>
        <color theme="1"/>
        <rFont val="Calibri"/>
        <family val="2"/>
        <charset val="1"/>
      </rPr>
      <t xml:space="preserve">images/slots/</t>
    </r>
    <r>
      <rPr>
        <sz val="11"/>
        <color theme="1"/>
        <rFont val="Noto Sans SC"/>
        <family val="2"/>
        <charset val="134"/>
      </rPr>
      <t xml:space="preserve">），说明页列有配图清单，本页签正文与原文逐行一致。</t>
    </r>
  </si>
  <si>
    <r>
      <rPr>
        <sz val="11"/>
        <color theme="1"/>
        <rFont val="Noto Sans SC"/>
        <family val="2"/>
        <charset val="134"/>
      </rPr>
      <t xml:space="preserve">配表为依据原文方法</t>
    </r>
    <r>
      <rPr>
        <sz val="11"/>
        <color theme="1"/>
        <rFont val="Calibri"/>
        <family val="2"/>
        <charset val="1"/>
      </rPr>
      <t xml:space="preserve">/</t>
    </r>
    <r>
      <rPr>
        <sz val="11"/>
        <color theme="1"/>
        <rFont val="Noto Sans SC"/>
        <family val="2"/>
        <charset val="134"/>
      </rPr>
      <t xml:space="preserve">示例搭成的可改参数表（蓝字）：原文给出数值与规则的部分已逐格转录，并在配表内的「自检」区与原文数值对照；原文未给数值的部分为可替换的示例配置。</t>
    </r>
  </si>
  <si>
    <t xml:space="preserve">原文整理（全文，按原文小标题分段）</t>
  </si>
  <si>
    <r>
      <rPr>
        <sz val="11"/>
        <color theme="1"/>
        <rFont val="Noto Sans SC"/>
        <family val="2"/>
        <charset val="134"/>
      </rPr>
      <t xml:space="preserve">上篇介绍了</t>
    </r>
    <r>
      <rPr>
        <sz val="11"/>
        <color theme="1"/>
        <rFont val="Calibri"/>
        <family val="2"/>
        <charset val="1"/>
      </rPr>
      <t xml:space="preserve">Grid Slot</t>
    </r>
    <r>
      <rPr>
        <sz val="11"/>
        <color theme="1"/>
        <rFont val="Noto Sans SC"/>
        <family val="2"/>
        <charset val="134"/>
      </rPr>
      <t xml:space="preserve">的游戏机制和结算方法，也简要区分了</t>
    </r>
    <r>
      <rPr>
        <sz val="11"/>
        <color theme="1"/>
        <rFont val="Calibri"/>
        <family val="2"/>
        <charset val="1"/>
      </rPr>
      <t xml:space="preserve">Grid</t>
    </r>
    <r>
      <rPr>
        <sz val="11"/>
        <color theme="1"/>
        <rFont val="Noto Sans SC"/>
        <family val="2"/>
        <charset val="134"/>
      </rPr>
      <t xml:space="preserve">和</t>
    </r>
    <r>
      <rPr>
        <sz val="11"/>
        <color theme="1"/>
        <rFont val="Calibri"/>
        <family val="2"/>
        <charset val="1"/>
      </rPr>
      <t xml:space="preserve">Cluster</t>
    </r>
    <r>
      <rPr>
        <sz val="11"/>
        <color theme="1"/>
        <rFont val="Noto Sans SC"/>
        <family val="2"/>
        <charset val="134"/>
      </rPr>
      <t xml:space="preserve">玩法之间的异同</t>
    </r>
  </si>
  <si>
    <r>
      <rPr>
        <sz val="11"/>
        <color theme="1"/>
        <rFont val="Noto Sans SC"/>
        <family val="2"/>
        <charset val="134"/>
      </rPr>
      <t xml:space="preserve">如果对</t>
    </r>
    <r>
      <rPr>
        <sz val="11"/>
        <color theme="1"/>
        <rFont val="Calibri"/>
        <family val="2"/>
        <charset val="1"/>
      </rPr>
      <t xml:space="preserve">Grid</t>
    </r>
    <r>
      <rPr>
        <sz val="11"/>
        <color theme="1"/>
        <rFont val="Noto Sans SC"/>
        <family val="2"/>
        <charset val="134"/>
      </rPr>
      <t xml:space="preserve">玩法是什么还不是很了解的话，可以点击下方链接查看玩法基础介绍</t>
    </r>
  </si>
  <si>
    <r>
      <rPr>
        <sz val="11"/>
        <color theme="1"/>
        <rFont val="Noto Sans SC"/>
        <family val="2"/>
        <charset val="134"/>
      </rPr>
      <t xml:space="preserve">［内链卡片封面］</t>
    </r>
    <r>
      <rPr>
        <sz val="11"/>
        <color theme="1"/>
        <rFont val="Calibri"/>
        <family val="2"/>
        <charset val="1"/>
      </rPr>
      <t xml:space="preserve">639548656-01.png</t>
    </r>
  </si>
  <si>
    <r>
      <rPr>
        <sz val="11"/>
        <color theme="1"/>
        <rFont val="Noto Sans SC"/>
        <family val="2"/>
        <charset val="134"/>
      </rPr>
      <t xml:space="preserve">［原文内链卡片］《</t>
    </r>
    <r>
      <rPr>
        <sz val="11"/>
        <color theme="1"/>
        <rFont val="Calibri"/>
        <family val="2"/>
        <charset val="1"/>
      </rPr>
      <t xml:space="preserve">Slots</t>
    </r>
    <r>
      <rPr>
        <sz val="11"/>
        <color theme="1"/>
        <rFont val="Noto Sans SC"/>
        <family val="2"/>
        <charset val="134"/>
      </rPr>
      <t xml:space="preserve">基础篇——</t>
    </r>
    <r>
      <rPr>
        <sz val="11"/>
        <color theme="1"/>
        <rFont val="Calibri"/>
        <family val="2"/>
        <charset val="1"/>
      </rPr>
      <t xml:space="preserve">Grid</t>
    </r>
    <r>
      <rPr>
        <sz val="11"/>
        <color theme="1"/>
        <rFont val="Noto Sans SC"/>
        <family val="2"/>
        <charset val="134"/>
      </rPr>
      <t xml:space="preserve">》（</t>
    </r>
    <r>
      <rPr>
        <sz val="11"/>
        <color theme="1"/>
        <rFont val="Calibri"/>
        <family val="2"/>
        <charset val="1"/>
      </rPr>
      <t xml:space="preserve">6 </t>
    </r>
    <r>
      <rPr>
        <sz val="11"/>
        <color theme="1"/>
        <rFont val="Noto Sans SC"/>
        <family val="2"/>
        <charset val="134"/>
      </rPr>
      <t xml:space="preserve">赞同 </t>
    </r>
    <r>
      <rPr>
        <sz val="11"/>
        <color theme="1"/>
        <rFont val="Calibri"/>
        <family val="2"/>
        <charset val="1"/>
      </rPr>
      <t xml:space="preserve">· 7 </t>
    </r>
    <r>
      <rPr>
        <sz val="11"/>
        <color theme="1"/>
        <rFont val="Noto Sans SC"/>
        <family val="2"/>
        <charset val="134"/>
      </rPr>
      <t xml:space="preserve">评论）</t>
    </r>
  </si>
  <si>
    <r>
      <rPr>
        <sz val="11"/>
        <color theme="1"/>
        <rFont val="Noto Sans SC"/>
        <family val="2"/>
        <charset val="134"/>
      </rPr>
      <t xml:space="preserve">本篇讲延续上篇的内容，介绍</t>
    </r>
    <r>
      <rPr>
        <sz val="11"/>
        <color theme="1"/>
        <rFont val="Calibri"/>
        <family val="2"/>
        <charset val="1"/>
      </rPr>
      <t xml:space="preserve">Grid Slot</t>
    </r>
    <r>
      <rPr>
        <sz val="11"/>
        <color theme="1"/>
        <rFont val="Noto Sans SC"/>
        <family val="2"/>
        <charset val="134"/>
      </rPr>
      <t xml:space="preserve">的数值模型应当如何搭建</t>
    </r>
  </si>
  <si>
    <t xml:space="preserve">示例简述</t>
  </si>
  <si>
    <r>
      <rPr>
        <sz val="11"/>
        <color theme="1"/>
        <rFont val="Noto Sans SC"/>
        <family val="2"/>
        <charset val="134"/>
      </rPr>
      <t xml:space="preserve">卷轴尺寸：</t>
    </r>
    <r>
      <rPr>
        <sz val="11"/>
        <color theme="1"/>
        <rFont val="Calibri"/>
        <family val="2"/>
        <charset val="1"/>
      </rPr>
      <t xml:space="preserve">5 * 6</t>
    </r>
  </si>
  <si>
    <t xml:space="preserve">图标类型：</t>
  </si>
  <si>
    <r>
      <rPr>
        <sz val="11"/>
        <color theme="1"/>
        <rFont val="Calibri"/>
        <family val="2"/>
        <charset val="1"/>
      </rPr>
      <t xml:space="preserve">9</t>
    </r>
    <r>
      <rPr>
        <sz val="11"/>
        <color theme="1"/>
        <rFont val="Noto Sans SC"/>
        <family val="2"/>
        <charset val="134"/>
      </rPr>
      <t xml:space="preserve">个标准图标：图标</t>
    </r>
    <r>
      <rPr>
        <sz val="11"/>
        <color theme="1"/>
        <rFont val="Calibri"/>
        <family val="2"/>
        <charset val="1"/>
      </rPr>
      <t xml:space="preserve">1~9</t>
    </r>
  </si>
  <si>
    <r>
      <rPr>
        <sz val="11"/>
        <color theme="1"/>
        <rFont val="Calibri"/>
        <family val="2"/>
        <charset val="1"/>
      </rPr>
      <t xml:space="preserve">2</t>
    </r>
    <r>
      <rPr>
        <sz val="11"/>
        <color theme="1"/>
        <rFont val="Noto Sans SC"/>
        <family val="2"/>
        <charset val="134"/>
      </rPr>
      <t xml:space="preserve">个特殊图标：</t>
    </r>
    <r>
      <rPr>
        <sz val="11"/>
        <color theme="1"/>
        <rFont val="Calibri"/>
        <family val="2"/>
        <charset val="1"/>
      </rPr>
      <t xml:space="preserve">Scatter</t>
    </r>
    <r>
      <rPr>
        <sz val="11"/>
        <color theme="1"/>
        <rFont val="Noto Sans SC"/>
        <family val="2"/>
        <charset val="134"/>
      </rPr>
      <t xml:space="preserve">、</t>
    </r>
    <r>
      <rPr>
        <sz val="11"/>
        <color theme="1"/>
        <rFont val="Calibri"/>
        <family val="2"/>
        <charset val="1"/>
      </rPr>
      <t xml:space="preserve">Multiplier</t>
    </r>
  </si>
  <si>
    <r>
      <rPr>
        <sz val="11"/>
        <color theme="1"/>
        <rFont val="Noto Sans SC"/>
        <family val="2"/>
        <charset val="134"/>
      </rPr>
      <t xml:space="preserve">结算模式：</t>
    </r>
    <r>
      <rPr>
        <sz val="11"/>
        <color theme="1"/>
        <rFont val="Calibri"/>
        <family val="2"/>
        <charset val="1"/>
      </rPr>
      <t xml:space="preserve">Cluster Pay</t>
    </r>
  </si>
  <si>
    <t xml:space="preserve">当场上图标个数大于等于中奖组合的要求时即可中奖，无需考虑图标出现的位置</t>
  </si>
  <si>
    <r>
      <rPr>
        <sz val="11"/>
        <color theme="1"/>
        <rFont val="Noto Sans SC"/>
        <family val="2"/>
        <charset val="134"/>
      </rPr>
      <t xml:space="preserve">标准图标的中奖组合分别为</t>
    </r>
    <r>
      <rPr>
        <sz val="11"/>
        <color theme="1"/>
        <rFont val="Calibri"/>
        <family val="2"/>
        <charset val="1"/>
      </rPr>
      <t xml:space="preserve">[8,9]</t>
    </r>
    <r>
      <rPr>
        <sz val="11"/>
        <color theme="1"/>
        <rFont val="Noto Sans SC"/>
        <family val="2"/>
        <charset val="134"/>
      </rPr>
      <t xml:space="preserve">、</t>
    </r>
    <r>
      <rPr>
        <sz val="11"/>
        <color theme="1"/>
        <rFont val="Calibri"/>
        <family val="2"/>
        <charset val="1"/>
      </rPr>
      <t xml:space="preserve">[10,11]</t>
    </r>
    <r>
      <rPr>
        <sz val="11"/>
        <color theme="1"/>
        <rFont val="Noto Sans SC"/>
        <family val="2"/>
        <charset val="134"/>
      </rPr>
      <t xml:space="preserve">、</t>
    </r>
    <r>
      <rPr>
        <sz val="11"/>
        <color theme="1"/>
        <rFont val="Calibri"/>
        <family val="2"/>
        <charset val="1"/>
      </rPr>
      <t xml:space="preserve">[12,30]</t>
    </r>
    <r>
      <rPr>
        <sz val="11"/>
        <color theme="1"/>
        <rFont val="Noto Sans SC"/>
        <family val="2"/>
        <charset val="134"/>
      </rPr>
      <t xml:space="preserve">三个区间，</t>
    </r>
    <r>
      <rPr>
        <sz val="11"/>
        <color theme="1"/>
        <rFont val="Calibri"/>
        <family val="2"/>
        <charset val="1"/>
      </rPr>
      <t xml:space="preserve">Scatter</t>
    </r>
    <r>
      <rPr>
        <sz val="11"/>
        <color theme="1"/>
        <rFont val="Noto Sans SC"/>
        <family val="2"/>
        <charset val="134"/>
      </rPr>
      <t xml:space="preserve">对应的则是</t>
    </r>
    <r>
      <rPr>
        <sz val="11"/>
        <color theme="1"/>
        <rFont val="Calibri"/>
        <family val="2"/>
        <charset val="1"/>
      </rPr>
      <t xml:space="preserve">[4]</t>
    </r>
    <r>
      <rPr>
        <sz val="11"/>
        <color theme="1"/>
        <rFont val="Noto Sans SC"/>
        <family val="2"/>
        <charset val="134"/>
      </rPr>
      <t xml:space="preserve">、</t>
    </r>
    <r>
      <rPr>
        <sz val="11"/>
        <color theme="1"/>
        <rFont val="Calibri"/>
        <family val="2"/>
        <charset val="1"/>
      </rPr>
      <t xml:space="preserve">[5]</t>
    </r>
    <r>
      <rPr>
        <sz val="11"/>
        <color theme="1"/>
        <rFont val="Noto Sans SC"/>
        <family val="2"/>
        <charset val="134"/>
      </rPr>
      <t xml:space="preserve">、</t>
    </r>
    <r>
      <rPr>
        <sz val="11"/>
        <color theme="1"/>
        <rFont val="Calibri"/>
        <family val="2"/>
        <charset val="1"/>
      </rPr>
      <t xml:space="preserve">[6,30]</t>
    </r>
    <r>
      <rPr>
        <sz val="11"/>
        <color theme="1"/>
        <rFont val="Noto Sans SC"/>
        <family val="2"/>
        <charset val="134"/>
      </rPr>
      <t xml:space="preserve">三个区间</t>
    </r>
  </si>
  <si>
    <r>
      <rPr>
        <sz val="11"/>
        <color theme="1"/>
        <rFont val="Noto Sans SC"/>
        <family val="2"/>
        <charset val="134"/>
      </rPr>
      <t xml:space="preserve">特殊模式：</t>
    </r>
    <r>
      <rPr>
        <sz val="11"/>
        <color theme="1"/>
        <rFont val="Calibri"/>
        <family val="2"/>
        <charset val="1"/>
      </rPr>
      <t xml:space="preserve">Multiplier</t>
    </r>
  </si>
  <si>
    <t xml:space="preserve">当玩家中奖时同时抽取到多倍图标，则此次摇奖的最终中奖数额会乘上该图标</t>
  </si>
  <si>
    <r>
      <rPr>
        <sz val="11"/>
        <color theme="1"/>
        <rFont val="Noto Sans SC"/>
        <family val="2"/>
        <charset val="134"/>
      </rPr>
      <t xml:space="preserve">［配图 </t>
    </r>
    <r>
      <rPr>
        <sz val="11"/>
        <color theme="1"/>
        <rFont val="Calibri"/>
        <family val="2"/>
        <charset val="1"/>
      </rPr>
      <t xml:space="preserve">02</t>
    </r>
    <r>
      <rPr>
        <sz val="11"/>
        <color theme="1"/>
        <rFont val="Noto Sans SC"/>
        <family val="2"/>
        <charset val="134"/>
      </rPr>
      <t xml:space="preserve">］</t>
    </r>
    <r>
      <rPr>
        <sz val="11"/>
        <color theme="1"/>
        <rFont val="Calibri"/>
        <family val="2"/>
        <charset val="1"/>
      </rPr>
      <t xml:space="preserve">639548656-02.jpg</t>
    </r>
  </si>
  <si>
    <r>
      <rPr>
        <sz val="11"/>
        <color theme="1"/>
        <rFont val="Noto Sans SC"/>
        <family val="2"/>
        <charset val="134"/>
      </rPr>
      <t xml:space="preserve">大于等于</t>
    </r>
    <r>
      <rPr>
        <sz val="11"/>
        <color theme="1"/>
        <rFont val="Calibri"/>
        <family val="2"/>
        <charset val="1"/>
      </rPr>
      <t xml:space="preserve">8</t>
    </r>
    <r>
      <rPr>
        <sz val="11"/>
        <color theme="1"/>
        <rFont val="Noto Sans SC"/>
        <family val="2"/>
        <charset val="134"/>
      </rPr>
      <t xml:space="preserve">个图标就可以中奖</t>
    </r>
  </si>
  <si>
    <r>
      <rPr>
        <sz val="11"/>
        <color theme="1"/>
        <rFont val="Noto Sans SC"/>
        <family val="2"/>
        <charset val="134"/>
      </rPr>
      <t xml:space="preserve">需要注意的是，这里的</t>
    </r>
    <r>
      <rPr>
        <sz val="11"/>
        <color theme="1"/>
        <rFont val="Calibri"/>
        <family val="2"/>
        <charset val="1"/>
      </rPr>
      <t xml:space="preserve">Scatter</t>
    </r>
    <r>
      <rPr>
        <sz val="11"/>
        <color theme="1"/>
        <rFont val="Noto Sans SC"/>
        <family val="2"/>
        <charset val="134"/>
      </rPr>
      <t xml:space="preserve">图标不会触发免费摇</t>
    </r>
  </si>
  <si>
    <r>
      <rPr>
        <sz val="11"/>
        <color theme="1"/>
        <rFont val="Noto Sans SC"/>
        <family val="2"/>
        <charset val="134"/>
      </rPr>
      <t xml:space="preserve">免费摇的计算方法和常规</t>
    </r>
    <r>
      <rPr>
        <sz val="11"/>
        <color theme="1"/>
        <rFont val="Calibri"/>
        <family val="2"/>
        <charset val="1"/>
      </rPr>
      <t xml:space="preserve">Slot</t>
    </r>
    <r>
      <rPr>
        <sz val="11"/>
        <color theme="1"/>
        <rFont val="Noto Sans SC"/>
        <family val="2"/>
        <charset val="134"/>
      </rPr>
      <t xml:space="preserve">一致，都是使用免费摇标准图标</t>
    </r>
    <r>
      <rPr>
        <sz val="11"/>
        <color theme="1"/>
        <rFont val="Calibri"/>
        <family val="2"/>
        <charset val="1"/>
      </rPr>
      <t xml:space="preserve">RTP * </t>
    </r>
    <r>
      <rPr>
        <sz val="11"/>
        <color theme="1"/>
        <rFont val="Noto Sans SC"/>
        <family val="2"/>
        <charset val="134"/>
      </rPr>
      <t xml:space="preserve">期望免费摇次数 </t>
    </r>
    <r>
      <rPr>
        <sz val="11"/>
        <color theme="1"/>
        <rFont val="Calibri"/>
        <family val="2"/>
        <charset val="1"/>
      </rPr>
      <t xml:space="preserve">* </t>
    </r>
    <r>
      <rPr>
        <sz val="11"/>
        <color theme="1"/>
        <rFont val="Noto Sans SC"/>
        <family val="2"/>
        <charset val="134"/>
      </rPr>
      <t xml:space="preserve">期望额外免费摇次数计算即可，本篇的重点放在</t>
    </r>
    <r>
      <rPr>
        <sz val="11"/>
        <color theme="1"/>
        <rFont val="Calibri"/>
        <family val="2"/>
        <charset val="1"/>
      </rPr>
      <t xml:space="preserve">Grid</t>
    </r>
    <r>
      <rPr>
        <sz val="11"/>
        <color theme="1"/>
        <rFont val="Noto Sans SC"/>
        <family val="2"/>
        <charset val="134"/>
      </rPr>
      <t xml:space="preserve">的多倍图标这一特殊机制上</t>
    </r>
  </si>
  <si>
    <r>
      <rPr>
        <sz val="11"/>
        <color theme="1"/>
        <rFont val="Noto Sans SC"/>
        <family val="2"/>
        <charset val="134"/>
      </rPr>
      <t xml:space="preserve">不太熟悉</t>
    </r>
    <r>
      <rPr>
        <sz val="11"/>
        <color theme="1"/>
        <rFont val="Calibri"/>
        <family val="2"/>
        <charset val="1"/>
      </rPr>
      <t xml:space="preserve">Scatter</t>
    </r>
    <r>
      <rPr>
        <sz val="11"/>
        <color theme="1"/>
        <rFont val="Noto Sans SC"/>
        <family val="2"/>
        <charset val="134"/>
      </rPr>
      <t xml:space="preserve">触发免费摇的话，可以点击下方链接查看免费摇的</t>
    </r>
    <r>
      <rPr>
        <sz val="11"/>
        <color theme="1"/>
        <rFont val="Calibri"/>
        <family val="2"/>
        <charset val="1"/>
      </rPr>
      <t xml:space="preserve">RTP</t>
    </r>
    <r>
      <rPr>
        <sz val="11"/>
        <color theme="1"/>
        <rFont val="Noto Sans SC"/>
        <family val="2"/>
        <charset val="134"/>
      </rPr>
      <t xml:space="preserve">计算方法</t>
    </r>
  </si>
  <si>
    <r>
      <rPr>
        <sz val="11"/>
        <color theme="1"/>
        <rFont val="Calibri"/>
        <family val="2"/>
        <charset val="1"/>
      </rPr>
      <t xml:space="preserve">Slots</t>
    </r>
    <r>
      <rPr>
        <sz val="11"/>
        <color theme="1"/>
        <rFont val="Noto Sans SC"/>
        <family val="2"/>
        <charset val="134"/>
      </rPr>
      <t xml:space="preserve">数值篇——</t>
    </r>
    <r>
      <rPr>
        <sz val="11"/>
        <color theme="1"/>
        <rFont val="Calibri"/>
        <family val="2"/>
        <charset val="1"/>
      </rPr>
      <t xml:space="preserve">Scatter(1)</t>
    </r>
  </si>
  <si>
    <r>
      <rPr>
        <sz val="11"/>
        <color theme="1"/>
        <rFont val="Calibri"/>
        <family val="2"/>
        <charset val="1"/>
      </rPr>
      <t xml:space="preserve">Slots</t>
    </r>
    <r>
      <rPr>
        <sz val="11"/>
        <color theme="1"/>
        <rFont val="Noto Sans SC"/>
        <family val="2"/>
        <charset val="134"/>
      </rPr>
      <t xml:space="preserve">数值篇——</t>
    </r>
    <r>
      <rPr>
        <sz val="11"/>
        <color theme="1"/>
        <rFont val="Calibri"/>
        <family val="2"/>
        <charset val="1"/>
      </rPr>
      <t xml:space="preserve">Scatter(2)</t>
    </r>
  </si>
  <si>
    <r>
      <rPr>
        <sz val="11"/>
        <color theme="1"/>
        <rFont val="Calibri"/>
        <family val="2"/>
        <charset val="1"/>
      </rPr>
      <t xml:space="preserve">Slots</t>
    </r>
    <r>
      <rPr>
        <sz val="11"/>
        <color theme="1"/>
        <rFont val="Noto Sans SC"/>
        <family val="2"/>
        <charset val="134"/>
      </rPr>
      <t xml:space="preserve">数值篇——</t>
    </r>
    <r>
      <rPr>
        <sz val="11"/>
        <color theme="1"/>
        <rFont val="Calibri"/>
        <family val="2"/>
        <charset val="1"/>
      </rPr>
      <t xml:space="preserve">Scatter(3)</t>
    </r>
  </si>
  <si>
    <r>
      <rPr>
        <sz val="11"/>
        <color theme="1"/>
        <rFont val="Calibri"/>
        <family val="2"/>
        <charset val="1"/>
      </rPr>
      <t xml:space="preserve">Slots</t>
    </r>
    <r>
      <rPr>
        <sz val="11"/>
        <color theme="1"/>
        <rFont val="Noto Sans SC"/>
        <family val="2"/>
        <charset val="134"/>
      </rPr>
      <t xml:space="preserve">数值篇——</t>
    </r>
    <r>
      <rPr>
        <sz val="11"/>
        <color theme="1"/>
        <rFont val="Calibri"/>
        <family val="2"/>
        <charset val="1"/>
      </rPr>
      <t xml:space="preserve">Scatter(4)</t>
    </r>
  </si>
  <si>
    <t xml:space="preserve">计算步骤</t>
  </si>
  <si>
    <t xml:space="preserve">第一步：设置图标出现几率</t>
  </si>
  <si>
    <r>
      <rPr>
        <sz val="11"/>
        <color theme="1"/>
        <rFont val="Calibri"/>
        <family val="2"/>
        <charset val="1"/>
      </rPr>
      <t xml:space="preserve">Grid Slot</t>
    </r>
    <r>
      <rPr>
        <sz val="11"/>
        <color theme="1"/>
        <rFont val="Noto Sans SC"/>
        <family val="2"/>
        <charset val="134"/>
      </rPr>
      <t xml:space="preserve">从设置图标出现概率开始就已经和常规的</t>
    </r>
    <r>
      <rPr>
        <sz val="11"/>
        <color theme="1"/>
        <rFont val="Calibri"/>
        <family val="2"/>
        <charset val="1"/>
      </rPr>
      <t xml:space="preserve">3*5 Slot</t>
    </r>
    <r>
      <rPr>
        <sz val="11"/>
        <color theme="1"/>
        <rFont val="Noto Sans SC"/>
        <family val="2"/>
        <charset val="134"/>
      </rPr>
      <t xml:space="preserve">存在一些差异</t>
    </r>
  </si>
  <si>
    <r>
      <rPr>
        <sz val="11"/>
        <color theme="1"/>
        <rFont val="Noto Sans SC"/>
        <family val="2"/>
        <charset val="134"/>
      </rPr>
      <t xml:space="preserve">因为</t>
    </r>
    <r>
      <rPr>
        <sz val="11"/>
        <color theme="1"/>
        <rFont val="Calibri"/>
        <family val="2"/>
        <charset val="1"/>
      </rPr>
      <t xml:space="preserve">Grid</t>
    </r>
    <r>
      <rPr>
        <sz val="11"/>
        <color theme="1"/>
        <rFont val="Noto Sans SC"/>
        <family val="2"/>
        <charset val="134"/>
      </rPr>
      <t xml:space="preserve">的图标出现位置和图标的结算没有直接关系，所以一般会直接只设置一套图标生成几率适用于卷轴上的所有位置</t>
    </r>
  </si>
  <si>
    <r>
      <rPr>
        <sz val="11"/>
        <color theme="1"/>
        <rFont val="Noto Sans SC"/>
        <family val="2"/>
        <charset val="134"/>
      </rPr>
      <t xml:space="preserve">［配图 </t>
    </r>
    <r>
      <rPr>
        <sz val="11"/>
        <color theme="1"/>
        <rFont val="Calibri"/>
        <family val="2"/>
        <charset val="1"/>
      </rPr>
      <t xml:space="preserve">03</t>
    </r>
    <r>
      <rPr>
        <sz val="11"/>
        <color theme="1"/>
        <rFont val="Noto Sans SC"/>
        <family val="2"/>
        <charset val="134"/>
      </rPr>
      <t xml:space="preserve">］</t>
    </r>
    <r>
      <rPr>
        <sz val="11"/>
        <color theme="1"/>
        <rFont val="Calibri"/>
        <family val="2"/>
        <charset val="1"/>
      </rPr>
      <t xml:space="preserve">639548656-03.jpg</t>
    </r>
  </si>
  <si>
    <t xml:space="preserve">使用按列设置图标出现几率的方法也可以，只是后续计算图标个数期望时需要考虑各列的情况，相对要麻烦一些</t>
  </si>
  <si>
    <t xml:space="preserve">第二步：设置多倍图标倍数几率</t>
  </si>
  <si>
    <t xml:space="preserve">多种不同倍数的多倍图标在抽取图标时，都被视为多倍图标</t>
  </si>
  <si>
    <t xml:space="preserve">其具体的倍数是在抽取到多倍图标之后再依据多倍图标的倍数出现几率进行抽取的</t>
  </si>
  <si>
    <t xml:space="preserve">这一步，就是设置各倍数出现的几率</t>
  </si>
  <si>
    <r>
      <rPr>
        <sz val="11"/>
        <color theme="1"/>
        <rFont val="Noto Sans SC"/>
        <family val="2"/>
        <charset val="134"/>
      </rPr>
      <t xml:space="preserve">［配图 </t>
    </r>
    <r>
      <rPr>
        <sz val="11"/>
        <color theme="1"/>
        <rFont val="Calibri"/>
        <family val="2"/>
        <charset val="1"/>
      </rPr>
      <t xml:space="preserve">04</t>
    </r>
    <r>
      <rPr>
        <sz val="11"/>
        <color theme="1"/>
        <rFont val="Noto Sans SC"/>
        <family val="2"/>
        <charset val="134"/>
      </rPr>
      <t xml:space="preserve">］</t>
    </r>
    <r>
      <rPr>
        <sz val="11"/>
        <color theme="1"/>
        <rFont val="Calibri"/>
        <family val="2"/>
        <charset val="1"/>
      </rPr>
      <t xml:space="preserve">639548656-04.jpg</t>
    </r>
  </si>
  <si>
    <t xml:space="preserve">这里使用的是一个离散型的变量作为多倍图标的随机倍数</t>
  </si>
  <si>
    <t xml:space="preserve">也可以使用连续型作为多倍图标的倍数，在数值处理上将出现几率相等的一段求中位数即可</t>
  </si>
  <si>
    <t xml:space="preserve">第三步：列举中奖组合和赔付倍数</t>
  </si>
  <si>
    <r>
      <rPr>
        <sz val="11"/>
        <color theme="1"/>
        <rFont val="Noto Sans SC"/>
        <family val="2"/>
        <charset val="134"/>
      </rPr>
      <t xml:space="preserve">如上文描述的，</t>
    </r>
    <r>
      <rPr>
        <sz val="11"/>
        <color theme="1"/>
        <rFont val="Calibri"/>
        <family val="2"/>
        <charset val="1"/>
      </rPr>
      <t xml:space="preserve">Grid</t>
    </r>
    <r>
      <rPr>
        <sz val="11"/>
        <color theme="1"/>
        <rFont val="Noto Sans SC"/>
        <family val="2"/>
        <charset val="134"/>
      </rPr>
      <t xml:space="preserve">的中奖组合并不是｛</t>
    </r>
    <r>
      <rPr>
        <sz val="11"/>
        <color theme="1"/>
        <rFont val="Calibri"/>
        <family val="2"/>
        <charset val="1"/>
      </rPr>
      <t xml:space="preserve">A,A,A,A,#A</t>
    </r>
    <r>
      <rPr>
        <sz val="11"/>
        <color theme="1"/>
        <rFont val="Noto Sans SC"/>
        <family val="2"/>
        <charset val="134"/>
      </rPr>
      <t xml:space="preserve">｝这样固定的组合，而是代表卷轴上图标个数的区间</t>
    </r>
  </si>
  <si>
    <t xml:space="preserve">本示例使用的中奖组合如上文所示，这一步配置合适的赔付倍数即可</t>
  </si>
  <si>
    <r>
      <rPr>
        <sz val="11"/>
        <color theme="1"/>
        <rFont val="Noto Sans SC"/>
        <family val="2"/>
        <charset val="134"/>
      </rPr>
      <t xml:space="preserve">［配图 </t>
    </r>
    <r>
      <rPr>
        <sz val="11"/>
        <color theme="1"/>
        <rFont val="Calibri"/>
        <family val="2"/>
        <charset val="1"/>
      </rPr>
      <t xml:space="preserve">05</t>
    </r>
    <r>
      <rPr>
        <sz val="11"/>
        <color theme="1"/>
        <rFont val="Noto Sans SC"/>
        <family val="2"/>
        <charset val="134"/>
      </rPr>
      <t xml:space="preserve">］</t>
    </r>
    <r>
      <rPr>
        <sz val="11"/>
        <color theme="1"/>
        <rFont val="Calibri"/>
        <family val="2"/>
        <charset val="1"/>
      </rPr>
      <t xml:space="preserve">639548656-05.jpg</t>
    </r>
  </si>
  <si>
    <r>
      <rPr>
        <sz val="11"/>
        <color theme="1"/>
        <rFont val="Noto Sans SC"/>
        <family val="2"/>
        <charset val="134"/>
      </rPr>
      <t xml:space="preserve">第四步：计算</t>
    </r>
    <r>
      <rPr>
        <sz val="11"/>
        <color theme="1"/>
        <rFont val="Calibri"/>
        <family val="2"/>
        <charset val="1"/>
      </rPr>
      <t xml:space="preserve">RTP</t>
    </r>
  </si>
  <si>
    <r>
      <rPr>
        <sz val="11"/>
        <color theme="1"/>
        <rFont val="Noto Sans SC"/>
        <family val="2"/>
        <charset val="134"/>
      </rPr>
      <t xml:space="preserve">按照上篇中介绍的方法，含有多倍图标的</t>
    </r>
    <r>
      <rPr>
        <sz val="11"/>
        <color theme="1"/>
        <rFont val="Calibri"/>
        <family val="2"/>
        <charset val="1"/>
      </rPr>
      <t xml:space="preserve">Grid</t>
    </r>
    <r>
      <rPr>
        <sz val="11"/>
        <color theme="1"/>
        <rFont val="Noto Sans SC"/>
        <family val="2"/>
        <charset val="134"/>
      </rPr>
      <t xml:space="preserve">在计算</t>
    </r>
    <r>
      <rPr>
        <sz val="11"/>
        <color theme="1"/>
        <rFont val="Calibri"/>
        <family val="2"/>
        <charset val="1"/>
      </rPr>
      <t xml:space="preserve">RTP</t>
    </r>
    <r>
      <rPr>
        <sz val="11"/>
        <color theme="1"/>
        <rFont val="Noto Sans SC"/>
        <family val="2"/>
        <charset val="134"/>
      </rPr>
      <t xml:space="preserve">时需要分情况讨论</t>
    </r>
  </si>
  <si>
    <t xml:space="preserve">主要区分的就是出现的多倍图标个数不同时，抽取标准图标的空间和多倍图标倍数期望存在的差异</t>
  </si>
  <si>
    <r>
      <rPr>
        <sz val="11"/>
        <color theme="1"/>
        <rFont val="Calibri"/>
        <family val="2"/>
        <charset val="1"/>
      </rPr>
      <t xml:space="preserve">5 * 6 = 30</t>
    </r>
    <r>
      <rPr>
        <sz val="11"/>
        <color theme="1"/>
        <rFont val="Noto Sans SC"/>
        <family val="2"/>
        <charset val="134"/>
      </rPr>
      <t xml:space="preserve">个卷轴位置上，可能出现</t>
    </r>
    <r>
      <rPr>
        <sz val="11"/>
        <color theme="1"/>
        <rFont val="Calibri"/>
        <family val="2"/>
        <charset val="1"/>
      </rPr>
      <t xml:space="preserve">0~30</t>
    </r>
    <r>
      <rPr>
        <sz val="11"/>
        <color theme="1"/>
        <rFont val="Noto Sans SC"/>
        <family val="2"/>
        <charset val="134"/>
      </rPr>
      <t xml:space="preserve">个多倍图标，将这</t>
    </r>
    <r>
      <rPr>
        <sz val="11"/>
        <color theme="1"/>
        <rFont val="Calibri"/>
        <family val="2"/>
        <charset val="1"/>
      </rPr>
      <t xml:space="preserve">31</t>
    </r>
    <r>
      <rPr>
        <sz val="11"/>
        <color theme="1"/>
        <rFont val="Noto Sans SC"/>
        <family val="2"/>
        <charset val="134"/>
      </rPr>
      <t xml:space="preserve">中情况列举好之后，分别计算</t>
    </r>
    <r>
      <rPr>
        <sz val="11"/>
        <color theme="1"/>
        <rFont val="Calibri"/>
        <family val="2"/>
        <charset val="1"/>
      </rPr>
      <t xml:space="preserve">RTP</t>
    </r>
    <r>
      <rPr>
        <sz val="11"/>
        <color theme="1"/>
        <rFont val="Noto Sans SC"/>
        <family val="2"/>
        <charset val="134"/>
      </rPr>
      <t xml:space="preserve">，再将最终结果依据各情况的出现几率进行加权求和，即可得到该示例的</t>
    </r>
    <r>
      <rPr>
        <sz val="11"/>
        <color theme="1"/>
        <rFont val="Calibri"/>
        <family val="2"/>
        <charset val="1"/>
      </rPr>
      <t xml:space="preserve">RTP</t>
    </r>
  </si>
  <si>
    <r>
      <rPr>
        <sz val="11"/>
        <color theme="1"/>
        <rFont val="Noto Sans SC"/>
        <family val="2"/>
        <charset val="134"/>
      </rPr>
      <t xml:space="preserve">［配图 </t>
    </r>
    <r>
      <rPr>
        <sz val="11"/>
        <color theme="1"/>
        <rFont val="Calibri"/>
        <family val="2"/>
        <charset val="1"/>
      </rPr>
      <t xml:space="preserve">06</t>
    </r>
    <r>
      <rPr>
        <sz val="11"/>
        <color theme="1"/>
        <rFont val="Noto Sans SC"/>
        <family val="2"/>
        <charset val="134"/>
      </rPr>
      <t xml:space="preserve">］</t>
    </r>
    <r>
      <rPr>
        <sz val="11"/>
        <color theme="1"/>
        <rFont val="Calibri"/>
        <family val="2"/>
        <charset val="1"/>
      </rPr>
      <t xml:space="preserve">639548656-06.jpg</t>
    </r>
  </si>
  <si>
    <r>
      <rPr>
        <sz val="11"/>
        <color theme="1"/>
        <rFont val="Noto Sans SC"/>
        <family val="2"/>
        <charset val="134"/>
      </rPr>
      <t xml:space="preserve">以上就是该</t>
    </r>
    <r>
      <rPr>
        <sz val="11"/>
        <color theme="1"/>
        <rFont val="Calibri"/>
        <family val="2"/>
        <charset val="1"/>
      </rPr>
      <t xml:space="preserve">Grid Slot</t>
    </r>
    <r>
      <rPr>
        <sz val="11"/>
        <color theme="1"/>
        <rFont val="Noto Sans SC"/>
        <family val="2"/>
        <charset val="134"/>
      </rPr>
      <t xml:space="preserve">在</t>
    </r>
    <r>
      <rPr>
        <sz val="11"/>
        <color theme="1"/>
        <rFont val="Calibri"/>
        <family val="2"/>
        <charset val="1"/>
      </rPr>
      <t xml:space="preserve">Excel</t>
    </r>
    <r>
      <rPr>
        <sz val="11"/>
        <color theme="1"/>
        <rFont val="Noto Sans SC"/>
        <family val="2"/>
        <charset val="134"/>
      </rPr>
      <t xml:space="preserve">中的数值模型搭建全步骤</t>
    </r>
  </si>
  <si>
    <r>
      <rPr>
        <sz val="11"/>
        <color theme="1"/>
        <rFont val="Noto Sans SC"/>
        <family val="2"/>
        <charset val="134"/>
      </rPr>
      <t xml:space="preserve">第五步：添加</t>
    </r>
    <r>
      <rPr>
        <sz val="11"/>
        <color theme="1"/>
        <rFont val="Calibri"/>
        <family val="2"/>
        <charset val="1"/>
      </rPr>
      <t xml:space="preserve">Tumble Feature/Cascading</t>
    </r>
  </si>
  <si>
    <r>
      <rPr>
        <sz val="11"/>
        <color theme="1"/>
        <rFont val="Noto Sans SC"/>
        <family val="2"/>
        <charset val="134"/>
      </rPr>
      <t xml:space="preserve">这里需要注意的是，使用</t>
    </r>
    <r>
      <rPr>
        <sz val="11"/>
        <color theme="1"/>
        <rFont val="Calibri"/>
        <family val="2"/>
        <charset val="1"/>
      </rPr>
      <t xml:space="preserve">Excel</t>
    </r>
    <r>
      <rPr>
        <sz val="11"/>
        <color theme="1"/>
        <rFont val="Noto Sans SC"/>
        <family val="2"/>
        <charset val="134"/>
      </rPr>
      <t xml:space="preserve">计算得出的</t>
    </r>
    <r>
      <rPr>
        <sz val="11"/>
        <color theme="1"/>
        <rFont val="Calibri"/>
        <family val="2"/>
        <charset val="1"/>
      </rPr>
      <t xml:space="preserve">RTP</t>
    </r>
    <r>
      <rPr>
        <sz val="11"/>
        <color theme="1"/>
        <rFont val="Noto Sans SC"/>
        <family val="2"/>
        <charset val="134"/>
      </rPr>
      <t xml:space="preserve">是没有考虑图标中奖后消除的</t>
    </r>
    <r>
      <rPr>
        <sz val="11"/>
        <color theme="1"/>
        <rFont val="Calibri"/>
        <family val="2"/>
        <charset val="1"/>
      </rPr>
      <t xml:space="preserve">RTP</t>
    </r>
    <r>
      <rPr>
        <sz val="11"/>
        <color theme="1"/>
        <rFont val="Noto Sans SC"/>
        <family val="2"/>
        <charset val="134"/>
      </rPr>
      <t xml:space="preserve">，因此还需要借助跑数据工具的帮助，结算添加消除特性之后的</t>
    </r>
    <r>
      <rPr>
        <sz val="11"/>
        <color theme="1"/>
        <rFont val="Calibri"/>
        <family val="2"/>
        <charset val="1"/>
      </rPr>
      <t xml:space="preserve">Slot</t>
    </r>
    <r>
      <rPr>
        <sz val="11"/>
        <color theme="1"/>
        <rFont val="Noto Sans SC"/>
        <family val="2"/>
        <charset val="134"/>
      </rPr>
      <t xml:space="preserve">的</t>
    </r>
    <r>
      <rPr>
        <sz val="11"/>
        <color theme="1"/>
        <rFont val="Calibri"/>
        <family val="2"/>
        <charset val="1"/>
      </rPr>
      <t xml:space="preserve">RTP</t>
    </r>
    <r>
      <rPr>
        <sz val="11"/>
        <color theme="1"/>
        <rFont val="Noto Sans SC"/>
        <family val="2"/>
        <charset val="134"/>
      </rPr>
      <t xml:space="preserve">水平</t>
    </r>
  </si>
  <si>
    <r>
      <rPr>
        <sz val="11"/>
        <color theme="1"/>
        <rFont val="Noto Sans SC"/>
        <family val="2"/>
        <charset val="134"/>
      </rPr>
      <t xml:space="preserve">［配图 </t>
    </r>
    <r>
      <rPr>
        <sz val="11"/>
        <color theme="1"/>
        <rFont val="Calibri"/>
        <family val="2"/>
        <charset val="1"/>
      </rPr>
      <t xml:space="preserve">07</t>
    </r>
    <r>
      <rPr>
        <sz val="11"/>
        <color theme="1"/>
        <rFont val="Noto Sans SC"/>
        <family val="2"/>
        <charset val="134"/>
      </rPr>
      <t xml:space="preserve">］</t>
    </r>
    <r>
      <rPr>
        <sz val="11"/>
        <color theme="1"/>
        <rFont val="Calibri"/>
        <family val="2"/>
        <charset val="1"/>
      </rPr>
      <t xml:space="preserve">639548656-07.jpg</t>
    </r>
  </si>
  <si>
    <r>
      <rPr>
        <sz val="11"/>
        <color theme="1"/>
        <rFont val="Noto Sans SC"/>
        <family val="2"/>
        <charset val="134"/>
      </rPr>
      <t xml:space="preserve">屏蔽消除功能，验证基础</t>
    </r>
    <r>
      <rPr>
        <sz val="11"/>
        <color theme="1"/>
        <rFont val="Calibri"/>
        <family val="2"/>
        <charset val="1"/>
      </rPr>
      <t xml:space="preserve">RTP</t>
    </r>
  </si>
  <si>
    <r>
      <rPr>
        <sz val="11"/>
        <color theme="1"/>
        <rFont val="Noto Sans SC"/>
        <family val="2"/>
        <charset val="134"/>
      </rPr>
      <t xml:space="preserve">我们先将跑数据代码中中奖消除的代码屏蔽掉，跑数据得到该示例在运行</t>
    </r>
    <r>
      <rPr>
        <sz val="11"/>
        <color theme="1"/>
        <rFont val="Calibri"/>
        <family val="2"/>
        <charset val="1"/>
      </rPr>
      <t xml:space="preserve">10,000</t>
    </r>
    <r>
      <rPr>
        <sz val="11"/>
        <color theme="1"/>
        <rFont val="Noto Sans SC"/>
        <family val="2"/>
        <charset val="134"/>
      </rPr>
      <t xml:space="preserve">局之后的</t>
    </r>
    <r>
      <rPr>
        <sz val="11"/>
        <color theme="1"/>
        <rFont val="Calibri"/>
        <family val="2"/>
        <charset val="1"/>
      </rPr>
      <t xml:space="preserve">SRP</t>
    </r>
    <r>
      <rPr>
        <sz val="11"/>
        <color theme="1"/>
        <rFont val="Noto Sans SC"/>
        <family val="2"/>
        <charset val="134"/>
      </rPr>
      <t xml:space="preserve">为</t>
    </r>
    <r>
      <rPr>
        <sz val="11"/>
        <color theme="1"/>
        <rFont val="Calibri"/>
        <family val="2"/>
        <charset val="1"/>
      </rPr>
      <t xml:space="preserve">0.5407</t>
    </r>
    <r>
      <rPr>
        <sz val="11"/>
        <color theme="1"/>
        <rFont val="Noto Sans SC"/>
        <family val="2"/>
        <charset val="134"/>
      </rPr>
      <t xml:space="preserve">，标准差为</t>
    </r>
    <r>
      <rPr>
        <sz val="11"/>
        <color theme="1"/>
        <rFont val="Calibri"/>
        <family val="2"/>
        <charset val="1"/>
      </rPr>
      <t xml:space="preserve">0.0244</t>
    </r>
    <r>
      <rPr>
        <sz val="11"/>
        <color theme="1"/>
        <rFont val="Noto Sans SC"/>
        <family val="2"/>
        <charset val="134"/>
      </rPr>
      <t xml:space="preserve">，和</t>
    </r>
    <r>
      <rPr>
        <sz val="11"/>
        <color theme="1"/>
        <rFont val="Calibri"/>
        <family val="2"/>
        <charset val="1"/>
      </rPr>
      <t xml:space="preserve">Excel</t>
    </r>
    <r>
      <rPr>
        <sz val="11"/>
        <color theme="1"/>
        <rFont val="Noto Sans SC"/>
        <family val="2"/>
        <charset val="134"/>
      </rPr>
      <t xml:space="preserve">计算得到的</t>
    </r>
    <r>
      <rPr>
        <sz val="11"/>
        <color theme="1"/>
        <rFont val="Calibri"/>
        <family val="2"/>
        <charset val="1"/>
      </rPr>
      <t xml:space="preserve">0.5455 RTP</t>
    </r>
    <r>
      <rPr>
        <sz val="11"/>
        <color theme="1"/>
        <rFont val="Noto Sans SC"/>
        <family val="2"/>
        <charset val="134"/>
      </rPr>
      <t xml:space="preserve">较为接近，能够验证当前模拟数据的逻辑和</t>
    </r>
    <r>
      <rPr>
        <sz val="11"/>
        <color theme="1"/>
        <rFont val="Calibri"/>
        <family val="2"/>
        <charset val="1"/>
      </rPr>
      <t xml:space="preserve">Excel</t>
    </r>
    <r>
      <rPr>
        <sz val="11"/>
        <color theme="1"/>
        <rFont val="Noto Sans SC"/>
        <family val="2"/>
        <charset val="134"/>
      </rPr>
      <t xml:space="preserve">的计算逻辑是一致的</t>
    </r>
  </si>
  <si>
    <r>
      <rPr>
        <sz val="11"/>
        <color theme="1"/>
        <rFont val="Noto Sans SC"/>
        <family val="2"/>
        <charset val="134"/>
      </rPr>
      <t xml:space="preserve">［配图 </t>
    </r>
    <r>
      <rPr>
        <sz val="11"/>
        <color theme="1"/>
        <rFont val="Calibri"/>
        <family val="2"/>
        <charset val="1"/>
      </rPr>
      <t xml:space="preserve">08</t>
    </r>
    <r>
      <rPr>
        <sz val="11"/>
        <color theme="1"/>
        <rFont val="Noto Sans SC"/>
        <family val="2"/>
        <charset val="134"/>
      </rPr>
      <t xml:space="preserve">］</t>
    </r>
    <r>
      <rPr>
        <sz val="11"/>
        <color theme="1"/>
        <rFont val="Calibri"/>
        <family val="2"/>
        <charset val="1"/>
      </rPr>
      <t xml:space="preserve">639548656-08.jpg</t>
    </r>
  </si>
  <si>
    <r>
      <rPr>
        <sz val="11"/>
        <color theme="1"/>
        <rFont val="Noto Sans SC"/>
        <family val="2"/>
        <charset val="134"/>
      </rPr>
      <t xml:space="preserve">在这里加上中奖后图标消除并掉落新图标的</t>
    </r>
    <r>
      <rPr>
        <sz val="11"/>
        <color theme="1"/>
        <rFont val="Calibri"/>
        <family val="2"/>
        <charset val="1"/>
      </rPr>
      <t xml:space="preserve">Tumble Feature</t>
    </r>
    <r>
      <rPr>
        <sz val="11"/>
        <color theme="1"/>
        <rFont val="Noto Sans SC"/>
        <family val="2"/>
        <charset val="134"/>
      </rPr>
      <t xml:space="preserve">之后，得到该示例的</t>
    </r>
    <r>
      <rPr>
        <sz val="11"/>
        <color theme="1"/>
        <rFont val="Calibri"/>
        <family val="2"/>
        <charset val="1"/>
      </rPr>
      <t xml:space="preserve">RTP</t>
    </r>
    <r>
      <rPr>
        <sz val="11"/>
        <color theme="1"/>
        <rFont val="Noto Sans SC"/>
        <family val="2"/>
        <charset val="134"/>
      </rPr>
      <t xml:space="preserve">大约在</t>
    </r>
    <r>
      <rPr>
        <sz val="11"/>
        <color theme="1"/>
        <rFont val="Calibri"/>
        <family val="2"/>
        <charset val="1"/>
      </rPr>
      <t xml:space="preserve">0.7138~0.7641</t>
    </r>
    <r>
      <rPr>
        <sz val="11"/>
        <color theme="1"/>
        <rFont val="Noto Sans SC"/>
        <family val="2"/>
        <charset val="134"/>
      </rPr>
      <t xml:space="preserve">之间</t>
    </r>
  </si>
  <si>
    <r>
      <rPr>
        <sz val="11"/>
        <color theme="1"/>
        <rFont val="Noto Sans SC"/>
        <family val="2"/>
        <charset val="134"/>
      </rPr>
      <t xml:space="preserve">所以可以将该</t>
    </r>
    <r>
      <rPr>
        <sz val="11"/>
        <color theme="1"/>
        <rFont val="Calibri"/>
        <family val="2"/>
        <charset val="1"/>
      </rPr>
      <t xml:space="preserve">Slot</t>
    </r>
    <r>
      <rPr>
        <sz val="11"/>
        <color theme="1"/>
        <rFont val="Noto Sans SC"/>
        <family val="2"/>
        <charset val="134"/>
      </rPr>
      <t xml:space="preserve">的</t>
    </r>
    <r>
      <rPr>
        <sz val="11"/>
        <color theme="1"/>
        <rFont val="Calibri"/>
        <family val="2"/>
        <charset val="1"/>
      </rPr>
      <t xml:space="preserve">RTP</t>
    </r>
    <r>
      <rPr>
        <sz val="11"/>
        <color theme="1"/>
        <rFont val="Noto Sans SC"/>
        <family val="2"/>
        <charset val="134"/>
      </rPr>
      <t xml:space="preserve">描述为：</t>
    </r>
  </si>
  <si>
    <r>
      <rPr>
        <sz val="11"/>
        <color theme="1"/>
        <rFont val="Noto Sans SC"/>
        <family val="2"/>
        <charset val="134"/>
      </rPr>
      <t xml:space="preserve">［配图 </t>
    </r>
    <r>
      <rPr>
        <sz val="11"/>
        <color theme="1"/>
        <rFont val="Calibri"/>
        <family val="2"/>
        <charset val="1"/>
      </rPr>
      <t xml:space="preserve">09</t>
    </r>
    <r>
      <rPr>
        <sz val="11"/>
        <color theme="1"/>
        <rFont val="Noto Sans SC"/>
        <family val="2"/>
        <charset val="134"/>
      </rPr>
      <t xml:space="preserve">］</t>
    </r>
    <r>
      <rPr>
        <sz val="11"/>
        <color theme="1"/>
        <rFont val="Calibri"/>
        <family val="2"/>
        <charset val="1"/>
      </rPr>
      <t xml:space="preserve">639548656-09.jpg</t>
    </r>
  </si>
  <si>
    <t xml:space="preserve">数据特征</t>
  </si>
  <si>
    <r>
      <rPr>
        <sz val="11"/>
        <color theme="1"/>
        <rFont val="Noto Sans SC"/>
        <family val="2"/>
        <charset val="134"/>
      </rPr>
      <t xml:space="preserve">随着投掷硬币的次数越多，正面和反面的几率都会越来越趋近</t>
    </r>
    <r>
      <rPr>
        <sz val="11"/>
        <color theme="1"/>
        <rFont val="Calibri"/>
        <family val="2"/>
        <charset val="1"/>
      </rPr>
      <t xml:space="preserve">50%</t>
    </r>
    <r>
      <rPr>
        <sz val="11"/>
        <color theme="1"/>
        <rFont val="Noto Sans SC"/>
        <family val="2"/>
        <charset val="134"/>
      </rPr>
      <t xml:space="preserve">。一般的</t>
    </r>
    <r>
      <rPr>
        <sz val="11"/>
        <color theme="1"/>
        <rFont val="Calibri"/>
        <family val="2"/>
        <charset val="1"/>
      </rPr>
      <t xml:space="preserve">Slot</t>
    </r>
    <r>
      <rPr>
        <sz val="11"/>
        <color theme="1"/>
        <rFont val="Noto Sans SC"/>
        <family val="2"/>
        <charset val="134"/>
      </rPr>
      <t xml:space="preserve">产品，当模拟局数足够增大时，方差和标准差也会逐渐变小，</t>
    </r>
    <r>
      <rPr>
        <sz val="11"/>
        <color theme="1"/>
        <rFont val="Calibri"/>
        <family val="2"/>
        <charset val="1"/>
      </rPr>
      <t xml:space="preserve">RTP</t>
    </r>
    <r>
      <rPr>
        <sz val="11"/>
        <color theme="1"/>
        <rFont val="Noto Sans SC"/>
        <family val="2"/>
        <charset val="134"/>
      </rPr>
      <t xml:space="preserve">会越来越接近计算值。但是将该示例中，增加模拟局数之后，其标准差并没有随着局数的增加而减少，而是稳定在</t>
    </r>
    <r>
      <rPr>
        <sz val="11"/>
        <color theme="1"/>
        <rFont val="Calibri"/>
        <family val="2"/>
        <charset val="1"/>
      </rPr>
      <t xml:space="preserve">2~3%</t>
    </r>
    <r>
      <rPr>
        <sz val="11"/>
        <color theme="1"/>
        <rFont val="Noto Sans SC"/>
        <family val="2"/>
        <charset val="134"/>
      </rPr>
      <t xml:space="preserve">之间</t>
    </r>
  </si>
  <si>
    <r>
      <rPr>
        <sz val="11"/>
        <color theme="1"/>
        <rFont val="Noto Sans SC"/>
        <family val="2"/>
        <charset val="134"/>
      </rPr>
      <t xml:space="preserve">这是</t>
    </r>
    <r>
      <rPr>
        <sz val="11"/>
        <color theme="1"/>
        <rFont val="Calibri"/>
        <family val="2"/>
        <charset val="1"/>
      </rPr>
      <t xml:space="preserve">Grid</t>
    </r>
    <r>
      <rPr>
        <sz val="11"/>
        <color theme="1"/>
        <rFont val="Noto Sans SC"/>
        <family val="2"/>
        <charset val="134"/>
      </rPr>
      <t xml:space="preserve">数值上的一大特征，其本身的波动性要远远大于其他类型的</t>
    </r>
    <r>
      <rPr>
        <sz val="11"/>
        <color theme="1"/>
        <rFont val="Calibri"/>
        <family val="2"/>
        <charset val="1"/>
      </rPr>
      <t xml:space="preserve">Slots</t>
    </r>
    <r>
      <rPr>
        <sz val="11"/>
        <color theme="1"/>
        <rFont val="Noto Sans SC"/>
        <family val="2"/>
        <charset val="134"/>
      </rPr>
      <t xml:space="preserve">产品</t>
    </r>
  </si>
  <si>
    <r>
      <rPr>
        <sz val="11"/>
        <color theme="1"/>
        <rFont val="Noto Sans SC"/>
        <family val="2"/>
        <charset val="134"/>
      </rPr>
      <t xml:space="preserve">［配图 </t>
    </r>
    <r>
      <rPr>
        <sz val="11"/>
        <color theme="1"/>
        <rFont val="Calibri"/>
        <family val="2"/>
        <charset val="1"/>
      </rPr>
      <t xml:space="preserve">10</t>
    </r>
    <r>
      <rPr>
        <sz val="11"/>
        <color theme="1"/>
        <rFont val="Noto Sans SC"/>
        <family val="2"/>
        <charset val="134"/>
      </rPr>
      <t xml:space="preserve">］</t>
    </r>
    <r>
      <rPr>
        <sz val="11"/>
        <color theme="1"/>
        <rFont val="Calibri"/>
        <family val="2"/>
        <charset val="1"/>
      </rPr>
      <t xml:space="preserve">639548656-10.jpg</t>
    </r>
  </si>
  <si>
    <r>
      <rPr>
        <sz val="11"/>
        <color theme="1"/>
        <rFont val="Noto Sans SC"/>
        <family val="2"/>
        <charset val="134"/>
      </rPr>
      <t xml:space="preserve">从上往下分别是</t>
    </r>
    <r>
      <rPr>
        <sz val="11"/>
        <color theme="1"/>
        <rFont val="Calibri"/>
        <family val="2"/>
        <charset val="1"/>
      </rPr>
      <t xml:space="preserve">Grids</t>
    </r>
    <r>
      <rPr>
        <sz val="11"/>
        <color theme="1"/>
        <rFont val="Noto Sans SC"/>
        <family val="2"/>
        <charset val="134"/>
      </rPr>
      <t xml:space="preserve">、</t>
    </r>
    <r>
      <rPr>
        <sz val="11"/>
        <color theme="1"/>
        <rFont val="Calibri"/>
        <family val="2"/>
        <charset val="1"/>
      </rPr>
      <t xml:space="preserve">Megaways</t>
    </r>
    <r>
      <rPr>
        <sz val="11"/>
        <color theme="1"/>
        <rFont val="Noto Sans SC"/>
        <family val="2"/>
        <charset val="134"/>
      </rPr>
      <t xml:space="preserve">、</t>
    </r>
    <r>
      <rPr>
        <sz val="11"/>
        <color theme="1"/>
        <rFont val="Calibri"/>
        <family val="2"/>
        <charset val="1"/>
      </rPr>
      <t xml:space="preserve">Lines</t>
    </r>
    <r>
      <rPr>
        <sz val="11"/>
        <color theme="1"/>
        <rFont val="Noto Sans SC"/>
        <family val="2"/>
        <charset val="134"/>
      </rPr>
      <t xml:space="preserve">的</t>
    </r>
    <r>
      <rPr>
        <sz val="11"/>
        <color theme="1"/>
        <rFont val="Calibri"/>
        <family val="2"/>
        <charset val="1"/>
      </rPr>
      <t xml:space="preserve">SRP</t>
    </r>
  </si>
  <si>
    <r>
      <rPr>
        <sz val="11"/>
        <color theme="1"/>
        <rFont val="Noto Sans SC"/>
        <family val="2"/>
        <charset val="134"/>
      </rPr>
      <t xml:space="preserve">因此如果希望设计一个能够稳定提供回收的</t>
    </r>
    <r>
      <rPr>
        <sz val="11"/>
        <color theme="1"/>
        <rFont val="Calibri"/>
        <family val="2"/>
        <charset val="1"/>
      </rPr>
      <t xml:space="preserve">Slot</t>
    </r>
    <r>
      <rPr>
        <sz val="11"/>
        <color theme="1"/>
        <rFont val="Noto Sans SC"/>
        <family val="2"/>
        <charset val="134"/>
      </rPr>
      <t xml:space="preserve">玩法，</t>
    </r>
    <r>
      <rPr>
        <sz val="11"/>
        <color theme="1"/>
        <rFont val="Calibri"/>
        <family val="2"/>
        <charset val="1"/>
      </rPr>
      <t xml:space="preserve">Grid</t>
    </r>
    <r>
      <rPr>
        <sz val="11"/>
        <color theme="1"/>
        <rFont val="Noto Sans SC"/>
        <family val="2"/>
        <charset val="134"/>
      </rPr>
      <t xml:space="preserve">并不一定会是一个很适合的玩法类型，但是如果需要添加一款心流波动明显的</t>
    </r>
    <r>
      <rPr>
        <sz val="11"/>
        <color theme="1"/>
        <rFont val="Calibri"/>
        <family val="2"/>
        <charset val="1"/>
      </rPr>
      <t xml:space="preserve">Slot</t>
    </r>
    <r>
      <rPr>
        <sz val="11"/>
        <color theme="1"/>
        <rFont val="Noto Sans SC"/>
        <family val="2"/>
        <charset val="134"/>
      </rPr>
      <t xml:space="preserve">玩法的话，不妨尝试设计一款</t>
    </r>
    <r>
      <rPr>
        <sz val="11"/>
        <color theme="1"/>
        <rFont val="Calibri"/>
        <family val="2"/>
        <charset val="1"/>
      </rPr>
      <t xml:space="preserve">Grid</t>
    </r>
  </si>
  <si>
    <r>
      <rPr>
        <sz val="11"/>
        <color theme="1"/>
        <rFont val="Noto Sans SC"/>
        <family val="2"/>
        <charset val="134"/>
      </rPr>
      <t xml:space="preserve">［配图 </t>
    </r>
    <r>
      <rPr>
        <sz val="11"/>
        <color theme="1"/>
        <rFont val="Calibri"/>
        <family val="2"/>
        <charset val="1"/>
      </rPr>
      <t xml:space="preserve">11</t>
    </r>
    <r>
      <rPr>
        <sz val="11"/>
        <color theme="1"/>
        <rFont val="Noto Sans SC"/>
        <family val="2"/>
        <charset val="134"/>
      </rPr>
      <t xml:space="preserve">］</t>
    </r>
    <r>
      <rPr>
        <sz val="11"/>
        <color theme="1"/>
        <rFont val="Calibri"/>
        <family val="2"/>
        <charset val="1"/>
      </rPr>
      <t xml:space="preserve">639548656-11.jpg</t>
    </r>
  </si>
  <si>
    <r>
      <rPr>
        <sz val="11"/>
        <color theme="1"/>
        <rFont val="Noto Sans SC"/>
        <family val="2"/>
        <charset val="134"/>
      </rPr>
      <t xml:space="preserve">从三月底开始，这两款</t>
    </r>
    <r>
      <rPr>
        <sz val="11"/>
        <color theme="1"/>
        <rFont val="Calibri"/>
        <family val="2"/>
        <charset val="1"/>
      </rPr>
      <t xml:space="preserve">Slots</t>
    </r>
    <r>
      <rPr>
        <sz val="11"/>
        <color theme="1"/>
        <rFont val="Noto Sans SC"/>
        <family val="2"/>
        <charset val="134"/>
      </rPr>
      <t xml:space="preserve">产品一直维持在前三名</t>
    </r>
  </si>
  <si>
    <r>
      <rPr>
        <sz val="11"/>
        <color theme="1"/>
        <rFont val="Noto Sans SC"/>
        <family val="2"/>
        <charset val="134"/>
      </rPr>
      <t xml:space="preserve">本文中使用的示例已经是在机制基础上进行了简化后的结果，因此标准差在</t>
    </r>
    <r>
      <rPr>
        <sz val="11"/>
        <color theme="1"/>
        <rFont val="Calibri"/>
        <family val="2"/>
        <charset val="1"/>
      </rPr>
      <t xml:space="preserve">2%~3%</t>
    </r>
    <r>
      <rPr>
        <sz val="11"/>
        <color theme="1"/>
        <rFont val="Noto Sans SC"/>
        <family val="2"/>
        <charset val="134"/>
      </rPr>
      <t xml:space="preserve">之间</t>
    </r>
  </si>
  <si>
    <r>
      <rPr>
        <sz val="11"/>
        <color theme="1"/>
        <rFont val="Noto Sans SC"/>
        <family val="2"/>
        <charset val="134"/>
      </rPr>
      <t xml:space="preserve">如果复用线上的规则，例如</t>
    </r>
    <r>
      <rPr>
        <sz val="11"/>
        <color theme="1"/>
        <rFont val="Calibri"/>
        <family val="2"/>
        <charset val="1"/>
      </rPr>
      <t xml:space="preserve">Gates of Olympus</t>
    </r>
    <r>
      <rPr>
        <sz val="11"/>
        <color theme="1"/>
        <rFont val="Noto Sans SC"/>
        <family val="2"/>
        <charset val="134"/>
      </rPr>
      <t xml:space="preserve">或者是</t>
    </r>
    <r>
      <rPr>
        <sz val="11"/>
        <color theme="1"/>
        <rFont val="Calibri"/>
        <family val="2"/>
        <charset val="1"/>
      </rPr>
      <t xml:space="preserve">Sweet Bonanza</t>
    </r>
    <r>
      <rPr>
        <sz val="11"/>
        <color theme="1"/>
        <rFont val="Noto Sans SC"/>
        <family val="2"/>
        <charset val="134"/>
      </rPr>
      <t xml:space="preserve">，则标准差会相对更大一些</t>
    </r>
  </si>
  <si>
    <r>
      <rPr>
        <b val="true"/>
        <sz val="11"/>
        <color rgb="FF1F4E79"/>
        <rFont val="Noto Sans SC"/>
        <family val="2"/>
        <charset val="134"/>
      </rPr>
      <t xml:space="preserve">原文配图清单（共 </t>
    </r>
    <r>
      <rPr>
        <b val="true"/>
        <sz val="11"/>
        <color rgb="FF1F4E79"/>
        <rFont val="Cambria"/>
        <family val="0"/>
        <charset val="1"/>
      </rPr>
      <t xml:space="preserve">10 </t>
    </r>
    <r>
      <rPr>
        <b val="true"/>
        <sz val="11"/>
        <color rgb="FF1F4E79"/>
        <rFont val="Noto Sans SC"/>
        <family val="2"/>
        <charset val="134"/>
      </rPr>
      <t xml:space="preserve">张，已保存到 </t>
    </r>
    <r>
      <rPr>
        <b val="true"/>
        <sz val="11"/>
        <color rgb="FF1F4E79"/>
        <rFont val="Cambria"/>
        <family val="0"/>
        <charset val="1"/>
      </rPr>
      <t xml:space="preserve">images/slots/</t>
    </r>
    <r>
      <rPr>
        <b val="true"/>
        <sz val="11"/>
        <color rgb="FF1F4E79"/>
        <rFont val="Noto Sans SC"/>
        <family val="2"/>
        <charset val="134"/>
      </rPr>
      <t xml:space="preserve">）</t>
    </r>
  </si>
  <si>
    <r>
      <rPr>
        <b val="true"/>
        <sz val="11"/>
        <color rgb="FF1F4E79"/>
        <rFont val="Noto Sans SC"/>
        <family val="2"/>
        <charset val="134"/>
      </rPr>
      <t xml:space="preserve">修订说明（</t>
    </r>
    <r>
      <rPr>
        <b val="true"/>
        <sz val="11"/>
        <color rgb="FF1F4E79"/>
        <rFont val="Cambria"/>
        <family val="0"/>
        <charset val="1"/>
      </rPr>
      <t xml:space="preserve">2026-09-29</t>
    </r>
    <r>
      <rPr>
        <b val="true"/>
        <sz val="11"/>
        <color rgb="FF1F4E79"/>
        <rFont val="Noto Sans SC"/>
        <family val="2"/>
        <charset val="134"/>
      </rPr>
      <t xml:space="preserve">）</t>
    </r>
  </si>
  <si>
    <r>
      <rPr>
        <sz val="11"/>
        <color theme="1"/>
        <rFont val="Calibri"/>
        <family val="2"/>
        <charset val="1"/>
      </rPr>
      <t xml:space="preserve">· </t>
    </r>
    <r>
      <rPr>
        <sz val="11"/>
        <color theme="1"/>
        <rFont val="Noto Sans SC"/>
        <family val="2"/>
        <charset val="134"/>
      </rPr>
      <t xml:space="preserve">原文网页原件（浏览器「另存为 → 网页，全部」）已取得，故补入全文与配图清单；</t>
    </r>
  </si>
  <si>
    <r>
      <rPr>
        <sz val="11"/>
        <color theme="1"/>
        <rFont val="Calibri"/>
        <family val="2"/>
        <charset val="1"/>
      </rPr>
      <t xml:space="preserve">· </t>
    </r>
    <r>
      <rPr>
        <sz val="11"/>
        <color theme="1"/>
        <rFont val="Noto Sans SC"/>
        <family val="2"/>
        <charset val="134"/>
      </rPr>
      <t xml:space="preserve">本簿页签 </t>
    </r>
    <r>
      <rPr>
        <sz val="11"/>
        <color theme="1"/>
        <rFont val="Calibri"/>
        <family val="2"/>
        <charset val="1"/>
      </rPr>
      <t xml:space="preserve">2 </t>
    </r>
    <r>
      <rPr>
        <sz val="11"/>
        <color theme="1"/>
        <rFont val="Noto Sans SC"/>
        <family val="2"/>
        <charset val="134"/>
      </rPr>
      <t xml:space="preserve">的配表为依据原文方法</t>
    </r>
    <r>
      <rPr>
        <sz val="11"/>
        <color theme="1"/>
        <rFont val="Calibri"/>
        <family val="2"/>
        <charset val="1"/>
      </rPr>
      <t xml:space="preserve">/</t>
    </r>
    <r>
      <rPr>
        <sz val="11"/>
        <color theme="1"/>
        <rFont val="Noto Sans SC"/>
        <family val="2"/>
        <charset val="134"/>
      </rPr>
      <t xml:space="preserve">示例搭成的可改参数表（原文给出数值的部分见配表自检区）。</t>
    </r>
  </si>
  <si>
    <r>
      <rPr>
        <b val="true"/>
        <sz val="14"/>
        <color rgb="FF1F4E79"/>
        <rFont val="Noto Sans SC"/>
        <family val="2"/>
        <charset val="134"/>
      </rPr>
      <t xml:space="preserve">数值篇 </t>
    </r>
    <r>
      <rPr>
        <b val="true"/>
        <sz val="14"/>
        <color rgb="FF1F4E79"/>
        <rFont val="Cambria"/>
        <family val="0"/>
        <charset val="1"/>
      </rPr>
      <t xml:space="preserve">· Grid </t>
    </r>
    <r>
      <rPr>
        <b val="true"/>
        <sz val="14"/>
        <color rgb="FF1F4E79"/>
        <rFont val="Noto Sans SC"/>
        <family val="2"/>
        <charset val="134"/>
      </rPr>
      <t xml:space="preserve">的配表与分情形 </t>
    </r>
    <r>
      <rPr>
        <b val="true"/>
        <sz val="14"/>
        <color rgb="FF1F4E79"/>
        <rFont val="Cambria"/>
        <family val="0"/>
        <charset val="1"/>
      </rPr>
      <t xml:space="preserve">RTP</t>
    </r>
    <r>
      <rPr>
        <b val="true"/>
        <sz val="14"/>
        <color rgb="FF1F4E79"/>
        <rFont val="Noto Sans SC"/>
        <family val="2"/>
        <charset val="134"/>
      </rPr>
      <t xml:space="preserve">（蓝字＝可改配表 </t>
    </r>
    <r>
      <rPr>
        <b val="true"/>
        <sz val="14"/>
        <color rgb="FF1F4E79"/>
        <rFont val="Cambria"/>
        <family val="0"/>
        <charset val="1"/>
      </rPr>
      <t xml:space="preserve">/ </t>
    </r>
    <r>
      <rPr>
        <b val="true"/>
        <sz val="14"/>
        <color rgb="FF1F4E79"/>
        <rFont val="Noto Sans SC"/>
        <family val="2"/>
        <charset val="134"/>
      </rPr>
      <t xml:space="preserve">黑字＝公式 </t>
    </r>
    <r>
      <rPr>
        <b val="true"/>
        <sz val="14"/>
        <color rgb="FF1F4E79"/>
        <rFont val="Cambria"/>
        <family val="0"/>
        <charset val="1"/>
      </rPr>
      <t xml:space="preserve">/ </t>
    </r>
    <r>
      <rPr>
        <b val="true"/>
        <sz val="14"/>
        <color rgb="FF1F4E79"/>
        <rFont val="Noto Sans SC"/>
        <family val="2"/>
        <charset val="134"/>
      </rPr>
      <t xml:space="preserve">黄底＝结果）</t>
    </r>
  </si>
  <si>
    <r>
      <rPr>
        <b val="true"/>
        <sz val="11"/>
        <color rgb="FF1F4E79"/>
        <rFont val="Noto Sans SC"/>
        <family val="2"/>
        <charset val="134"/>
      </rPr>
      <t xml:space="preserve">【</t>
    </r>
    <r>
      <rPr>
        <b val="true"/>
        <sz val="11"/>
        <color rgb="FF1F4E79"/>
        <rFont val="Cambria"/>
        <family val="0"/>
        <charset val="1"/>
      </rPr>
      <t xml:space="preserve">1</t>
    </r>
    <r>
      <rPr>
        <b val="true"/>
        <sz val="11"/>
        <color rgb="FF1F4E79"/>
        <rFont val="Noto Sans SC"/>
        <family val="2"/>
        <charset val="134"/>
      </rPr>
      <t xml:space="preserve">】示例参数</t>
    </r>
  </si>
  <si>
    <t xml:space="preserve">项目</t>
  </si>
  <si>
    <t xml:space="preserve">配置值</t>
  </si>
  <si>
    <r>
      <rPr>
        <b val="true"/>
        <sz val="11"/>
        <color rgb="FF1F4E79"/>
        <rFont val="Noto Sans SC"/>
        <family val="2"/>
        <charset val="134"/>
      </rPr>
      <t xml:space="preserve">算式 </t>
    </r>
    <r>
      <rPr>
        <b val="true"/>
        <sz val="11"/>
        <color rgb="FF1F4E79"/>
        <rFont val="Cambria"/>
        <family val="0"/>
        <charset val="1"/>
      </rPr>
      <t xml:space="preserve">/ </t>
    </r>
    <r>
      <rPr>
        <b val="true"/>
        <sz val="11"/>
        <color rgb="FF1F4E79"/>
        <rFont val="Noto Sans SC"/>
        <family val="2"/>
        <charset val="134"/>
      </rPr>
      <t xml:space="preserve">说明</t>
    </r>
  </si>
  <si>
    <t xml:space="preserve">卷轴行数</t>
  </si>
  <si>
    <t xml:space="preserve">卷轴列数</t>
  </si>
  <si>
    <t xml:space="preserve">卷轴位置数</t>
  </si>
  <si>
    <r>
      <rPr>
        <sz val="11"/>
        <color rgb="FF000000"/>
        <rFont val="Cambria"/>
        <family val="0"/>
        <charset val="1"/>
      </rPr>
      <t xml:space="preserve">5 × 6 </t>
    </r>
    <r>
      <rPr>
        <sz val="11"/>
        <color rgb="FF000000"/>
        <rFont val="Noto Sans SC"/>
        <family val="2"/>
        <charset val="134"/>
      </rPr>
      <t xml:space="preserve">＝ </t>
    </r>
    <r>
      <rPr>
        <sz val="11"/>
        <color rgb="FF000000"/>
        <rFont val="Cambria"/>
        <family val="0"/>
        <charset val="1"/>
      </rPr>
      <t xml:space="preserve">30</t>
    </r>
  </si>
  <si>
    <t xml:space="preserve">标准图标数</t>
  </si>
  <si>
    <r>
      <rPr>
        <sz val="11"/>
        <color rgb="FF000000"/>
        <rFont val="Noto Sans SC"/>
        <family val="2"/>
        <charset val="134"/>
      </rPr>
      <t xml:space="preserve">图标 </t>
    </r>
    <r>
      <rPr>
        <sz val="11"/>
        <color rgb="FF000000"/>
        <rFont val="Cambria"/>
        <family val="0"/>
        <charset val="1"/>
      </rPr>
      <t xml:space="preserve">1~9</t>
    </r>
  </si>
  <si>
    <t xml:space="preserve">特殊图标数</t>
  </si>
  <si>
    <r>
      <rPr>
        <sz val="11"/>
        <color rgb="FF000000"/>
        <rFont val="Cambria"/>
        <family val="0"/>
        <charset val="1"/>
      </rPr>
      <t xml:space="preserve">Scatter</t>
    </r>
    <r>
      <rPr>
        <sz val="11"/>
        <color rgb="FF000000"/>
        <rFont val="Noto Sans SC"/>
        <family val="2"/>
        <charset val="134"/>
      </rPr>
      <t xml:space="preserve">、</t>
    </r>
    <r>
      <rPr>
        <sz val="11"/>
        <color rgb="FF000000"/>
        <rFont val="Cambria"/>
        <family val="0"/>
        <charset val="1"/>
      </rPr>
      <t xml:space="preserve">Multiplier</t>
    </r>
  </si>
  <si>
    <t xml:space="preserve">结算模式</t>
  </si>
  <si>
    <t xml:space="preserve">Cluster Pay</t>
  </si>
  <si>
    <r>
      <rPr>
        <sz val="11"/>
        <color rgb="FF000000"/>
        <rFont val="Cambria"/>
        <family val="0"/>
        <charset val="1"/>
      </rPr>
      <t xml:space="preserve">Scatter </t>
    </r>
    <r>
      <rPr>
        <sz val="11"/>
        <color rgb="FF000000"/>
        <rFont val="Noto Sans SC"/>
        <family val="2"/>
        <charset val="134"/>
      </rPr>
      <t xml:space="preserve">是否触发免费摇</t>
    </r>
  </si>
  <si>
    <t xml:space="preserve">否</t>
  </si>
  <si>
    <t xml:space="preserve">免费摇另按常规算法计算</t>
  </si>
  <si>
    <r>
      <rPr>
        <b val="true"/>
        <sz val="11"/>
        <color rgb="FF1F4E79"/>
        <rFont val="Noto Sans SC"/>
        <family val="2"/>
        <charset val="134"/>
      </rPr>
      <t xml:space="preserve">【</t>
    </r>
    <r>
      <rPr>
        <b val="true"/>
        <sz val="11"/>
        <color rgb="FF1F4E79"/>
        <rFont val="Cambria"/>
        <family val="0"/>
        <charset val="1"/>
      </rPr>
      <t xml:space="preserve">2</t>
    </r>
    <r>
      <rPr>
        <b val="true"/>
        <sz val="11"/>
        <color rgb="FF1F4E79"/>
        <rFont val="Noto Sans SC"/>
        <family val="2"/>
        <charset val="134"/>
      </rPr>
      <t xml:space="preserve">】图标出现几率表（全位置一套）</t>
    </r>
  </si>
  <si>
    <t xml:space="preserve">符号</t>
  </si>
  <si>
    <t xml:space="preserve">每格出现几率</t>
  </si>
  <si>
    <r>
      <rPr>
        <b val="true"/>
        <sz val="11"/>
        <color rgb="FF1F4E79"/>
        <rFont val="Noto Sans SC"/>
        <family val="2"/>
        <charset val="134"/>
      </rPr>
      <t xml:space="preserve">期望个数（</t>
    </r>
    <r>
      <rPr>
        <b val="true"/>
        <sz val="11"/>
        <color rgb="FF1F4E79"/>
        <rFont val="Cambria"/>
        <family val="0"/>
        <charset val="1"/>
      </rPr>
      <t xml:space="preserve">30 </t>
    </r>
    <r>
      <rPr>
        <b val="true"/>
        <sz val="11"/>
        <color rgb="FF1F4E79"/>
        <rFont val="Noto Sans SC"/>
        <family val="2"/>
        <charset val="134"/>
      </rPr>
      <t xml:space="preserve">格）</t>
    </r>
  </si>
  <si>
    <t xml:space="preserve">中奖区间</t>
  </si>
  <si>
    <t xml:space="preserve">说明</t>
  </si>
  <si>
    <r>
      <rPr>
        <sz val="11"/>
        <color rgb="FF0000FF"/>
        <rFont val="Noto Sans SC"/>
        <family val="2"/>
        <charset val="134"/>
      </rPr>
      <t xml:space="preserve">图标</t>
    </r>
    <r>
      <rPr>
        <sz val="11"/>
        <color rgb="FF0000FF"/>
        <rFont val="Cambria"/>
        <family val="0"/>
        <charset val="1"/>
      </rPr>
      <t xml:space="preserve">1</t>
    </r>
  </si>
  <si>
    <t xml:space="preserve">[8,9]</t>
  </si>
  <si>
    <t xml:space="preserve">高价值</t>
  </si>
  <si>
    <r>
      <rPr>
        <sz val="11"/>
        <color rgb="FF0000FF"/>
        <rFont val="Noto Sans SC"/>
        <family val="2"/>
        <charset val="134"/>
      </rPr>
      <t xml:space="preserve">图标</t>
    </r>
    <r>
      <rPr>
        <sz val="11"/>
        <color rgb="FF0000FF"/>
        <rFont val="Cambria"/>
        <family val="0"/>
        <charset val="1"/>
      </rPr>
      <t xml:space="preserve">2</t>
    </r>
  </si>
  <si>
    <r>
      <rPr>
        <sz val="11"/>
        <color rgb="FF0000FF"/>
        <rFont val="Noto Sans SC"/>
        <family val="2"/>
        <charset val="134"/>
      </rPr>
      <t xml:space="preserve">图标</t>
    </r>
    <r>
      <rPr>
        <sz val="11"/>
        <color rgb="FF0000FF"/>
        <rFont val="Cambria"/>
        <family val="0"/>
        <charset val="1"/>
      </rPr>
      <t xml:space="preserve">3</t>
    </r>
  </si>
  <si>
    <t xml:space="preserve">[10,11]</t>
  </si>
  <si>
    <r>
      <rPr>
        <sz val="11"/>
        <color rgb="FF0000FF"/>
        <rFont val="Noto Sans SC"/>
        <family val="2"/>
        <charset val="134"/>
      </rPr>
      <t xml:space="preserve">图标</t>
    </r>
    <r>
      <rPr>
        <sz val="11"/>
        <color rgb="FF0000FF"/>
        <rFont val="Cambria"/>
        <family val="0"/>
        <charset val="1"/>
      </rPr>
      <t xml:space="preserve">4</t>
    </r>
  </si>
  <si>
    <t xml:space="preserve">[12,30]</t>
  </si>
  <si>
    <r>
      <rPr>
        <sz val="11"/>
        <color rgb="FF0000FF"/>
        <rFont val="Noto Sans SC"/>
        <family val="2"/>
        <charset val="134"/>
      </rPr>
      <t xml:space="preserve">图标</t>
    </r>
    <r>
      <rPr>
        <sz val="11"/>
        <color rgb="FF0000FF"/>
        <rFont val="Cambria"/>
        <family val="0"/>
        <charset val="1"/>
      </rPr>
      <t xml:space="preserve">5</t>
    </r>
  </si>
  <si>
    <r>
      <rPr>
        <sz val="11"/>
        <color rgb="FF0000FF"/>
        <rFont val="Noto Sans SC"/>
        <family val="2"/>
        <charset val="134"/>
      </rPr>
      <t xml:space="preserve">图标</t>
    </r>
    <r>
      <rPr>
        <sz val="11"/>
        <color rgb="FF0000FF"/>
        <rFont val="Cambria"/>
        <family val="0"/>
        <charset val="1"/>
      </rPr>
      <t xml:space="preserve">6</t>
    </r>
  </si>
  <si>
    <r>
      <rPr>
        <sz val="11"/>
        <color rgb="FF0000FF"/>
        <rFont val="Noto Sans SC"/>
        <family val="2"/>
        <charset val="134"/>
      </rPr>
      <t xml:space="preserve">图标</t>
    </r>
    <r>
      <rPr>
        <sz val="11"/>
        <color rgb="FF0000FF"/>
        <rFont val="Cambria"/>
        <family val="0"/>
        <charset val="1"/>
      </rPr>
      <t xml:space="preserve">7</t>
    </r>
  </si>
  <si>
    <r>
      <rPr>
        <sz val="11"/>
        <color rgb="FF0000FF"/>
        <rFont val="Noto Sans SC"/>
        <family val="2"/>
        <charset val="134"/>
      </rPr>
      <t xml:space="preserve">图标</t>
    </r>
    <r>
      <rPr>
        <sz val="11"/>
        <color rgb="FF0000FF"/>
        <rFont val="Cambria"/>
        <family val="0"/>
        <charset val="1"/>
      </rPr>
      <t xml:space="preserve">8</t>
    </r>
  </si>
  <si>
    <r>
      <rPr>
        <sz val="11"/>
        <color rgb="FF0000FF"/>
        <rFont val="Noto Sans SC"/>
        <family val="2"/>
        <charset val="134"/>
      </rPr>
      <t xml:space="preserve">图标</t>
    </r>
    <r>
      <rPr>
        <sz val="11"/>
        <color rgb="FF0000FF"/>
        <rFont val="Cambria"/>
        <family val="0"/>
        <charset val="1"/>
      </rPr>
      <t xml:space="preserve">9</t>
    </r>
  </si>
  <si>
    <t xml:space="preserve">Scatter</t>
  </si>
  <si>
    <t xml:space="preserve">[4]/[5]/[6,30]</t>
  </si>
  <si>
    <t xml:space="preserve">Multiplier</t>
  </si>
  <si>
    <t xml:space="preserve">—</t>
  </si>
  <si>
    <t xml:space="preserve">抽中后再按倍数表二次抽取</t>
  </si>
  <si>
    <t xml:space="preserve">几率合计</t>
  </si>
  <si>
    <r>
      <rPr>
        <sz val="11"/>
        <color rgb="FF000000"/>
        <rFont val="Noto Sans SC"/>
        <family val="2"/>
        <charset val="134"/>
      </rPr>
      <t xml:space="preserve">应 ≤ </t>
    </r>
    <r>
      <rPr>
        <sz val="11"/>
        <color rgb="FF000000"/>
        <rFont val="Cambria"/>
        <family val="0"/>
        <charset val="1"/>
      </rPr>
      <t xml:space="preserve">100%</t>
    </r>
  </si>
  <si>
    <r>
      <rPr>
        <b val="true"/>
        <sz val="11"/>
        <color rgb="FF1F4E79"/>
        <rFont val="Noto Sans SC"/>
        <family val="2"/>
        <charset val="134"/>
      </rPr>
      <t xml:space="preserve">【</t>
    </r>
    <r>
      <rPr>
        <b val="true"/>
        <sz val="11"/>
        <color rgb="FF1F4E79"/>
        <rFont val="Cambria"/>
        <family val="0"/>
        <charset val="1"/>
      </rPr>
      <t xml:space="preserve">3</t>
    </r>
    <r>
      <rPr>
        <b val="true"/>
        <sz val="11"/>
        <color rgb="FF1F4E79"/>
        <rFont val="Noto Sans SC"/>
        <family val="2"/>
        <charset val="134"/>
      </rPr>
      <t xml:space="preserve">】多倍图标倍数几率表（离散型）</t>
    </r>
  </si>
  <si>
    <t xml:space="preserve">倍数</t>
  </si>
  <si>
    <t xml:space="preserve">出现几率</t>
  </si>
  <si>
    <t xml:space="preserve">期望贡献</t>
  </si>
  <si>
    <r>
      <rPr>
        <sz val="11"/>
        <color rgb="FF000000"/>
        <rFont val="Noto Sans SC"/>
        <family val="2"/>
        <charset val="134"/>
      </rPr>
      <t xml:space="preserve">合计 </t>
    </r>
    <r>
      <rPr>
        <sz val="11"/>
        <color rgb="FF000000"/>
        <rFont val="Cambria"/>
        <family val="0"/>
        <charset val="1"/>
      </rPr>
      <t xml:space="preserve">/ </t>
    </r>
    <r>
      <rPr>
        <sz val="11"/>
        <color rgb="FF000000"/>
        <rFont val="Noto Sans SC"/>
        <family val="2"/>
        <charset val="134"/>
      </rPr>
      <t xml:space="preserve">期望倍数</t>
    </r>
  </si>
  <si>
    <r>
      <rPr>
        <b val="true"/>
        <sz val="11"/>
        <color rgb="FF1F4E79"/>
        <rFont val="Noto Sans SC"/>
        <family val="2"/>
        <charset val="134"/>
      </rPr>
      <t xml:space="preserve">【</t>
    </r>
    <r>
      <rPr>
        <b val="true"/>
        <sz val="11"/>
        <color rgb="FF1F4E79"/>
        <rFont val="Cambria"/>
        <family val="0"/>
        <charset val="1"/>
      </rPr>
      <t xml:space="preserve">4</t>
    </r>
    <r>
      <rPr>
        <b val="true"/>
        <sz val="11"/>
        <color rgb="FF1F4E79"/>
        <rFont val="Noto Sans SC"/>
        <family val="2"/>
        <charset val="134"/>
      </rPr>
      <t xml:space="preserve">】中奖个数区间与赔率表（示例：图标</t>
    </r>
    <r>
      <rPr>
        <b val="true"/>
        <sz val="11"/>
        <color rgb="FF1F4E79"/>
        <rFont val="Cambria"/>
        <family val="0"/>
        <charset val="1"/>
      </rPr>
      <t xml:space="preserve">1 </t>
    </r>
    <r>
      <rPr>
        <b val="true"/>
        <sz val="11"/>
        <color rgb="FF1F4E79"/>
        <rFont val="Noto Sans SC"/>
        <family val="2"/>
        <charset val="134"/>
      </rPr>
      <t xml:space="preserve">的三个区间赔率）</t>
    </r>
  </si>
  <si>
    <r>
      <rPr>
        <b val="true"/>
        <sz val="11"/>
        <color rgb="FF1F4E79"/>
        <rFont val="Noto Sans SC"/>
        <family val="2"/>
        <charset val="134"/>
      </rPr>
      <t xml:space="preserve">区间 </t>
    </r>
    <r>
      <rPr>
        <b val="true"/>
        <sz val="11"/>
        <color rgb="FF1F4E79"/>
        <rFont val="Cambria"/>
        <family val="0"/>
        <charset val="1"/>
      </rPr>
      <t xml:space="preserve">[8,9]</t>
    </r>
  </si>
  <si>
    <r>
      <rPr>
        <b val="true"/>
        <sz val="11"/>
        <color rgb="FF1F4E79"/>
        <rFont val="Noto Sans SC"/>
        <family val="2"/>
        <charset val="134"/>
      </rPr>
      <t xml:space="preserve">区间 </t>
    </r>
    <r>
      <rPr>
        <b val="true"/>
        <sz val="11"/>
        <color rgb="FF1F4E79"/>
        <rFont val="Cambria"/>
        <family val="0"/>
        <charset val="1"/>
      </rPr>
      <t xml:space="preserve">[10,11]</t>
    </r>
  </si>
  <si>
    <r>
      <rPr>
        <b val="true"/>
        <sz val="11"/>
        <color rgb="FF1F4E79"/>
        <rFont val="Noto Sans SC"/>
        <family val="2"/>
        <charset val="134"/>
      </rPr>
      <t xml:space="preserve">区间 </t>
    </r>
    <r>
      <rPr>
        <b val="true"/>
        <sz val="11"/>
        <color rgb="FF1F4E79"/>
        <rFont val="Cambria"/>
        <family val="0"/>
        <charset val="1"/>
      </rPr>
      <t xml:space="preserve">[12,30]</t>
    </r>
  </si>
  <si>
    <r>
      <rPr>
        <sz val="11"/>
        <color rgb="FF0000FF"/>
        <rFont val="Noto Sans SC"/>
        <family val="2"/>
        <charset val="134"/>
      </rPr>
      <t xml:space="preserve">图标</t>
    </r>
    <r>
      <rPr>
        <sz val="11"/>
        <color rgb="FF0000FF"/>
        <rFont val="Cambria"/>
        <family val="0"/>
        <charset val="1"/>
      </rPr>
      <t xml:space="preserve">4~9</t>
    </r>
  </si>
  <si>
    <t xml:space="preserve">低价值，同一套赔率</t>
  </si>
  <si>
    <r>
      <rPr>
        <sz val="11"/>
        <color rgb="FF000000"/>
        <rFont val="Noto Sans SC"/>
        <family val="2"/>
        <charset val="134"/>
      </rPr>
      <t xml:space="preserve">区间 </t>
    </r>
    <r>
      <rPr>
        <sz val="11"/>
        <color rgb="FF000000"/>
        <rFont val="Cambria"/>
        <family val="0"/>
        <charset val="1"/>
      </rPr>
      <t xml:space="preserve">[4] / [5] / [6,30]</t>
    </r>
  </si>
  <si>
    <r>
      <rPr>
        <b val="true"/>
        <sz val="11"/>
        <color rgb="FF1F4E79"/>
        <rFont val="Noto Sans SC"/>
        <family val="2"/>
        <charset val="134"/>
      </rPr>
      <t xml:space="preserve">【</t>
    </r>
    <r>
      <rPr>
        <b val="true"/>
        <sz val="11"/>
        <color rgb="FF1F4E79"/>
        <rFont val="Cambria"/>
        <family val="0"/>
        <charset val="1"/>
      </rPr>
      <t xml:space="preserve">5</t>
    </r>
    <r>
      <rPr>
        <b val="true"/>
        <sz val="11"/>
        <color rgb="FF1F4E79"/>
        <rFont val="Noto Sans SC"/>
        <family val="2"/>
        <charset val="134"/>
      </rPr>
      <t xml:space="preserve">】基础 </t>
    </r>
    <r>
      <rPr>
        <b val="true"/>
        <sz val="11"/>
        <color rgb="FF1F4E79"/>
        <rFont val="Cambria"/>
        <family val="0"/>
        <charset val="1"/>
      </rPr>
      <t xml:space="preserve">RTP</t>
    </r>
    <r>
      <rPr>
        <b val="true"/>
        <sz val="11"/>
        <color rgb="FF1F4E79"/>
        <rFont val="Noto Sans SC"/>
        <family val="2"/>
        <charset val="134"/>
      </rPr>
      <t xml:space="preserve">（以「图标</t>
    </r>
    <r>
      <rPr>
        <b val="true"/>
        <sz val="11"/>
        <color rgb="FF1F4E79"/>
        <rFont val="Cambria"/>
        <family val="0"/>
        <charset val="1"/>
      </rPr>
      <t xml:space="preserve">1</t>
    </r>
    <r>
      <rPr>
        <b val="true"/>
        <sz val="11"/>
        <color rgb="FF1F4E79"/>
        <rFont val="Noto Sans SC"/>
        <family val="2"/>
        <charset val="134"/>
      </rPr>
      <t xml:space="preserve">」为代表符号，用区间累积概率 </t>
    </r>
    <r>
      <rPr>
        <b val="true"/>
        <sz val="11"/>
        <color rgb="FF1F4E79"/>
        <rFont val="Cambria"/>
        <family val="0"/>
        <charset val="1"/>
      </rPr>
      <t xml:space="preserve">× </t>
    </r>
    <r>
      <rPr>
        <b val="true"/>
        <sz val="11"/>
        <color rgb="FF1F4E79"/>
        <rFont val="Noto Sans SC"/>
        <family val="2"/>
        <charset val="134"/>
      </rPr>
      <t xml:space="preserve">赔率）</t>
    </r>
  </si>
  <si>
    <t xml:space="preserve">公式口径</t>
  </si>
  <si>
    <t xml:space="preserve">数值</t>
  </si>
  <si>
    <r>
      <rPr>
        <sz val="11"/>
        <color rgb="FF000000"/>
        <rFont val="Noto Sans SC"/>
        <family val="2"/>
        <charset val="134"/>
      </rPr>
      <t xml:space="preserve">基础 </t>
    </r>
    <r>
      <rPr>
        <sz val="11"/>
        <color rgb="FF000000"/>
        <rFont val="Cambria"/>
        <family val="0"/>
        <charset val="1"/>
      </rPr>
      <t xml:space="preserve">RTP</t>
    </r>
    <r>
      <rPr>
        <sz val="11"/>
        <color rgb="FF000000"/>
        <rFont val="Noto Sans SC"/>
        <family val="2"/>
        <charset val="134"/>
      </rPr>
      <t xml:space="preserve">（图标</t>
    </r>
    <r>
      <rPr>
        <sz val="11"/>
        <color rgb="FF000000"/>
        <rFont val="Cambria"/>
        <family val="0"/>
        <charset val="1"/>
      </rPr>
      <t xml:space="preserve">1</t>
    </r>
    <r>
      <rPr>
        <sz val="11"/>
        <color rgb="FF000000"/>
        <rFont val="Noto Sans SC"/>
        <family val="2"/>
        <charset val="134"/>
      </rPr>
      <t xml:space="preserve">）</t>
    </r>
  </si>
  <si>
    <t xml:space="preserve">P(8~9)×1 + P(10~11)×5 + P(12~30)×25</t>
  </si>
  <si>
    <t xml:space="preserve">不考虑多倍图标与消除</t>
  </si>
  <si>
    <r>
      <rPr>
        <b val="true"/>
        <sz val="11"/>
        <color rgb="FF1F4E79"/>
        <rFont val="Noto Sans SC"/>
        <family val="2"/>
        <charset val="134"/>
      </rPr>
      <t xml:space="preserve">【</t>
    </r>
    <r>
      <rPr>
        <b val="true"/>
        <sz val="11"/>
        <color rgb="FF1F4E79"/>
        <rFont val="Cambria"/>
        <family val="0"/>
        <charset val="1"/>
      </rPr>
      <t xml:space="preserve">6</t>
    </r>
    <r>
      <rPr>
        <b val="true"/>
        <sz val="11"/>
        <color rgb="FF1F4E79"/>
        <rFont val="Noto Sans SC"/>
        <family val="2"/>
        <charset val="134"/>
      </rPr>
      <t xml:space="preserve">】多倍图标分情形加权（</t>
    </r>
    <r>
      <rPr>
        <b val="true"/>
        <sz val="11"/>
        <color rgb="FF1F4E79"/>
        <rFont val="Cambria"/>
        <family val="0"/>
        <charset val="1"/>
      </rPr>
      <t xml:space="preserve">0~30 </t>
    </r>
    <r>
      <rPr>
        <b val="true"/>
        <sz val="11"/>
        <color rgb="FF1F4E79"/>
        <rFont val="Noto Sans SC"/>
        <family val="2"/>
        <charset val="134"/>
      </rPr>
      <t xml:space="preserve">个多倍图标共 </t>
    </r>
    <r>
      <rPr>
        <b val="true"/>
        <sz val="11"/>
        <color rgb="FF1F4E79"/>
        <rFont val="Cambria"/>
        <family val="0"/>
        <charset val="1"/>
      </rPr>
      <t xml:space="preserve">31 </t>
    </r>
    <r>
      <rPr>
        <b val="true"/>
        <sz val="11"/>
        <color rgb="FF1F4E79"/>
        <rFont val="Noto Sans SC"/>
        <family val="2"/>
        <charset val="134"/>
      </rPr>
      <t xml:space="preserve">种；可用位置 ＝ </t>
    </r>
    <r>
      <rPr>
        <b val="true"/>
        <sz val="11"/>
        <color rgb="FF1F4E79"/>
        <rFont val="Cambria"/>
        <family val="0"/>
        <charset val="1"/>
      </rPr>
      <t xml:space="preserve">30 − </t>
    </r>
    <r>
      <rPr>
        <b val="true"/>
        <sz val="11"/>
        <color rgb="FF1F4E79"/>
        <rFont val="Noto Sans SC"/>
        <family val="2"/>
        <charset val="134"/>
      </rPr>
      <t xml:space="preserve">多倍图标个数）</t>
    </r>
  </si>
  <si>
    <r>
      <rPr>
        <b val="true"/>
        <sz val="11"/>
        <color rgb="FF1F4E79"/>
        <rFont val="Noto Sans SC"/>
        <family val="2"/>
        <charset val="134"/>
      </rPr>
      <t xml:space="preserve">多倍图标个数 </t>
    </r>
    <r>
      <rPr>
        <b val="true"/>
        <sz val="11"/>
        <color rgb="FF1F4E79"/>
        <rFont val="Cambria"/>
        <family val="0"/>
        <charset val="1"/>
      </rPr>
      <t xml:space="preserve">m</t>
    </r>
  </si>
  <si>
    <t xml:space="preserve">该情形出现几率</t>
  </si>
  <si>
    <r>
      <rPr>
        <b val="true"/>
        <sz val="11"/>
        <color rgb="FF1F4E79"/>
        <rFont val="Noto Sans SC"/>
        <family val="2"/>
        <charset val="134"/>
      </rPr>
      <t xml:space="preserve">可用位置 </t>
    </r>
    <r>
      <rPr>
        <b val="true"/>
        <sz val="11"/>
        <color rgb="FF1F4E79"/>
        <rFont val="Cambria"/>
        <family val="0"/>
        <charset val="1"/>
      </rPr>
      <t xml:space="preserve">30−m</t>
    </r>
  </si>
  <si>
    <r>
      <rPr>
        <b val="true"/>
        <sz val="11"/>
        <color rgb="FF1F4E79"/>
        <rFont val="Noto Sans SC"/>
        <family val="2"/>
        <charset val="134"/>
      </rPr>
      <t xml:space="preserve">该情形 </t>
    </r>
    <r>
      <rPr>
        <b val="true"/>
        <sz val="11"/>
        <color rgb="FF1F4E79"/>
        <rFont val="Cambria"/>
        <family val="0"/>
        <charset val="1"/>
      </rPr>
      <t xml:space="preserve">RTP</t>
    </r>
    <r>
      <rPr>
        <b val="true"/>
        <sz val="11"/>
        <color rgb="FF1F4E79"/>
        <rFont val="Noto Sans SC"/>
        <family val="2"/>
        <charset val="134"/>
      </rPr>
      <t xml:space="preserve">（</t>
    </r>
    <r>
      <rPr>
        <b val="true"/>
        <sz val="11"/>
        <color rgb="FF1F4E79"/>
        <rFont val="Cambria"/>
        <family val="0"/>
        <charset val="1"/>
      </rPr>
      <t xml:space="preserve">× </t>
    </r>
    <r>
      <rPr>
        <b val="true"/>
        <sz val="11"/>
        <color rgb="FF1F4E79"/>
        <rFont val="Noto Sans SC"/>
        <family val="2"/>
        <charset val="134"/>
      </rPr>
      <t xml:space="preserve">倍数期望）</t>
    </r>
  </si>
  <si>
    <t xml:space="preserve">加权贡献</t>
  </si>
  <si>
    <r>
      <rPr>
        <sz val="11"/>
        <color rgb="FF000000"/>
        <rFont val="Noto Sans SC"/>
        <family val="2"/>
        <charset val="134"/>
      </rPr>
      <t xml:space="preserve">合计加权 </t>
    </r>
    <r>
      <rPr>
        <sz val="11"/>
        <color rgb="FF000000"/>
        <rFont val="Cambria"/>
        <family val="0"/>
        <charset val="1"/>
      </rPr>
      <t xml:space="preserve">RTP</t>
    </r>
  </si>
  <si>
    <r>
      <rPr>
        <b val="true"/>
        <sz val="11"/>
        <color rgb="FF1F4E79"/>
        <rFont val="Noto Sans SC"/>
        <family val="2"/>
        <charset val="134"/>
      </rPr>
      <t xml:space="preserve">【</t>
    </r>
    <r>
      <rPr>
        <b val="true"/>
        <sz val="11"/>
        <color rgb="FF1F4E79"/>
        <rFont val="Cambria"/>
        <family val="0"/>
        <charset val="1"/>
      </rPr>
      <t xml:space="preserve">7</t>
    </r>
    <r>
      <rPr>
        <b val="true"/>
        <sz val="11"/>
        <color rgb="FF1F4E79"/>
        <rFont val="Noto Sans SC"/>
        <family val="2"/>
        <charset val="134"/>
      </rPr>
      <t xml:space="preserve">】原文结果对照（硬编码）</t>
    </r>
  </si>
  <si>
    <t xml:space="preserve">来源</t>
  </si>
  <si>
    <r>
      <rPr>
        <sz val="11"/>
        <color rgb="FF000000"/>
        <rFont val="Cambria"/>
        <family val="0"/>
        <charset val="1"/>
      </rPr>
      <t xml:space="preserve">Excel </t>
    </r>
    <r>
      <rPr>
        <sz val="11"/>
        <color rgb="FF000000"/>
        <rFont val="Noto Sans SC"/>
        <family val="2"/>
        <charset val="134"/>
      </rPr>
      <t xml:space="preserve">计算 </t>
    </r>
    <r>
      <rPr>
        <sz val="11"/>
        <color rgb="FF000000"/>
        <rFont val="Cambria"/>
        <family val="0"/>
        <charset val="1"/>
      </rPr>
      <t xml:space="preserve">RTP</t>
    </r>
    <r>
      <rPr>
        <sz val="11"/>
        <color rgb="FF000000"/>
        <rFont val="Noto Sans SC"/>
        <family val="2"/>
        <charset val="134"/>
      </rPr>
      <t xml:space="preserve">（不含消除）</t>
    </r>
  </si>
  <si>
    <t xml:space="preserve">原文正文</t>
  </si>
  <si>
    <r>
      <rPr>
        <sz val="11"/>
        <color rgb="FF000000"/>
        <rFont val="Noto Sans SC"/>
        <family val="2"/>
        <charset val="134"/>
      </rPr>
      <t xml:space="preserve">跑数据 </t>
    </r>
    <r>
      <rPr>
        <sz val="11"/>
        <color rgb="FF000000"/>
        <rFont val="Cambria"/>
        <family val="0"/>
        <charset val="1"/>
      </rPr>
      <t xml:space="preserve">RTP</t>
    </r>
    <r>
      <rPr>
        <sz val="11"/>
        <color rgb="FF000000"/>
        <rFont val="Noto Sans SC"/>
        <family val="2"/>
        <charset val="134"/>
      </rPr>
      <t xml:space="preserve">（屏蔽消除，</t>
    </r>
    <r>
      <rPr>
        <sz val="11"/>
        <color rgb="FF000000"/>
        <rFont val="Cambria"/>
        <family val="0"/>
        <charset val="1"/>
      </rPr>
      <t xml:space="preserve">10,000 </t>
    </r>
    <r>
      <rPr>
        <sz val="11"/>
        <color rgb="FF000000"/>
        <rFont val="Noto Sans SC"/>
        <family val="2"/>
        <charset val="134"/>
      </rPr>
      <t xml:space="preserve">局）</t>
    </r>
  </si>
  <si>
    <t xml:space="preserve">标准差（屏蔽消除）</t>
  </si>
  <si>
    <r>
      <rPr>
        <sz val="11"/>
        <color rgb="FF000000"/>
        <rFont val="Noto Sans SC"/>
        <family val="2"/>
        <charset val="134"/>
      </rPr>
      <t xml:space="preserve">加上 </t>
    </r>
    <r>
      <rPr>
        <sz val="11"/>
        <color rgb="FF000000"/>
        <rFont val="Cambria"/>
        <family val="0"/>
        <charset val="1"/>
      </rPr>
      <t xml:space="preserve">Tumble </t>
    </r>
    <r>
      <rPr>
        <sz val="11"/>
        <color rgb="FF000000"/>
        <rFont val="Noto Sans SC"/>
        <family val="2"/>
        <charset val="134"/>
      </rPr>
      <t xml:space="preserve">后的 </t>
    </r>
    <r>
      <rPr>
        <sz val="11"/>
        <color rgb="FF000000"/>
        <rFont val="Cambria"/>
        <family val="0"/>
        <charset val="1"/>
      </rPr>
      <t xml:space="preserve">RTP </t>
    </r>
    <r>
      <rPr>
        <sz val="11"/>
        <color rgb="FF000000"/>
        <rFont val="Noto Sans SC"/>
        <family val="2"/>
        <charset val="134"/>
      </rPr>
      <t xml:space="preserve">区间</t>
    </r>
  </si>
  <si>
    <t xml:space="preserve">0.7138 ~ 0.7641</t>
  </si>
  <si>
    <r>
      <rPr>
        <sz val="11"/>
        <color rgb="FF808080"/>
        <rFont val="Noto Sans SC"/>
        <family val="2"/>
        <charset val="134"/>
      </rPr>
      <t xml:space="preserve">【</t>
    </r>
    <r>
      <rPr>
        <sz val="11"/>
        <color rgb="FF808080"/>
        <rFont val="Cambria"/>
        <family val="0"/>
        <charset val="1"/>
      </rPr>
      <t xml:space="preserve">5</t>
    </r>
    <r>
      <rPr>
        <sz val="11"/>
        <color rgb="FF808080"/>
        <rFont val="Noto Sans SC"/>
        <family val="2"/>
        <charset val="134"/>
      </rPr>
      <t xml:space="preserve">】【</t>
    </r>
    <r>
      <rPr>
        <sz val="11"/>
        <color rgb="FF808080"/>
        <rFont val="Cambria"/>
        <family val="0"/>
        <charset val="1"/>
      </rPr>
      <t xml:space="preserve">6</t>
    </r>
    <r>
      <rPr>
        <sz val="11"/>
        <color rgb="FF808080"/>
        <rFont val="Noto Sans SC"/>
        <family val="2"/>
        <charset val="134"/>
      </rPr>
      <t xml:space="preserve">】两表用于示范「按个数分布 </t>
    </r>
    <r>
      <rPr>
        <sz val="11"/>
        <color rgb="FF808080"/>
        <rFont val="Cambria"/>
        <family val="0"/>
        <charset val="1"/>
      </rPr>
      <t xml:space="preserve">× </t>
    </r>
    <r>
      <rPr>
        <sz val="11"/>
        <color rgb="FF808080"/>
        <rFont val="Noto Sans SC"/>
        <family val="2"/>
        <charset val="134"/>
      </rPr>
      <t xml:space="preserve">情形加权」的 </t>
    </r>
    <r>
      <rPr>
        <sz val="11"/>
        <color rgb="FF808080"/>
        <rFont val="Cambria"/>
        <family val="0"/>
        <charset val="1"/>
      </rPr>
      <t xml:space="preserve">Excel </t>
    </r>
    <r>
      <rPr>
        <sz val="11"/>
        <color rgb="FF808080"/>
        <rFont val="Noto Sans SC"/>
        <family val="2"/>
        <charset val="134"/>
      </rPr>
      <t xml:space="preserve">做法（以图标</t>
    </r>
    <r>
      <rPr>
        <sz val="11"/>
        <color rgb="FF808080"/>
        <rFont val="Cambria"/>
        <family val="0"/>
        <charset val="1"/>
      </rPr>
      <t xml:space="preserve">1 </t>
    </r>
    <r>
      <rPr>
        <sz val="11"/>
        <color rgb="FF808080"/>
        <rFont val="Noto Sans SC"/>
        <family val="2"/>
        <charset val="134"/>
      </rPr>
      <t xml:space="preserve">为代表符号）；实际配表请用项目真实几率与赔率替换蓝色格。</t>
    </r>
  </si>
  <si>
    <r>
      <rPr>
        <b val="true"/>
        <sz val="11"/>
        <color rgb="FF1F4E79"/>
        <rFont val="Noto Sans SC"/>
        <family val="2"/>
        <charset val="134"/>
      </rPr>
      <t xml:space="preserve">【原文对照】普通摇图标概率配置（原文配图：</t>
    </r>
    <r>
      <rPr>
        <b val="true"/>
        <sz val="11"/>
        <color rgb="FF1F4E79"/>
        <rFont val="Cambria"/>
        <family val="0"/>
        <charset val="1"/>
      </rPr>
      <t xml:space="preserve">10,000 </t>
    </r>
    <r>
      <rPr>
        <b val="true"/>
        <sz val="11"/>
        <color rgb="FF1F4E79"/>
        <rFont val="Noto Sans SC"/>
        <family val="2"/>
        <charset val="134"/>
      </rPr>
      <t xml:space="preserve">权重制，蓝字可改）</t>
    </r>
  </si>
  <si>
    <t xml:space="preserve">图标</t>
  </si>
  <si>
    <t xml:space="preserve">配置几率</t>
  </si>
  <si>
    <t xml:space="preserve">算数几率</t>
  </si>
  <si>
    <t xml:space="preserve">加倍图标</t>
  </si>
  <si>
    <t xml:space="preserve">总计</t>
  </si>
  <si>
    <r>
      <rPr>
        <sz val="11"/>
        <color rgb="FF000000"/>
        <rFont val="Noto Sans SC"/>
        <family val="2"/>
        <charset val="134"/>
      </rPr>
      <t xml:space="preserve">原文：</t>
    </r>
    <r>
      <rPr>
        <sz val="11"/>
        <color rgb="FF000000"/>
        <rFont val="Cambria"/>
        <family val="0"/>
        <charset val="1"/>
      </rPr>
      <t xml:space="preserve">10,000 / 100.00%</t>
    </r>
  </si>
  <si>
    <r>
      <rPr>
        <b val="true"/>
        <sz val="11"/>
        <color rgb="FF1F4E79"/>
        <rFont val="Noto Sans SC"/>
        <family val="2"/>
        <charset val="134"/>
      </rPr>
      <t xml:space="preserve">【原文对照】跑数据复核（原文 </t>
    </r>
    <r>
      <rPr>
        <b val="true"/>
        <sz val="11"/>
        <color rgb="FF1F4E79"/>
        <rFont val="Cambria"/>
        <family val="0"/>
        <charset val="1"/>
      </rPr>
      <t xml:space="preserve">Python/C# </t>
    </r>
    <r>
      <rPr>
        <b val="true"/>
        <sz val="11"/>
        <color rgb="FF1F4E79"/>
        <rFont val="Noto Sans SC"/>
        <family val="2"/>
        <charset val="134"/>
      </rPr>
      <t xml:space="preserve">各跑 </t>
    </r>
    <r>
      <rPr>
        <b val="true"/>
        <sz val="11"/>
        <color rgb="FF1F4E79"/>
        <rFont val="Cambria"/>
        <family val="0"/>
        <charset val="1"/>
      </rPr>
      <t xml:space="preserve">10 </t>
    </r>
    <r>
      <rPr>
        <b val="true"/>
        <sz val="11"/>
        <color rgb="FF1F4E79"/>
        <rFont val="Noto Sans SC"/>
        <family val="2"/>
        <charset val="134"/>
      </rPr>
      <t xml:space="preserve">次的结果）</t>
    </r>
  </si>
  <si>
    <r>
      <rPr>
        <sz val="11"/>
        <color rgb="FF000000"/>
        <rFont val="Cambria"/>
        <family val="0"/>
        <charset val="1"/>
      </rPr>
      <t xml:space="preserve">10 </t>
    </r>
    <r>
      <rPr>
        <sz val="11"/>
        <color rgb="FF000000"/>
        <rFont val="Noto Sans SC"/>
        <family val="2"/>
        <charset val="134"/>
      </rPr>
      <t xml:space="preserve">次模拟 </t>
    </r>
    <r>
      <rPr>
        <sz val="11"/>
        <color rgb="FF000000"/>
        <rFont val="Cambria"/>
        <family val="0"/>
        <charset val="1"/>
      </rPr>
      <t xml:space="preserve">RTP </t>
    </r>
    <r>
      <rPr>
        <sz val="11"/>
        <color rgb="FF000000"/>
        <rFont val="Noto Sans SC"/>
        <family val="2"/>
        <charset val="134"/>
      </rPr>
      <t xml:space="preserve">均值</t>
    </r>
  </si>
  <si>
    <r>
      <rPr>
        <sz val="11"/>
        <color rgb="FF000000"/>
        <rFont val="Noto Sans SC"/>
        <family val="2"/>
        <charset val="134"/>
      </rPr>
      <t xml:space="preserve">原文：</t>
    </r>
    <r>
      <rPr>
        <sz val="11"/>
        <color rgb="FF000000"/>
        <rFont val="Cambria"/>
        <family val="0"/>
        <charset val="1"/>
      </rPr>
      <t xml:space="preserve">0.54726 ~ 0.50932 </t>
    </r>
    <r>
      <rPr>
        <sz val="11"/>
        <color rgb="FF000000"/>
        <rFont val="Noto Sans SC"/>
        <family val="2"/>
        <charset val="134"/>
      </rPr>
      <t xml:space="preserve">共 </t>
    </r>
    <r>
      <rPr>
        <sz val="11"/>
        <color rgb="FF000000"/>
        <rFont val="Cambria"/>
        <family val="0"/>
        <charset val="1"/>
      </rPr>
      <t xml:space="preserve">10 </t>
    </r>
    <r>
      <rPr>
        <sz val="11"/>
        <color rgb="FF000000"/>
        <rFont val="Noto Sans SC"/>
        <family val="2"/>
        <charset val="134"/>
      </rPr>
      <t xml:space="preserve">次</t>
    </r>
  </si>
  <si>
    <t xml:space="preserve">标准差</t>
  </si>
  <si>
    <r>
      <rPr>
        <sz val="11"/>
        <color rgb="FF000000"/>
        <rFont val="Noto Sans SC"/>
        <family val="2"/>
        <charset val="134"/>
      </rPr>
      <t xml:space="preserve">方差 </t>
    </r>
    <r>
      <rPr>
        <sz val="11"/>
        <color rgb="FF000000"/>
        <rFont val="Cambria"/>
        <family val="0"/>
        <charset val="1"/>
      </rPr>
      <t xml:space="preserve">0.000593</t>
    </r>
  </si>
  <si>
    <r>
      <rPr>
        <sz val="11"/>
        <color rgb="FF000000"/>
        <rFont val="Noto Sans SC"/>
        <family val="2"/>
        <charset val="134"/>
      </rPr>
      <t xml:space="preserve">均值 </t>
    </r>
    <r>
      <rPr>
        <sz val="11"/>
        <color rgb="FF000000"/>
        <rFont val="Cambria"/>
        <family val="0"/>
        <charset val="1"/>
      </rPr>
      <t xml:space="preserve">± 1 </t>
    </r>
    <r>
      <rPr>
        <sz val="11"/>
        <color rgb="FF000000"/>
        <rFont val="Noto Sans SC"/>
        <family val="2"/>
        <charset val="134"/>
      </rPr>
      <t xml:space="preserve">个标准差区间</t>
    </r>
  </si>
  <si>
    <t xml:space="preserve">下限</t>
  </si>
  <si>
    <r>
      <rPr>
        <sz val="11"/>
        <color rgb="FF000000"/>
        <rFont val="Noto Sans SC"/>
        <family val="2"/>
        <charset val="134"/>
      </rPr>
      <t xml:space="preserve">均值 ＋ </t>
    </r>
    <r>
      <rPr>
        <sz val="11"/>
        <color rgb="FF000000"/>
        <rFont val="Cambria"/>
        <family val="0"/>
        <charset val="1"/>
      </rPr>
      <t xml:space="preserve">1 </t>
    </r>
    <r>
      <rPr>
        <sz val="11"/>
        <color rgb="FF000000"/>
        <rFont val="Noto Sans SC"/>
        <family val="2"/>
        <charset val="134"/>
      </rPr>
      <t xml:space="preserve">个标准差</t>
    </r>
  </si>
  <si>
    <t xml:space="preserve">上限</t>
  </si>
  <si>
    <t xml:space="preserve">【配表自检】</t>
  </si>
  <si>
    <t xml:space="preserve">检查项</t>
  </si>
  <si>
    <t xml:space="preserve">结果</t>
  </si>
  <si>
    <r>
      <rPr>
        <sz val="11"/>
        <color rgb="FF000000"/>
        <rFont val="Noto Sans SC"/>
        <family val="2"/>
        <charset val="134"/>
      </rPr>
      <t xml:space="preserve">配置几率总计 ＝ </t>
    </r>
    <r>
      <rPr>
        <sz val="11"/>
        <color rgb="FF000000"/>
        <rFont val="Cambria"/>
        <family val="0"/>
        <charset val="1"/>
      </rPr>
      <t xml:space="preserve">10,000</t>
    </r>
  </si>
  <si>
    <t xml:space="preserve">原文总计</t>
  </si>
  <si>
    <r>
      <rPr>
        <sz val="11"/>
        <color rgb="FF000000"/>
        <rFont val="Cambria"/>
        <family val="0"/>
        <charset val="1"/>
      </rPr>
      <t xml:space="preserve">Scatter </t>
    </r>
    <r>
      <rPr>
        <sz val="11"/>
        <color rgb="FF000000"/>
        <rFont val="Noto Sans SC"/>
        <family val="2"/>
        <charset val="134"/>
      </rPr>
      <t xml:space="preserve">算数几率 ＝ </t>
    </r>
    <r>
      <rPr>
        <sz val="11"/>
        <color rgb="FF000000"/>
        <rFont val="Cambria"/>
        <family val="0"/>
        <charset val="1"/>
      </rPr>
      <t xml:space="preserve">3.00%</t>
    </r>
  </si>
  <si>
    <t xml:space="preserve">原文</t>
  </si>
  <si>
    <r>
      <rPr>
        <sz val="11"/>
        <color rgb="FF000000"/>
        <rFont val="Noto Sans SC"/>
        <family val="2"/>
        <charset val="134"/>
      </rPr>
      <t xml:space="preserve">加倍图标算数几率 ＝ </t>
    </r>
    <r>
      <rPr>
        <sz val="11"/>
        <color rgb="FF000000"/>
        <rFont val="Cambria"/>
        <family val="0"/>
        <charset val="1"/>
      </rPr>
      <t xml:space="preserve">0.47%</t>
    </r>
  </si>
</sst>
</file>

<file path=xl/styles.xml><?xml version="1.0" encoding="utf-8"?>
<styleSheet xmlns="http://schemas.openxmlformats.org/spreadsheetml/2006/main">
  <numFmts count="7">
    <numFmt numFmtId="164" formatCode="General"/>
    <numFmt numFmtId="165" formatCode="#,##0"/>
    <numFmt numFmtId="166" formatCode="0.00%"/>
    <numFmt numFmtId="167" formatCode="0.0000"/>
    <numFmt numFmtId="168" formatCode="0.0000%"/>
    <numFmt numFmtId="169" formatCode="0.000000%"/>
    <numFmt numFmtId="170" formatCode="0.0000000000%"/>
  </numFmts>
  <fonts count="17">
    <font>
      <sz val="11"/>
      <color theme="1"/>
      <name val="Noto Sans SC"/>
      <family val="2"/>
      <charset val="134"/>
    </font>
    <font>
      <sz val="10"/>
      <name val="Arial"/>
      <family val="0"/>
      <charset val="134"/>
    </font>
    <font>
      <sz val="10"/>
      <name val="Arial"/>
      <family val="0"/>
      <charset val="134"/>
    </font>
    <font>
      <sz val="10"/>
      <name val="Arial"/>
      <family val="0"/>
      <charset val="134"/>
    </font>
    <font>
      <b val="true"/>
      <sz val="14"/>
      <color rgb="FF1F4E79"/>
      <name val="Noto Sans SC"/>
      <family val="2"/>
      <charset val="134"/>
    </font>
    <font>
      <b val="true"/>
      <sz val="14"/>
      <color rgb="FF1F4E79"/>
      <name val="Cambria"/>
      <family val="0"/>
      <charset val="1"/>
    </font>
    <font>
      <sz val="11"/>
      <color rgb="FF808080"/>
      <name val="Noto Sans SC"/>
      <family val="2"/>
      <charset val="134"/>
    </font>
    <font>
      <sz val="11"/>
      <color rgb="FF808080"/>
      <name val="Cambria"/>
      <family val="0"/>
      <charset val="1"/>
    </font>
    <font>
      <b val="true"/>
      <sz val="11"/>
      <name val="Noto Sans SC"/>
      <family val="2"/>
      <charset val="134"/>
    </font>
    <font>
      <sz val="11"/>
      <color theme="1"/>
      <name val="Calibri"/>
      <family val="2"/>
      <charset val="1"/>
    </font>
    <font>
      <b val="true"/>
      <sz val="11"/>
      <name val="Cambria"/>
      <family val="0"/>
      <charset val="1"/>
    </font>
    <font>
      <b val="true"/>
      <sz val="11"/>
      <color rgb="FF1F4E79"/>
      <name val="Noto Sans SC"/>
      <family val="2"/>
      <charset val="134"/>
    </font>
    <font>
      <b val="true"/>
      <sz val="11"/>
      <color rgb="FF1F4E79"/>
      <name val="Cambria"/>
      <family val="0"/>
      <charset val="1"/>
    </font>
    <font>
      <sz val="11"/>
      <color rgb="FF000000"/>
      <name val="Noto Sans SC"/>
      <family val="2"/>
      <charset val="134"/>
    </font>
    <font>
      <sz val="11"/>
      <color rgb="FF0000FF"/>
      <name val="Cambria"/>
      <family val="0"/>
      <charset val="1"/>
    </font>
    <font>
      <sz val="11"/>
      <color rgb="FF000000"/>
      <name val="Cambria"/>
      <family val="0"/>
      <charset val="1"/>
    </font>
    <font>
      <sz val="11"/>
      <color rgb="FF0000FF"/>
      <name val="Noto Sans SC"/>
      <family val="2"/>
      <charset val="134"/>
    </font>
  </fonts>
  <fills count="5">
    <fill>
      <patternFill patternType="none"/>
    </fill>
    <fill>
      <patternFill patternType="gray125"/>
    </fill>
    <fill>
      <patternFill patternType="solid">
        <fgColor rgb="FFB4C7E7"/>
        <bgColor rgb="FFCCCCFF"/>
      </patternFill>
    </fill>
    <fill>
      <patternFill patternType="solid">
        <fgColor rgb="FFDEEBF7"/>
        <bgColor rgb="FFCCFFFF"/>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top" textRotation="0" wrapText="true" indent="0" shrinkToFit="false"/>
      <protection locked="true" hidden="false"/>
    </xf>
    <xf numFmtId="164" fontId="9" fillId="0" borderId="0" xfId="0" applyFont="true" applyBorder="true" applyAlignment="true" applyProtection="true">
      <alignment horizontal="general" vertical="top" textRotation="0" wrapText="true" indent="0" shrinkToFit="false"/>
      <protection locked="true" hidden="false"/>
    </xf>
    <xf numFmtId="164" fontId="9"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true" applyAlignment="true" applyProtection="true">
      <alignment horizontal="general" vertical="top" textRotation="0" wrapText="true" indent="0" shrinkToFit="false"/>
      <protection locked="true" hidden="false"/>
    </xf>
    <xf numFmtId="164" fontId="11"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11" fillId="2" borderId="0" xfId="0" applyFont="true" applyBorder="tru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11" fillId="3" borderId="0" xfId="0" applyFont="true" applyBorder="false" applyAlignment="true" applyProtection="true">
      <alignment horizontal="center" vertical="center"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5" fontId="10" fillId="4" borderId="0" xfId="0" applyFont="true" applyBorder="fals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15" fillId="0" borderId="0" xfId="0" applyFont="true" applyBorder="tru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true" applyAlignment="true" applyProtection="true">
      <alignment horizontal="general" vertical="bottom" textRotation="0" wrapText="false" indent="0" shrinkToFit="false"/>
      <protection locked="true" hidden="false"/>
    </xf>
    <xf numFmtId="166" fontId="14" fillId="0" borderId="0" xfId="0" applyFont="true" applyBorder="false" applyAlignment="true" applyProtection="true">
      <alignment horizontal="general" vertical="bottom" textRotation="0" wrapText="false" indent="0" shrinkToFit="false"/>
      <protection locked="true" hidden="false"/>
    </xf>
    <xf numFmtId="167" fontId="15" fillId="0" borderId="0" xfId="0" applyFont="true" applyBorder="false" applyAlignment="true" applyProtection="true">
      <alignment horizontal="general" vertical="bottom" textRotation="0" wrapText="false" indent="0" shrinkToFit="false"/>
      <protection locked="true" hidden="false"/>
    </xf>
    <xf numFmtId="166" fontId="15" fillId="0" borderId="0" xfId="0" applyFont="true" applyBorder="false" applyAlignment="true" applyProtection="true">
      <alignment horizontal="general" vertical="bottom" textRotation="0" wrapText="false" indent="0" shrinkToFit="false"/>
      <protection locked="true" hidden="false"/>
    </xf>
    <xf numFmtId="167" fontId="10" fillId="4" borderId="0" xfId="0" applyFont="true" applyBorder="false" applyAlignment="true" applyProtection="true">
      <alignment horizontal="general" vertical="bottom" textRotation="0" wrapText="false" indent="0" shrinkToFit="false"/>
      <protection locked="true" hidden="false"/>
    </xf>
    <xf numFmtId="168" fontId="10" fillId="4" borderId="0" xfId="0" applyFont="true" applyBorder="false" applyAlignment="true" applyProtection="true">
      <alignment horizontal="general" vertical="bottom" textRotation="0" wrapText="false" indent="0" shrinkToFit="false"/>
      <protection locked="true" hidden="false"/>
    </xf>
    <xf numFmtId="169" fontId="15" fillId="0" borderId="0" xfId="0" applyFont="true" applyBorder="false" applyAlignment="true" applyProtection="true">
      <alignment horizontal="general" vertical="bottom" textRotation="0" wrapText="false" indent="0" shrinkToFit="false"/>
      <protection locked="true" hidden="false"/>
    </xf>
    <xf numFmtId="165" fontId="15" fillId="0" borderId="0" xfId="0" applyFont="true" applyBorder="false" applyAlignment="true" applyProtection="true">
      <alignment horizontal="general" vertical="bottom" textRotation="0" wrapText="false" indent="0" shrinkToFit="false"/>
      <protection locked="true" hidden="false"/>
    </xf>
    <xf numFmtId="168" fontId="15" fillId="0" borderId="0" xfId="0" applyFont="true" applyBorder="false" applyAlignment="true" applyProtection="true">
      <alignment horizontal="general" vertical="bottom" textRotation="0" wrapText="false" indent="0" shrinkToFit="false"/>
      <protection locked="true" hidden="false"/>
    </xf>
    <xf numFmtId="168" fontId="14"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top" textRotation="0" wrapText="true" indent="0" shrinkToFit="false"/>
      <protection locked="true" hidden="false"/>
    </xf>
    <xf numFmtId="165" fontId="14" fillId="0" borderId="0" xfId="0" applyFont="true" applyBorder="false" applyAlignment="true" applyProtection="true">
      <alignment horizontal="general" vertical="bottom" textRotation="0" wrapText="false" indent="0" shrinkToFit="false"/>
      <protection locked="true" hidden="false"/>
    </xf>
    <xf numFmtId="167" fontId="14"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true" applyAlignment="true" applyProtection="true">
      <alignment horizontal="general" vertical="top" textRotation="0" indent="0" shrinkToFit="false"/>
      <protection locked="true" hidden="false"/>
    </xf>
    <xf numFmtId="164" fontId="9" fillId="0" borderId="0" xfId="0" applyFont="true" applyBorder="false" applyAlignment="true" applyProtection="true">
      <alignment horizontal="general" vertical="top" textRotation="0" indent="0" shrinkToFit="false"/>
      <protection locked="true" hidden="false"/>
    </xf>
    <xf numFmtId="164" fontId="0" fillId="0" borderId="0" xfId="0" applyFont="true" applyBorder="false" applyAlignment="true" applyProtection="true">
      <alignment horizontal="general" vertical="top" textRotation="0" indent="0" shrinkToFit="false"/>
      <protection locked="true" hidden="false"/>
    </xf>
    <xf numFmtId="164" fontId="0" fillId="0" borderId="0" xfId="0" applyFont="true" applyBorder="true" applyAlignment="true" applyProtection="true">
      <alignment horizontal="general" vertical="top" textRotation="0" indent="0" shrinkToFit="false"/>
      <protection locked="true" hidden="false"/>
    </xf>
    <xf numFmtId="164" fontId="11" fillId="0" borderId="0" xfId="0" applyFont="true" applyBorder="false" applyAlignment="true" applyProtection="true">
      <alignment horizontal="general" vertical="top" textRotation="0" indent="0" shrinkToFit="false"/>
      <protection locked="true" hidden="false"/>
    </xf>
    <xf numFmtId="0" fontId="9" fillId="0" borderId="0" xfId="0" applyFont="true" applyBorder="false" applyAlignment="true" applyProtection="true">
      <alignment horizontal="general" vertical="top" textRotation="0" wrapText="true" indent="0" shrinkToFit="false"/>
      <protection locked="true" hidden="false"/>
    </xf>
    <xf numFmtId="0" fontId="15" fillId="0" borderId="0" xfId="0" applyFont="true" applyBorder="false" applyAlignment="true" applyProtection="true">
      <alignment horizontal="general" vertical="bottom" textRotation="0" wrapText="false" indent="0" shrinkToFit="false"/>
      <protection locked="true" hidden="false"/>
    </xf>
    <xf numFmtId="170" applyNumberFormat="1" fontId="14" fillId="0" borderId="0" xfId="0" applyFont="true" applyBorder="false" applyAlignment="true" applyProtection="true">
      <alignment horizontal="general" vertical="bottom" textRotation="0" wrapText="false" indent="0" shrinkToFit="false"/>
      <protection locked="true" hidden="false"/>
    </xf>
    <xf numFmtId="170" applyNumberFormat="1" fontId="15" fillId="0" borderId="0" xfId="0" applyFont="true" applyBorder="false" applyAlignment="true" applyProtection="true">
      <alignment horizontal="general" vertical="bottom" textRotation="0" wrapText="false" indent="0" shrinkToFit="false"/>
      <protection locked="true" hidden="false"/>
    </xf>
    <xf numFmtId="170" applyNumberFormat="1" fontId="10" fillId="4" borderId="0" xfId="0" applyFont="true" applyBorder="false" applyAlignment="true" applyProtection="true">
      <alignment horizontal="general" vertical="bottom" textRotation="0" wrapText="false" indent="0" shrinkToFit="false"/>
      <protection locked="true" hidden="false"/>
    </xf>
    <xf numFmtId="170" applyNumberFormat="1" fontId="15" fillId="0" borderId="0" xfId="0" applyFont="true" applyBorder="false" applyAlignment="true" applyProtection="true">
      <alignment horizontal="general" vertical="bottom" textRotation="0" wrapText="false" indent="0" shrinkToFit="false"/>
      <protection locked="true" hidden="false"/>
    </xf>
    <xf numFmtId="170" applyNumberFormat="1" fontId="15" fillId="0" borderId="0" xfId="0" applyFont="true" applyBorder="false" applyAlignment="true" applyProtection="true">
      <alignment horizontal="general" vertical="bottom" textRotation="0" wrapText="false" indent="0" shrinkToFit="false"/>
      <protection locked="true" hidden="false"/>
    </xf>
    <xf numFmtId="170" applyNumberFormat="1" fontId="14"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E7"/>
      <rgbColor rgb="FF808080"/>
      <rgbColor rgb="FF9999FF"/>
      <rgbColor rgb="FF993366"/>
      <rgbColor rgb="FFFFFF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5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69140625" defaultRowHeight="15" customHeight="false" zeroHeight="false" outlineLevelRow="0" outlineLevelCol="0"/>
  <cols>
    <col collapsed="false" customWidth="true" hidden="false" outlineLevel="0" max="1" min="1" style="0" width="42.14"/>
  </cols>
  <sheetData>
    <row r="1" customFormat="false" ht="19" hidden="false" customHeight="false" outlineLevel="0" collapsed="false">
      <c r="A1" s="1" t="s">
        <v>0</v>
      </c>
    </row>
    <row r="3" customFormat="false" ht="15.5" hidden="false" customHeight="false" outlineLevel="0" collapsed="false">
      <c r="A3" s="2" t="s">
        <v>1</v>
      </c>
    </row>
    <row r="4" customFormat="false" ht="15.5" hidden="false" customHeight="false" outlineLevel="0" collapsed="false">
      <c r="A4" s="2" t="s">
        <v>2</v>
      </c>
    </row>
    <row r="6" customFormat="false" ht="15" hidden="false" customHeight="false" outlineLevel="0" collapsed="false">
      <c r="A6" s="3" t="s">
        <v>3</v>
      </c>
    </row>
    <row r="7" customFormat="false" ht="15" hidden="false" customHeight="1" outlineLevel="0" collapsed="false">
      <c r="A7" s="33" t="s">
        <v>4</v>
      </c>
      <c r="B7" s="4"/>
      <c r="C7" s="4"/>
    </row>
    <row r="9" customFormat="false" ht="15" hidden="false" customHeight="false" outlineLevel="0" collapsed="false">
      <c r="A9" s="3" t="s">
        <v>5</v>
      </c>
    </row>
    <row r="10" customFormat="false" ht="29" hidden="false" customHeight="false" outlineLevel="0" collapsed="false">
      <c r="A10" s="34" t="s">
        <v>6</v>
      </c>
    </row>
    <row r="11" customFormat="false" ht="30" hidden="false" customHeight="false" outlineLevel="0" collapsed="false">
      <c r="A11" s="34" t="s">
        <v>7</v>
      </c>
    </row>
    <row r="12" customFormat="false" ht="30" hidden="false" customHeight="false" outlineLevel="0" collapsed="false">
      <c r="A12" s="34" t="s">
        <v>8</v>
      </c>
    </row>
    <row r="13" customFormat="false" ht="15" hidden="false" customHeight="1" outlineLevel="0" collapsed="false">
      <c r="A13" s="33" t="s">
        <v>9</v>
      </c>
      <c r="B13" s="4"/>
      <c r="C13" s="4"/>
    </row>
    <row r="15" customFormat="false" ht="15.5" hidden="false" customHeight="false" outlineLevel="0" collapsed="false">
      <c r="A15" s="3" t="s">
        <v>10</v>
      </c>
    </row>
    <row r="16" customFormat="false" ht="28" hidden="false" customHeight="false" outlineLevel="0" collapsed="false">
      <c r="A16" s="35" t="s">
        <v>11</v>
      </c>
    </row>
    <row r="17" customFormat="false" ht="15" hidden="false" customHeight="1" outlineLevel="0" collapsed="false">
      <c r="A17" s="36" t="s">
        <v>12</v>
      </c>
      <c r="B17" s="7"/>
      <c r="C17" s="7"/>
    </row>
    <row r="18" customFormat="false" ht="28" hidden="false" customHeight="false" outlineLevel="0" collapsed="false">
      <c r="A18" s="35" t="s">
        <v>13</v>
      </c>
    </row>
    <row r="20" customFormat="false" ht="15" hidden="false" customHeight="false" outlineLevel="0" collapsed="false">
      <c r="A20" s="3" t="s">
        <v>14</v>
      </c>
    </row>
    <row r="21" customFormat="false" ht="15" hidden="false" customHeight="1" outlineLevel="0" collapsed="false">
      <c r="A21" s="36" t="s">
        <v>15</v>
      </c>
      <c r="B21" s="7"/>
      <c r="C21" s="7"/>
      <c r="D21" s="7"/>
    </row>
    <row r="22" customFormat="false" ht="15" hidden="false" customHeight="false" outlineLevel="0" collapsed="false">
      <c r="A22" s="6" t="s">
        <v>16</v>
      </c>
    </row>
    <row r="23" customFormat="false" ht="28" hidden="false" customHeight="false" outlineLevel="0" collapsed="false">
      <c r="A23" s="35" t="s">
        <v>17</v>
      </c>
    </row>
    <row r="24" customFormat="false" ht="30" hidden="false" customHeight="false" outlineLevel="0" collapsed="false">
      <c r="A24" s="35" t="s">
        <v>18</v>
      </c>
    </row>
    <row r="25" customFormat="false" ht="29" hidden="false" customHeight="false" outlineLevel="0" collapsed="false">
      <c r="A25" s="35" t="s">
        <v>19</v>
      </c>
    </row>
    <row r="26" customFormat="false" ht="44" hidden="false" customHeight="false" outlineLevel="0" collapsed="false">
      <c r="A26" s="35" t="s">
        <v>20</v>
      </c>
    </row>
    <row r="28" customFormat="false" ht="15" hidden="false" customHeight="false" outlineLevel="0" collapsed="false">
      <c r="A28" s="3" t="s">
        <v>21</v>
      </c>
    </row>
    <row r="29" customFormat="false" ht="16" hidden="false" customHeight="false" outlineLevel="0" collapsed="false">
      <c r="A29" s="5" t="s">
        <v>22</v>
      </c>
    </row>
    <row r="30" customFormat="false" ht="15" hidden="false" customHeight="1" outlineLevel="0" collapsed="false">
      <c r="A30" s="33" t="s">
        <v>23</v>
      </c>
      <c r="B30" s="4"/>
      <c r="C30" s="4"/>
    </row>
    <row r="31" customFormat="false" ht="30" hidden="false" customHeight="false" outlineLevel="0" collapsed="false">
      <c r="A31" s="34" t="s">
        <v>24</v>
      </c>
    </row>
    <row r="33" customFormat="false" ht="15" hidden="false" customHeight="false" outlineLevel="0" collapsed="false">
      <c r="A33" s="3" t="s">
        <v>25</v>
      </c>
    </row>
    <row r="34" customFormat="false" ht="15" hidden="false" customHeight="1" outlineLevel="0" collapsed="false">
      <c r="A34" s="36" t="s">
        <v>26</v>
      </c>
      <c r="B34" s="7"/>
      <c r="C34" s="7"/>
      <c r="D34" s="7"/>
    </row>
    <row r="35" customFormat="false" ht="29" hidden="false" customHeight="false" outlineLevel="0" collapsed="false">
      <c r="A35" s="35" t="s">
        <v>27</v>
      </c>
    </row>
    <row r="36" customFormat="false" ht="30" hidden="false" customHeight="false" outlineLevel="0" collapsed="false">
      <c r="A36" s="35" t="s">
        <v>28</v>
      </c>
    </row>
    <row r="38" customFormat="false" ht="15" hidden="false" customHeight="false" outlineLevel="0" collapsed="false">
      <c r="A38" s="3" t="s">
        <v>29</v>
      </c>
    </row>
    <row r="39" customFormat="false" ht="15" hidden="false" customHeight="1" outlineLevel="0" collapsed="false">
      <c r="A39" s="36" t="s">
        <v>30</v>
      </c>
      <c r="B39" s="7"/>
      <c r="C39" s="7"/>
      <c r="D39" s="7"/>
    </row>
    <row r="40" customFormat="false" ht="15" hidden="false" customHeight="1" outlineLevel="0" collapsed="false">
      <c r="A40" s="36" t="s">
        <v>31</v>
      </c>
      <c r="B40" s="7"/>
      <c r="C40" s="7"/>
      <c r="D40" s="7"/>
      <c r="E40" s="7"/>
      <c r="F40" s="7"/>
      <c r="G40" s="7"/>
    </row>
    <row r="43" customFormat="false" ht="15" hidden="false" customHeight="false" outlineLevel="0" collapsed="false">
      <c r="A43" s="8" t="s">
        <v>32</v>
      </c>
    </row>
    <row r="44" customFormat="false" ht="15" hidden="false" customHeight="false" outlineLevel="0" collapsed="false">
      <c r="A44" s="6"/>
    </row>
    <row r="45" customFormat="false" ht="30" hidden="false" customHeight="false" outlineLevel="0" collapsed="false">
      <c r="A45" s="35" t="s">
        <v>33</v>
      </c>
    </row>
    <row r="46" customFormat="false" ht="29" hidden="false" customHeight="false" outlineLevel="0" collapsed="false">
      <c r="A46" s="35" t="s">
        <v>34</v>
      </c>
    </row>
    <row r="47" customFormat="false" ht="15" hidden="false" customHeight="false" outlineLevel="0" collapsed="false">
      <c r="A47" s="6"/>
    </row>
    <row r="48" customFormat="false" ht="16" hidden="false" customHeight="false" outlineLevel="0" collapsed="false">
      <c r="A48" s="6" t="s">
        <v>35</v>
      </c>
    </row>
    <row r="49" customFormat="false" ht="30" hidden="false" customHeight="false" outlineLevel="0" collapsed="false">
      <c r="A49" s="35" t="s">
        <v>36</v>
      </c>
    </row>
    <row r="50" customFormat="false" ht="29" hidden="false" customHeight="false" outlineLevel="0" collapsed="false">
      <c r="A50" s="35" t="s">
        <v>37</v>
      </c>
    </row>
    <row r="51" customFormat="false" ht="15" hidden="false" customHeight="false" outlineLevel="0" collapsed="false">
      <c r="A51" s="6" t="s">
        <v>38</v>
      </c>
    </row>
    <row r="52" customFormat="false" ht="16" hidden="false" customHeight="false" outlineLevel="0" collapsed="false">
      <c r="A52" s="6" t="s">
        <v>39</v>
      </c>
    </row>
    <row r="53" customFormat="false" ht="15" hidden="false" customHeight="false" outlineLevel="0" collapsed="false">
      <c r="A53" s="6" t="s">
        <v>40</v>
      </c>
    </row>
    <row r="54" customFormat="false" ht="16" hidden="false" customHeight="false" outlineLevel="0" collapsed="false">
      <c r="A54" s="38">
        <v>9</v>
      </c>
    </row>
    <row r="55" customFormat="false" ht="16" hidden="false" customHeight="false" outlineLevel="0" collapsed="false">
      <c r="A55" s="38">
        <v>2</v>
      </c>
    </row>
    <row r="56" customFormat="false" ht="16" hidden="false" customHeight="false" outlineLevel="0" collapsed="false">
      <c r="A56" s="6" t="s">
        <v>43</v>
      </c>
    </row>
    <row r="57" customFormat="false" ht="28" hidden="false" customHeight="false" outlineLevel="0" collapsed="false">
      <c r="A57" s="35" t="s">
        <v>44</v>
      </c>
    </row>
    <row r="58" customFormat="false" ht="30" hidden="false" customHeight="false" outlineLevel="0" collapsed="false">
      <c r="A58" s="35" t="s">
        <v>45</v>
      </c>
    </row>
    <row r="59" customFormat="false" ht="16" hidden="false" customHeight="false" outlineLevel="0" collapsed="false">
      <c r="A59" s="6" t="s">
        <v>46</v>
      </c>
    </row>
    <row r="60" customFormat="false" ht="28" hidden="false" customHeight="false" outlineLevel="0" collapsed="false">
      <c r="A60" s="35" t="s">
        <v>47</v>
      </c>
    </row>
    <row r="61" customFormat="false" ht="15" hidden="false" customHeight="false" outlineLevel="0" collapsed="false">
      <c r="A61" s="6"/>
    </row>
    <row r="62" customFormat="false" ht="16" hidden="false" customHeight="false" outlineLevel="0" collapsed="false">
      <c r="A62" s="6" t="s">
        <v>48</v>
      </c>
    </row>
    <row r="63" customFormat="false" ht="15" hidden="false" customHeight="false" outlineLevel="0" collapsed="false">
      <c r="A63" s="6"/>
    </row>
    <row r="64" customFormat="false" ht="16" hidden="false" customHeight="false" outlineLevel="0" collapsed="false">
      <c r="A64" s="6" t="s">
        <v>49</v>
      </c>
    </row>
    <row r="65" customFormat="false" ht="15" hidden="false" customHeight="false" outlineLevel="0" collapsed="false">
      <c r="A65" s="6"/>
    </row>
    <row r="66" customFormat="false" ht="16" hidden="false" customHeight="false" outlineLevel="0" collapsed="false">
      <c r="A66" s="35" t="s">
        <v>50</v>
      </c>
    </row>
    <row r="67" customFormat="false" ht="15" hidden="false" customHeight="1" outlineLevel="0" collapsed="false">
      <c r="A67" s="36" t="s">
        <v>51</v>
      </c>
      <c r="B67" s="7"/>
      <c r="C67" s="7"/>
      <c r="D67" s="7"/>
      <c r="E67" s="7"/>
      <c r="F67" s="7"/>
    </row>
    <row r="68" customFormat="false" ht="30" hidden="false" customHeight="false" outlineLevel="0" collapsed="false">
      <c r="A68" s="35" t="s">
        <v>52</v>
      </c>
    </row>
    <row r="69" customFormat="false" ht="16" hidden="false" customHeight="false" outlineLevel="0" collapsed="false">
      <c r="A69" s="5" t="s">
        <v>53</v>
      </c>
    </row>
    <row r="70" customFormat="false" ht="16" hidden="false" customHeight="false" outlineLevel="0" collapsed="false">
      <c r="A70" s="5" t="s">
        <v>54</v>
      </c>
    </row>
    <row r="71" customFormat="false" ht="16" hidden="false" customHeight="false" outlineLevel="0" collapsed="false">
      <c r="A71" s="5" t="s">
        <v>55</v>
      </c>
    </row>
    <row r="72" customFormat="false" ht="16" hidden="false" customHeight="false" outlineLevel="0" collapsed="false">
      <c r="A72" s="5" t="s">
        <v>56</v>
      </c>
    </row>
    <row r="73" customFormat="false" ht="15" hidden="false" customHeight="false" outlineLevel="0" collapsed="false">
      <c r="A73" s="6"/>
    </row>
    <row r="74" customFormat="false" ht="15" hidden="false" customHeight="false" outlineLevel="0" collapsed="false">
      <c r="A74" s="6" t="s">
        <v>57</v>
      </c>
    </row>
    <row r="75" customFormat="false" ht="15" hidden="false" customHeight="false" outlineLevel="0" collapsed="false">
      <c r="A75" s="6" t="s">
        <v>58</v>
      </c>
    </row>
    <row r="76" customFormat="false" ht="30" hidden="false" customHeight="false" outlineLevel="0" collapsed="false">
      <c r="A76" s="34" t="s">
        <v>59</v>
      </c>
    </row>
    <row r="77" customFormat="false" ht="42" hidden="false" customHeight="false" outlineLevel="0" collapsed="false">
      <c r="A77" s="35" t="s">
        <v>60</v>
      </c>
    </row>
    <row r="78" customFormat="false" ht="15" hidden="false" customHeight="false" outlineLevel="0" collapsed="false">
      <c r="A78" s="6"/>
    </row>
    <row r="79" customFormat="false" ht="16" hidden="false" customHeight="false" outlineLevel="0" collapsed="false">
      <c r="A79" s="6" t="s">
        <v>61</v>
      </c>
    </row>
    <row r="80" customFormat="false" ht="15" hidden="false" customHeight="false" outlineLevel="0" collapsed="false">
      <c r="A80" s="6"/>
    </row>
    <row r="81" customFormat="false" ht="41" hidden="false" customHeight="false" outlineLevel="0" collapsed="false">
      <c r="A81" s="35" t="s">
        <v>62</v>
      </c>
    </row>
    <row r="82" customFormat="false" ht="15" hidden="false" customHeight="false" outlineLevel="0" collapsed="false">
      <c r="A82" s="6"/>
    </row>
    <row r="83" customFormat="false" ht="15" hidden="false" customHeight="false" outlineLevel="0" collapsed="false">
      <c r="A83" s="6" t="s">
        <v>63</v>
      </c>
    </row>
    <row r="84" customFormat="false" ht="28" hidden="false" customHeight="false" outlineLevel="0" collapsed="false">
      <c r="A84" s="35" t="s">
        <v>64</v>
      </c>
    </row>
    <row r="85" customFormat="false" ht="28" hidden="false" customHeight="false" outlineLevel="0" collapsed="false">
      <c r="A85" s="35" t="s">
        <v>65</v>
      </c>
    </row>
    <row r="86" customFormat="false" ht="15" hidden="false" customHeight="false" outlineLevel="0" collapsed="false">
      <c r="A86" s="6" t="s">
        <v>66</v>
      </c>
    </row>
    <row r="87" customFormat="false" ht="15" hidden="false" customHeight="false" outlineLevel="0" collapsed="false">
      <c r="A87" s="6"/>
    </row>
    <row r="88" customFormat="false" ht="16" hidden="false" customHeight="false" outlineLevel="0" collapsed="false">
      <c r="A88" s="6" t="s">
        <v>67</v>
      </c>
    </row>
    <row r="89" customFormat="false" ht="15" hidden="false" customHeight="false" outlineLevel="0" collapsed="false">
      <c r="A89" s="6"/>
    </row>
    <row r="90" customFormat="false" ht="28" hidden="false" customHeight="false" outlineLevel="0" collapsed="false">
      <c r="A90" s="35" t="s">
        <v>68</v>
      </c>
    </row>
    <row r="91" customFormat="false" ht="28" hidden="false" customHeight="false" outlineLevel="0" collapsed="false">
      <c r="A91" s="35" t="s">
        <v>69</v>
      </c>
    </row>
    <row r="92" customFormat="false" ht="15" hidden="false" customHeight="false" outlineLevel="0" collapsed="false">
      <c r="A92" s="6"/>
    </row>
    <row r="93" customFormat="false" ht="15" hidden="false" customHeight="false" outlineLevel="0" collapsed="false">
      <c r="A93" s="6" t="s">
        <v>70</v>
      </c>
    </row>
    <row r="94" customFormat="false" ht="43" hidden="false" customHeight="false" outlineLevel="0" collapsed="false">
      <c r="A94" s="35" t="s">
        <v>71</v>
      </c>
    </row>
    <row r="95" customFormat="false" ht="28" hidden="false" customHeight="false" outlineLevel="0" collapsed="false">
      <c r="A95" s="35" t="s">
        <v>72</v>
      </c>
    </row>
    <row r="96" customFormat="false" ht="15" hidden="false" customHeight="false" outlineLevel="0" collapsed="false">
      <c r="A96" s="6"/>
    </row>
    <row r="97" customFormat="false" ht="16" hidden="false" customHeight="false" outlineLevel="0" collapsed="false">
      <c r="A97" s="6" t="s">
        <v>73</v>
      </c>
    </row>
    <row r="98" customFormat="false" ht="15" hidden="false" customHeight="false" outlineLevel="0" collapsed="false">
      <c r="A98" s="6"/>
    </row>
    <row r="99" customFormat="false" ht="16" hidden="false" customHeight="false" outlineLevel="0" collapsed="false">
      <c r="A99" s="6" t="s">
        <v>74</v>
      </c>
    </row>
    <row r="100" customFormat="false" ht="30" hidden="false" customHeight="false" outlineLevel="0" collapsed="false">
      <c r="A100" s="35" t="s">
        <v>75</v>
      </c>
    </row>
    <row r="101" customFormat="false" ht="28" hidden="false" customHeight="false" outlineLevel="0" collapsed="false">
      <c r="A101" s="35" t="s">
        <v>76</v>
      </c>
    </row>
    <row r="102" customFormat="false" ht="15" hidden="false" customHeight="1" outlineLevel="0" collapsed="false">
      <c r="A102" s="33" t="s">
        <v>77</v>
      </c>
      <c r="B102" s="4"/>
      <c r="C102" s="4"/>
      <c r="D102" s="4"/>
      <c r="E102" s="4"/>
      <c r="F102" s="4"/>
    </row>
    <row r="103" customFormat="false" ht="15" hidden="false" customHeight="false" outlineLevel="0" collapsed="false">
      <c r="A103" s="6"/>
    </row>
    <row r="104" customFormat="false" ht="16" hidden="false" customHeight="false" outlineLevel="0" collapsed="false">
      <c r="A104" s="6" t="s">
        <v>78</v>
      </c>
    </row>
    <row r="105" customFormat="false" ht="15" hidden="false" customHeight="false" outlineLevel="0" collapsed="false">
      <c r="A105" s="6"/>
    </row>
    <row r="106" customFormat="false" ht="16" hidden="false" customHeight="false" outlineLevel="0" collapsed="false">
      <c r="A106" s="35" t="s">
        <v>79</v>
      </c>
    </row>
    <row r="107" customFormat="false" ht="15" hidden="false" customHeight="false" outlineLevel="0" collapsed="false">
      <c r="A107" s="6"/>
    </row>
    <row r="108" customFormat="false" ht="16" hidden="false" customHeight="false" outlineLevel="0" collapsed="false">
      <c r="A108" s="6" t="s">
        <v>80</v>
      </c>
    </row>
    <row r="109" customFormat="false" ht="15" hidden="false" customHeight="1" outlineLevel="0" collapsed="false">
      <c r="A109" s="36" t="s">
        <v>81</v>
      </c>
      <c r="B109" s="7"/>
      <c r="C109" s="7"/>
      <c r="D109" s="7"/>
      <c r="E109" s="7"/>
    </row>
    <row r="110" customFormat="false" ht="15" hidden="false" customHeight="false" outlineLevel="0" collapsed="false">
      <c r="A110" s="6"/>
    </row>
    <row r="111" customFormat="false" ht="16" hidden="false" customHeight="false" outlineLevel="0" collapsed="false">
      <c r="A111" s="6" t="s">
        <v>82</v>
      </c>
    </row>
    <row r="112" customFormat="false" ht="15" hidden="false" customHeight="false" outlineLevel="0" collapsed="false">
      <c r="A112" s="6"/>
    </row>
    <row r="113" customFormat="false" ht="16" hidden="false" customHeight="false" outlineLevel="0" collapsed="false">
      <c r="A113" s="6" t="s">
        <v>83</v>
      </c>
    </row>
    <row r="114" customFormat="false" ht="15" hidden="false" customHeight="false" outlineLevel="0" collapsed="false">
      <c r="A114" s="6"/>
    </row>
    <row r="115" customFormat="false" ht="15" hidden="false" customHeight="1" outlineLevel="0" collapsed="false">
      <c r="A115" s="36" t="s">
        <v>84</v>
      </c>
      <c r="B115" s="7"/>
      <c r="C115" s="7"/>
      <c r="D115" s="7"/>
      <c r="E115" s="7"/>
      <c r="F115" s="7"/>
      <c r="G115" s="7"/>
      <c r="H115" s="7"/>
      <c r="I115" s="7"/>
    </row>
    <row r="116" customFormat="false" ht="15" hidden="false" customHeight="false" outlineLevel="0" collapsed="false">
      <c r="A116" s="6"/>
    </row>
    <row r="117" customFormat="false" ht="16" hidden="false" customHeight="false" outlineLevel="0" collapsed="false">
      <c r="A117" s="6" t="s">
        <v>85</v>
      </c>
    </row>
    <row r="118" customFormat="false" ht="15" hidden="false" customHeight="false" outlineLevel="0" collapsed="false">
      <c r="A118" s="6"/>
    </row>
    <row r="119" customFormat="false" ht="43" hidden="false" customHeight="false" outlineLevel="0" collapsed="false">
      <c r="A119" s="35" t="s">
        <v>86</v>
      </c>
    </row>
    <row r="120" customFormat="false" ht="16" hidden="false" customHeight="false" outlineLevel="0" collapsed="false">
      <c r="A120" s="6" t="s">
        <v>87</v>
      </c>
    </row>
    <row r="121" customFormat="false" ht="15" hidden="false" customHeight="false" outlineLevel="0" collapsed="false">
      <c r="A121" s="6"/>
    </row>
    <row r="122" customFormat="false" ht="16" hidden="false" customHeight="false" outlineLevel="0" collapsed="false">
      <c r="A122" s="6" t="s">
        <v>88</v>
      </c>
    </row>
    <row r="123" customFormat="false" ht="15" hidden="false" customHeight="false" outlineLevel="0" collapsed="false">
      <c r="A123" s="6"/>
    </row>
    <row r="124" customFormat="false" ht="15" hidden="false" customHeight="false" outlineLevel="0" collapsed="false">
      <c r="A124" s="6" t="s">
        <v>89</v>
      </c>
    </row>
    <row r="125" customFormat="false" ht="15" hidden="false" customHeight="1" outlineLevel="0" collapsed="false">
      <c r="A125" s="36" t="s">
        <v>90</v>
      </c>
      <c r="B125" s="7"/>
      <c r="C125" s="7"/>
      <c r="D125" s="7"/>
      <c r="E125" s="7"/>
      <c r="F125" s="7"/>
      <c r="G125" s="7"/>
      <c r="H125" s="7"/>
      <c r="I125" s="7"/>
    </row>
    <row r="126" customFormat="false" ht="30" hidden="false" customHeight="false" outlineLevel="0" collapsed="false">
      <c r="A126" s="35" t="s">
        <v>91</v>
      </c>
    </row>
    <row r="127" customFormat="false" ht="15" hidden="false" customHeight="false" outlineLevel="0" collapsed="false">
      <c r="A127" s="6"/>
    </row>
    <row r="128" customFormat="false" ht="16" hidden="false" customHeight="false" outlineLevel="0" collapsed="false">
      <c r="A128" s="6" t="s">
        <v>92</v>
      </c>
    </row>
    <row r="129" customFormat="false" ht="15" hidden="false" customHeight="false" outlineLevel="0" collapsed="false">
      <c r="A129" s="6"/>
    </row>
    <row r="130" customFormat="false" ht="16" hidden="false" customHeight="false" outlineLevel="0" collapsed="false">
      <c r="A130" s="6" t="s">
        <v>93</v>
      </c>
    </row>
    <row r="131" customFormat="false" ht="15" hidden="false" customHeight="false" outlineLevel="0" collapsed="false">
      <c r="A131" s="6"/>
    </row>
    <row r="132" customFormat="false" ht="15" hidden="false" customHeight="1" outlineLevel="0" collapsed="false">
      <c r="A132" s="36" t="s">
        <v>94</v>
      </c>
      <c r="B132" s="7"/>
      <c r="C132" s="7"/>
      <c r="D132" s="7"/>
      <c r="E132" s="7"/>
      <c r="F132" s="7"/>
    </row>
    <row r="133" customFormat="false" ht="15" hidden="false" customHeight="false" outlineLevel="0" collapsed="false">
      <c r="A133" s="6"/>
    </row>
    <row r="134" customFormat="false" ht="16" hidden="false" customHeight="false" outlineLevel="0" collapsed="false">
      <c r="A134" s="6" t="s">
        <v>95</v>
      </c>
    </row>
    <row r="135" customFormat="false" ht="15" hidden="false" customHeight="false" outlineLevel="0" collapsed="false">
      <c r="A135" s="6"/>
    </row>
    <row r="136" customFormat="false" ht="16" hidden="false" customHeight="false" outlineLevel="0" collapsed="false">
      <c r="A136" s="35" t="s">
        <v>96</v>
      </c>
    </row>
    <row r="137" customFormat="false" ht="15" hidden="false" customHeight="false" outlineLevel="0" collapsed="false">
      <c r="A137" s="6"/>
    </row>
    <row r="138" customFormat="false" ht="29" hidden="false" customHeight="false" outlineLevel="0" collapsed="false">
      <c r="A138" s="35" t="s">
        <v>97</v>
      </c>
    </row>
    <row r="139" customFormat="false" ht="30" hidden="false" customHeight="false" outlineLevel="0" collapsed="false">
      <c r="A139" s="35" t="s">
        <v>98</v>
      </c>
    </row>
    <row r="140" customFormat="false" ht="15" hidden="false" customHeight="false" outlineLevel="0" collapsed="false">
      <c r="A140" s="6"/>
    </row>
    <row r="141" customFormat="false" ht="29" hidden="false" customHeight="false" outlineLevel="0" collapsed="false">
      <c r="A141" s="37" t="s">
        <v>99</v>
      </c>
    </row>
    <row r="142" customFormat="false" ht="16" hidden="false" customHeight="false" outlineLevel="0" collapsed="false">
      <c r="A142" s="6" t="s">
        <v>48</v>
      </c>
    </row>
    <row r="143" customFormat="false" ht="16" hidden="false" customHeight="false" outlineLevel="0" collapsed="false">
      <c r="A143" s="6" t="s">
        <v>61</v>
      </c>
    </row>
    <row r="144" customFormat="false" ht="16" hidden="false" customHeight="false" outlineLevel="0" collapsed="false">
      <c r="A144" s="6" t="s">
        <v>67</v>
      </c>
    </row>
    <row r="145" customFormat="false" ht="16" hidden="false" customHeight="false" outlineLevel="0" collapsed="false">
      <c r="A145" s="6" t="s">
        <v>73</v>
      </c>
    </row>
    <row r="146" customFormat="false" ht="16" hidden="false" customHeight="false" outlineLevel="0" collapsed="false">
      <c r="A146" s="6" t="s">
        <v>78</v>
      </c>
    </row>
    <row r="147" customFormat="false" ht="16" hidden="false" customHeight="false" outlineLevel="0" collapsed="false">
      <c r="A147" s="6" t="s">
        <v>82</v>
      </c>
    </row>
    <row r="148" customFormat="false" ht="16" hidden="false" customHeight="false" outlineLevel="0" collapsed="false">
      <c r="A148" s="6" t="s">
        <v>85</v>
      </c>
    </row>
    <row r="149" customFormat="false" ht="16" hidden="false" customHeight="false" outlineLevel="0" collapsed="false">
      <c r="A149" s="6" t="s">
        <v>88</v>
      </c>
    </row>
    <row r="150" customFormat="false" ht="16" hidden="false" customHeight="false" outlineLevel="0" collapsed="false">
      <c r="A150" s="6" t="s">
        <v>92</v>
      </c>
    </row>
    <row r="151" customFormat="false" ht="16" hidden="false" customHeight="false" outlineLevel="0" collapsed="false">
      <c r="A151" s="6" t="s">
        <v>95</v>
      </c>
    </row>
    <row r="152" customFormat="false" ht="15" hidden="false" customHeight="false" outlineLevel="0" collapsed="false">
      <c r="A152" s="6"/>
    </row>
    <row r="153" customFormat="false" ht="15.5" hidden="false" customHeight="false" outlineLevel="0" collapsed="false">
      <c r="A153" s="8" t="s">
        <v>100</v>
      </c>
    </row>
    <row r="154" customFormat="false" ht="29" hidden="false" customHeight="false" outlineLevel="0" collapsed="false">
      <c r="A154" s="34" t="s">
        <v>101</v>
      </c>
    </row>
    <row r="155" customFormat="false" ht="29" hidden="false" customHeight="false" outlineLevel="0" collapsed="false">
      <c r="A155" s="34" t="s">
        <v>102</v>
      </c>
    </row>
  </sheetData>
  <mergeCells count="14">
    <mergeCell ref="A7:J7"/>
    <mergeCell ref="A13:J13"/>
    <mergeCell ref="A17:J17"/>
    <mergeCell ref="A21:L21"/>
    <mergeCell ref="A30:I30"/>
    <mergeCell ref="A34:K34"/>
    <mergeCell ref="A39:K39"/>
    <mergeCell ref="A40:P40"/>
    <mergeCell ref="A67:N67"/>
    <mergeCell ref="A102:N102"/>
    <mergeCell ref="A109:M109"/>
    <mergeCell ref="A115:T115"/>
    <mergeCell ref="A125:X125"/>
    <mergeCell ref="A132:O1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ignoredErrors>
    <ignoredError sqref="A1:N175" evalError="1" twoDigitTextYear="1" numberStoredAsText="1" formula="1" formulaRange="1" unlockedFormula="1" emptyCellReference="1" listDataValidation="1" calculatedColumn="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69140625" defaultRowHeight="15" customHeight="false" zeroHeight="false" outlineLevelRow="0" outlineLevelCol="0"/>
  <cols>
    <col collapsed="false" customWidth="true" hidden="false" outlineLevel="0" max="1" min="1" style="9" width="27.31"/>
    <col collapsed="false" customWidth="true" hidden="false" outlineLevel="0" max="7" min="2" style="9" width="14.56"/>
    <col collapsed="false" customWidth="true" hidden="false" outlineLevel="0" max="8" min="8" style="9" width="49.13"/>
  </cols>
  <sheetData>
    <row r="1" customFormat="false" ht="19" hidden="false" customHeight="false" outlineLevel="0" collapsed="false">
      <c r="A1" s="10" t="s">
        <v>103</v>
      </c>
      <c r="B1" s="10"/>
      <c r="C1" s="10"/>
      <c r="D1" s="10"/>
      <c r="E1" s="10"/>
    </row>
    <row r="3" customFormat="false" ht="15.5" hidden="false" customHeight="false" outlineLevel="0" collapsed="false">
      <c r="A3" s="11" t="s">
        <v>104</v>
      </c>
      <c r="B3" s="11"/>
      <c r="C3" s="11"/>
      <c r="D3" s="12"/>
      <c r="E3" s="12"/>
      <c r="F3" s="12"/>
      <c r="G3" s="12"/>
      <c r="H3" s="12"/>
    </row>
    <row r="4" customFormat="false" ht="15.5" hidden="false" customHeight="false" outlineLevel="0" collapsed="false">
      <c r="A4" s="13" t="s">
        <v>105</v>
      </c>
      <c r="B4" s="13" t="s">
        <v>106</v>
      </c>
      <c r="C4" s="13" t="s">
        <v>107</v>
      </c>
      <c r="D4" s="13"/>
      <c r="E4" s="13"/>
    </row>
    <row r="5" customFormat="false" ht="15" hidden="false" customHeight="false" outlineLevel="0" collapsed="false">
      <c r="A5" s="14" t="s">
        <v>108</v>
      </c>
      <c r="B5" s="15" t="n">
        <v>5</v>
      </c>
      <c r="C5" s="14"/>
      <c r="D5" s="14"/>
      <c r="E5" s="14"/>
    </row>
    <row r="6" customFormat="false" ht="15" hidden="false" customHeight="false" outlineLevel="0" collapsed="false">
      <c r="A6" s="14" t="s">
        <v>109</v>
      </c>
      <c r="B6" s="15" t="n">
        <v>6</v>
      </c>
      <c r="C6" s="14"/>
      <c r="D6" s="14"/>
      <c r="E6" s="14"/>
    </row>
    <row r="7" customFormat="false" ht="15.5" hidden="false" customHeight="false" outlineLevel="0" collapsed="false">
      <c r="A7" s="14" t="s">
        <v>110</v>
      </c>
      <c r="B7" s="16" t="n">
        <f aca="false">B5*B6</f>
        <v>30</v>
      </c>
      <c r="C7" s="17" t="s">
        <v>111</v>
      </c>
      <c r="D7" s="14"/>
      <c r="E7" s="14"/>
    </row>
    <row r="8" customFormat="false" ht="15.5" hidden="false" customHeight="false" outlineLevel="0" collapsed="false">
      <c r="A8" s="14" t="s">
        <v>112</v>
      </c>
      <c r="B8" s="15" t="n">
        <v>9</v>
      </c>
      <c r="C8" s="14" t="s">
        <v>113</v>
      </c>
      <c r="D8" s="14"/>
      <c r="E8" s="14"/>
    </row>
    <row r="9" customFormat="false" ht="15.5" hidden="false" customHeight="false" outlineLevel="0" collapsed="false">
      <c r="A9" s="14" t="s">
        <v>114</v>
      </c>
      <c r="B9" s="15" t="n">
        <v>2</v>
      </c>
      <c r="C9" s="18" t="s">
        <v>115</v>
      </c>
      <c r="D9" s="18"/>
      <c r="E9" s="14"/>
    </row>
    <row r="10" customFormat="false" ht="15" hidden="false" customHeight="false" outlineLevel="0" collapsed="false">
      <c r="A10" s="14" t="s">
        <v>116</v>
      </c>
      <c r="B10" s="15" t="s">
        <v>117</v>
      </c>
      <c r="C10" s="14"/>
    </row>
    <row r="11" customFormat="false" ht="15.5" hidden="false" customHeight="false" outlineLevel="0" collapsed="false">
      <c r="A11" s="17" t="s">
        <v>118</v>
      </c>
      <c r="B11" s="19" t="s">
        <v>119</v>
      </c>
      <c r="C11" s="20" t="s">
        <v>120</v>
      </c>
      <c r="D11" s="20"/>
    </row>
    <row r="13" customFormat="false" ht="15.5" hidden="false" customHeight="false" outlineLevel="0" collapsed="false">
      <c r="A13" s="11" t="s">
        <v>121</v>
      </c>
      <c r="B13" s="11"/>
      <c r="C13" s="11"/>
      <c r="D13" s="11"/>
      <c r="E13" s="11"/>
      <c r="F13" s="12"/>
      <c r="G13" s="12"/>
      <c r="H13" s="12"/>
    </row>
    <row r="14" customFormat="false" ht="15.5" hidden="false" customHeight="false" outlineLevel="0" collapsed="false">
      <c r="A14" s="13" t="s">
        <v>122</v>
      </c>
      <c r="B14" s="13" t="s">
        <v>123</v>
      </c>
      <c r="C14" s="13" t="s">
        <v>124</v>
      </c>
      <c r="D14" s="13" t="s">
        <v>125</v>
      </c>
      <c r="E14" s="13" t="s">
        <v>126</v>
      </c>
    </row>
    <row r="15" customFormat="false" ht="15.5" hidden="false" customHeight="false" outlineLevel="0" collapsed="false">
      <c r="A15" s="19" t="s">
        <v>127</v>
      </c>
      <c r="B15" s="21" t="n">
        <v>0.104</v>
      </c>
      <c r="C15" s="22" t="n">
        <f aca="false">B15*$B$7</f>
        <v>3.12</v>
      </c>
      <c r="D15" s="17" t="s">
        <v>128</v>
      </c>
      <c r="E15" s="14" t="s">
        <v>129</v>
      </c>
    </row>
    <row r="16" customFormat="false" ht="15.5" hidden="false" customHeight="false" outlineLevel="0" collapsed="false">
      <c r="A16" s="19" t="s">
        <v>130</v>
      </c>
      <c r="B16" s="21" t="n">
        <v>0.104</v>
      </c>
      <c r="C16" s="22" t="n">
        <f aca="false">B16*$B$7</f>
        <v>3.12</v>
      </c>
      <c r="D16" s="17" t="s">
        <v>128</v>
      </c>
      <c r="E16" s="14"/>
    </row>
    <row r="17" customFormat="false" ht="15.5" hidden="false" customHeight="false" outlineLevel="0" collapsed="false">
      <c r="A17" s="19" t="s">
        <v>131</v>
      </c>
      <c r="B17" s="21" t="n">
        <v>0.104</v>
      </c>
      <c r="C17" s="22" t="n">
        <f aca="false">B17*$B$7</f>
        <v>3.12</v>
      </c>
      <c r="D17" s="17" t="s">
        <v>132</v>
      </c>
      <c r="E17" s="14"/>
    </row>
    <row r="18" customFormat="false" ht="15.5" hidden="false" customHeight="false" outlineLevel="0" collapsed="false">
      <c r="A18" s="19" t="s">
        <v>133</v>
      </c>
      <c r="B18" s="21" t="n">
        <v>0.104</v>
      </c>
      <c r="C18" s="22" t="n">
        <f aca="false">B18*$B$7</f>
        <v>3.12</v>
      </c>
      <c r="D18" s="17" t="s">
        <v>134</v>
      </c>
      <c r="E18" s="14"/>
    </row>
    <row r="19" customFormat="false" ht="15.5" hidden="false" customHeight="false" outlineLevel="0" collapsed="false">
      <c r="A19" s="19" t="s">
        <v>135</v>
      </c>
      <c r="B19" s="21" t="n">
        <v>0.104</v>
      </c>
      <c r="C19" s="22" t="n">
        <f aca="false">B19*$B$7</f>
        <v>3.12</v>
      </c>
      <c r="D19" s="17" t="s">
        <v>134</v>
      </c>
      <c r="E19" s="14"/>
    </row>
    <row r="20" customFormat="false" ht="15.5" hidden="false" customHeight="false" outlineLevel="0" collapsed="false">
      <c r="A20" s="19" t="s">
        <v>136</v>
      </c>
      <c r="B20" s="21" t="n">
        <v>0.104</v>
      </c>
      <c r="C20" s="22" t="n">
        <f aca="false">B20*$B$7</f>
        <v>3.12</v>
      </c>
      <c r="D20" s="17" t="s">
        <v>134</v>
      </c>
      <c r="E20" s="14"/>
    </row>
    <row r="21" customFormat="false" ht="15.5" hidden="false" customHeight="false" outlineLevel="0" collapsed="false">
      <c r="A21" s="19" t="s">
        <v>137</v>
      </c>
      <c r="B21" s="21" t="n">
        <v>0.104</v>
      </c>
      <c r="C21" s="22" t="n">
        <f aca="false">B21*$B$7</f>
        <v>3.12</v>
      </c>
      <c r="D21" s="17" t="s">
        <v>134</v>
      </c>
      <c r="E21" s="14"/>
    </row>
    <row r="22" customFormat="false" ht="15.5" hidden="false" customHeight="false" outlineLevel="0" collapsed="false">
      <c r="A22" s="19" t="s">
        <v>138</v>
      </c>
      <c r="B22" s="21" t="n">
        <v>0.104</v>
      </c>
      <c r="C22" s="22" t="n">
        <f aca="false">B22*$B$7</f>
        <v>3.12</v>
      </c>
      <c r="D22" s="17" t="s">
        <v>134</v>
      </c>
      <c r="E22" s="14"/>
    </row>
    <row r="23" customFormat="false" ht="15.5" hidden="false" customHeight="false" outlineLevel="0" collapsed="false">
      <c r="A23" s="19" t="s">
        <v>139</v>
      </c>
      <c r="B23" s="21" t="n">
        <v>0.104</v>
      </c>
      <c r="C23" s="22" t="n">
        <f aca="false">B23*$B$7</f>
        <v>3.12</v>
      </c>
      <c r="D23" s="17" t="s">
        <v>134</v>
      </c>
      <c r="E23" s="14"/>
    </row>
    <row r="24" customFormat="false" ht="15" hidden="false" customHeight="false" outlineLevel="0" collapsed="false">
      <c r="A24" s="15" t="s">
        <v>140</v>
      </c>
      <c r="B24" s="21" t="n">
        <v>0.03</v>
      </c>
      <c r="C24" s="22" t="n">
        <f aca="false">B24*$B$7</f>
        <v>0.9</v>
      </c>
      <c r="D24" s="18" t="s">
        <v>141</v>
      </c>
      <c r="E24" s="18"/>
    </row>
    <row r="25" customFormat="false" ht="15" hidden="false" customHeight="false" outlineLevel="0" collapsed="false">
      <c r="A25" s="15" t="s">
        <v>142</v>
      </c>
      <c r="B25" s="21" t="n">
        <v>0.034</v>
      </c>
      <c r="C25" s="22" t="n">
        <f aca="false">B25*$B$7</f>
        <v>1.02</v>
      </c>
      <c r="D25" s="14" t="s">
        <v>143</v>
      </c>
      <c r="E25" s="20" t="s">
        <v>144</v>
      </c>
      <c r="F25" s="20"/>
      <c r="G25" s="20"/>
    </row>
    <row r="26" customFormat="false" ht="15.5" hidden="false" customHeight="false" outlineLevel="0" collapsed="false">
      <c r="A26" s="14" t="s">
        <v>145</v>
      </c>
      <c r="B26" s="41" t="n">
        <f aca="false">SUM(B15:B25)</f>
        <v>1</v>
      </c>
      <c r="C26" s="14"/>
      <c r="D26" s="14"/>
      <c r="E26" s="14" t="s">
        <v>146</v>
      </c>
    </row>
    <row r="28" customFormat="false" ht="15.5" hidden="false" customHeight="false" outlineLevel="0" collapsed="false">
      <c r="A28" s="11" t="s">
        <v>147</v>
      </c>
      <c r="B28" s="11"/>
      <c r="C28" s="11"/>
      <c r="D28" s="11"/>
      <c r="E28" s="12"/>
      <c r="F28" s="12"/>
      <c r="G28" s="12"/>
      <c r="H28" s="12"/>
    </row>
    <row r="29" customFormat="false" ht="15" hidden="false" customHeight="false" outlineLevel="0" collapsed="false">
      <c r="A29" s="13" t="s">
        <v>148</v>
      </c>
      <c r="B29" s="13" t="s">
        <v>149</v>
      </c>
      <c r="C29" s="13" t="s">
        <v>150</v>
      </c>
      <c r="D29" s="13" t="s">
        <v>126</v>
      </c>
      <c r="E29" s="13"/>
    </row>
    <row r="30" customFormat="false" ht="15" hidden="false" customHeight="false" outlineLevel="0" collapsed="false">
      <c r="A30" s="15" t="n">
        <v>2</v>
      </c>
      <c r="B30" s="21" t="n">
        <v>0.5</v>
      </c>
      <c r="C30" s="22" t="n">
        <f aca="false">A30*B30</f>
        <v>1</v>
      </c>
      <c r="D30" s="14"/>
      <c r="E30" s="14"/>
    </row>
    <row r="31" customFormat="false" ht="15" hidden="false" customHeight="false" outlineLevel="0" collapsed="false">
      <c r="A31" s="15" t="n">
        <v>3</v>
      </c>
      <c r="B31" s="21" t="n">
        <v>0.3</v>
      </c>
      <c r="C31" s="22" t="n">
        <f aca="false">A31*B31</f>
        <v>0.9</v>
      </c>
      <c r="D31" s="14"/>
      <c r="E31" s="14"/>
    </row>
    <row r="32" customFormat="false" ht="15" hidden="false" customHeight="false" outlineLevel="0" collapsed="false">
      <c r="A32" s="15" t="n">
        <v>5</v>
      </c>
      <c r="B32" s="21" t="n">
        <v>0.15</v>
      </c>
      <c r="C32" s="22" t="n">
        <f aca="false">A32*B32</f>
        <v>0.75</v>
      </c>
      <c r="D32" s="14"/>
      <c r="E32" s="14"/>
    </row>
    <row r="33" customFormat="false" ht="15" hidden="false" customHeight="false" outlineLevel="0" collapsed="false">
      <c r="A33" s="15" t="n">
        <v>10</v>
      </c>
      <c r="B33" s="21" t="n">
        <v>0.05</v>
      </c>
      <c r="C33" s="22" t="n">
        <f aca="false">A33*B33</f>
        <v>0.5</v>
      </c>
      <c r="D33" s="14"/>
      <c r="E33" s="14"/>
    </row>
    <row r="34" customFormat="false" ht="15.5" hidden="false" customHeight="false" outlineLevel="0" collapsed="false">
      <c r="A34" s="14" t="s">
        <v>151</v>
      </c>
      <c r="B34" s="41" t="n">
        <f aca="false">SUM(B30:B33)</f>
        <v>1</v>
      </c>
      <c r="C34" s="24" t="n">
        <f aca="false">SUM(C30:C33)</f>
        <v>3.15</v>
      </c>
      <c r="D34" s="14"/>
      <c r="E34" s="14"/>
    </row>
    <row r="36" customFormat="false" ht="15.5" hidden="false" customHeight="false" outlineLevel="0" collapsed="false">
      <c r="A36" s="11" t="s">
        <v>152</v>
      </c>
      <c r="B36" s="11"/>
      <c r="C36" s="11"/>
      <c r="D36" s="11"/>
      <c r="E36" s="11"/>
      <c r="F36" s="12"/>
      <c r="G36" s="12"/>
      <c r="H36" s="12"/>
    </row>
    <row r="37" customFormat="false" ht="15.5" hidden="false" customHeight="false" outlineLevel="0" collapsed="false">
      <c r="A37" s="13" t="s">
        <v>122</v>
      </c>
      <c r="B37" s="13" t="s">
        <v>153</v>
      </c>
      <c r="C37" s="13" t="s">
        <v>154</v>
      </c>
      <c r="D37" s="13" t="s">
        <v>155</v>
      </c>
      <c r="E37" s="13" t="s">
        <v>126</v>
      </c>
    </row>
    <row r="38" customFormat="false" ht="15.5" hidden="false" customHeight="false" outlineLevel="0" collapsed="false">
      <c r="A38" s="19" t="s">
        <v>127</v>
      </c>
      <c r="B38" s="15" t="n">
        <v>15</v>
      </c>
      <c r="C38" s="15" t="n">
        <v>60</v>
      </c>
      <c r="D38" s="15" t="n">
        <v>250</v>
      </c>
      <c r="E38" s="14" t="s">
        <v>129</v>
      </c>
    </row>
    <row r="39" customFormat="false" ht="15.5" hidden="false" customHeight="false" outlineLevel="0" collapsed="false">
      <c r="A39" s="19" t="s">
        <v>130</v>
      </c>
      <c r="B39" s="15" t="n">
        <v>12</v>
      </c>
      <c r="C39" s="15" t="n">
        <v>50</v>
      </c>
      <c r="D39" s="15" t="n">
        <v>200</v>
      </c>
      <c r="E39" s="14"/>
    </row>
    <row r="40" customFormat="false" ht="15.5" hidden="false" customHeight="false" outlineLevel="0" collapsed="false">
      <c r="A40" s="19" t="s">
        <v>131</v>
      </c>
      <c r="B40" s="15" t="n">
        <v>8</v>
      </c>
      <c r="C40" s="15" t="n">
        <v>35</v>
      </c>
      <c r="D40" s="15" t="n">
        <v>140</v>
      </c>
      <c r="E40" s="14"/>
    </row>
    <row r="41" customFormat="false" ht="15.5" hidden="false" customHeight="false" outlineLevel="0" collapsed="false">
      <c r="A41" s="19" t="s">
        <v>156</v>
      </c>
      <c r="B41" s="15" t="n">
        <v>2</v>
      </c>
      <c r="C41" s="15" t="n">
        <v>10</v>
      </c>
      <c r="D41" s="15" t="n">
        <v>40</v>
      </c>
      <c r="E41" s="20" t="s">
        <v>157</v>
      </c>
      <c r="F41" s="20"/>
    </row>
    <row r="42" customFormat="false" ht="15.5" hidden="false" customHeight="false" outlineLevel="0" collapsed="false">
      <c r="A42" s="15" t="s">
        <v>140</v>
      </c>
      <c r="B42" s="15" t="n">
        <v>2</v>
      </c>
      <c r="C42" s="15" t="n">
        <v>10</v>
      </c>
      <c r="D42" s="15" t="n">
        <v>50</v>
      </c>
      <c r="E42" s="20" t="s">
        <v>158</v>
      </c>
      <c r="F42" s="20"/>
      <c r="G42" s="20"/>
    </row>
    <row r="44" customFormat="false" ht="15.5" hidden="false" customHeight="false" outlineLevel="0" collapsed="false">
      <c r="A44" s="11" t="s">
        <v>159</v>
      </c>
      <c r="B44" s="11"/>
      <c r="C44" s="11"/>
      <c r="D44" s="11"/>
      <c r="E44" s="12"/>
      <c r="F44" s="12"/>
      <c r="G44" s="12"/>
      <c r="H44" s="12"/>
    </row>
    <row r="45" customFormat="false" ht="15" hidden="false" customHeight="false" outlineLevel="0" collapsed="false">
      <c r="A45" s="13" t="s">
        <v>105</v>
      </c>
      <c r="B45" s="13" t="s">
        <v>160</v>
      </c>
      <c r="C45" s="13" t="s">
        <v>161</v>
      </c>
      <c r="D45" s="13" t="s">
        <v>126</v>
      </c>
      <c r="E45" s="13"/>
    </row>
    <row r="46" customFormat="false" ht="15.5" hidden="false" customHeight="false" outlineLevel="0" collapsed="false">
      <c r="A46" s="14" t="s">
        <v>162</v>
      </c>
      <c r="B46" s="17" t="s">
        <v>163</v>
      </c>
      <c r="C46" s="42" t="n">
        <f aca="false">(BINOMDIST(9,$B$7,$B$15,TRUE())-BINOMDIST(7,$B$7,$B$15,TRUE()))*B38+(BINOMDIST(11,$B$7,$B$15,TRUE())-BINOMDIST(9,$B$7,$B$15,TRUE()))*C38+(1-BINOMDIST(11,$B$7,$B$15,TRUE()))*D38</f>
        <v>0.17934498534376</v>
      </c>
      <c r="D46" s="20" t="s">
        <v>164</v>
      </c>
      <c r="E46" s="20"/>
    </row>
    <row r="48" customFormat="false" ht="15.5" hidden="false" customHeight="false" outlineLevel="0" collapsed="false">
      <c r="A48" s="11" t="s">
        <v>165</v>
      </c>
      <c r="B48" s="11"/>
      <c r="C48" s="11"/>
      <c r="D48" s="11"/>
      <c r="E48" s="11"/>
      <c r="F48" s="12"/>
      <c r="G48" s="12"/>
      <c r="H48" s="12"/>
    </row>
    <row r="49" customFormat="false" ht="15.5" hidden="false" customHeight="false" outlineLevel="0" collapsed="false">
      <c r="A49" s="13" t="s">
        <v>166</v>
      </c>
      <c r="B49" s="13" t="s">
        <v>167</v>
      </c>
      <c r="C49" s="13" t="s">
        <v>168</v>
      </c>
      <c r="D49" s="13" t="s">
        <v>169</v>
      </c>
      <c r="E49" s="13" t="s">
        <v>170</v>
      </c>
    </row>
    <row r="50" customFormat="false" ht="15" hidden="false" customHeight="false" outlineLevel="0" collapsed="false">
      <c r="A50" s="14" t="n">
        <v>0</v>
      </c>
      <c r="B50" s="43" t="n">
        <f aca="false">BINOMDIST($A50,$B$7,$B$25,FALSE())</f>
        <v>0.354253208571123</v>
      </c>
      <c r="C50" s="27" t="n">
        <f aca="false">$B$7-$A50</f>
        <v>30</v>
      </c>
      <c r="D50" s="44" t="n">
        <f aca="false">$C$34*((BINOMDIST(MIN(9,C50),C50,$B$15,TRUE())-BINOMDIST(MIN(7,C50),C50,$B$15,TRUE()))*$B$38+(BINOMDIST(MIN(11,C50),C50,$B$15,TRUE())-BINOMDIST(MIN(9,C50),C50,$B$15,TRUE()))*$C$38+(1-BINOMDIST(MIN(11,C50),C50,$B$15,TRUE()))*$D$38)</f>
        <v>0.564936703832844</v>
      </c>
      <c r="E50" s="43" t="n">
        <f aca="false">B50*D50</f>
        <v>0.20013063997238</v>
      </c>
    </row>
    <row r="51" customFormat="false" ht="15" hidden="false" customHeight="false" outlineLevel="0" collapsed="false">
      <c r="A51" s="14" t="n">
        <v>1</v>
      </c>
      <c r="B51" s="43" t="n">
        <f aca="false">BINOMDIST($A51,$B$7,$B$25,FALSE())</f>
        <v>0.374056182963298</v>
      </c>
      <c r="C51" s="27" t="n">
        <f aca="false">$B$7-$A51</f>
        <v>29</v>
      </c>
      <c r="D51" s="44" t="n">
        <f aca="false">$C$34*((BINOMDIST(MIN(9,C51),C51,$B$15,TRUE())-BINOMDIST(MIN(7,C51),C51,$B$15,TRUE()))*$B$38+(BINOMDIST(MIN(11,C51),C51,$B$15,TRUE())-BINOMDIST(MIN(9,C51),C51,$B$15,TRUE()))*$C$38+(1-BINOMDIST(MIN(11,C51),C51,$B$15,TRUE()))*$D$38)</f>
        <v>0.446860910624285</v>
      </c>
      <c r="E51" s="43" t="n">
        <f aca="false">B51*D51</f>
        <v>0.167151086543624</v>
      </c>
    </row>
    <row r="52" customFormat="false" ht="15" hidden="false" customHeight="false" outlineLevel="0" collapsed="false">
      <c r="A52" s="14" t="n">
        <v>2</v>
      </c>
      <c r="B52" s="43" t="n">
        <f aca="false">BINOMDIST($A52,$B$7,$B$25,FALSE())</f>
        <v>0.19090030869659</v>
      </c>
      <c r="C52" s="27" t="n">
        <f aca="false">$B$7-$A52</f>
        <v>28</v>
      </c>
      <c r="D52" s="44" t="n">
        <f aca="false">$C$34*((BINOMDIST(MIN(9,C52),C52,$B$15,TRUE())-BINOMDIST(MIN(7,C52),C52,$B$15,TRUE()))*$B$38+(BINOMDIST(MIN(11,C52),C52,$B$15,TRUE())-BINOMDIST(MIN(9,C52),C52,$B$15,TRUE()))*$C$38+(1-BINOMDIST(MIN(11,C52),C52,$B$15,TRUE()))*$D$38)</f>
        <v>0.349394915619037</v>
      </c>
      <c r="E52" s="43" t="n">
        <f aca="false">B52*D52</f>
        <v>0.0666995972486932</v>
      </c>
    </row>
    <row r="53" customFormat="false" ht="15" hidden="false" customHeight="false" outlineLevel="0" collapsed="false">
      <c r="A53" s="14" t="n">
        <v>3</v>
      </c>
      <c r="B53" s="43" t="n">
        <f aca="false">BINOMDIST($A53,$B$7,$B$25,FALSE())</f>
        <v>0.0627112125186866</v>
      </c>
      <c r="C53" s="27" t="n">
        <f aca="false">$B$7-$A53</f>
        <v>27</v>
      </c>
      <c r="D53" s="44" t="n">
        <f aca="false">$C$34*((BINOMDIST(MIN(9,C53),C53,$B$15,TRUE())-BINOMDIST(MIN(7,C53),C53,$B$15,TRUE()))*$B$38+(BINOMDIST(MIN(11,C53),C53,$B$15,TRUE())-BINOMDIST(MIN(9,C53),C53,$B$15,TRUE()))*$C$38+(1-BINOMDIST(MIN(11,C53),C53,$B$15,TRUE()))*$D$38)</f>
        <v>0.269751915257086</v>
      </c>
      <c r="E53" s="43" t="n">
        <f aca="false">B53*D53</f>
        <v>0.0169164696850098</v>
      </c>
    </row>
    <row r="54" customFormat="false" ht="15" hidden="false" customHeight="false" outlineLevel="0" collapsed="false">
      <c r="A54" s="14" t="n">
        <v>4</v>
      </c>
      <c r="B54" s="43" t="n">
        <f aca="false">BINOMDIST($A54,$B$7,$B$25,FALSE())</f>
        <v>0.0148987818561476</v>
      </c>
      <c r="C54" s="27" t="n">
        <f aca="false">$B$7-$A54</f>
        <v>26</v>
      </c>
      <c r="D54" s="44" t="n">
        <f aca="false">$C$34*((BINOMDIST(MIN(9,C54),C54,$B$15,TRUE())-BINOMDIST(MIN(7,C54),C54,$B$15,TRUE()))*$B$38+(BINOMDIST(MIN(11,C54),C54,$B$15,TRUE())-BINOMDIST(MIN(9,C54),C54,$B$15,TRUE()))*$C$38+(1-BINOMDIST(MIN(11,C54),C54,$B$15,TRUE()))*$D$38)</f>
        <v>0.205392186293125</v>
      </c>
      <c r="E54" s="43" t="n">
        <f aca="false">B54*D54</f>
        <v>0.00306009337853849</v>
      </c>
    </row>
    <row r="55" customFormat="false" ht="15" hidden="false" customHeight="false" outlineLevel="0" collapsed="false">
      <c r="A55" s="14" t="n">
        <v>5</v>
      </c>
      <c r="B55" s="43" t="n">
        <f aca="false">BINOMDIST($A55,$B$7,$B$25,FALSE())</f>
        <v>0.00272681638940672</v>
      </c>
      <c r="C55" s="27" t="n">
        <f aca="false">$B$7-$A55</f>
        <v>25</v>
      </c>
      <c r="D55" s="44" t="n">
        <f aca="false">$C$34*((BINOMDIST(MIN(9,C55),C55,$B$15,TRUE())-BINOMDIST(MIN(7,C55),C55,$B$15,TRUE()))*$B$38+(BINOMDIST(MIN(11,C55),C55,$B$15,TRUE())-BINOMDIST(MIN(9,C55),C55,$B$15,TRUE()))*$C$38+(1-BINOMDIST(MIN(11,C55),C55,$B$15,TRUE()))*$D$38)</f>
        <v>0.154016020491661</v>
      </c>
      <c r="E55" s="43" t="n">
        <f aca="false">B55*D55</f>
        <v>0.000419973408907864</v>
      </c>
    </row>
    <row r="56" customFormat="false" ht="15" hidden="false" customHeight="false" outlineLevel="0" collapsed="false">
      <c r="A56" s="14" t="n">
        <v>6</v>
      </c>
      <c r="B56" s="43" t="n">
        <f aca="false">BINOMDIST($A56,$B$7,$B$25,FALSE())</f>
        <v>0.000399895433229074</v>
      </c>
      <c r="C56" s="27" t="n">
        <f aca="false">$B$7-$A56</f>
        <v>24</v>
      </c>
      <c r="D56" s="44" t="n">
        <f aca="false">$C$34*((BINOMDIST(MIN(9,C56),C56,$B$15,TRUE())-BINOMDIST(MIN(7,C56),C56,$B$15,TRUE()))*$B$38+(BINOMDIST(MIN(11,C56),C56,$B$15,TRUE())-BINOMDIST(MIN(9,C56),C56,$B$15,TRUE()))*$C$38+(1-BINOMDIST(MIN(11,C56),C56,$B$15,TRUE()))*$D$38)</f>
        <v>0.113555970223684</v>
      </c>
      <c r="E56" s="43" t="n">
        <f aca="false">B56*D56</f>
        <v>4.54105139083481E-005</v>
      </c>
    </row>
    <row r="57" customFormat="false" ht="15" hidden="false" customHeight="false" outlineLevel="0" collapsed="false">
      <c r="A57" s="14" t="n">
        <v>7</v>
      </c>
      <c r="B57" s="43" t="n">
        <f aca="false">BINOMDIST($A57,$B$7,$B$25,FALSE())</f>
        <v>4.8257124151867E-005</v>
      </c>
      <c r="C57" s="27" t="n">
        <f aca="false">$B$7-$A57</f>
        <v>23</v>
      </c>
      <c r="D57" s="44" t="n">
        <f aca="false">$C$34*((BINOMDIST(MIN(9,C57),C57,$B$15,TRUE())-BINOMDIST(MIN(7,C57),C57,$B$15,TRUE()))*$B$38+(BINOMDIST(MIN(11,C57),C57,$B$15,TRUE())-BINOMDIST(MIN(9,C57),C57,$B$15,TRUE()))*$C$38+(1-BINOMDIST(MIN(11,C57),C57,$B$15,TRUE()))*$D$38)</f>
        <v>0.082168376084359</v>
      </c>
      <c r="E57" s="43" t="n">
        <f aca="false">B57*D57</f>
        <v>3.96520952606021E-006</v>
      </c>
    </row>
    <row r="58" customFormat="false" ht="15" hidden="false" customHeight="false" outlineLevel="0" collapsed="false">
      <c r="A58" s="14" t="n">
        <v>8</v>
      </c>
      <c r="B58" s="43" t="n">
        <f aca="false">BINOMDIST($A58,$B$7,$B$25,FALSE())</f>
        <v>4.88316137251035E-006</v>
      </c>
      <c r="C58" s="27" t="n">
        <f aca="false">$B$7-$A58</f>
        <v>22</v>
      </c>
      <c r="D58" s="44" t="n">
        <f aca="false">$C$34*((BINOMDIST(MIN(9,C58),C58,$B$15,TRUE())-BINOMDIST(MIN(7,C58),C58,$B$15,TRUE()))*$B$38+(BINOMDIST(MIN(11,C58),C58,$B$15,TRUE())-BINOMDIST(MIN(9,C58),C58,$B$15,TRUE()))*$C$38+(1-BINOMDIST(MIN(11,C58),C58,$B$15,TRUE()))*$D$38)</f>
        <v>0.0582241252034346</v>
      </c>
      <c r="E58" s="43" t="n">
        <f aca="false">B58*D58</f>
        <v>2.84317799141618E-007</v>
      </c>
    </row>
    <row r="59" customFormat="false" ht="15" hidden="false" customHeight="false" outlineLevel="0" collapsed="false">
      <c r="A59" s="14" t="n">
        <v>9</v>
      </c>
      <c r="B59" s="43" t="n">
        <f aca="false">BINOMDIST($A59,$B$7,$B$25,FALSE())</f>
        <v>4.20129365842851E-007</v>
      </c>
      <c r="C59" s="27" t="n">
        <f aca="false">$B$7-$A59</f>
        <v>21</v>
      </c>
      <c r="D59" s="44" t="n">
        <f aca="false">$C$34*((BINOMDIST(MIN(9,C59),C59,$B$15,TRUE())-BINOMDIST(MIN(7,C59),C59,$B$15,TRUE()))*$B$38+(BINOMDIST(MIN(11,C59),C59,$B$15,TRUE())-BINOMDIST(MIN(9,C59),C59,$B$15,TRUE()))*$C$38+(1-BINOMDIST(MIN(11,C59),C59,$B$15,TRUE()))*$D$38)</f>
        <v>0.0402985759393029</v>
      </c>
      <c r="E59" s="43" t="n">
        <f aca="false">B59*D59</f>
        <v>1.69306151537493E-008</v>
      </c>
    </row>
    <row r="60" customFormat="false" ht="15" hidden="false" customHeight="false" outlineLevel="0" collapsed="false">
      <c r="A60" s="14" t="n">
        <v>10</v>
      </c>
      <c r="B60" s="43" t="n">
        <f aca="false">BINOMDIST($A60,$B$7,$B$25,FALSE())</f>
        <v>3.10530400840368E-008</v>
      </c>
      <c r="C60" s="27" t="n">
        <f aca="false">$B$7-$A60</f>
        <v>20</v>
      </c>
      <c r="D60" s="44" t="n">
        <f aca="false">$C$34*((BINOMDIST(MIN(9,C60),C60,$B$15,TRUE())-BINOMDIST(MIN(7,C60),C60,$B$15,TRUE()))*$B$38+(BINOMDIST(MIN(11,C60),C60,$B$15,TRUE())-BINOMDIST(MIN(9,C60),C60,$B$15,TRUE()))*$C$38+(1-BINOMDIST(MIN(11,C60),C60,$B$15,TRUE()))*$D$38)</f>
        <v>0.027160583451702</v>
      </c>
      <c r="E60" s="43" t="n">
        <f aca="false">B60*D60</f>
        <v>8.43418686631529E-010</v>
      </c>
    </row>
    <row r="61" customFormat="false" ht="15" hidden="false" customHeight="false" outlineLevel="0" collapsed="false">
      <c r="A61" s="14" t="n">
        <v>11</v>
      </c>
      <c r="B61" s="43" t="n">
        <f aca="false">BINOMDIST($A61,$B$7,$B$25,FALSE())</f>
        <v>1.98720753408103E-009</v>
      </c>
      <c r="C61" s="27" t="n">
        <f aca="false">$B$7-$A61</f>
        <v>19</v>
      </c>
      <c r="D61" s="44" t="n">
        <f aca="false">$C$34*((BINOMDIST(MIN(9,C61),C61,$B$15,TRUE())-BINOMDIST(MIN(7,C61),C61,$B$15,TRUE()))*$B$38+(BINOMDIST(MIN(11,C61),C61,$B$15,TRUE())-BINOMDIST(MIN(9,C61),C61,$B$15,TRUE()))*$C$38+(1-BINOMDIST(MIN(11,C61),C61,$B$15,TRUE()))*$D$38)</f>
        <v>0.017760573023312</v>
      </c>
      <c r="E61" s="43" t="n">
        <f aca="false">B61*D61</f>
        <v>3.52939445215219E-011</v>
      </c>
    </row>
    <row r="62" customFormat="false" ht="15" hidden="false" customHeight="false" outlineLevel="0" collapsed="false">
      <c r="A62" s="14" t="n">
        <v>12</v>
      </c>
      <c r="B62" s="43" t="n">
        <f aca="false">BINOMDIST($A62,$B$7,$B$25,FALSE())</f>
        <v>1.1074327700279E-010</v>
      </c>
      <c r="C62" s="27" t="n">
        <f aca="false">$B$7-$A62</f>
        <v>18</v>
      </c>
      <c r="D62" s="44" t="n">
        <f aca="false">$C$34*((BINOMDIST(MIN(9,C62),C62,$B$15,TRUE())-BINOMDIST(MIN(7,C62),C62,$B$15,TRUE()))*$B$38+(BINOMDIST(MIN(11,C62),C62,$B$15,TRUE())-BINOMDIST(MIN(9,C62),C62,$B$15,TRUE()))*$C$38+(1-BINOMDIST(MIN(11,C62),C62,$B$15,TRUE()))*$D$38)</f>
        <v>0.0112176351206867</v>
      </c>
      <c r="E62" s="43" t="n">
        <f aca="false">B62*D62</f>
        <v>1.24227767348643E-012</v>
      </c>
    </row>
    <row r="63" customFormat="false" ht="15" hidden="false" customHeight="false" outlineLevel="0" collapsed="false">
      <c r="A63" s="14" t="n">
        <v>13</v>
      </c>
      <c r="B63" s="43" t="n">
        <f aca="false">BINOMDIST($A63,$B$7,$B$25,FALSE())</f>
        <v>5.39694899870263E-012</v>
      </c>
      <c r="C63" s="27" t="n">
        <f aca="false">$B$7-$A63</f>
        <v>17</v>
      </c>
      <c r="D63" s="44" t="n">
        <f aca="false">$C$34*((BINOMDIST(MIN(9,C63),C63,$B$15,TRUE())-BINOMDIST(MIN(7,C63),C63,$B$15,TRUE()))*$B$38+(BINOMDIST(MIN(11,C63),C63,$B$15,TRUE())-BINOMDIST(MIN(9,C63),C63,$B$15,TRUE()))*$C$38+(1-BINOMDIST(MIN(11,C63),C63,$B$15,TRUE()))*$D$38)</f>
        <v>0.00680565833881258</v>
      </c>
      <c r="E63" s="43" t="n">
        <f aca="false">B63*D63</f>
        <v>3.67297909571668E-014</v>
      </c>
    </row>
    <row r="64" customFormat="false" ht="15" hidden="false" customHeight="false" outlineLevel="0" collapsed="false">
      <c r="A64" s="14" t="n">
        <v>14</v>
      </c>
      <c r="B64" s="43" t="n">
        <f aca="false">BINOMDIST($A64,$B$7,$B$25,FALSE())</f>
        <v>2.30659310947214E-013</v>
      </c>
      <c r="C64" s="27" t="n">
        <f aca="false">$B$7-$A64</f>
        <v>16</v>
      </c>
      <c r="D64" s="44" t="n">
        <f aca="false">$C$34*((BINOMDIST(MIN(9,C64),C64,$B$15,TRUE())-BINOMDIST(MIN(7,C64),C64,$B$15,TRUE()))*$B$38+(BINOMDIST(MIN(11,C64),C64,$B$15,TRUE())-BINOMDIST(MIN(9,C64),C64,$B$15,TRUE()))*$C$38+(1-BINOMDIST(MIN(11,C64),C64,$B$15,TRUE()))*$D$38)</f>
        <v>0.0039385727132383</v>
      </c>
      <c r="E64" s="43" t="n">
        <f aca="false">B64*D64</f>
        <v>9.08468468151046E-016</v>
      </c>
    </row>
    <row r="65" customFormat="false" ht="15" hidden="false" customHeight="false" outlineLevel="0" collapsed="false">
      <c r="A65" s="14" t="n">
        <v>15</v>
      </c>
      <c r="B65" s="43" t="n">
        <f aca="false">BINOMDIST($A65,$B$7,$B$25,FALSE())</f>
        <v>8.65967323362901E-015</v>
      </c>
      <c r="C65" s="27" t="n">
        <f aca="false">$B$7-$A65</f>
        <v>15</v>
      </c>
      <c r="D65" s="44" t="n">
        <f aca="false">$C$34*((BINOMDIST(MIN(9,C65),C65,$B$15,TRUE())-BINOMDIST(MIN(7,C65),C65,$B$15,TRUE()))*$B$38+(BINOMDIST(MIN(11,C65),C65,$B$15,TRUE())-BINOMDIST(MIN(9,C65),C65,$B$15,TRUE()))*$C$38+(1-BINOMDIST(MIN(11,C65),C65,$B$15,TRUE()))*$D$38)</f>
        <v>0.00215484423820966</v>
      </c>
      <c r="E65" s="43" t="n">
        <f aca="false">B65*D65</f>
        <v>1.86602469722639E-017</v>
      </c>
    </row>
    <row r="66" customFormat="false" ht="15" hidden="false" customHeight="false" outlineLevel="0" collapsed="false">
      <c r="A66" s="14" t="n">
        <v>16</v>
      </c>
      <c r="B66" s="43" t="n">
        <f aca="false">BINOMDIST($A66,$B$7,$B$25,FALSE())</f>
        <v>2.85742323314622E-016</v>
      </c>
      <c r="C66" s="27" t="n">
        <f aca="false">$B$7-$A66</f>
        <v>14</v>
      </c>
      <c r="D66" s="44" t="n">
        <f aca="false">$C$34*((BINOMDIST(MIN(9,C66),C66,$B$15,TRUE())-BINOMDIST(MIN(7,C66),C66,$B$15,TRUE()))*$B$38+(BINOMDIST(MIN(11,C66),C66,$B$15,TRUE())-BINOMDIST(MIN(9,C66),C66,$B$15,TRUE()))*$C$38+(1-BINOMDIST(MIN(11,C66),C66,$B$15,TRUE()))*$D$38)</f>
        <v>0.00110143809598326</v>
      </c>
      <c r="E66" s="43" t="n">
        <f aca="false">B66*D66</f>
        <v>3.1472748053349E-019</v>
      </c>
    </row>
    <row r="67" customFormat="false" ht="15" hidden="false" customHeight="false" outlineLevel="0" collapsed="false">
      <c r="A67" s="14" t="n">
        <v>17</v>
      </c>
      <c r="B67" s="43" t="n">
        <f aca="false">BINOMDIST($A67,$B$7,$B$25,FALSE())</f>
        <v>8.28238618303252E-018</v>
      </c>
      <c r="C67" s="27" t="n">
        <f aca="false">$B$7-$A67</f>
        <v>13</v>
      </c>
      <c r="D67" s="44" t="n">
        <f aca="false">$C$34*((BINOMDIST(MIN(9,C67),C67,$B$15,TRUE())-BINOMDIST(MIN(7,C67),C67,$B$15,TRUE()))*$B$38+(BINOMDIST(MIN(11,C67),C67,$B$15,TRUE())-BINOMDIST(MIN(9,C67),C67,$B$15,TRUE()))*$C$38+(1-BINOMDIST(MIN(11,C67),C67,$B$15,TRUE()))*$D$38)</f>
        <v>0.000517547567055438</v>
      </c>
      <c r="E67" s="43" t="n">
        <f aca="false">B67*D67</f>
        <v>4.28652881844205E-021</v>
      </c>
    </row>
    <row r="68" customFormat="false" ht="15" hidden="false" customHeight="false" outlineLevel="0" collapsed="false">
      <c r="A68" s="14" t="n">
        <v>18</v>
      </c>
      <c r="B68" s="43" t="n">
        <f aca="false">BINOMDIST($A68,$B$7,$B$25,FALSE())</f>
        <v>2.10536846842672E-019</v>
      </c>
      <c r="C68" s="27" t="n">
        <f aca="false">$B$7-$A68</f>
        <v>12</v>
      </c>
      <c r="D68" s="44" t="n">
        <f aca="false">$C$34*((BINOMDIST(MIN(9,C68),C68,$B$15,TRUE())-BINOMDIST(MIN(7,C68),C68,$B$15,TRUE()))*$B$38+(BINOMDIST(MIN(11,C68),C68,$B$15,TRUE())-BINOMDIST(MIN(9,C68),C68,$B$15,TRUE()))*$C$38+(1-BINOMDIST(MIN(11,C68),C68,$B$15,TRUE()))*$D$38)</f>
        <v>0.000218460635092399</v>
      </c>
      <c r="E68" s="43" t="n">
        <f aca="false">B68*D68</f>
        <v>4.59940132716012E-023</v>
      </c>
    </row>
    <row r="69" customFormat="false" ht="15" hidden="false" customHeight="false" outlineLevel="0" collapsed="false">
      <c r="A69" s="14" t="n">
        <v>19</v>
      </c>
      <c r="B69" s="43" t="n">
        <f aca="false">BINOMDIST($A69,$B$7,$B$25,FALSE())</f>
        <v>4.68012604946115E-021</v>
      </c>
      <c r="C69" s="27" t="n">
        <f aca="false">$B$7-$A69</f>
        <v>11</v>
      </c>
      <c r="D69" s="44" t="n">
        <f aca="false">$C$34*((BINOMDIST(MIN(9,C69),C69,$B$15,TRUE())-BINOMDIST(MIN(7,C69),C69,$B$15,TRUE()))*$B$38+(BINOMDIST(MIN(11,C69),C69,$B$15,TRUE())-BINOMDIST(MIN(9,C69),C69,$B$15,TRUE()))*$C$38+(1-BINOMDIST(MIN(11,C69),C69,$B$15,TRUE()))*$D$38)</f>
        <v>7.99977953383213E-005</v>
      </c>
      <c r="E69" s="43" t="n">
        <f aca="false">B69*D69</f>
        <v>3.74399765862339E-025</v>
      </c>
    </row>
    <row r="70" customFormat="false" ht="15" hidden="false" customHeight="false" outlineLevel="0" collapsed="false">
      <c r="A70" s="14" t="n">
        <v>20</v>
      </c>
      <c r="B70" s="43" t="n">
        <f aca="false">BINOMDIST($A70,$B$7,$B$25,FALSE())</f>
        <v>9.0598713379838E-023</v>
      </c>
      <c r="C70" s="27" t="n">
        <f aca="false">$B$7-$A70</f>
        <v>10</v>
      </c>
      <c r="D70" s="44" t="n">
        <f aca="false">$C$34*((BINOMDIST(MIN(9,C70),C70,$B$15,TRUE())-BINOMDIST(MIN(7,C70),C70,$B$15,TRUE()))*$B$38+(BINOMDIST(MIN(11,C70),C70,$B$15,TRUE())-BINOMDIST(MIN(9,C70),C70,$B$15,TRUE()))*$C$38+(1-BINOMDIST(MIN(11,C70),C70,$B$15,TRUE()))*$D$38)</f>
        <v>2.39918527697169E-005</v>
      </c>
      <c r="E70" s="43" t="n">
        <f aca="false">B70*D70</f>
        <v>2.17363099253486E-027</v>
      </c>
    </row>
    <row r="71" customFormat="false" ht="15" hidden="false" customHeight="false" outlineLevel="0" collapsed="false">
      <c r="A71" s="14" t="n">
        <v>21</v>
      </c>
      <c r="B71" s="43" t="n">
        <f aca="false">BINOMDIST($A71,$B$7,$B$25,FALSE())</f>
        <v>1.51846409095657E-024</v>
      </c>
      <c r="C71" s="27" t="n">
        <f aca="false">$B$7-$A71</f>
        <v>9</v>
      </c>
      <c r="D71" s="44" t="n">
        <f aca="false">$C$34*((BINOMDIST(MIN(9,C71),C71,$B$15,TRUE())-BINOMDIST(MIN(7,C71),C71,$B$15,TRUE()))*$B$38+(BINOMDIST(MIN(11,C71),C71,$B$15,TRUE())-BINOMDIST(MIN(9,C71),C71,$B$15,TRUE()))*$C$38+(1-BINOMDIST(MIN(11,C71),C71,$B$15,TRUE()))*$D$38)</f>
        <v>5.28182802170263E-006</v>
      </c>
      <c r="E71" s="43" t="n">
        <f aca="false">B71*D71</f>
        <v>8.02026618556361E-030</v>
      </c>
    </row>
    <row r="72" customFormat="false" ht="15" hidden="false" customHeight="false" outlineLevel="0" collapsed="false">
      <c r="A72" s="14" t="n">
        <v>22</v>
      </c>
      <c r="B72" s="43" t="n">
        <f aca="false">BINOMDIST($A72,$B$7,$B$25,FALSE())</f>
        <v>2.18638251379969E-026</v>
      </c>
      <c r="C72" s="27" t="n">
        <f aca="false">$B$7-$A72</f>
        <v>8</v>
      </c>
      <c r="D72" s="44" t="n">
        <f aca="false">$C$34*((BINOMDIST(MIN(9,C72),C72,$B$15,TRUE())-BINOMDIST(MIN(7,C72),C72,$B$15,TRUE()))*$B$38+(BINOMDIST(MIN(11,C72),C72,$B$15,TRUE())-BINOMDIST(MIN(9,C72),C72,$B$15,TRUE()))*$C$38+(1-BINOMDIST(MIN(11,C72),C72,$B$15,TRUE()))*$D$38)</f>
        <v>6.46648874697009E-007</v>
      </c>
      <c r="E72" s="43" t="n">
        <f aca="false">B72*D72</f>
        <v>1.41382179220579E-032</v>
      </c>
    </row>
    <row r="73" customFormat="false" ht="15" hidden="false" customHeight="false" outlineLevel="0" collapsed="false">
      <c r="A73" s="14" t="n">
        <v>23</v>
      </c>
      <c r="B73" s="43" t="n">
        <f aca="false">BINOMDIST($A73,$B$7,$B$25,FALSE())</f>
        <v>2.67664075863496E-028</v>
      </c>
      <c r="C73" s="27" t="n">
        <f aca="false">$B$7-$A73</f>
        <v>7</v>
      </c>
      <c r="D73" s="44" t="n">
        <f aca="false">$C$34*((BINOMDIST(MIN(9,C73),C73,$B$15,TRUE())-BINOMDIST(MIN(7,C73),C73,$B$15,TRUE()))*$B$38+(BINOMDIST(MIN(11,C73),C73,$B$15,TRUE())-BINOMDIST(MIN(9,C73),C73,$B$15,TRUE()))*$C$38+(1-BINOMDIST(MIN(11,C73),C73,$B$15,TRUE()))*$D$38)</f>
        <v>0</v>
      </c>
      <c r="E73" s="43" t="n">
        <f aca="false">B73*D73</f>
        <v>0</v>
      </c>
    </row>
    <row r="74" customFormat="false" ht="15" hidden="false" customHeight="false" outlineLevel="0" collapsed="false">
      <c r="A74" s="14" t="n">
        <v>24</v>
      </c>
      <c r="B74" s="43" t="n">
        <f aca="false">BINOMDIST($A74,$B$7,$B$25,FALSE())</f>
        <v>2.74775923289821E-030</v>
      </c>
      <c r="C74" s="27" t="n">
        <f aca="false">$B$7-$A74</f>
        <v>6</v>
      </c>
      <c r="D74" s="44" t="n">
        <f aca="false">$C$34*((BINOMDIST(MIN(9,C74),C74,$B$15,TRUE())-BINOMDIST(MIN(7,C74),C74,$B$15,TRUE()))*$B$38+(BINOMDIST(MIN(11,C74),C74,$B$15,TRUE())-BINOMDIST(MIN(9,C74),C74,$B$15,TRUE()))*$C$38+(1-BINOMDIST(MIN(11,C74),C74,$B$15,TRUE()))*$D$38)</f>
        <v>0</v>
      </c>
      <c r="E74" s="43" t="n">
        <f aca="false">B74*D74</f>
        <v>0</v>
      </c>
    </row>
    <row r="75" customFormat="false" ht="15" hidden="false" customHeight="false" outlineLevel="0" collapsed="false">
      <c r="A75" s="14" t="n">
        <v>25</v>
      </c>
      <c r="B75" s="43" t="n">
        <f aca="false">BINOMDIST($A75,$B$7,$B$25,FALSE())</f>
        <v>2.32108854455998E-032</v>
      </c>
      <c r="C75" s="27" t="n">
        <f aca="false">$B$7-$A75</f>
        <v>5</v>
      </c>
      <c r="D75" s="44" t="n">
        <f aca="false">$C$34*((BINOMDIST(MIN(9,C75),C75,$B$15,TRUE())-BINOMDIST(MIN(7,C75),C75,$B$15,TRUE()))*$B$38+(BINOMDIST(MIN(11,C75),C75,$B$15,TRUE())-BINOMDIST(MIN(9,C75),C75,$B$15,TRUE()))*$C$38+(1-BINOMDIST(MIN(11,C75),C75,$B$15,TRUE()))*$D$38)</f>
        <v>0</v>
      </c>
      <c r="E75" s="43" t="n">
        <f aca="false">B75*D75</f>
        <v>0</v>
      </c>
    </row>
    <row r="76" customFormat="false" ht="15" hidden="false" customHeight="false" outlineLevel="0" collapsed="false">
      <c r="A76" s="14" t="n">
        <v>26</v>
      </c>
      <c r="B76" s="43" t="n">
        <f aca="false">BINOMDIST($A76,$B$7,$B$25,FALSE())</f>
        <v>1.5710505358146E-034</v>
      </c>
      <c r="C76" s="27" t="n">
        <f aca="false">$B$7-$A76</f>
        <v>4</v>
      </c>
      <c r="D76" s="44" t="n">
        <f aca="false">$C$34*((BINOMDIST(MIN(9,C76),C76,$B$15,TRUE())-BINOMDIST(MIN(7,C76),C76,$B$15,TRUE()))*$B$38+(BINOMDIST(MIN(11,C76),C76,$B$15,TRUE())-BINOMDIST(MIN(9,C76),C76,$B$15,TRUE()))*$C$38+(1-BINOMDIST(MIN(11,C76),C76,$B$15,TRUE()))*$D$38)</f>
        <v>0</v>
      </c>
      <c r="E76" s="43" t="n">
        <f aca="false">B76*D76</f>
        <v>0</v>
      </c>
    </row>
    <row r="77" customFormat="false" ht="15" hidden="false" customHeight="false" outlineLevel="0" collapsed="false">
      <c r="A77" s="14" t="n">
        <v>27</v>
      </c>
      <c r="B77" s="43" t="n">
        <f aca="false">BINOMDIST($A77,$B$7,$B$25,FALSE())</f>
        <v>8.19196660036754E-037</v>
      </c>
      <c r="C77" s="27" t="n">
        <f aca="false">$B$7-$A77</f>
        <v>3</v>
      </c>
      <c r="D77" s="44" t="n">
        <f aca="false">$C$34*((BINOMDIST(MIN(9,C77),C77,$B$15,TRUE())-BINOMDIST(MIN(7,C77),C77,$B$15,TRUE()))*$B$38+(BINOMDIST(MIN(11,C77),C77,$B$15,TRUE())-BINOMDIST(MIN(9,C77),C77,$B$15,TRUE()))*$C$38+(1-BINOMDIST(MIN(11,C77),C77,$B$15,TRUE()))*$D$38)</f>
        <v>0</v>
      </c>
      <c r="E77" s="43" t="n">
        <f aca="false">B77*D77</f>
        <v>0</v>
      </c>
    </row>
    <row r="78" customFormat="false" ht="15" hidden="false" customHeight="false" outlineLevel="0" collapsed="false">
      <c r="A78" s="14" t="n">
        <v>28</v>
      </c>
      <c r="B78" s="43" t="n">
        <f aca="false">BINOMDIST($A78,$B$7,$B$25,FALSE())</f>
        <v>3.08925093625218E-039</v>
      </c>
      <c r="C78" s="27" t="n">
        <f aca="false">$B$7-$A78</f>
        <v>2</v>
      </c>
      <c r="D78" s="44" t="n">
        <f aca="false">$C$34*((BINOMDIST(MIN(9,C78),C78,$B$15,TRUE())-BINOMDIST(MIN(7,C78),C78,$B$15,TRUE()))*$B$38+(BINOMDIST(MIN(11,C78),C78,$B$15,TRUE())-BINOMDIST(MIN(9,C78),C78,$B$15,TRUE()))*$C$38+(1-BINOMDIST(MIN(11,C78),C78,$B$15,TRUE()))*$D$38)</f>
        <v>0</v>
      </c>
      <c r="E78" s="43" t="n">
        <f aca="false">B78*D78</f>
        <v>0</v>
      </c>
    </row>
    <row r="79" customFormat="false" ht="15" hidden="false" customHeight="false" outlineLevel="0" collapsed="false">
      <c r="A79" s="14" t="n">
        <v>29</v>
      </c>
      <c r="B79" s="43" t="n">
        <f aca="false">BINOMDIST($A79,$B$7,$B$25,FALSE())</f>
        <v>7.49871720086914E-042</v>
      </c>
      <c r="C79" s="27" t="n">
        <f aca="false">$B$7-$A79</f>
        <v>1</v>
      </c>
      <c r="D79" s="44" t="n">
        <f aca="false">$C$34*((BINOMDIST(MIN(9,C79),C79,$B$15,TRUE())-BINOMDIST(MIN(7,C79),C79,$B$15,TRUE()))*$B$38+(BINOMDIST(MIN(11,C79),C79,$B$15,TRUE())-BINOMDIST(MIN(9,C79),C79,$B$15,TRUE()))*$C$38+(1-BINOMDIST(MIN(11,C79),C79,$B$15,TRUE()))*$D$38)</f>
        <v>0</v>
      </c>
      <c r="E79" s="43" t="n">
        <f aca="false">B79*D79</f>
        <v>0</v>
      </c>
    </row>
    <row r="80" customFormat="false" ht="15" hidden="false" customHeight="false" outlineLevel="0" collapsed="false">
      <c r="A80" s="14" t="n">
        <v>30</v>
      </c>
      <c r="B80" s="43" t="n">
        <f aca="false">BINOMDIST($A80,$B$7,$B$25,FALSE())</f>
        <v>8.79766683331784E-045</v>
      </c>
      <c r="C80" s="27" t="n">
        <f aca="false">$B$7-$A80</f>
        <v>0</v>
      </c>
      <c r="D80" s="44" t="n">
        <f aca="false">$C$34*((BINOMDIST(MIN(9,C80),C80,$B$15,TRUE())-BINOMDIST(MIN(7,C80),C80,$B$15,TRUE()))*$B$38+(BINOMDIST(MIN(11,C80),C80,$B$15,TRUE())-BINOMDIST(MIN(9,C80),C80,$B$15,TRUE()))*$C$38+(1-BINOMDIST(MIN(11,C80),C80,$B$15,TRUE()))*$D$38)</f>
        <v>0</v>
      </c>
      <c r="E80" s="43" t="n">
        <f aca="false">B80*D80</f>
        <v>0</v>
      </c>
    </row>
    <row r="81" customFormat="false" ht="15.5" hidden="false" customHeight="false" outlineLevel="0" collapsed="false">
      <c r="A81" s="14" t="s">
        <v>171</v>
      </c>
      <c r="B81" s="43" t="n">
        <f aca="false">SUM(B50:B80)</f>
        <v>0.999999999999999</v>
      </c>
      <c r="C81" s="14"/>
      <c r="D81" s="14"/>
      <c r="E81" s="42" t="n">
        <f aca="false">SUM(E50:E80)</f>
        <v>0.454427538088994</v>
      </c>
    </row>
    <row r="83" customFormat="false" ht="15.5" hidden="false" customHeight="false" outlineLevel="0" collapsed="false">
      <c r="A83" s="11" t="s">
        <v>172</v>
      </c>
      <c r="B83" s="11"/>
      <c r="C83" s="11"/>
      <c r="D83" s="12"/>
      <c r="E83" s="12"/>
      <c r="F83" s="12"/>
      <c r="G83" s="12"/>
      <c r="H83" s="12"/>
    </row>
    <row r="84" customFormat="false" ht="15" hidden="false" customHeight="false" outlineLevel="0" collapsed="false">
      <c r="A84" s="13" t="s">
        <v>105</v>
      </c>
      <c r="B84" s="13" t="s">
        <v>161</v>
      </c>
      <c r="C84" s="13" t="s">
        <v>173</v>
      </c>
      <c r="D84" s="13"/>
      <c r="E84" s="13"/>
    </row>
    <row r="85" customFormat="false" ht="15.5" hidden="false" customHeight="false" outlineLevel="0" collapsed="false">
      <c r="A85" s="17" t="s">
        <v>174</v>
      </c>
      <c r="B85" s="29" t="n">
        <v>0.5455</v>
      </c>
      <c r="C85" s="14" t="s">
        <v>175</v>
      </c>
      <c r="D85" s="14"/>
      <c r="E85" s="14"/>
    </row>
    <row r="86" customFormat="false" ht="15.5" hidden="false" customHeight="false" outlineLevel="0" collapsed="false">
      <c r="A86" s="14" t="s">
        <v>176</v>
      </c>
      <c r="B86" s="29" t="n">
        <v>0.5407</v>
      </c>
      <c r="C86" s="14" t="s">
        <v>175</v>
      </c>
      <c r="D86" s="14"/>
      <c r="E86" s="14"/>
    </row>
    <row r="87" customFormat="false" ht="15" hidden="false" customHeight="false" outlineLevel="0" collapsed="false">
      <c r="A87" s="14" t="s">
        <v>177</v>
      </c>
      <c r="B87" s="29" t="n">
        <v>0.0244</v>
      </c>
      <c r="C87" s="14" t="s">
        <v>175</v>
      </c>
      <c r="D87" s="14"/>
      <c r="E87" s="14"/>
    </row>
    <row r="88" customFormat="false" ht="15.5" hidden="false" customHeight="false" outlineLevel="0" collapsed="false">
      <c r="A88" s="14" t="s">
        <v>178</v>
      </c>
      <c r="B88" s="15" t="s">
        <v>179</v>
      </c>
      <c r="C88" s="14" t="s">
        <v>175</v>
      </c>
      <c r="D88" s="14"/>
      <c r="E88" s="14"/>
    </row>
    <row r="90" customFormat="false" ht="42" hidden="false" customHeight="true" outlineLevel="0" collapsed="false">
      <c r="A90" s="30" t="s">
        <v>180</v>
      </c>
      <c r="B90" s="30"/>
      <c r="C90" s="30"/>
    </row>
    <row r="92" customFormat="false" ht="15.5" hidden="false" customHeight="false" outlineLevel="0" collapsed="false">
      <c r="A92" s="11" t="s">
        <v>181</v>
      </c>
      <c r="B92" s="11"/>
      <c r="C92" s="11"/>
      <c r="D92" s="11"/>
      <c r="E92" s="12"/>
      <c r="F92" s="12"/>
      <c r="G92" s="12"/>
      <c r="H92" s="12"/>
    </row>
    <row r="93" customFormat="false" ht="15" hidden="false" customHeight="false" outlineLevel="0" collapsed="false">
      <c r="A93" s="13" t="s">
        <v>182</v>
      </c>
      <c r="B93" s="13" t="s">
        <v>183</v>
      </c>
      <c r="C93" s="13" t="s">
        <v>184</v>
      </c>
      <c r="D93" s="13" t="s">
        <v>126</v>
      </c>
      <c r="E93" s="13"/>
      <c r="F93" s="13"/>
    </row>
    <row r="94" customFormat="false" ht="15.5" hidden="false" customHeight="false" outlineLevel="0" collapsed="false">
      <c r="A94" s="19" t="s">
        <v>127</v>
      </c>
      <c r="B94" s="31" t="n">
        <v>1077</v>
      </c>
      <c r="C94" s="41" t="n">
        <f aca="false">B94/10000</f>
        <v>0.1077</v>
      </c>
      <c r="D94" s="14"/>
      <c r="E94" s="14"/>
      <c r="F94" s="14"/>
    </row>
    <row r="95" customFormat="false" ht="15.5" hidden="false" customHeight="false" outlineLevel="0" collapsed="false">
      <c r="A95" s="19" t="s">
        <v>130</v>
      </c>
      <c r="B95" s="31" t="n">
        <v>1072</v>
      </c>
      <c r="C95" s="41" t="n">
        <f aca="false">B95/10000</f>
        <v>0.1072</v>
      </c>
      <c r="D95" s="14"/>
      <c r="E95" s="14"/>
      <c r="F95" s="14"/>
    </row>
    <row r="96" customFormat="false" ht="15.5" hidden="false" customHeight="false" outlineLevel="0" collapsed="false">
      <c r="A96" s="19" t="s">
        <v>131</v>
      </c>
      <c r="B96" s="31" t="n">
        <v>1072</v>
      </c>
      <c r="C96" s="41" t="n">
        <f aca="false">B96/10000</f>
        <v>0.1072</v>
      </c>
      <c r="D96" s="14"/>
      <c r="E96" s="14"/>
      <c r="F96" s="14"/>
    </row>
    <row r="97" customFormat="false" ht="15.5" hidden="false" customHeight="false" outlineLevel="0" collapsed="false">
      <c r="A97" s="19" t="s">
        <v>133</v>
      </c>
      <c r="B97" s="31" t="n">
        <v>1072</v>
      </c>
      <c r="C97" s="41" t="n">
        <f aca="false">B97/10000</f>
        <v>0.1072</v>
      </c>
      <c r="D97" s="14"/>
      <c r="E97" s="14"/>
      <c r="F97" s="14"/>
    </row>
    <row r="98" customFormat="false" ht="15.5" hidden="false" customHeight="false" outlineLevel="0" collapsed="false">
      <c r="A98" s="19" t="s">
        <v>135</v>
      </c>
      <c r="B98" s="31" t="n">
        <v>1072</v>
      </c>
      <c r="C98" s="41" t="n">
        <f aca="false">B98/10000</f>
        <v>0.1072</v>
      </c>
      <c r="D98" s="14"/>
      <c r="E98" s="14"/>
      <c r="F98" s="14"/>
    </row>
    <row r="99" customFormat="false" ht="15.5" hidden="false" customHeight="false" outlineLevel="0" collapsed="false">
      <c r="A99" s="19" t="s">
        <v>136</v>
      </c>
      <c r="B99" s="31" t="n">
        <v>1072</v>
      </c>
      <c r="C99" s="41" t="n">
        <f aca="false">B99/10000</f>
        <v>0.1072</v>
      </c>
      <c r="D99" s="14"/>
      <c r="E99" s="14"/>
      <c r="F99" s="14"/>
    </row>
    <row r="100" customFormat="false" ht="15.5" hidden="false" customHeight="false" outlineLevel="0" collapsed="false">
      <c r="A100" s="19" t="s">
        <v>137</v>
      </c>
      <c r="B100" s="31" t="n">
        <v>1072</v>
      </c>
      <c r="C100" s="41" t="n">
        <f aca="false">B100/10000</f>
        <v>0.1072</v>
      </c>
      <c r="D100" s="14"/>
      <c r="E100" s="14"/>
      <c r="F100" s="14"/>
    </row>
    <row r="101" customFormat="false" ht="15.5" hidden="false" customHeight="false" outlineLevel="0" collapsed="false">
      <c r="A101" s="19" t="s">
        <v>138</v>
      </c>
      <c r="B101" s="31" t="n">
        <v>1072</v>
      </c>
      <c r="C101" s="41" t="n">
        <f aca="false">B101/10000</f>
        <v>0.1072</v>
      </c>
      <c r="D101" s="14"/>
      <c r="E101" s="14"/>
      <c r="F101" s="14"/>
    </row>
    <row r="102" customFormat="false" ht="15.5" hidden="false" customHeight="false" outlineLevel="0" collapsed="false">
      <c r="A102" s="19" t="s">
        <v>139</v>
      </c>
      <c r="B102" s="31" t="n">
        <v>1072</v>
      </c>
      <c r="C102" s="41" t="n">
        <f aca="false">B102/10000</f>
        <v>0.1072</v>
      </c>
      <c r="D102" s="14"/>
      <c r="E102" s="14"/>
      <c r="F102" s="14"/>
    </row>
    <row r="103" customFormat="false" ht="15" hidden="false" customHeight="false" outlineLevel="0" collapsed="false">
      <c r="A103" s="15" t="s">
        <v>140</v>
      </c>
      <c r="B103" s="31" t="n">
        <v>300</v>
      </c>
      <c r="C103" s="41" t="n">
        <f aca="false">B103/10000</f>
        <v>0.03</v>
      </c>
      <c r="D103" s="14"/>
      <c r="E103" s="14"/>
      <c r="F103" s="14"/>
    </row>
    <row r="104" customFormat="false" ht="15" hidden="false" customHeight="false" outlineLevel="0" collapsed="false">
      <c r="A104" s="19" t="s">
        <v>185</v>
      </c>
      <c r="B104" s="31" t="n">
        <v>47</v>
      </c>
      <c r="C104" s="41" t="n">
        <f aca="false">B104/10000</f>
        <v>0.0047</v>
      </c>
      <c r="D104" s="14"/>
      <c r="E104" s="14"/>
      <c r="F104" s="14"/>
    </row>
    <row r="105" customFormat="false" ht="15.5" hidden="false" customHeight="false" outlineLevel="0" collapsed="false">
      <c r="A105" s="14" t="s">
        <v>186</v>
      </c>
      <c r="B105" s="27" t="n">
        <f aca="false">SUM(B94:B104)</f>
        <v>10000</v>
      </c>
      <c r="C105" s="41" t="n">
        <f aca="false">B105/10000</f>
        <v>1</v>
      </c>
      <c r="D105" s="20" t="s">
        <v>187</v>
      </c>
      <c r="E105" s="20"/>
      <c r="F105" s="14"/>
    </row>
    <row r="107" customFormat="false" ht="15.5" hidden="false" customHeight="false" outlineLevel="0" collapsed="false">
      <c r="A107" s="11" t="s">
        <v>188</v>
      </c>
      <c r="B107" s="11"/>
      <c r="C107" s="11"/>
      <c r="D107" s="12"/>
      <c r="E107" s="12"/>
      <c r="F107" s="12"/>
      <c r="G107" s="12"/>
      <c r="H107" s="12"/>
    </row>
    <row r="108" customFormat="false" ht="15" hidden="false" customHeight="false" outlineLevel="0" collapsed="false">
      <c r="A108" s="13" t="s">
        <v>105</v>
      </c>
      <c r="B108" s="13" t="s">
        <v>161</v>
      </c>
      <c r="C108" s="13" t="s">
        <v>126</v>
      </c>
      <c r="D108" s="13"/>
      <c r="E108" s="13"/>
      <c r="F108" s="13"/>
    </row>
    <row r="109" customFormat="false" ht="15.5" hidden="false" customHeight="false" outlineLevel="0" collapsed="false">
      <c r="A109" s="39">
        <v>10</v>
      </c>
      <c r="B109" s="32" t="n">
        <v>0.540658</v>
      </c>
      <c r="C109" s="20" t="s">
        <v>190</v>
      </c>
      <c r="D109" s="20"/>
      <c r="E109" s="20"/>
      <c r="F109" s="14"/>
    </row>
    <row r="110" customFormat="false" ht="15.5" hidden="false" customHeight="false" outlineLevel="0" collapsed="false">
      <c r="A110" s="14" t="s">
        <v>191</v>
      </c>
      <c r="B110" s="32" t="n">
        <v>0.024353</v>
      </c>
      <c r="C110" s="14" t="s">
        <v>192</v>
      </c>
      <c r="D110" s="14"/>
      <c r="E110" s="14"/>
      <c r="F110" s="14"/>
    </row>
    <row r="111" customFormat="false" ht="15.5" hidden="false" customHeight="false" outlineLevel="0" collapsed="false">
      <c r="A111" s="14" t="s">
        <v>193</v>
      </c>
      <c r="B111" s="22" t="n">
        <f aca="false">B109-B110</f>
        <v>0.516305</v>
      </c>
      <c r="C111" s="14" t="s">
        <v>194</v>
      </c>
      <c r="D111" s="14"/>
      <c r="E111" s="14"/>
      <c r="F111" s="14"/>
    </row>
    <row r="112" customFormat="false" ht="15.5" hidden="false" customHeight="false" outlineLevel="0" collapsed="false">
      <c r="A112" s="14" t="s">
        <v>195</v>
      </c>
      <c r="B112" s="22" t="n">
        <f aca="false">B109+B110</f>
        <v>0.565011</v>
      </c>
      <c r="C112" s="14" t="s">
        <v>196</v>
      </c>
      <c r="D112" s="14"/>
      <c r="E112" s="14"/>
      <c r="F112" s="14"/>
    </row>
    <row r="114" customFormat="false" ht="15" hidden="false" customHeight="false" outlineLevel="0" collapsed="false">
      <c r="A114" s="11" t="s">
        <v>197</v>
      </c>
      <c r="B114" s="11"/>
      <c r="C114" s="11"/>
      <c r="D114" s="12"/>
      <c r="E114" s="12"/>
      <c r="F114" s="12"/>
      <c r="G114" s="12"/>
      <c r="H114" s="12"/>
    </row>
    <row r="115" customFormat="false" ht="15" hidden="false" customHeight="false" outlineLevel="0" collapsed="false">
      <c r="A115" s="13" t="s">
        <v>198</v>
      </c>
      <c r="B115" s="13" t="s">
        <v>199</v>
      </c>
      <c r="C115" s="13" t="s">
        <v>126</v>
      </c>
      <c r="D115" s="13"/>
      <c r="E115" s="13"/>
      <c r="F115" s="13"/>
    </row>
    <row r="116" customFormat="false" ht="15.5" hidden="false" customHeight="false" outlineLevel="0" collapsed="false">
      <c r="A116" s="14" t="s">
        <v>200</v>
      </c>
      <c r="B116" s="14" t="str">
        <f aca="false">IF(B105=10000,"✓","✗")</f>
        <v>✓</v>
      </c>
      <c r="C116" s="14" t="s">
        <v>201</v>
      </c>
      <c r="D116" s="14"/>
      <c r="E116" s="14"/>
      <c r="F116" s="14"/>
    </row>
    <row r="117" customFormat="false" ht="15.5" hidden="false" customHeight="false" outlineLevel="0" collapsed="false">
      <c r="A117" s="17" t="s">
        <v>202</v>
      </c>
      <c r="B117" s="14" t="str">
        <f aca="false">IF(ABS(C103-0.03)&lt;0.0001,"✓","✗")</f>
        <v>✓</v>
      </c>
      <c r="C117" s="14" t="s">
        <v>203</v>
      </c>
      <c r="D117" s="14"/>
      <c r="E117" s="14"/>
      <c r="F117" s="14"/>
    </row>
    <row r="118" customFormat="false" ht="15.5" hidden="false" customHeight="false" outlineLevel="0" collapsed="false">
      <c r="A118" s="14" t="s">
        <v>204</v>
      </c>
      <c r="B118" s="14" t="str">
        <f aca="false">IF(ABS(C104-0.0047)&lt;0.0001,"✓","✗")</f>
        <v>✓</v>
      </c>
      <c r="C118" s="14" t="s">
        <v>203</v>
      </c>
      <c r="D118" s="14"/>
      <c r="E118" s="14"/>
      <c r="F118" s="14"/>
    </row>
  </sheetData>
  <mergeCells count="21">
    <mergeCell ref="A1:E1"/>
    <mergeCell ref="A3:C3"/>
    <mergeCell ref="C9:D9"/>
    <mergeCell ref="C11:D11"/>
    <mergeCell ref="A13:E13"/>
    <mergeCell ref="D24:E24"/>
    <mergeCell ref="E25:G25"/>
    <mergeCell ref="A28:D28"/>
    <mergeCell ref="A36:E36"/>
    <mergeCell ref="E41:F41"/>
    <mergeCell ref="E42:G42"/>
    <mergeCell ref="A44:D44"/>
    <mergeCell ref="D46:E46"/>
    <mergeCell ref="A48:E48"/>
    <mergeCell ref="A83:C83"/>
    <mergeCell ref="A90:C90"/>
    <mergeCell ref="A92:D92"/>
    <mergeCell ref="D105:E105"/>
    <mergeCell ref="A107:C107"/>
    <mergeCell ref="C109:E109"/>
    <mergeCell ref="A114:C1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ignoredErrors>
    <ignoredError sqref="A1:M138" evalError="1" twoDigitTextYear="1" numberStoredAsText="1" formula="1" formulaRange="1" unlockedFormula="1" emptyCellReference="1" listDataValidation="1" calculatedColumn="1"/>
  </ignoredErrors>
</worksheet>
</file>

<file path=docProps/app.xml><?xml version="1.0" encoding="utf-8"?>
<Properties xmlns="http://schemas.openxmlformats.org/officeDocument/2006/extended-properties" xmlns:vt="http://schemas.openxmlformats.org/officeDocument/2006/docPropsVTypes">
  <Template/>
  <TotalTime>0</TotalTime>
  <Application>LibreOffice/26.2.2.2$Windows_X86_64 LibreOffice_project/1f77d10d6938fd34972958f64b2bcfa54f8b1ba5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2026-09-29T15:06:23Z</dcterms:created>
  <dc:creator>openpyxl</dc:creator>
  <dc:description/>
  <dc:language>zh-CN</dc:language>
  <cp:lastModifiedBy/>
  <dcterms:modified xsi:type="dcterms:W3CDTF">2026-09-29T15:06:29Z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