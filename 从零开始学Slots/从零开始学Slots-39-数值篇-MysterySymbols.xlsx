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的实现"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<sst xmlns="http://schemas.openxmlformats.org/spreadsheetml/2006/main" count="225" uniqueCount="164">
  <si>
    <r>
      <rPr>
        <b val="true"/>
        <sz val="14"/>
        <color rgb="FF1F4E79"/>
        <rFont val="Noto Sans SC"/>
        <family val="2"/>
        <charset val="134"/>
      </rPr>
      <t xml:space="preserve">从零开始学</t>
    </r>
    <r>
      <rPr>
        <b val="true"/>
        <sz val="14"/>
        <color rgb="FF1F4E79"/>
        <rFont val="Cambria"/>
        <family val="0"/>
        <charset val="1"/>
      </rPr>
      <t xml:space="preserve">Slots 39 —— </t>
    </r>
    <r>
      <rPr>
        <b val="true"/>
        <sz val="14"/>
        <color rgb="FF1F4E79"/>
        <rFont val="Noto Sans SC"/>
        <family val="2"/>
        <charset val="134"/>
      </rPr>
      <t xml:space="preserve">数值篇：</t>
    </r>
    <r>
      <rPr>
        <b val="true"/>
        <sz val="14"/>
        <color rgb="FF1F4E79"/>
        <rFont val="Cambria"/>
        <family val="0"/>
        <charset val="1"/>
      </rPr>
      <t xml:space="preserve">Mystery Symbols</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</si>
  <si>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数值篇——</t>
    </r>
    <r>
      <rPr>
        <sz val="11"/>
        <color rgb="FF808080"/>
        <rFont val="Cambria"/>
        <family val="0"/>
        <charset val="1"/>
      </rPr>
      <t xml:space="preserve">Mystery Symbols</t>
    </r>
    <r>
      <rPr>
        <sz val="11"/>
        <color rgb="FF808080"/>
        <rFont val="Noto Sans SC"/>
        <family val="2"/>
        <charset val="134"/>
      </rPr>
      <t xml:space="preserve">》 </t>
    </r>
    <r>
      <rPr>
        <sz val="11"/>
        <color rgb="FF808080"/>
        <rFont val="Cambria"/>
        <family val="0"/>
        <charset val="1"/>
      </rPr>
      <t xml:space="preserve">https://zhuanlan.zhihu.com/p/637203163</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</si>
  <si>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 </t>
    </r>
    <r>
      <rPr>
        <sz val="11"/>
        <color rgb="FF808080"/>
        <rFont val="Noto Sans SC"/>
        <family val="2"/>
        <charset val="134"/>
      </rPr>
      <t xml:space="preserve">｜ 发布 </t>
    </r>
    <r>
      <rPr>
        <sz val="11"/>
        <color rgb="FF808080"/>
        <rFont val="Cambria"/>
        <family val="0"/>
        <charset val="1"/>
      </rPr>
      <t xml:space="preserve">2023-06-27</t>
    </r>
  </si>
  <si>
    <t xml:space="preserve">页签</t>
  </si>
  <si>
    <r>
      <rPr>
        <sz val="11"/>
        <color theme="1"/>
        <rFont val="Calibri"/>
        <family val="2"/>
        <charset val="1"/>
      </rPr>
      <t xml:space="preserve">· </t>
    </r>
    <r>
      <rPr>
        <sz val="11"/>
        <color theme="1"/>
        <rFont val="Noto Sans SC"/>
        <family val="2"/>
        <charset val="134"/>
      </rPr>
      <t xml:space="preserve">数据配表的实现：固定卷轴 → 计数 → </t>
    </r>
    <r>
      <rPr>
        <sz val="11"/>
        <color theme="1"/>
        <rFont val="Calibri"/>
        <family val="2"/>
        <charset val="1"/>
      </rPr>
      <t xml:space="preserve">MS </t>
    </r>
    <r>
      <rPr>
        <sz val="11"/>
        <color theme="1"/>
        <rFont val="Noto Sans SC"/>
        <family val="2"/>
        <charset val="134"/>
      </rPr>
      <t xml:space="preserve">变身几率 → 分 </t>
    </r>
    <r>
      <rPr>
        <sz val="11"/>
        <color theme="1"/>
        <rFont val="Calibri"/>
        <family val="2"/>
        <charset val="1"/>
      </rPr>
      <t xml:space="preserve">4 </t>
    </r>
    <r>
      <rPr>
        <sz val="11"/>
        <color theme="1"/>
        <rFont val="Noto Sans SC"/>
        <family val="2"/>
        <charset val="134"/>
      </rPr>
      <t xml:space="preserve">类讨论的 </t>
    </r>
    <r>
      <rPr>
        <sz val="11"/>
        <color theme="1"/>
        <rFont val="Calibri"/>
        <family val="2"/>
        <charset val="1"/>
      </rPr>
      <t xml:space="preserve">RTP → </t>
    </r>
    <r>
      <rPr>
        <sz val="11"/>
        <color theme="1"/>
        <rFont val="Noto Sans SC"/>
        <family val="2"/>
        <charset val="134"/>
      </rPr>
      <t xml:space="preserve">加权汇总 → 与 </t>
    </r>
    <r>
      <rPr>
        <sz val="11"/>
        <color theme="1"/>
        <rFont val="Calibri"/>
        <family val="2"/>
        <charset val="1"/>
      </rPr>
      <t xml:space="preserve">Super Stack </t>
    </r>
    <r>
      <rPr>
        <sz val="11"/>
        <color theme="1"/>
        <rFont val="Noto Sans SC"/>
        <family val="2"/>
        <charset val="134"/>
      </rPr>
      <t xml:space="preserve">对照</t>
    </r>
  </si>
  <si>
    <t xml:space="preserve">一、机制</t>
  </si>
  <si>
    <r>
      <rPr>
        <sz val="11"/>
        <color theme="1"/>
        <rFont val="Calibri"/>
        <family val="2"/>
        <charset val="1"/>
      </rPr>
      <t xml:space="preserve">Mystery Symbols</t>
    </r>
    <r>
      <rPr>
        <sz val="11"/>
        <color theme="1"/>
        <rFont val="Noto Sans SC"/>
        <family val="2"/>
        <charset val="134"/>
      </rPr>
      <t xml:space="preserve">（</t>
    </r>
    <r>
      <rPr>
        <sz val="11"/>
        <color theme="1"/>
        <rFont val="Calibri"/>
        <family val="2"/>
        <charset val="1"/>
      </rPr>
      <t xml:space="preserve">MS</t>
    </r>
    <r>
      <rPr>
        <sz val="11"/>
        <color theme="1"/>
        <rFont val="Noto Sans SC"/>
        <family val="2"/>
        <charset val="134"/>
      </rPr>
      <t xml:space="preserve">）每次摇奖时，让被抽到的神秘图标「全部」变成同一个指定图标（一般从标准图标中抽取）。</t>
    </r>
  </si>
  <si>
    <r>
      <rPr>
        <sz val="11"/>
        <color theme="1"/>
        <rFont val="Calibri"/>
        <family val="2"/>
        <charset val="1"/>
      </rPr>
      <t xml:space="preserve">MS </t>
    </r>
    <r>
      <rPr>
        <sz val="11"/>
        <color theme="1"/>
        <rFont val="Noto Sans SC"/>
        <family val="2"/>
        <charset val="134"/>
      </rPr>
      <t xml:space="preserve">本身没有赔付价值，一定会变成其他图标参与结算。</t>
    </r>
  </si>
  <si>
    <r>
      <rPr>
        <b val="true"/>
        <sz val="11"/>
        <rFont val="Noto Sans SC"/>
        <family val="2"/>
        <charset val="134"/>
      </rPr>
      <t xml:space="preserve">二、为什么不能像 </t>
    </r>
    <r>
      <rPr>
        <b val="true"/>
        <sz val="11"/>
        <rFont val="Cambria"/>
        <family val="0"/>
        <charset val="1"/>
      </rPr>
      <t xml:space="preserve">Super Stack </t>
    </r>
    <r>
      <rPr>
        <b val="true"/>
        <sz val="11"/>
        <rFont val="Noto Sans SC"/>
        <family val="2"/>
        <charset val="134"/>
      </rPr>
      <t xml:space="preserve">那样直接分配几率</t>
    </r>
  </si>
  <si>
    <r>
      <rPr>
        <sz val="11"/>
        <color theme="1"/>
        <rFont val="Calibri"/>
        <family val="2"/>
        <charset val="1"/>
      </rPr>
      <t xml:space="preserve">Super Stack </t>
    </r>
    <r>
      <rPr>
        <sz val="11"/>
        <color theme="1"/>
        <rFont val="Noto Sans SC"/>
        <family val="2"/>
        <charset val="134"/>
      </rPr>
      <t xml:space="preserve">是「一次性抽一次、作用于各列」，可以直接把出现几率分配到各图标；</t>
    </r>
  </si>
  <si>
    <r>
      <rPr>
        <sz val="11"/>
        <color theme="1"/>
        <rFont val="Noto Sans SC"/>
        <family val="2"/>
        <charset val="134"/>
      </rPr>
      <t xml:space="preserve">但 </t>
    </r>
    <r>
      <rPr>
        <sz val="11"/>
        <color theme="1"/>
        <rFont val="Calibri"/>
        <family val="2"/>
        <charset val="1"/>
      </rPr>
      <t xml:space="preserve">MS </t>
    </r>
    <r>
      <rPr>
        <sz val="11"/>
        <color theme="1"/>
        <rFont val="Noto Sans SC"/>
        <family val="2"/>
        <charset val="134"/>
      </rPr>
      <t xml:space="preserve">一次摇奖只变成一个图标 —— 若按图标逐个分配几率，每次分配都相当于又抽了一次图标，会造成重复计算。</t>
    </r>
  </si>
  <si>
    <r>
      <rPr>
        <sz val="11"/>
        <color theme="1"/>
        <rFont val="Noto Sans SC"/>
        <family val="2"/>
        <charset val="134"/>
      </rPr>
      <t xml:space="preserve">因此 </t>
    </r>
    <r>
      <rPr>
        <sz val="11"/>
        <color theme="1"/>
        <rFont val="Calibri"/>
        <family val="2"/>
        <charset val="1"/>
      </rPr>
      <t xml:space="preserve">MS </t>
    </r>
    <r>
      <rPr>
        <sz val="11"/>
        <color theme="1"/>
        <rFont val="Noto Sans SC"/>
        <family val="2"/>
        <charset val="134"/>
      </rPr>
      <t xml:space="preserve">必须「分类讨论」：按 </t>
    </r>
    <r>
      <rPr>
        <sz val="11"/>
        <color theme="1"/>
        <rFont val="Calibri"/>
        <family val="2"/>
        <charset val="1"/>
      </rPr>
      <t xml:space="preserve">MS </t>
    </r>
    <r>
      <rPr>
        <sz val="11"/>
        <color theme="1"/>
        <rFont val="Noto Sans SC"/>
        <family val="2"/>
        <charset val="134"/>
      </rPr>
      <t xml:space="preserve">可变成的图标种类，把 </t>
    </r>
    <r>
      <rPr>
        <sz val="11"/>
        <color theme="1"/>
        <rFont val="Calibri"/>
        <family val="2"/>
        <charset val="1"/>
      </rPr>
      <t xml:space="preserve">Slots </t>
    </r>
    <r>
      <rPr>
        <sz val="11"/>
        <color theme="1"/>
        <rFont val="Noto Sans SC"/>
        <family val="2"/>
        <charset val="134"/>
      </rPr>
      <t xml:space="preserve">分成「</t>
    </r>
    <r>
      <rPr>
        <sz val="11"/>
        <color theme="1"/>
        <rFont val="Calibri"/>
        <family val="2"/>
        <charset val="1"/>
      </rPr>
      <t xml:space="preserve">MS </t>
    </r>
    <r>
      <rPr>
        <sz val="11"/>
        <color theme="1"/>
        <rFont val="Noto Sans SC"/>
        <family val="2"/>
        <charset val="134"/>
      </rPr>
      <t xml:space="preserve">必定变成 </t>
    </r>
    <r>
      <rPr>
        <sz val="11"/>
        <color theme="1"/>
        <rFont val="Calibri"/>
        <family val="2"/>
        <charset val="1"/>
      </rPr>
      <t xml:space="preserve">J / Q / K / A</t>
    </r>
    <r>
      <rPr>
        <sz val="11"/>
        <color theme="1"/>
        <rFont val="Noto Sans SC"/>
        <family val="2"/>
        <charset val="134"/>
      </rPr>
      <t xml:space="preserve">」等多组，</t>
    </r>
  </si>
  <si>
    <r>
      <rPr>
        <sz val="11"/>
        <color theme="1"/>
        <rFont val="Noto Sans SC"/>
        <family val="2"/>
        <charset val="134"/>
      </rPr>
      <t xml:space="preserve">分别算出每组的 </t>
    </r>
    <r>
      <rPr>
        <sz val="11"/>
        <color theme="1"/>
        <rFont val="Calibri"/>
        <family val="2"/>
        <charset val="1"/>
      </rPr>
      <t xml:space="preserve">RTP</t>
    </r>
    <r>
      <rPr>
        <sz val="11"/>
        <color theme="1"/>
        <rFont val="Noto Sans SC"/>
        <family val="2"/>
        <charset val="134"/>
      </rPr>
      <t xml:space="preserve">，再用「</t>
    </r>
    <r>
      <rPr>
        <sz val="11"/>
        <color theme="1"/>
        <rFont val="Calibri"/>
        <family val="2"/>
        <charset val="1"/>
      </rPr>
      <t xml:space="preserve">MS </t>
    </r>
    <r>
      <rPr>
        <sz val="11"/>
        <color theme="1"/>
        <rFont val="Noto Sans SC"/>
        <family val="2"/>
        <charset val="134"/>
      </rPr>
      <t xml:space="preserve">变成各图标的几率」加权平均，得到最终 </t>
    </r>
    <r>
      <rPr>
        <sz val="11"/>
        <color theme="1"/>
        <rFont val="Calibri"/>
        <family val="2"/>
        <charset val="1"/>
      </rPr>
      <t xml:space="preserve">RTP</t>
    </r>
    <r>
      <rPr>
        <sz val="11"/>
        <color theme="1"/>
        <rFont val="Noto Sans SC"/>
        <family val="2"/>
        <charset val="134"/>
      </rPr>
      <t xml:space="preserve">。</t>
    </r>
  </si>
  <si>
    <t xml:space="preserve">三、示例设定（原文）</t>
  </si>
  <si>
    <r>
      <rPr>
        <sz val="11"/>
        <color theme="1"/>
        <rFont val="Calibri"/>
        <family val="2"/>
        <charset val="1"/>
      </rPr>
      <t xml:space="preserve">· </t>
    </r>
    <r>
      <rPr>
        <sz val="11"/>
        <color theme="1"/>
        <rFont val="Noto Sans SC"/>
        <family val="2"/>
        <charset val="134"/>
      </rPr>
      <t xml:space="preserve">卷轴尺寸：</t>
    </r>
    <r>
      <rPr>
        <sz val="11"/>
        <color theme="1"/>
        <rFont val="Calibri"/>
        <family val="2"/>
        <charset val="1"/>
      </rPr>
      <t xml:space="preserve">3*5</t>
    </r>
    <r>
      <rPr>
        <sz val="11"/>
        <color theme="1"/>
        <rFont val="Noto Sans SC"/>
        <family val="2"/>
        <charset val="134"/>
      </rPr>
      <t xml:space="preserve">　</t>
    </r>
    <r>
      <rPr>
        <sz val="11"/>
        <color theme="1"/>
        <rFont val="Calibri"/>
        <family val="2"/>
        <charset val="1"/>
      </rPr>
      <t xml:space="preserve">· </t>
    </r>
    <r>
      <rPr>
        <sz val="11"/>
        <color theme="1"/>
        <rFont val="Noto Sans SC"/>
        <family val="2"/>
        <charset val="134"/>
      </rPr>
      <t xml:space="preserve">图标：</t>
    </r>
    <r>
      <rPr>
        <sz val="11"/>
        <color theme="1"/>
        <rFont val="Calibri"/>
        <family val="2"/>
        <charset val="1"/>
      </rPr>
      <t xml:space="preserve">J</t>
    </r>
    <r>
      <rPr>
        <sz val="11"/>
        <color theme="1"/>
        <rFont val="Noto Sans SC"/>
        <family val="2"/>
        <charset val="134"/>
      </rPr>
      <t xml:space="preserve">、</t>
    </r>
    <r>
      <rPr>
        <sz val="11"/>
        <color theme="1"/>
        <rFont val="Calibri"/>
        <family val="2"/>
        <charset val="1"/>
      </rPr>
      <t xml:space="preserve">Q</t>
    </r>
    <r>
      <rPr>
        <sz val="11"/>
        <color theme="1"/>
        <rFont val="Noto Sans SC"/>
        <family val="2"/>
        <charset val="134"/>
      </rPr>
      <t xml:space="preserve">、</t>
    </r>
    <r>
      <rPr>
        <sz val="11"/>
        <color theme="1"/>
        <rFont val="Calibri"/>
        <family val="2"/>
        <charset val="1"/>
      </rPr>
      <t xml:space="preserve">K</t>
    </r>
    <r>
      <rPr>
        <sz val="11"/>
        <color theme="1"/>
        <rFont val="Noto Sans SC"/>
        <family val="2"/>
        <charset val="134"/>
      </rPr>
      <t xml:space="preserve">、</t>
    </r>
    <r>
      <rPr>
        <sz val="11"/>
        <color theme="1"/>
        <rFont val="Calibri"/>
        <family val="2"/>
        <charset val="1"/>
      </rPr>
      <t xml:space="preserve">A </t>
    </r>
    <r>
      <rPr>
        <sz val="11"/>
        <color theme="1"/>
        <rFont val="Noto Sans SC"/>
        <family val="2"/>
        <charset val="134"/>
      </rPr>
      <t xml:space="preserve">＋ </t>
    </r>
    <r>
      <rPr>
        <sz val="11"/>
        <color theme="1"/>
        <rFont val="Calibri"/>
        <family val="2"/>
        <charset val="1"/>
      </rPr>
      <t xml:space="preserve">Wild </t>
    </r>
    <r>
      <rPr>
        <sz val="11"/>
        <color theme="1"/>
        <rFont val="Noto Sans SC"/>
        <family val="2"/>
        <charset val="134"/>
      </rPr>
      <t xml:space="preserve">＋ </t>
    </r>
    <r>
      <rPr>
        <sz val="11"/>
        <color theme="1"/>
        <rFont val="Calibri"/>
        <family val="2"/>
        <charset val="1"/>
      </rPr>
      <t xml:space="preserve">MS</t>
    </r>
  </si>
  <si>
    <r>
      <rPr>
        <sz val="11"/>
        <color theme="1"/>
        <rFont val="Calibri"/>
        <family val="2"/>
        <charset val="1"/>
      </rPr>
      <t xml:space="preserve">· </t>
    </r>
    <r>
      <rPr>
        <sz val="11"/>
        <color theme="1"/>
        <rFont val="Noto Sans SC"/>
        <family val="2"/>
        <charset val="134"/>
      </rPr>
      <t xml:space="preserve">固定卷轴示范（</t>
    </r>
    <r>
      <rPr>
        <sz val="11"/>
        <color theme="1"/>
        <rFont val="Calibri"/>
        <family val="2"/>
        <charset val="1"/>
      </rPr>
      <t xml:space="preserve">MS </t>
    </r>
    <r>
      <rPr>
        <sz val="11"/>
        <color theme="1"/>
        <rFont val="Noto Sans SC"/>
        <family val="2"/>
        <charset val="134"/>
      </rPr>
      <t xml:space="preserve">的堆叠方式不要求单列连续，固定卷轴或随机卷轴差异不大，可依项目与当地政策选择）。</t>
    </r>
  </si>
  <si>
    <r>
      <rPr>
        <sz val="11"/>
        <color theme="1"/>
        <rFont val="Calibri"/>
        <family val="2"/>
        <charset val="1"/>
      </rPr>
      <t xml:space="preserve">· </t>
    </r>
    <r>
      <rPr>
        <sz val="11"/>
        <color theme="1"/>
        <rFont val="Noto Sans SC"/>
        <family val="2"/>
        <charset val="134"/>
      </rPr>
      <t xml:space="preserve">步骤：</t>
    </r>
    <r>
      <rPr>
        <sz val="11"/>
        <color theme="1"/>
        <rFont val="Calibri"/>
        <family val="2"/>
        <charset val="1"/>
      </rPr>
      <t xml:space="preserve">36 </t>
    </r>
    <r>
      <rPr>
        <sz val="11"/>
        <color theme="1"/>
        <rFont val="Noto Sans SC"/>
        <family val="2"/>
        <charset val="134"/>
      </rPr>
      <t xml:space="preserve">设置固定卷轴 → </t>
    </r>
    <r>
      <rPr>
        <sz val="11"/>
        <color theme="1"/>
        <rFont val="Calibri"/>
        <family val="2"/>
        <charset val="1"/>
      </rPr>
      <t xml:space="preserve">37 </t>
    </r>
    <r>
      <rPr>
        <sz val="11"/>
        <color theme="1"/>
        <rFont val="Noto Sans SC"/>
        <family val="2"/>
        <charset val="134"/>
      </rPr>
      <t xml:space="preserve">读取图标分布 → </t>
    </r>
    <r>
      <rPr>
        <sz val="11"/>
        <color theme="1"/>
        <rFont val="Calibri"/>
        <family val="2"/>
        <charset val="1"/>
      </rPr>
      <t xml:space="preserve">40 </t>
    </r>
    <r>
      <rPr>
        <sz val="11"/>
        <color theme="1"/>
        <rFont val="Noto Sans SC"/>
        <family val="2"/>
        <charset val="134"/>
      </rPr>
      <t xml:space="preserve">设置 </t>
    </r>
    <r>
      <rPr>
        <sz val="11"/>
        <color theme="1"/>
        <rFont val="Calibri"/>
        <family val="2"/>
        <charset val="1"/>
      </rPr>
      <t xml:space="preserve">MS </t>
    </r>
    <r>
      <rPr>
        <sz val="11"/>
        <color theme="1"/>
        <rFont val="Noto Sans SC"/>
        <family val="2"/>
        <charset val="134"/>
      </rPr>
      <t xml:space="preserve">变身几率（</t>
    </r>
    <r>
      <rPr>
        <sz val="11"/>
        <color theme="1"/>
        <rFont val="Calibri"/>
        <family val="2"/>
        <charset val="1"/>
      </rPr>
      <t xml:space="preserve">J/Q/K/A </t>
    </r>
    <r>
      <rPr>
        <sz val="11"/>
        <color theme="1"/>
        <rFont val="Noto Sans SC"/>
        <family val="2"/>
        <charset val="134"/>
      </rPr>
      <t xml:space="preserve">四档）→ </t>
    </r>
    <r>
      <rPr>
        <sz val="11"/>
        <color theme="1"/>
        <rFont val="Calibri"/>
        <family val="2"/>
        <charset val="1"/>
      </rPr>
      <t xml:space="preserve">42 </t>
    </r>
    <r>
      <rPr>
        <sz val="11"/>
        <color theme="1"/>
        <rFont val="Noto Sans SC"/>
        <family val="2"/>
        <charset val="134"/>
      </rPr>
      <t xml:space="preserve">分情况讨论 </t>
    </r>
    <r>
      <rPr>
        <sz val="11"/>
        <color theme="1"/>
        <rFont val="Calibri"/>
        <family val="2"/>
        <charset val="1"/>
      </rPr>
      <t xml:space="preserve">RTP → 38 </t>
    </r>
    <r>
      <rPr>
        <sz val="11"/>
        <color theme="1"/>
        <rFont val="Noto Sans SC"/>
        <family val="2"/>
        <charset val="134"/>
      </rPr>
      <t xml:space="preserve">加权求 </t>
    </r>
    <r>
      <rPr>
        <sz val="11"/>
        <color theme="1"/>
        <rFont val="Calibri"/>
        <family val="2"/>
        <charset val="1"/>
      </rPr>
      <t xml:space="preserve">RTP</t>
    </r>
    <r>
      <rPr>
        <sz val="11"/>
        <color theme="1"/>
        <rFont val="Noto Sans SC"/>
        <family val="2"/>
        <charset val="134"/>
      </rPr>
      <t xml:space="preserve">。</t>
    </r>
  </si>
  <si>
    <r>
      <rPr>
        <b val="true"/>
        <sz val="11"/>
        <rFont val="Noto Sans SC"/>
        <family val="2"/>
        <charset val="134"/>
      </rPr>
      <t xml:space="preserve">四、原文结论：</t>
    </r>
    <r>
      <rPr>
        <b val="true"/>
        <sz val="11"/>
        <rFont val="Cambria"/>
        <family val="0"/>
        <charset val="1"/>
      </rPr>
      <t xml:space="preserve">MS </t>
    </r>
    <r>
      <rPr>
        <b val="true"/>
        <sz val="11"/>
        <rFont val="Noto Sans SC"/>
        <family val="2"/>
        <charset val="134"/>
      </rPr>
      <t xml:space="preserve">与 </t>
    </r>
    <r>
      <rPr>
        <b val="true"/>
        <sz val="11"/>
        <rFont val="Cambria"/>
        <family val="0"/>
        <charset val="1"/>
      </rPr>
      <t xml:space="preserve">Super Stack </t>
    </r>
    <r>
      <rPr>
        <b val="true"/>
        <sz val="11"/>
        <rFont val="Noto Sans SC"/>
        <family val="2"/>
        <charset val="134"/>
      </rPr>
      <t xml:space="preserve">的数值差异</t>
    </r>
  </si>
  <si>
    <r>
      <rPr>
        <sz val="11"/>
        <color theme="1"/>
        <rFont val="Noto Sans SC"/>
        <family val="2"/>
        <charset val="134"/>
      </rPr>
      <t xml:space="preserve">本篇与 </t>
    </r>
    <r>
      <rPr>
        <sz val="11"/>
        <color theme="1"/>
        <rFont val="Calibri"/>
        <family val="2"/>
        <charset val="1"/>
      </rPr>
      <t xml:space="preserve">Super Stack </t>
    </r>
    <r>
      <rPr>
        <sz val="11"/>
        <color theme="1"/>
        <rFont val="Noto Sans SC"/>
        <family val="2"/>
        <charset val="134"/>
      </rPr>
      <t xml:space="preserve">篇使用相同的图标种类、中奖组合与赔付倍数，只有特殊图标机制不同：</t>
    </r>
  </si>
  <si>
    <r>
      <rPr>
        <sz val="11"/>
        <color theme="1"/>
        <rFont val="Calibri"/>
        <family val="2"/>
        <charset val="1"/>
      </rPr>
      <t xml:space="preserve">· MS </t>
    </r>
    <r>
      <rPr>
        <sz val="11"/>
        <color theme="1"/>
        <rFont val="Noto Sans SC"/>
        <family val="2"/>
        <charset val="134"/>
      </rPr>
      <t xml:space="preserve">的最终 </t>
    </r>
    <r>
      <rPr>
        <sz val="11"/>
        <color theme="1"/>
        <rFont val="Calibri"/>
        <family val="2"/>
        <charset val="1"/>
      </rPr>
      <t xml:space="preserve">RTP </t>
    </r>
    <r>
      <rPr>
        <sz val="11"/>
        <color theme="1"/>
        <rFont val="Noto Sans SC"/>
        <family val="2"/>
        <charset val="134"/>
      </rPr>
      <t xml:space="preserve">远高于 </t>
    </r>
    <r>
      <rPr>
        <sz val="11"/>
        <color theme="1"/>
        <rFont val="Calibri"/>
        <family val="2"/>
        <charset val="1"/>
      </rPr>
      <t xml:space="preserve">Super Stack</t>
    </r>
    <r>
      <rPr>
        <sz val="11"/>
        <color theme="1"/>
        <rFont val="Noto Sans SC"/>
        <family val="2"/>
        <charset val="134"/>
      </rPr>
      <t xml:space="preserve">；</t>
    </r>
  </si>
  <si>
    <r>
      <rPr>
        <sz val="11"/>
        <color theme="1"/>
        <rFont val="Calibri"/>
        <family val="2"/>
        <charset val="1"/>
      </rPr>
      <t xml:space="preserve">· Super Stack </t>
    </r>
    <r>
      <rPr>
        <sz val="11"/>
        <color theme="1"/>
        <rFont val="Noto Sans SC"/>
        <family val="2"/>
        <charset val="134"/>
      </rPr>
      <t xml:space="preserve">对 </t>
    </r>
    <r>
      <rPr>
        <sz val="11"/>
        <color theme="1"/>
        <rFont val="Calibri"/>
        <family val="2"/>
        <charset val="1"/>
      </rPr>
      <t xml:space="preserve">RTP </t>
    </r>
    <r>
      <rPr>
        <sz val="11"/>
        <color theme="1"/>
        <rFont val="Noto Sans SC"/>
        <family val="2"/>
        <charset val="134"/>
      </rPr>
      <t xml:space="preserve">提升较小，即使放在普通摇里，几乎不需要靠降低中奖率来控制发放；</t>
    </r>
  </si>
  <si>
    <r>
      <rPr>
        <sz val="11"/>
        <color theme="1"/>
        <rFont val="Calibri"/>
        <family val="2"/>
        <charset val="1"/>
      </rPr>
      <t xml:space="preserve">· MS </t>
    </r>
    <r>
      <rPr>
        <sz val="11"/>
        <color theme="1"/>
        <rFont val="Noto Sans SC"/>
        <family val="2"/>
        <charset val="134"/>
      </rPr>
      <t xml:space="preserve">对 </t>
    </r>
    <r>
      <rPr>
        <sz val="11"/>
        <color theme="1"/>
        <rFont val="Calibri"/>
        <family val="2"/>
        <charset val="1"/>
      </rPr>
      <t xml:space="preserve">RTP </t>
    </r>
    <r>
      <rPr>
        <sz val="11"/>
        <color theme="1"/>
        <rFont val="Noto Sans SC"/>
        <family val="2"/>
        <charset val="134"/>
      </rPr>
      <t xml:space="preserve">提升非常明显，建议放在免费摇中使用，否则就要压低普通摇的发放（降低中奖率或减少图标赔付倍数）；</t>
    </r>
  </si>
  <si>
    <r>
      <rPr>
        <sz val="11"/>
        <color theme="1"/>
        <rFont val="Calibri"/>
        <family val="2"/>
        <charset val="1"/>
      </rPr>
      <t xml:space="preserve">· </t>
    </r>
    <r>
      <rPr>
        <sz val="11"/>
        <color theme="1"/>
        <rFont val="Noto Sans SC"/>
        <family val="2"/>
        <charset val="134"/>
      </rPr>
      <t xml:space="preserve">选型：</t>
    </r>
    <r>
      <rPr>
        <sz val="11"/>
        <color theme="1"/>
        <rFont val="Calibri"/>
        <family val="2"/>
        <charset val="1"/>
      </rPr>
      <t xml:space="preserve">Line Slots </t>
    </r>
    <r>
      <rPr>
        <sz val="11"/>
        <color theme="1"/>
        <rFont val="Noto Sans SC"/>
        <family val="2"/>
        <charset val="134"/>
      </rPr>
      <t xml:space="preserve">两种 </t>
    </r>
    <r>
      <rPr>
        <sz val="11"/>
        <color theme="1"/>
        <rFont val="Calibri"/>
        <family val="2"/>
        <charset val="1"/>
      </rPr>
      <t xml:space="preserve">Feature </t>
    </r>
    <r>
      <rPr>
        <sz val="11"/>
        <color theme="1"/>
        <rFont val="Noto Sans SC"/>
        <family val="2"/>
        <charset val="134"/>
      </rPr>
      <t xml:space="preserve">相性都不错；</t>
    </r>
    <r>
      <rPr>
        <sz val="11"/>
        <color theme="1"/>
        <rFont val="Calibri"/>
        <family val="2"/>
        <charset val="1"/>
      </rPr>
      <t xml:space="preserve">Ways </t>
    </r>
    <r>
      <rPr>
        <sz val="11"/>
        <color theme="1"/>
        <rFont val="Noto Sans SC"/>
        <family val="2"/>
        <charset val="134"/>
      </rPr>
      <t xml:space="preserve">类型则 </t>
    </r>
    <r>
      <rPr>
        <sz val="11"/>
        <color theme="1"/>
        <rFont val="Calibri"/>
        <family val="2"/>
        <charset val="1"/>
      </rPr>
      <t xml:space="preserve">MS </t>
    </r>
    <r>
      <rPr>
        <sz val="11"/>
        <color theme="1"/>
        <rFont val="Noto Sans SC"/>
        <family val="2"/>
        <charset val="134"/>
      </rPr>
      <t xml:space="preserve">的贴合度远高于 </t>
    </r>
    <r>
      <rPr>
        <sz val="11"/>
        <color theme="1"/>
        <rFont val="Calibri"/>
        <family val="2"/>
        <charset val="1"/>
      </rPr>
      <t xml:space="preserve">Super Stack</t>
    </r>
    <r>
      <rPr>
        <sz val="11"/>
        <color theme="1"/>
        <rFont val="Noto Sans SC"/>
        <family val="2"/>
        <charset val="134"/>
      </rPr>
      <t xml:space="preserve">。</t>
    </r>
  </si>
  <si>
    <r>
      <rPr>
        <b val="true"/>
        <sz val="11"/>
        <rFont val="Noto Sans SC"/>
        <family val="2"/>
        <charset val="134"/>
      </rPr>
      <t xml:space="preserve">五、数据来源（</t>
    </r>
    <r>
      <rPr>
        <b val="true"/>
        <sz val="11"/>
        <rFont val="Cambria"/>
        <family val="0"/>
        <charset val="1"/>
      </rPr>
      <t xml:space="preserve">2026-09-29 </t>
    </r>
    <r>
      <rPr>
        <b val="true"/>
        <sz val="11"/>
        <rFont val="Noto Sans SC"/>
        <family val="2"/>
        <charset val="134"/>
      </rPr>
      <t xml:space="preserve">校正）</t>
    </r>
  </si>
  <si>
    <r>
      <rPr>
        <sz val="11"/>
        <color theme="1"/>
        <rFont val="Noto Sans SC"/>
        <family val="2"/>
        <charset val="134"/>
      </rPr>
      <t xml:space="preserve">「每列图标个数分布」（</t>
    </r>
    <r>
      <rPr>
        <sz val="11"/>
        <color theme="1"/>
        <rFont val="Calibri"/>
        <family val="2"/>
        <charset val="1"/>
      </rPr>
      <t xml:space="preserve">J/Q/K </t>
    </r>
    <r>
      <rPr>
        <sz val="11"/>
        <color theme="1"/>
        <rFont val="Noto Sans SC"/>
        <family val="2"/>
        <charset val="134"/>
      </rPr>
      <t xml:space="preserve">各 </t>
    </r>
    <r>
      <rPr>
        <sz val="11"/>
        <color theme="1"/>
        <rFont val="Calibri"/>
        <family val="2"/>
        <charset val="1"/>
      </rPr>
      <t xml:space="preserve">20</t>
    </r>
    <r>
      <rPr>
        <sz val="11"/>
        <color theme="1"/>
        <rFont val="Noto Sans SC"/>
        <family val="2"/>
        <charset val="134"/>
      </rPr>
      <t xml:space="preserve">、</t>
    </r>
    <r>
      <rPr>
        <sz val="11"/>
        <color theme="1"/>
        <rFont val="Calibri"/>
        <family val="2"/>
        <charset val="1"/>
      </rPr>
      <t xml:space="preserve">A 10</t>
    </r>
    <r>
      <rPr>
        <sz val="11"/>
        <color theme="1"/>
        <rFont val="Noto Sans SC"/>
        <family val="2"/>
        <charset val="134"/>
      </rPr>
      <t xml:space="preserve">、</t>
    </r>
    <r>
      <rPr>
        <sz val="11"/>
        <color theme="1"/>
        <rFont val="Calibri"/>
        <family val="2"/>
        <charset val="1"/>
      </rPr>
      <t xml:space="preserve">Wild 5</t>
    </r>
    <r>
      <rPr>
        <sz val="11"/>
        <color theme="1"/>
        <rFont val="Noto Sans SC"/>
        <family val="2"/>
        <charset val="134"/>
      </rPr>
      <t xml:space="preserve">、</t>
    </r>
    <r>
      <rPr>
        <sz val="11"/>
        <color theme="1"/>
        <rFont val="Calibri"/>
        <family val="2"/>
        <charset val="1"/>
      </rPr>
      <t xml:space="preserve">MS 25</t>
    </r>
    <r>
      <rPr>
        <sz val="11"/>
        <color theme="1"/>
        <rFont val="Noto Sans SC"/>
        <family val="2"/>
        <charset val="134"/>
      </rPr>
      <t xml:space="preserve">，每列 </t>
    </r>
    <r>
      <rPr>
        <sz val="11"/>
        <color theme="1"/>
        <rFont val="Calibri"/>
        <family val="2"/>
        <charset val="1"/>
      </rPr>
      <t xml:space="preserve">100 </t>
    </r>
    <r>
      <rPr>
        <sz val="11"/>
        <color theme="1"/>
        <rFont val="Noto Sans SC"/>
        <family val="2"/>
        <charset val="134"/>
      </rPr>
      <t xml:space="preserve">停）按原文配图逐格转录；</t>
    </r>
  </si>
  <si>
    <r>
      <rPr>
        <sz val="11"/>
        <color theme="1"/>
        <rFont val="Noto Sans SC"/>
        <family val="2"/>
        <charset val="134"/>
      </rPr>
      <t xml:space="preserve">「</t>
    </r>
    <r>
      <rPr>
        <sz val="11"/>
        <color theme="1"/>
        <rFont val="Calibri"/>
        <family val="2"/>
        <charset val="1"/>
      </rPr>
      <t xml:space="preserve">MS </t>
    </r>
    <r>
      <rPr>
        <sz val="11"/>
        <color theme="1"/>
        <rFont val="Noto Sans SC"/>
        <family val="2"/>
        <charset val="134"/>
      </rPr>
      <t xml:space="preserve">变身几率」按原文口径 </t>
    </r>
    <r>
      <rPr>
        <sz val="11"/>
        <color theme="1"/>
        <rFont val="Calibri"/>
        <family val="2"/>
        <charset val="1"/>
      </rPr>
      <t xml:space="preserve">= </t>
    </r>
    <r>
      <rPr>
        <sz val="11"/>
        <color theme="1"/>
        <rFont val="Noto Sans SC"/>
        <family val="2"/>
        <charset val="134"/>
      </rPr>
      <t xml:space="preserve">各 </t>
    </r>
    <r>
      <rPr>
        <sz val="11"/>
        <color theme="1"/>
        <rFont val="Calibri"/>
        <family val="2"/>
        <charset val="1"/>
      </rPr>
      <t xml:space="preserve">25%</t>
    </r>
    <r>
      <rPr>
        <sz val="11"/>
        <color theme="1"/>
        <rFont val="Noto Sans SC"/>
        <family val="2"/>
        <charset val="134"/>
      </rPr>
      <t xml:space="preserve">（</t>
    </r>
    <r>
      <rPr>
        <sz val="11"/>
        <color theme="1"/>
        <rFont val="Calibri"/>
        <family val="2"/>
        <charset val="1"/>
      </rPr>
      <t xml:space="preserve">J/Q/K/A </t>
    </r>
    <r>
      <rPr>
        <sz val="11"/>
        <color theme="1"/>
        <rFont val="Noto Sans SC"/>
        <family val="2"/>
        <charset val="134"/>
      </rPr>
      <t xml:space="preserve">四档，合计 </t>
    </r>
    <r>
      <rPr>
        <sz val="11"/>
        <color theme="1"/>
        <rFont val="Calibri"/>
        <family val="2"/>
        <charset val="1"/>
      </rPr>
      <t xml:space="preserve">100%</t>
    </r>
    <r>
      <rPr>
        <sz val="11"/>
        <color theme="1"/>
        <rFont val="Noto Sans SC"/>
        <family val="2"/>
        <charset val="134"/>
      </rPr>
      <t xml:space="preserve">）。</t>
    </r>
  </si>
  <si>
    <r>
      <rPr>
        <sz val="11"/>
        <color theme="1"/>
        <rFont val="Noto Sans SC"/>
        <family val="2"/>
        <charset val="134"/>
      </rPr>
      <t xml:space="preserve">原文的 </t>
    </r>
    <r>
      <rPr>
        <sz val="11"/>
        <color theme="1"/>
        <rFont val="Calibri"/>
        <family val="2"/>
        <charset val="1"/>
      </rPr>
      <t xml:space="preserve">RTP </t>
    </r>
    <r>
      <rPr>
        <sz val="11"/>
        <color theme="1"/>
        <rFont val="Noto Sans SC"/>
        <family val="2"/>
        <charset val="134"/>
      </rPr>
      <t xml:space="preserve">表（</t>
    </r>
    <r>
      <rPr>
        <sz val="11"/>
        <color theme="1"/>
        <rFont val="Calibri"/>
        <family val="2"/>
        <charset val="1"/>
      </rPr>
      <t xml:space="preserve">MS→J/Q/K </t>
    </r>
    <r>
      <rPr>
        <sz val="11"/>
        <color theme="1"/>
        <rFont val="Noto Sans SC"/>
        <family val="2"/>
        <charset val="134"/>
      </rPr>
      <t xml:space="preserve">各 </t>
    </r>
    <r>
      <rPr>
        <sz val="11"/>
        <color theme="1"/>
        <rFont val="Calibri"/>
        <family val="2"/>
        <charset val="1"/>
      </rPr>
      <t xml:space="preserve">0.8175</t>
    </r>
    <r>
      <rPr>
        <sz val="11"/>
        <color theme="1"/>
        <rFont val="Noto Sans SC"/>
        <family val="2"/>
        <charset val="134"/>
      </rPr>
      <t xml:space="preserve">、</t>
    </r>
    <r>
      <rPr>
        <sz val="11"/>
        <color theme="1"/>
        <rFont val="Calibri"/>
        <family val="2"/>
        <charset val="1"/>
      </rPr>
      <t xml:space="preserve">MS→A 1.3494</t>
    </r>
    <r>
      <rPr>
        <sz val="11"/>
        <color theme="1"/>
        <rFont val="Noto Sans SC"/>
        <family val="2"/>
        <charset val="134"/>
      </rPr>
      <t xml:space="preserve">，加权 </t>
    </r>
    <r>
      <rPr>
        <sz val="11"/>
        <color theme="1"/>
        <rFont val="Calibri"/>
        <family val="2"/>
        <charset val="1"/>
      </rPr>
      <t xml:space="preserve">0.2044/0.3373</t>
    </r>
    <r>
      <rPr>
        <sz val="11"/>
        <color theme="1"/>
        <rFont val="Noto Sans SC"/>
        <family val="2"/>
        <charset val="134"/>
      </rPr>
      <t xml:space="preserve">，合计 </t>
    </r>
    <r>
      <rPr>
        <sz val="11"/>
        <color theme="1"/>
        <rFont val="Calibri"/>
        <family val="2"/>
        <charset val="1"/>
      </rPr>
      <t xml:space="preserve">0.9505</t>
    </r>
    <r>
      <rPr>
        <sz val="11"/>
        <color theme="1"/>
        <rFont val="Noto Sans SC"/>
        <family val="2"/>
        <charset val="134"/>
      </rPr>
      <t xml:space="preserve">）已作为对照行写入本簿自检区；</t>
    </r>
  </si>
  <si>
    <t xml:space="preserve">本簿的赔付倍数表原文在配图中未逐格读取，作为可改示例（蓝字）——替换为项目实际赔付表后即为完整数值模型。</t>
  </si>
  <si>
    <t xml:space="preserve">原文整理（全文，按原文小标题分段）</t>
  </si>
  <si>
    <r>
      <rPr>
        <sz val="11"/>
        <color theme="1"/>
        <rFont val="Noto Sans SC"/>
        <family val="2"/>
        <charset val="134"/>
      </rPr>
      <t xml:space="preserve">在之前的文章中介绍了能够堆叠大量相同图标在卷轴上的</t>
    </r>
    <r>
      <rPr>
        <sz val="11"/>
        <color theme="1"/>
        <rFont val="Calibri"/>
        <family val="2"/>
        <charset val="1"/>
      </rPr>
      <t xml:space="preserve">Super Stack Feature</t>
    </r>
    <r>
      <rPr>
        <sz val="11"/>
        <color theme="1"/>
        <rFont val="Noto Sans SC"/>
        <family val="2"/>
        <charset val="134"/>
      </rPr>
      <t xml:space="preserve">的数值框架搭建过程</t>
    </r>
  </si>
  <si>
    <r>
      <rPr>
        <sz val="11"/>
        <color theme="1"/>
        <rFont val="Noto Sans SC"/>
        <family val="2"/>
        <charset val="134"/>
      </rPr>
      <t xml:space="preserve">本篇将介绍同样以堆叠图标为特色的</t>
    </r>
    <r>
      <rPr>
        <sz val="11"/>
        <color theme="1"/>
        <rFont val="Calibri"/>
        <family val="2"/>
        <charset val="1"/>
      </rPr>
      <t xml:space="preserve">Mystery Symbols</t>
    </r>
  </si>
  <si>
    <t xml:space="preserve">对基础机制不是很熟悉的话可以参见之前文章</t>
  </si>
  <si>
    <r>
      <rPr>
        <sz val="11"/>
        <color theme="1"/>
        <rFont val="Noto Sans SC"/>
        <family val="2"/>
        <charset val="134"/>
      </rPr>
      <t xml:space="preserve">［内链卡片封面］</t>
    </r>
    <r>
      <rPr>
        <sz val="11"/>
        <color theme="1"/>
        <rFont val="Calibri"/>
        <family val="2"/>
        <charset val="1"/>
      </rPr>
      <t xml:space="preserve">637203163-01.png</t>
    </r>
  </si>
  <si>
    <r>
      <rPr>
        <sz val="11"/>
        <color theme="1"/>
        <rFont val="Noto Sans SC"/>
        <family val="2"/>
        <charset val="134"/>
      </rPr>
      <t xml:space="preserve">［原文内链卡片］《</t>
    </r>
    <r>
      <rPr>
        <sz val="11"/>
        <color theme="1"/>
        <rFont val="Calibri"/>
        <family val="2"/>
        <charset val="1"/>
      </rPr>
      <t xml:space="preserve">Super Stack &amp; Mystery Symbols</t>
    </r>
    <r>
      <rPr>
        <sz val="11"/>
        <color theme="1"/>
        <rFont val="Noto Sans SC"/>
        <family val="2"/>
        <charset val="134"/>
      </rPr>
      <t xml:space="preserve">基础机制介绍》（</t>
    </r>
    <r>
      <rPr>
        <sz val="11"/>
        <color theme="1"/>
        <rFont val="Calibri"/>
        <family val="2"/>
        <charset val="1"/>
      </rPr>
      <t xml:space="preserve">5 </t>
    </r>
    <r>
      <rPr>
        <sz val="11"/>
        <color theme="1"/>
        <rFont val="Noto Sans SC"/>
        <family val="2"/>
        <charset val="134"/>
      </rPr>
      <t xml:space="preserve">赞同 </t>
    </r>
    <r>
      <rPr>
        <sz val="11"/>
        <color theme="1"/>
        <rFont val="Calibri"/>
        <family val="2"/>
        <charset val="1"/>
      </rPr>
      <t xml:space="preserve">· 1 </t>
    </r>
    <r>
      <rPr>
        <sz val="11"/>
        <color theme="1"/>
        <rFont val="Noto Sans SC"/>
        <family val="2"/>
        <charset val="134"/>
      </rPr>
      <t xml:space="preserve">评论）</t>
    </r>
  </si>
  <si>
    <r>
      <rPr>
        <sz val="11"/>
        <color theme="1"/>
        <rFont val="Noto Sans SC"/>
        <family val="2"/>
        <charset val="134"/>
      </rPr>
      <t xml:space="preserve">［内链卡片封面］</t>
    </r>
    <r>
      <rPr>
        <sz val="11"/>
        <color theme="1"/>
        <rFont val="Calibri"/>
        <family val="2"/>
        <charset val="1"/>
      </rPr>
      <t xml:space="preserve">637203163-02.png</t>
    </r>
  </si>
  <si>
    <r>
      <rPr>
        <sz val="11"/>
        <color theme="1"/>
        <rFont val="Noto Sans SC"/>
        <family val="2"/>
        <charset val="134"/>
      </rPr>
      <t xml:space="preserve">［原文内链卡片］《</t>
    </r>
    <r>
      <rPr>
        <sz val="11"/>
        <color theme="1"/>
        <rFont val="Calibri"/>
        <family val="2"/>
        <charset val="1"/>
      </rPr>
      <t xml:space="preserve">Super Stack</t>
    </r>
    <r>
      <rPr>
        <sz val="11"/>
        <color theme="1"/>
        <rFont val="Noto Sans SC"/>
        <family val="2"/>
        <charset val="134"/>
      </rPr>
      <t xml:space="preserve">的数值模型搭建方法》（</t>
    </r>
    <r>
      <rPr>
        <sz val="11"/>
        <color theme="1"/>
        <rFont val="Calibri"/>
        <family val="2"/>
        <charset val="1"/>
      </rPr>
      <t xml:space="preserve">6 </t>
    </r>
    <r>
      <rPr>
        <sz val="11"/>
        <color theme="1"/>
        <rFont val="Noto Sans SC"/>
        <family val="2"/>
        <charset val="134"/>
      </rPr>
      <t xml:space="preserve">赞同 </t>
    </r>
    <r>
      <rPr>
        <sz val="11"/>
        <color theme="1"/>
        <rFont val="Calibri"/>
        <family val="2"/>
        <charset val="1"/>
      </rPr>
      <t xml:space="preserve">· 1 </t>
    </r>
    <r>
      <rPr>
        <sz val="11"/>
        <color theme="1"/>
        <rFont val="Noto Sans SC"/>
        <family val="2"/>
        <charset val="134"/>
      </rPr>
      <t xml:space="preserve">评论）</t>
    </r>
  </si>
  <si>
    <r>
      <rPr>
        <sz val="11"/>
        <color theme="1"/>
        <rFont val="Calibri"/>
        <family val="2"/>
        <charset val="1"/>
      </rPr>
      <t xml:space="preserve">Mystery Symbols</t>
    </r>
    <r>
      <rPr>
        <sz val="11"/>
        <color theme="1"/>
        <rFont val="Noto Sans SC"/>
        <family val="2"/>
        <charset val="134"/>
      </rPr>
      <t xml:space="preserve">在每次摇奖时，能够让被抽取到的</t>
    </r>
    <r>
      <rPr>
        <sz val="11"/>
        <color theme="1"/>
        <rFont val="Calibri"/>
        <family val="2"/>
        <charset val="1"/>
      </rPr>
      <t xml:space="preserve">Mystery Symbols</t>
    </r>
    <r>
      <rPr>
        <sz val="11"/>
        <color theme="1"/>
        <rFont val="Noto Sans SC"/>
        <family val="2"/>
        <charset val="134"/>
      </rPr>
      <t xml:space="preserve">均变成指定图标</t>
    </r>
  </si>
  <si>
    <r>
      <rPr>
        <sz val="11"/>
        <color theme="1"/>
        <rFont val="Noto Sans SC"/>
        <family val="2"/>
        <charset val="134"/>
      </rPr>
      <t xml:space="preserve">该图标一般会从</t>
    </r>
    <r>
      <rPr>
        <sz val="11"/>
        <color theme="1"/>
        <rFont val="Calibri"/>
        <family val="2"/>
        <charset val="1"/>
      </rPr>
      <t xml:space="preserve">Slots</t>
    </r>
    <r>
      <rPr>
        <sz val="11"/>
        <color theme="1"/>
        <rFont val="Noto Sans SC"/>
        <family val="2"/>
        <charset val="134"/>
      </rPr>
      <t xml:space="preserve">的标准图标中进行抽取</t>
    </r>
  </si>
  <si>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637203163-03.jpg</t>
    </r>
  </si>
  <si>
    <r>
      <rPr>
        <sz val="11"/>
        <color theme="1"/>
        <rFont val="Noto Sans SC"/>
        <family val="2"/>
        <charset val="134"/>
      </rPr>
      <t xml:space="preserve">前篇介绍</t>
    </r>
    <r>
      <rPr>
        <sz val="11"/>
        <color theme="1"/>
        <rFont val="Calibri"/>
        <family val="2"/>
        <charset val="1"/>
      </rPr>
      <t xml:space="preserve">Super Stack</t>
    </r>
    <r>
      <rPr>
        <sz val="11"/>
        <color theme="1"/>
        <rFont val="Noto Sans SC"/>
        <family val="2"/>
        <charset val="134"/>
      </rPr>
      <t xml:space="preserve">中有提到，当图标会变成其他图标时，需要将该图标的出现几率和事件数分配到最终呈现的图标中，</t>
    </r>
    <r>
      <rPr>
        <sz val="11"/>
        <color theme="1"/>
        <rFont val="Calibri"/>
        <family val="2"/>
        <charset val="1"/>
      </rPr>
      <t xml:space="preserve">Mystery Symbols</t>
    </r>
    <r>
      <rPr>
        <sz val="11"/>
        <color theme="1"/>
        <rFont val="Noto Sans SC"/>
        <family val="2"/>
        <charset val="134"/>
      </rPr>
      <t xml:space="preserve">的整体计算逻辑也是这样</t>
    </r>
  </si>
  <si>
    <r>
      <rPr>
        <sz val="11"/>
        <color theme="1"/>
        <rFont val="Noto Sans SC"/>
        <family val="2"/>
        <charset val="134"/>
      </rPr>
      <t xml:space="preserve">但是需要注意的是，</t>
    </r>
    <r>
      <rPr>
        <sz val="11"/>
        <color theme="1"/>
        <rFont val="Calibri"/>
        <family val="2"/>
        <charset val="1"/>
      </rPr>
      <t xml:space="preserve">Mystery Symbols</t>
    </r>
    <r>
      <rPr>
        <sz val="11"/>
        <color theme="1"/>
        <rFont val="Noto Sans SC"/>
        <family val="2"/>
        <charset val="134"/>
      </rPr>
      <t xml:space="preserve">再一次摇奖时只会变成一个图标</t>
    </r>
  </si>
  <si>
    <t xml:space="preserve">在抽取之后，无论神秘图标在卷轴上的任意位置，都只会变成抽中的哪一个图形</t>
  </si>
  <si>
    <t xml:space="preserve">此时再依据抽取图标的几率分配到其他图标中时，每次分配都相当于抽取了一次图标，进而导致重复计算</t>
  </si>
  <si>
    <t xml:space="preserve">实际在计算神秘图标的数值时，会采用分类讨论的方式而不是单纯的将神秘图标的出现几率分配到其他图标中</t>
  </si>
  <si>
    <r>
      <rPr>
        <sz val="11"/>
        <color theme="1"/>
        <rFont val="Noto Sans SC"/>
        <family val="2"/>
        <charset val="134"/>
      </rPr>
      <t xml:space="preserve">也就是说，依据神秘图标可以变成的图标种类，将</t>
    </r>
    <r>
      <rPr>
        <sz val="11"/>
        <color theme="1"/>
        <rFont val="Calibri"/>
        <family val="2"/>
        <charset val="1"/>
      </rPr>
      <t xml:space="preserve">Slots</t>
    </r>
    <r>
      <rPr>
        <sz val="11"/>
        <color theme="1"/>
        <rFont val="Noto Sans SC"/>
        <family val="2"/>
        <charset val="134"/>
      </rPr>
      <t xml:space="preserve">分为神秘图标必定变成指定图标的多组</t>
    </r>
  </si>
  <si>
    <r>
      <rPr>
        <sz val="11"/>
        <color theme="1"/>
        <rFont val="Noto Sans SC"/>
        <family val="2"/>
        <charset val="134"/>
      </rPr>
      <t xml:space="preserve">再依次计算各组的</t>
    </r>
    <r>
      <rPr>
        <sz val="11"/>
        <color theme="1"/>
        <rFont val="Calibri"/>
        <family val="2"/>
        <charset val="1"/>
      </rPr>
      <t xml:space="preserve">RTP</t>
    </r>
    <r>
      <rPr>
        <sz val="11"/>
        <color theme="1"/>
        <rFont val="Noto Sans SC"/>
        <family val="2"/>
        <charset val="134"/>
      </rPr>
      <t xml:space="preserve">，使用神秘图标变成各图标的几率进行加权平均后，得到最终的</t>
    </r>
    <r>
      <rPr>
        <sz val="11"/>
        <color theme="1"/>
        <rFont val="Calibri"/>
        <family val="2"/>
        <charset val="1"/>
      </rPr>
      <t xml:space="preserve">RTP</t>
    </r>
  </si>
  <si>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637203163-04.jpg</t>
    </r>
  </si>
  <si>
    <t xml:space="preserve">示例简介</t>
  </si>
  <si>
    <t xml:space="preserve">本篇使用的示例基础信息如下：</t>
  </si>
  <si>
    <r>
      <rPr>
        <sz val="11"/>
        <color theme="1"/>
        <rFont val="Noto Sans SC"/>
        <family val="2"/>
        <charset val="134"/>
      </rPr>
      <t xml:space="preserve">卷轴尺寸：</t>
    </r>
    <r>
      <rPr>
        <sz val="11"/>
        <color theme="1"/>
        <rFont val="Calibri"/>
        <family val="2"/>
        <charset val="1"/>
      </rPr>
      <t xml:space="preserve">3*5</t>
    </r>
  </si>
  <si>
    <t xml:space="preserve">图标类型：</t>
  </si>
  <si>
    <r>
      <rPr>
        <sz val="11"/>
        <color theme="1"/>
        <rFont val="Calibri"/>
        <family val="2"/>
        <charset val="1"/>
      </rPr>
      <t xml:space="preserve">4</t>
    </r>
    <r>
      <rPr>
        <sz val="11"/>
        <color theme="1"/>
        <rFont val="Noto Sans SC"/>
        <family val="2"/>
        <charset val="134"/>
      </rPr>
      <t xml:space="preserve">个标准图标：</t>
    </r>
    <r>
      <rPr>
        <sz val="11"/>
        <color theme="1"/>
        <rFont val="Calibri"/>
        <family val="2"/>
        <charset val="1"/>
      </rPr>
      <t xml:space="preserve">J</t>
    </r>
    <r>
      <rPr>
        <sz val="11"/>
        <color theme="1"/>
        <rFont val="Noto Sans SC"/>
        <family val="2"/>
        <charset val="134"/>
      </rPr>
      <t xml:space="preserve">、</t>
    </r>
    <r>
      <rPr>
        <sz val="11"/>
        <color theme="1"/>
        <rFont val="Calibri"/>
        <family val="2"/>
        <charset val="1"/>
      </rPr>
      <t xml:space="preserve">Q</t>
    </r>
    <r>
      <rPr>
        <sz val="11"/>
        <color theme="1"/>
        <rFont val="Noto Sans SC"/>
        <family val="2"/>
        <charset val="134"/>
      </rPr>
      <t xml:space="preserve">、</t>
    </r>
    <r>
      <rPr>
        <sz val="11"/>
        <color theme="1"/>
        <rFont val="Calibri"/>
        <family val="2"/>
        <charset val="1"/>
      </rPr>
      <t xml:space="preserve">K</t>
    </r>
    <r>
      <rPr>
        <sz val="11"/>
        <color theme="1"/>
        <rFont val="Noto Sans SC"/>
        <family val="2"/>
        <charset val="134"/>
      </rPr>
      <t xml:space="preserve">、</t>
    </r>
    <r>
      <rPr>
        <sz val="11"/>
        <color theme="1"/>
        <rFont val="Calibri"/>
        <family val="2"/>
        <charset val="1"/>
      </rPr>
      <t xml:space="preserve">A</t>
    </r>
  </si>
  <si>
    <r>
      <rPr>
        <sz val="11"/>
        <color theme="1"/>
        <rFont val="Calibri"/>
        <family val="2"/>
        <charset val="1"/>
      </rPr>
      <t xml:space="preserve">2</t>
    </r>
    <r>
      <rPr>
        <sz val="11"/>
        <color theme="1"/>
        <rFont val="Noto Sans SC"/>
        <family val="2"/>
        <charset val="134"/>
      </rPr>
      <t xml:space="preserve">个特殊图标：</t>
    </r>
    <r>
      <rPr>
        <sz val="11"/>
        <color theme="1"/>
        <rFont val="Calibri"/>
        <family val="2"/>
        <charset val="1"/>
      </rPr>
      <t xml:space="preserve">Wild</t>
    </r>
    <r>
      <rPr>
        <sz val="11"/>
        <color theme="1"/>
        <rFont val="Noto Sans SC"/>
        <family val="2"/>
        <charset val="134"/>
      </rPr>
      <t xml:space="preserve">百搭图标、</t>
    </r>
    <r>
      <rPr>
        <sz val="11"/>
        <color theme="1"/>
        <rFont val="Calibri"/>
        <family val="2"/>
        <charset val="1"/>
      </rPr>
      <t xml:space="preserve">Mystery Symbols</t>
    </r>
    <r>
      <rPr>
        <sz val="11"/>
        <color theme="1"/>
        <rFont val="Noto Sans SC"/>
        <family val="2"/>
        <charset val="134"/>
      </rPr>
      <t xml:space="preserve">（简称</t>
    </r>
    <r>
      <rPr>
        <sz val="11"/>
        <color theme="1"/>
        <rFont val="Calibri"/>
        <family val="2"/>
        <charset val="1"/>
      </rPr>
      <t xml:space="preserve">MS</t>
    </r>
    <r>
      <rPr>
        <sz val="11"/>
        <color theme="1"/>
        <rFont val="Noto Sans SC"/>
        <family val="2"/>
        <charset val="134"/>
      </rPr>
      <t xml:space="preserve">）</t>
    </r>
  </si>
  <si>
    <r>
      <rPr>
        <sz val="11"/>
        <color theme="1"/>
        <rFont val="Noto Sans SC"/>
        <family val="2"/>
        <charset val="134"/>
      </rPr>
      <t xml:space="preserve">特殊机制：</t>
    </r>
    <r>
      <rPr>
        <sz val="11"/>
        <color theme="1"/>
        <rFont val="Calibri"/>
        <family val="2"/>
        <charset val="1"/>
      </rPr>
      <t xml:space="preserve">Mystery Symbols </t>
    </r>
    <r>
      <rPr>
        <sz val="11"/>
        <color theme="1"/>
        <rFont val="Noto Sans SC"/>
        <family val="2"/>
        <charset val="134"/>
      </rPr>
      <t xml:space="preserve">神秘图标</t>
    </r>
  </si>
  <si>
    <t xml:space="preserve">神秘图标每次摇奖会从标准图标中抽取一个图标，本次摇奖最终停留在卷轴上的所有神秘图标都会变成该图标</t>
  </si>
  <si>
    <t xml:space="preserve">神秘图标本身没有赔付价值，一定会变成其他图标参与结算</t>
  </si>
  <si>
    <t xml:space="preserve">计算流程</t>
  </si>
  <si>
    <t xml:space="preserve">如上文所说，神秘图标的数值计算过程重点就是需要依据可以变成的图标种类对可能出现的情况进行分类</t>
  </si>
  <si>
    <r>
      <rPr>
        <sz val="11"/>
        <color theme="1"/>
        <rFont val="Noto Sans SC"/>
        <family val="2"/>
        <charset val="134"/>
      </rPr>
      <t xml:space="preserve">在该实例中，神秘图标只会变成标准图标，因此在数值计算过程中需要分为神秘图标分别变为</t>
    </r>
    <r>
      <rPr>
        <sz val="11"/>
        <color theme="1"/>
        <rFont val="Calibri"/>
        <family val="2"/>
        <charset val="1"/>
      </rPr>
      <t xml:space="preserve">J</t>
    </r>
    <r>
      <rPr>
        <sz val="11"/>
        <color theme="1"/>
        <rFont val="Noto Sans SC"/>
        <family val="2"/>
        <charset val="134"/>
      </rPr>
      <t xml:space="preserve">、</t>
    </r>
    <r>
      <rPr>
        <sz val="11"/>
        <color theme="1"/>
        <rFont val="Calibri"/>
        <family val="2"/>
        <charset val="1"/>
      </rPr>
      <t xml:space="preserve">Q</t>
    </r>
    <r>
      <rPr>
        <sz val="11"/>
        <color theme="1"/>
        <rFont val="Noto Sans SC"/>
        <family val="2"/>
        <charset val="134"/>
      </rPr>
      <t xml:space="preserve">、</t>
    </r>
    <r>
      <rPr>
        <sz val="11"/>
        <color theme="1"/>
        <rFont val="Calibri"/>
        <family val="2"/>
        <charset val="1"/>
      </rPr>
      <t xml:space="preserve">K</t>
    </r>
    <r>
      <rPr>
        <sz val="11"/>
        <color theme="1"/>
        <rFont val="Noto Sans SC"/>
        <family val="2"/>
        <charset val="134"/>
      </rPr>
      <t xml:space="preserve">、</t>
    </r>
    <r>
      <rPr>
        <sz val="11"/>
        <color theme="1"/>
        <rFont val="Calibri"/>
        <family val="2"/>
        <charset val="1"/>
      </rPr>
      <t xml:space="preserve">A</t>
    </r>
    <r>
      <rPr>
        <sz val="11"/>
        <color theme="1"/>
        <rFont val="Noto Sans SC"/>
        <family val="2"/>
        <charset val="134"/>
      </rPr>
      <t xml:space="preserve">四类、</t>
    </r>
  </si>
  <si>
    <t xml:space="preserve">第一步：设置固定卷轴</t>
  </si>
  <si>
    <t xml:space="preserve">这里是使用固定卷轴进行示范，但是因为神秘图标本身的堆叠方式并不要求图标在单列连续出现，所以实际使用固定卷轴还是随机卷轴差异都不大，可以依据项目需求和当地政策进行选择和调整</t>
  </si>
  <si>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637203163-05.jpg</t>
    </r>
  </si>
  <si>
    <t xml:space="preserve">第二步：读取图标分布情况</t>
  </si>
  <si>
    <r>
      <rPr>
        <sz val="11"/>
        <color theme="1"/>
        <rFont val="Noto Sans SC"/>
        <family val="2"/>
        <charset val="134"/>
      </rPr>
      <t xml:space="preserve">［配图 </t>
    </r>
    <r>
      <rPr>
        <sz val="11"/>
        <color theme="1"/>
        <rFont val="Calibri"/>
        <family val="2"/>
        <charset val="1"/>
      </rPr>
      <t xml:space="preserve">06</t>
    </r>
    <r>
      <rPr>
        <sz val="11"/>
        <color theme="1"/>
        <rFont val="Noto Sans SC"/>
        <family val="2"/>
        <charset val="134"/>
      </rPr>
      <t xml:space="preserve">］</t>
    </r>
    <r>
      <rPr>
        <sz val="11"/>
        <color theme="1"/>
        <rFont val="Calibri"/>
        <family val="2"/>
        <charset val="1"/>
      </rPr>
      <t xml:space="preserve">637203163-06.jpg</t>
    </r>
  </si>
  <si>
    <t xml:space="preserve">第三步：设置神秘图标变化几率</t>
  </si>
  <si>
    <t xml:space="preserve">这一步是用来设置神秘图标变成其他图标的几率</t>
  </si>
  <si>
    <r>
      <rPr>
        <sz val="11"/>
        <color theme="1"/>
        <rFont val="Noto Sans SC"/>
        <family val="2"/>
        <charset val="134"/>
      </rPr>
      <t xml:space="preserve">本示例中神秘图标可以变成</t>
    </r>
    <r>
      <rPr>
        <sz val="11"/>
        <color theme="1"/>
        <rFont val="Calibri"/>
        <family val="2"/>
        <charset val="1"/>
      </rPr>
      <t xml:space="preserve">J</t>
    </r>
    <r>
      <rPr>
        <sz val="11"/>
        <color theme="1"/>
        <rFont val="Noto Sans SC"/>
        <family val="2"/>
        <charset val="134"/>
      </rPr>
      <t xml:space="preserve">、</t>
    </r>
    <r>
      <rPr>
        <sz val="11"/>
        <color theme="1"/>
        <rFont val="Calibri"/>
        <family val="2"/>
        <charset val="1"/>
      </rPr>
      <t xml:space="preserve">Q</t>
    </r>
    <r>
      <rPr>
        <sz val="11"/>
        <color theme="1"/>
        <rFont val="Noto Sans SC"/>
        <family val="2"/>
        <charset val="134"/>
      </rPr>
      <t xml:space="preserve">、</t>
    </r>
    <r>
      <rPr>
        <sz val="11"/>
        <color theme="1"/>
        <rFont val="Calibri"/>
        <family val="2"/>
        <charset val="1"/>
      </rPr>
      <t xml:space="preserve">K</t>
    </r>
    <r>
      <rPr>
        <sz val="11"/>
        <color theme="1"/>
        <rFont val="Noto Sans SC"/>
        <family val="2"/>
        <charset val="134"/>
      </rPr>
      <t xml:space="preserve">、</t>
    </r>
    <r>
      <rPr>
        <sz val="11"/>
        <color theme="1"/>
        <rFont val="Calibri"/>
        <family val="2"/>
        <charset val="1"/>
      </rPr>
      <t xml:space="preserve">A</t>
    </r>
    <r>
      <rPr>
        <sz val="11"/>
        <color theme="1"/>
        <rFont val="Noto Sans SC"/>
        <family val="2"/>
        <charset val="134"/>
      </rPr>
      <t xml:space="preserve">四中图标，这里也就需要设置这四种几率</t>
    </r>
  </si>
  <si>
    <r>
      <rPr>
        <sz val="11"/>
        <color theme="1"/>
        <rFont val="Noto Sans SC"/>
        <family val="2"/>
        <charset val="134"/>
      </rPr>
      <t xml:space="preserve">另外，后续的</t>
    </r>
    <r>
      <rPr>
        <sz val="11"/>
        <color theme="1"/>
        <rFont val="Calibri"/>
        <family val="2"/>
        <charset val="1"/>
      </rPr>
      <t xml:space="preserve">RTP</t>
    </r>
    <r>
      <rPr>
        <sz val="11"/>
        <color theme="1"/>
        <rFont val="Noto Sans SC"/>
        <family val="2"/>
        <charset val="134"/>
      </rPr>
      <t xml:space="preserve">计算中，也需要分为这四种情况讨论</t>
    </r>
  </si>
  <si>
    <t xml:space="preserve">第四步：分情况讨论</t>
  </si>
  <si>
    <r>
      <rPr>
        <sz val="11"/>
        <color theme="1"/>
        <rFont val="Noto Sans SC"/>
        <family val="2"/>
        <charset val="134"/>
      </rPr>
      <t xml:space="preserve">这一步依据之前分好的四类，分别计算当神秘图标变成指定图标时，</t>
    </r>
    <r>
      <rPr>
        <sz val="11"/>
        <color theme="1"/>
        <rFont val="Calibri"/>
        <family val="2"/>
        <charset val="1"/>
      </rPr>
      <t xml:space="preserve">Slots</t>
    </r>
    <r>
      <rPr>
        <sz val="11"/>
        <color theme="1"/>
        <rFont val="Noto Sans SC"/>
        <family val="2"/>
        <charset val="134"/>
      </rPr>
      <t xml:space="preserve">的</t>
    </r>
    <r>
      <rPr>
        <sz val="11"/>
        <color theme="1"/>
        <rFont val="Calibri"/>
        <family val="2"/>
        <charset val="1"/>
      </rPr>
      <t xml:space="preserve">RTP</t>
    </r>
    <r>
      <rPr>
        <sz val="11"/>
        <color theme="1"/>
        <rFont val="Noto Sans SC"/>
        <family val="2"/>
        <charset val="134"/>
      </rPr>
      <t xml:space="preserve">。计算步骤如下：</t>
    </r>
  </si>
  <si>
    <r>
      <rPr>
        <sz val="11"/>
        <color theme="1"/>
        <rFont val="Noto Sans SC"/>
        <family val="2"/>
        <charset val="134"/>
      </rPr>
      <t xml:space="preserve">［配图 </t>
    </r>
    <r>
      <rPr>
        <sz val="11"/>
        <color theme="1"/>
        <rFont val="Calibri"/>
        <family val="2"/>
        <charset val="1"/>
      </rPr>
      <t xml:space="preserve">07</t>
    </r>
    <r>
      <rPr>
        <sz val="11"/>
        <color theme="1"/>
        <rFont val="Noto Sans SC"/>
        <family val="2"/>
        <charset val="134"/>
      </rPr>
      <t xml:space="preserve">］</t>
    </r>
    <r>
      <rPr>
        <sz val="11"/>
        <color theme="1"/>
        <rFont val="Calibri"/>
        <family val="2"/>
        <charset val="1"/>
      </rPr>
      <t xml:space="preserve">637203163-07.jpg</t>
    </r>
  </si>
  <si>
    <r>
      <rPr>
        <sz val="11"/>
        <color theme="1"/>
        <rFont val="Noto Sans SC"/>
        <family val="2"/>
        <charset val="134"/>
      </rPr>
      <t xml:space="preserve">第五步：计算</t>
    </r>
    <r>
      <rPr>
        <sz val="11"/>
        <color theme="1"/>
        <rFont val="Calibri"/>
        <family val="2"/>
        <charset val="1"/>
      </rPr>
      <t xml:space="preserve">RTP</t>
    </r>
  </si>
  <si>
    <r>
      <rPr>
        <sz val="11"/>
        <color theme="1"/>
        <rFont val="Noto Sans SC"/>
        <family val="2"/>
        <charset val="134"/>
      </rPr>
      <t xml:space="preserve">得到了四种情况的</t>
    </r>
    <r>
      <rPr>
        <sz val="11"/>
        <color theme="1"/>
        <rFont val="Calibri"/>
        <family val="2"/>
        <charset val="1"/>
      </rPr>
      <t xml:space="preserve">RTP</t>
    </r>
    <r>
      <rPr>
        <sz val="11"/>
        <color theme="1"/>
        <rFont val="Noto Sans SC"/>
        <family val="2"/>
        <charset val="134"/>
      </rPr>
      <t xml:space="preserve">，再使用四种情况出现的几率对其</t>
    </r>
    <r>
      <rPr>
        <sz val="11"/>
        <color theme="1"/>
        <rFont val="Calibri"/>
        <family val="2"/>
        <charset val="1"/>
      </rPr>
      <t xml:space="preserve">RTP</t>
    </r>
    <r>
      <rPr>
        <sz val="11"/>
        <color theme="1"/>
        <rFont val="Noto Sans SC"/>
        <family val="2"/>
        <charset val="134"/>
      </rPr>
      <t xml:space="preserve">数值进行加权平均之后，就可以得到当前</t>
    </r>
    <r>
      <rPr>
        <sz val="11"/>
        <color theme="1"/>
        <rFont val="Calibri"/>
        <family val="2"/>
        <charset val="1"/>
      </rPr>
      <t xml:space="preserve">Slots</t>
    </r>
    <r>
      <rPr>
        <sz val="11"/>
        <color theme="1"/>
        <rFont val="Noto Sans SC"/>
        <family val="2"/>
        <charset val="134"/>
      </rPr>
      <t xml:space="preserve">的综合</t>
    </r>
    <r>
      <rPr>
        <sz val="11"/>
        <color theme="1"/>
        <rFont val="Calibri"/>
        <family val="2"/>
        <charset val="1"/>
      </rPr>
      <t xml:space="preserve">RTP</t>
    </r>
  </si>
  <si>
    <r>
      <rPr>
        <sz val="11"/>
        <color theme="1"/>
        <rFont val="Noto Sans SC"/>
        <family val="2"/>
        <charset val="134"/>
      </rPr>
      <t xml:space="preserve">［配图 </t>
    </r>
    <r>
      <rPr>
        <sz val="11"/>
        <color theme="1"/>
        <rFont val="Calibri"/>
        <family val="2"/>
        <charset val="1"/>
      </rPr>
      <t xml:space="preserve">08</t>
    </r>
    <r>
      <rPr>
        <sz val="11"/>
        <color theme="1"/>
        <rFont val="Noto Sans SC"/>
        <family val="2"/>
        <charset val="134"/>
      </rPr>
      <t xml:space="preserve">］</t>
    </r>
    <r>
      <rPr>
        <sz val="11"/>
        <color theme="1"/>
        <rFont val="Calibri"/>
        <family val="2"/>
        <charset val="1"/>
      </rPr>
      <t xml:space="preserve">637203163-08.jpg</t>
    </r>
  </si>
  <si>
    <r>
      <rPr>
        <sz val="11"/>
        <color theme="1"/>
        <rFont val="Noto Sans SC"/>
        <family val="2"/>
        <charset val="134"/>
      </rPr>
      <t xml:space="preserve">本篇使用的示例和上篇介绍</t>
    </r>
    <r>
      <rPr>
        <sz val="11"/>
        <color theme="1"/>
        <rFont val="Calibri"/>
        <family val="2"/>
        <charset val="1"/>
      </rPr>
      <t xml:space="preserve">Super Stack</t>
    </r>
    <r>
      <rPr>
        <sz val="11"/>
        <color theme="1"/>
        <rFont val="Noto Sans SC"/>
        <family val="2"/>
        <charset val="134"/>
      </rPr>
      <t xml:space="preserve">时的中奖组合、图标种类和赔付倍数都是一致的，差异只有特殊图标的机制不同</t>
    </r>
  </si>
  <si>
    <r>
      <rPr>
        <sz val="11"/>
        <color theme="1"/>
        <rFont val="Noto Sans SC"/>
        <family val="2"/>
        <charset val="134"/>
      </rPr>
      <t xml:space="preserve">从结果上不难看出，神秘图标的最终</t>
    </r>
    <r>
      <rPr>
        <sz val="11"/>
        <color theme="1"/>
        <rFont val="Calibri"/>
        <family val="2"/>
        <charset val="1"/>
      </rPr>
      <t xml:space="preserve">RTP</t>
    </r>
    <r>
      <rPr>
        <sz val="11"/>
        <color theme="1"/>
        <rFont val="Noto Sans SC"/>
        <family val="2"/>
        <charset val="134"/>
      </rPr>
      <t xml:space="preserve">要远高于</t>
    </r>
    <r>
      <rPr>
        <sz val="11"/>
        <color theme="1"/>
        <rFont val="Calibri"/>
        <family val="2"/>
        <charset val="1"/>
      </rPr>
      <t xml:space="preserve">Super Stack</t>
    </r>
  </si>
  <si>
    <r>
      <rPr>
        <sz val="11"/>
        <color theme="1"/>
        <rFont val="Noto Sans SC"/>
        <family val="2"/>
        <charset val="134"/>
      </rPr>
      <t xml:space="preserve">两者虽然都是以在画面上堆叠图标作为特色的</t>
    </r>
    <r>
      <rPr>
        <sz val="11"/>
        <color theme="1"/>
        <rFont val="Calibri"/>
        <family val="2"/>
        <charset val="1"/>
      </rPr>
      <t xml:space="preserve">Feature</t>
    </r>
    <r>
      <rPr>
        <sz val="11"/>
        <color theme="1"/>
        <rFont val="Noto Sans SC"/>
        <family val="2"/>
        <charset val="134"/>
      </rPr>
      <t xml:space="preserve">，但在数值表现上却有着比较大的差异</t>
    </r>
  </si>
  <si>
    <r>
      <rPr>
        <sz val="11"/>
        <color theme="1"/>
        <rFont val="Noto Sans SC"/>
        <family val="2"/>
        <charset val="134"/>
      </rPr>
      <t xml:space="preserve">大体上来说，</t>
    </r>
    <r>
      <rPr>
        <sz val="11"/>
        <color theme="1"/>
        <rFont val="Calibri"/>
        <family val="2"/>
        <charset val="1"/>
      </rPr>
      <t xml:space="preserve">Super Stack</t>
    </r>
    <r>
      <rPr>
        <sz val="11"/>
        <color theme="1"/>
        <rFont val="Noto Sans SC"/>
        <family val="2"/>
        <charset val="134"/>
      </rPr>
      <t xml:space="preserve">对</t>
    </r>
    <r>
      <rPr>
        <sz val="11"/>
        <color theme="1"/>
        <rFont val="Calibri"/>
        <family val="2"/>
        <charset val="1"/>
      </rPr>
      <t xml:space="preserve">RTP</t>
    </r>
    <r>
      <rPr>
        <sz val="11"/>
        <color theme="1"/>
        <rFont val="Noto Sans SC"/>
        <family val="2"/>
        <charset val="134"/>
      </rPr>
      <t xml:space="preserve">的提升作用较小，即使使用在普通摇中也几乎不需要降低中奖率来控制发放</t>
    </r>
  </si>
  <si>
    <r>
      <rPr>
        <sz val="11"/>
        <color theme="1"/>
        <rFont val="Noto Sans SC"/>
        <family val="2"/>
        <charset val="134"/>
      </rPr>
      <t xml:space="preserve">而神秘图标对</t>
    </r>
    <r>
      <rPr>
        <sz val="11"/>
        <color theme="1"/>
        <rFont val="Calibri"/>
        <family val="2"/>
        <charset val="1"/>
      </rPr>
      <t xml:space="preserve">RTP</t>
    </r>
    <r>
      <rPr>
        <sz val="11"/>
        <color theme="1"/>
        <rFont val="Noto Sans SC"/>
        <family val="2"/>
        <charset val="134"/>
      </rPr>
      <t xml:space="preserve">的提升作用非常明显，建议使用在免费摇中，否则就需要控制普通摇的发放，例如降低中奖率或减少图标赔付倍数等</t>
    </r>
  </si>
  <si>
    <r>
      <rPr>
        <sz val="11"/>
        <color theme="1"/>
        <rFont val="Noto Sans SC"/>
        <family val="2"/>
        <charset val="134"/>
      </rPr>
      <t xml:space="preserve">具体选择哪一项还是以</t>
    </r>
    <r>
      <rPr>
        <sz val="11"/>
        <color theme="1"/>
        <rFont val="Calibri"/>
        <family val="2"/>
        <charset val="1"/>
      </rPr>
      <t xml:space="preserve">Slots</t>
    </r>
    <r>
      <rPr>
        <sz val="11"/>
        <color theme="1"/>
        <rFont val="Noto Sans SC"/>
        <family val="2"/>
        <charset val="134"/>
      </rPr>
      <t xml:space="preserve">本身的风格需求决定，并没有哪一个</t>
    </r>
    <r>
      <rPr>
        <sz val="11"/>
        <color theme="1"/>
        <rFont val="Calibri"/>
        <family val="2"/>
        <charset val="1"/>
      </rPr>
      <t xml:space="preserve">Feature</t>
    </r>
    <r>
      <rPr>
        <sz val="11"/>
        <color theme="1"/>
        <rFont val="Noto Sans SC"/>
        <family val="2"/>
        <charset val="134"/>
      </rPr>
      <t xml:space="preserve">压倒性地体验更好这一说</t>
    </r>
  </si>
  <si>
    <r>
      <rPr>
        <sz val="11"/>
        <color theme="1"/>
        <rFont val="Noto Sans SC"/>
        <family val="2"/>
        <charset val="134"/>
      </rPr>
      <t xml:space="preserve">另外，也可以依据</t>
    </r>
    <r>
      <rPr>
        <sz val="11"/>
        <color theme="1"/>
        <rFont val="Calibri"/>
        <family val="2"/>
        <charset val="1"/>
      </rPr>
      <t xml:space="preserve">Slot</t>
    </r>
    <r>
      <rPr>
        <sz val="11"/>
        <color theme="1"/>
        <rFont val="Noto Sans SC"/>
        <family val="2"/>
        <charset val="134"/>
      </rPr>
      <t xml:space="preserve">的类型判断使用哪一种更合适</t>
    </r>
  </si>
  <si>
    <r>
      <rPr>
        <sz val="11"/>
        <color theme="1"/>
        <rFont val="Noto Sans SC"/>
        <family val="2"/>
        <charset val="134"/>
      </rPr>
      <t xml:space="preserve">使用</t>
    </r>
    <r>
      <rPr>
        <sz val="11"/>
        <color theme="1"/>
        <rFont val="Calibri"/>
        <family val="2"/>
        <charset val="1"/>
      </rPr>
      <t xml:space="preserve">Line Slots</t>
    </r>
    <r>
      <rPr>
        <sz val="11"/>
        <color theme="1"/>
        <rFont val="Noto Sans SC"/>
        <family val="2"/>
        <charset val="134"/>
      </rPr>
      <t xml:space="preserve">时，两种</t>
    </r>
    <r>
      <rPr>
        <sz val="11"/>
        <color theme="1"/>
        <rFont val="Calibri"/>
        <family val="2"/>
        <charset val="1"/>
      </rPr>
      <t xml:space="preserve">Feature</t>
    </r>
    <r>
      <rPr>
        <sz val="11"/>
        <color theme="1"/>
        <rFont val="Noto Sans SC"/>
        <family val="2"/>
        <charset val="134"/>
      </rPr>
      <t xml:space="preserve">相性都不错，但是使用的是</t>
    </r>
    <r>
      <rPr>
        <sz val="11"/>
        <color theme="1"/>
        <rFont val="Calibri"/>
        <family val="2"/>
        <charset val="1"/>
      </rPr>
      <t xml:space="preserve">Ways</t>
    </r>
    <r>
      <rPr>
        <sz val="11"/>
        <color theme="1"/>
        <rFont val="Noto Sans SC"/>
        <family val="2"/>
        <charset val="134"/>
      </rPr>
      <t xml:space="preserve">类型的</t>
    </r>
    <r>
      <rPr>
        <sz val="11"/>
        <color theme="1"/>
        <rFont val="Calibri"/>
        <family val="2"/>
        <charset val="1"/>
      </rPr>
      <t xml:space="preserve">Slots</t>
    </r>
    <r>
      <rPr>
        <sz val="11"/>
        <color theme="1"/>
        <rFont val="Noto Sans SC"/>
        <family val="2"/>
        <charset val="134"/>
      </rPr>
      <t xml:space="preserve">时，使用神秘图标的贴合程度就要远高于</t>
    </r>
    <r>
      <rPr>
        <sz val="11"/>
        <color theme="1"/>
        <rFont val="Calibri"/>
        <family val="2"/>
        <charset val="1"/>
      </rPr>
      <t xml:space="preserve">Super Stack</t>
    </r>
  </si>
  <si>
    <r>
      <rPr>
        <b val="true"/>
        <sz val="11"/>
        <color rgb="FF1F4E79"/>
        <rFont val="Noto Sans SC"/>
        <family val="2"/>
        <charset val="134"/>
      </rPr>
      <t xml:space="preserve">原文配图清单（共 </t>
    </r>
    <r>
      <rPr>
        <b val="true"/>
        <sz val="11"/>
        <color rgb="FF1F4E79"/>
        <rFont val="Cambria"/>
        <family val="0"/>
        <charset val="1"/>
      </rPr>
      <t xml:space="preserve">7 </t>
    </r>
    <r>
      <rPr>
        <b val="true"/>
        <sz val="11"/>
        <color rgb="FF1F4E79"/>
        <rFont val="Noto Sans SC"/>
        <family val="2"/>
        <charset val="134"/>
      </rPr>
      <t xml:space="preserve">张，已保存到 </t>
    </r>
    <r>
      <rPr>
        <b val="true"/>
        <sz val="11"/>
        <color rgb="FF1F4E79"/>
        <rFont val="Cambria"/>
        <family val="0"/>
        <charset val="1"/>
      </rPr>
      <t xml:space="preserve">images/slots/</t>
    </r>
    <r>
      <rPr>
        <b val="true"/>
        <sz val="11"/>
        <color rgb="FF1F4E79"/>
        <rFont val="Noto Sans SC"/>
        <family val="2"/>
        <charset val="134"/>
      </rPr>
      <t xml:space="preserve">）</t>
    </r>
  </si>
  <si>
    <r>
      <rPr>
        <b val="true"/>
        <sz val="11"/>
        <color rgb="FF1F4E79"/>
        <rFont val="Noto Sans SC"/>
        <family val="2"/>
        <charset val="134"/>
      </rPr>
      <t xml:space="preserve">修订说明（</t>
    </r>
    <r>
      <rPr>
        <b val="true"/>
        <sz val="11"/>
        <color rgb="FF1F4E79"/>
        <rFont val="Cambria"/>
        <family val="0"/>
        <charset val="1"/>
      </rPr>
      <t xml:space="preserve">2026-09-29</t>
    </r>
    <r>
      <rPr>
        <b val="true"/>
        <sz val="11"/>
        <color rgb="FF1F4E79"/>
        <rFont val="Noto Sans SC"/>
        <family val="2"/>
        <charset val="134"/>
      </rPr>
      <t xml:space="preserve">）</t>
    </r>
  </si>
  <si>
    <r>
      <rPr>
        <sz val="11"/>
        <color theme="1"/>
        <rFont val="Calibri"/>
        <family val="2"/>
        <charset val="1"/>
      </rPr>
      <t xml:space="preserve">· </t>
    </r>
    <r>
      <rPr>
        <sz val="11"/>
        <color theme="1"/>
        <rFont val="Noto Sans SC"/>
        <family val="2"/>
        <charset val="134"/>
      </rPr>
      <t xml:space="preserve">原文网页原件（浏览器「另存为 → 网页，全部」）已取得，故补入全文与配图清单；</t>
    </r>
  </si>
  <si>
    <r>
      <rPr>
        <sz val="11"/>
        <color theme="1"/>
        <rFont val="Calibri"/>
        <family val="2"/>
        <charset val="1"/>
      </rPr>
      <t xml:space="preserve">· </t>
    </r>
    <r>
      <rPr>
        <sz val="11"/>
        <color theme="1"/>
        <rFont val="Noto Sans SC"/>
        <family val="2"/>
        <charset val="134"/>
      </rPr>
      <t xml:space="preserve">本簿页签 </t>
    </r>
    <r>
      <rPr>
        <sz val="11"/>
        <color theme="1"/>
        <rFont val="Calibri"/>
        <family val="2"/>
        <charset val="1"/>
      </rPr>
      <t xml:space="preserve">2 </t>
    </r>
    <r>
      <rPr>
        <sz val="11"/>
        <color theme="1"/>
        <rFont val="Noto Sans SC"/>
        <family val="2"/>
        <charset val="134"/>
      </rPr>
      <t xml:space="preserve">的配表为依据原文方法</t>
    </r>
    <r>
      <rPr>
        <sz val="11"/>
        <color theme="1"/>
        <rFont val="Calibri"/>
        <family val="2"/>
        <charset val="1"/>
      </rPr>
      <t xml:space="preserve">/</t>
    </r>
    <r>
      <rPr>
        <sz val="11"/>
        <color theme="1"/>
        <rFont val="Noto Sans SC"/>
        <family val="2"/>
        <charset val="134"/>
      </rPr>
      <t xml:space="preserve">示例搭成的可改参数表（原文给出数值的部分见配表自检区）。</t>
    </r>
  </si>
  <si>
    <r>
      <rPr>
        <b val="true"/>
        <sz val="14"/>
        <color rgb="FF1F4E79"/>
        <rFont val="Noto Sans SC"/>
        <family val="2"/>
        <charset val="134"/>
      </rPr>
      <t xml:space="preserve">数值篇 </t>
    </r>
    <r>
      <rPr>
        <b val="true"/>
        <sz val="14"/>
        <color rgb="FF1F4E79"/>
        <rFont val="Cambria"/>
        <family val="0"/>
        <charset val="1"/>
      </rPr>
      <t xml:space="preserve">· Mystery Symbols </t>
    </r>
    <r>
      <rPr>
        <b val="true"/>
        <sz val="14"/>
        <color rgb="FF1F4E79"/>
        <rFont val="Noto Sans SC"/>
        <family val="2"/>
        <charset val="134"/>
      </rPr>
      <t xml:space="preserve">的配表与分类讨论计算（蓝字＝可改配表 </t>
    </r>
    <r>
      <rPr>
        <b val="true"/>
        <sz val="14"/>
        <color rgb="FF1F4E79"/>
        <rFont val="Cambria"/>
        <family val="0"/>
        <charset val="1"/>
      </rPr>
      <t xml:space="preserve">/ </t>
    </r>
    <r>
      <rPr>
        <b val="true"/>
        <sz val="14"/>
        <color rgb="FF1F4E79"/>
        <rFont val="Noto Sans SC"/>
        <family val="2"/>
        <charset val="134"/>
      </rPr>
      <t xml:space="preserve">黄底＝结果）</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</si>
  <si>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】符号表与赔率表（与 </t>
    </r>
    <r>
      <rPr>
        <b val="true"/>
        <sz val="11"/>
        <color rgb="FF1F4E79"/>
        <rFont val="Cambria"/>
        <family val="0"/>
        <charset val="1"/>
      </rPr>
      <t xml:space="preserve">05 </t>
    </r>
    <r>
      <rPr>
        <b val="true"/>
        <sz val="11"/>
        <color rgb="FF1F4E79"/>
        <rFont val="Noto Sans SC"/>
        <family val="2"/>
        <charset val="134"/>
      </rPr>
      <t xml:space="preserve">号 </t>
    </r>
    <r>
      <rPr>
        <b val="true"/>
        <sz val="11"/>
        <color rgb="FF1F4E79"/>
        <rFont val="Cambria"/>
        <family val="0"/>
        <charset val="1"/>
      </rPr>
      <t xml:space="preserve">Super Stack </t>
    </r>
    <r>
      <rPr>
        <b val="true"/>
        <sz val="11"/>
        <color rgb="FF1F4E79"/>
        <rFont val="Noto Sans SC"/>
        <family val="2"/>
        <charset val="134"/>
      </rPr>
      <t xml:space="preserve">篇同源，便于对比）</t>
    </r>
  </si>
  <si>
    <t xml:space="preserve">符号</t>
  </si>
  <si>
    <t xml:space="preserve">类型</t>
  </si>
  <si>
    <r>
      <rPr>
        <b val="true"/>
        <sz val="11"/>
        <color rgb="FF1F4E79"/>
        <rFont val="Cambria"/>
        <family val="0"/>
        <charset val="1"/>
      </rPr>
      <t xml:space="preserve">3 </t>
    </r>
    <r>
      <rPr>
        <b val="true"/>
        <sz val="11"/>
        <color rgb="FF1F4E79"/>
        <rFont val="Noto Sans SC"/>
        <family val="2"/>
        <charset val="134"/>
      </rPr>
      <t xml:space="preserve">连</t>
    </r>
  </si>
  <si>
    <r>
      <rPr>
        <b val="true"/>
        <sz val="11"/>
        <color rgb="FF1F4E79"/>
        <rFont val="Cambria"/>
        <family val="0"/>
        <charset val="1"/>
      </rPr>
      <t xml:space="preserve">4 </t>
    </r>
    <r>
      <rPr>
        <b val="true"/>
        <sz val="11"/>
        <color rgb="FF1F4E79"/>
        <rFont val="Noto Sans SC"/>
        <family val="2"/>
        <charset val="134"/>
      </rPr>
      <t xml:space="preserve">连</t>
    </r>
  </si>
  <si>
    <r>
      <rPr>
        <b val="true"/>
        <sz val="11"/>
        <color rgb="FF1F4E79"/>
        <rFont val="Cambria"/>
        <family val="0"/>
        <charset val="1"/>
      </rPr>
      <t xml:space="preserve">5 </t>
    </r>
    <r>
      <rPr>
        <b val="true"/>
        <sz val="11"/>
        <color rgb="FF1F4E79"/>
        <rFont val="Noto Sans SC"/>
        <family val="2"/>
        <charset val="134"/>
      </rPr>
      <t xml:space="preserve">连</t>
    </r>
  </si>
  <si>
    <t xml:space="preserve">说明</t>
  </si>
  <si>
    <t xml:space="preserve">A</t>
  </si>
  <si>
    <t xml:space="preserve">标准</t>
  </si>
  <si>
    <t xml:space="preserve">K</t>
  </si>
  <si>
    <t xml:space="preserve">Q</t>
  </si>
  <si>
    <t xml:space="preserve">J</t>
  </si>
  <si>
    <t xml:space="preserve">W</t>
  </si>
  <si>
    <t xml:space="preserve">Wild</t>
  </si>
  <si>
    <t xml:space="preserve">—</t>
  </si>
  <si>
    <t xml:space="preserve">替代任意标准图标</t>
  </si>
  <si>
    <t xml:space="preserve">M</t>
  </si>
  <si>
    <r>
      <rPr>
        <sz val="11"/>
        <color rgb="FF0000FF"/>
        <rFont val="Cambria"/>
        <family val="0"/>
        <charset val="1"/>
      </rPr>
      <t xml:space="preserve">Mystery Symbols</t>
    </r>
    <r>
      <rPr>
        <sz val="11"/>
        <color rgb="FF0000FF"/>
        <rFont val="Noto Sans SC"/>
        <family val="2"/>
        <charset val="134"/>
      </rPr>
      <t xml:space="preserve">（</t>
    </r>
    <r>
      <rPr>
        <sz val="11"/>
        <color rgb="FF0000FF"/>
        <rFont val="Cambria"/>
        <family val="0"/>
        <charset val="1"/>
      </rPr>
      <t xml:space="preserve">MS</t>
    </r>
    <r>
      <rPr>
        <sz val="11"/>
        <color rgb="FF0000FF"/>
        <rFont val="Noto Sans SC"/>
        <family val="2"/>
        <charset val="134"/>
      </rPr>
      <t xml:space="preserve">）</t>
    </r>
  </si>
  <si>
    <r>
      <rPr>
        <sz val="11"/>
        <color rgb="FF000000"/>
        <rFont val="Noto Sans SC"/>
        <family val="2"/>
        <charset val="134"/>
      </rPr>
      <t xml:space="preserve">卷轴标记 </t>
    </r>
    <r>
      <rPr>
        <sz val="11"/>
        <color rgb="FF000000"/>
        <rFont val="Cambria"/>
        <family val="0"/>
        <charset val="1"/>
      </rPr>
      <t xml:space="preserve">M</t>
    </r>
    <r>
      <rPr>
        <sz val="11"/>
        <color rgb="FF000000"/>
        <rFont val="Noto Sans SC"/>
        <family val="2"/>
        <charset val="134"/>
      </rPr>
      <t xml:space="preserve">，每局变成 </t>
    </r>
    <r>
      <rPr>
        <sz val="11"/>
        <color rgb="FF000000"/>
        <rFont val="Cambria"/>
        <family val="0"/>
        <charset val="1"/>
      </rPr>
      <t xml:space="preserve">1 </t>
    </r>
    <r>
      <rPr>
        <sz val="11"/>
        <color rgb="FF000000"/>
        <rFont val="Noto Sans SC"/>
        <family val="2"/>
        <charset val="134"/>
      </rPr>
      <t xml:space="preserve">个图标并作用于全场 </t>
    </r>
    <r>
      <rPr>
        <sz val="11"/>
        <color rgb="FF000000"/>
        <rFont val="Cambria"/>
        <family val="0"/>
        <charset val="1"/>
      </rPr>
      <t xml:space="preserve">MS</t>
    </r>
  </si>
  <si>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】每列图标个数分布（原文配图：每列 </t>
    </r>
    <r>
      <rPr>
        <b val="true"/>
        <sz val="11"/>
        <color rgb="FF1F4E79"/>
        <rFont val="Cambria"/>
        <family val="0"/>
        <charset val="1"/>
      </rPr>
      <t xml:space="preserve">100 </t>
    </r>
    <r>
      <rPr>
        <b val="true"/>
        <sz val="11"/>
        <color rgb="FF1F4E79"/>
        <rFont val="Noto Sans SC"/>
        <family val="2"/>
        <charset val="134"/>
      </rPr>
      <t xml:space="preserve">停；蓝字可改）</t>
    </r>
  </si>
  <si>
    <t xml:space="preserve">图标</t>
  </si>
  <si>
    <r>
      <rPr>
        <b val="true"/>
        <sz val="11"/>
        <color rgb="FF1F4E79"/>
        <rFont val="Noto Sans SC"/>
        <family val="2"/>
        <charset val="134"/>
      </rPr>
      <t xml:space="preserve">第</t>
    </r>
    <r>
      <rPr>
        <b val="true"/>
        <sz val="11"/>
        <color rgb="FF1F4E79"/>
        <rFont val="Cambria"/>
        <family val="0"/>
        <charset val="1"/>
      </rPr>
      <t xml:space="preserve">1</t>
    </r>
    <r>
      <rPr>
        <b val="true"/>
        <sz val="11"/>
        <color rgb="FF1F4E79"/>
        <rFont val="Noto Sans SC"/>
        <family val="2"/>
        <charset val="134"/>
      </rPr>
      <t xml:space="preserve">列</t>
    </r>
  </si>
  <si>
    <r>
      <rPr>
        <b val="true"/>
        <sz val="11"/>
        <color rgb="FF1F4E79"/>
        <rFont val="Noto Sans SC"/>
        <family val="2"/>
        <charset val="134"/>
      </rPr>
      <t xml:space="preserve">第</t>
    </r>
    <r>
      <rPr>
        <b val="true"/>
        <sz val="11"/>
        <color rgb="FF1F4E79"/>
        <rFont val="Cambria"/>
        <family val="0"/>
        <charset val="1"/>
      </rPr>
      <t xml:space="preserve">2</t>
    </r>
    <r>
      <rPr>
        <b val="true"/>
        <sz val="11"/>
        <color rgb="FF1F4E79"/>
        <rFont val="Noto Sans SC"/>
        <family val="2"/>
        <charset val="134"/>
      </rPr>
      <t xml:space="preserve">列</t>
    </r>
  </si>
  <si>
    <r>
      <rPr>
        <b val="true"/>
        <sz val="11"/>
        <color rgb="FF1F4E79"/>
        <rFont val="Noto Sans SC"/>
        <family val="2"/>
        <charset val="134"/>
      </rPr>
      <t xml:space="preserve">第</t>
    </r>
    <r>
      <rPr>
        <b val="true"/>
        <sz val="11"/>
        <color rgb="FF1F4E79"/>
        <rFont val="Cambria"/>
        <family val="0"/>
        <charset val="1"/>
      </rPr>
      <t xml:space="preserve">3</t>
    </r>
    <r>
      <rPr>
        <b val="true"/>
        <sz val="11"/>
        <color rgb="FF1F4E79"/>
        <rFont val="Noto Sans SC"/>
        <family val="2"/>
        <charset val="134"/>
      </rPr>
      <t xml:space="preserve">列</t>
    </r>
  </si>
  <si>
    <r>
      <rPr>
        <b val="true"/>
        <sz val="11"/>
        <color rgb="FF1F4E79"/>
        <rFont val="Noto Sans SC"/>
        <family val="2"/>
        <charset val="134"/>
      </rPr>
      <t xml:space="preserve">第</t>
    </r>
    <r>
      <rPr>
        <b val="true"/>
        <sz val="11"/>
        <color rgb="FF1F4E79"/>
        <rFont val="Cambria"/>
        <family val="0"/>
        <charset val="1"/>
      </rPr>
      <t xml:space="preserve">4</t>
    </r>
    <r>
      <rPr>
        <b val="true"/>
        <sz val="11"/>
        <color rgb="FF1F4E79"/>
        <rFont val="Noto Sans SC"/>
        <family val="2"/>
        <charset val="134"/>
      </rPr>
      <t xml:space="preserve">列</t>
    </r>
  </si>
  <si>
    <r>
      <rPr>
        <b val="true"/>
        <sz val="11"/>
        <color rgb="FF1F4E79"/>
        <rFont val="Noto Sans SC"/>
        <family val="2"/>
        <charset val="134"/>
      </rPr>
      <t xml:space="preserve">第</t>
    </r>
    <r>
      <rPr>
        <b val="true"/>
        <sz val="11"/>
        <color rgb="FF1F4E79"/>
        <rFont val="Cambria"/>
        <family val="0"/>
        <charset val="1"/>
      </rPr>
      <t xml:space="preserve">5</t>
    </r>
    <r>
      <rPr>
        <b val="true"/>
        <sz val="11"/>
        <color rgb="FF1F4E79"/>
        <rFont val="Noto Sans SC"/>
        <family val="2"/>
        <charset val="134"/>
      </rPr>
      <t xml:space="preserve">列</t>
    </r>
  </si>
  <si>
    <r>
      <rPr>
        <sz val="11"/>
        <color rgb="FF000000"/>
        <rFont val="Noto Sans SC"/>
        <family val="2"/>
        <charset val="134"/>
      </rPr>
      <t xml:space="preserve">原文：</t>
    </r>
    <r>
      <rPr>
        <sz val="11"/>
        <color rgb="FF000000"/>
        <rFont val="Cambria"/>
        <family val="0"/>
        <charset val="1"/>
      </rPr>
      <t xml:space="preserve">J/Q/K </t>
    </r>
    <r>
      <rPr>
        <sz val="11"/>
        <color rgb="FF000000"/>
        <rFont val="Noto Sans SC"/>
        <family val="2"/>
        <charset val="134"/>
      </rPr>
      <t xml:space="preserve">各 </t>
    </r>
    <r>
      <rPr>
        <sz val="11"/>
        <color rgb="FF000000"/>
        <rFont val="Cambria"/>
        <family val="0"/>
        <charset val="1"/>
      </rPr>
      <t xml:space="preserve">20</t>
    </r>
    <r>
      <rPr>
        <sz val="11"/>
        <color rgb="FF000000"/>
        <rFont val="Noto Sans SC"/>
        <family val="2"/>
        <charset val="134"/>
      </rPr>
      <t xml:space="preserve">、</t>
    </r>
    <r>
      <rPr>
        <sz val="11"/>
        <color rgb="FF000000"/>
        <rFont val="Cambria"/>
        <family val="0"/>
        <charset val="1"/>
      </rPr>
      <t xml:space="preserve">A 10</t>
    </r>
    <r>
      <rPr>
        <sz val="11"/>
        <color rgb="FF000000"/>
        <rFont val="Noto Sans SC"/>
        <family val="2"/>
        <charset val="134"/>
      </rPr>
      <t xml:space="preserve">、</t>
    </r>
    <r>
      <rPr>
        <sz val="11"/>
        <color rgb="FF000000"/>
        <rFont val="Cambria"/>
        <family val="0"/>
        <charset val="1"/>
      </rPr>
      <t xml:space="preserve">Wild 5</t>
    </r>
    <r>
      <rPr>
        <sz val="11"/>
        <color rgb="FF000000"/>
        <rFont val="Noto Sans SC"/>
        <family val="2"/>
        <charset val="134"/>
      </rPr>
      <t xml:space="preserve">、</t>
    </r>
    <r>
      <rPr>
        <sz val="11"/>
        <color rgb="FF000000"/>
        <rFont val="Cambria"/>
        <family val="0"/>
        <charset val="1"/>
      </rPr>
      <t xml:space="preserve">MS 25</t>
    </r>
  </si>
  <si>
    <t xml:space="preserve">合计</t>
  </si>
  <si>
    <r>
      <rPr>
        <sz val="11"/>
        <color rgb="FF000000"/>
        <rFont val="Noto Sans SC"/>
        <family val="2"/>
        <charset val="134"/>
      </rPr>
      <t xml:space="preserve">每列应 ＝ </t>
    </r>
    <r>
      <rPr>
        <sz val="11"/>
        <color rgb="FF000000"/>
        <rFont val="Cambria"/>
        <family val="0"/>
        <charset val="1"/>
      </rPr>
      <t xml:space="preserve">100</t>
    </r>
  </si>
  <si>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】每列格数与总事件数</t>
    </r>
  </si>
  <si>
    <t xml:space="preserve">项目</t>
  </si>
  <si>
    <t xml:space="preserve">每列格数</t>
  </si>
  <si>
    <t xml:space="preserve">＝ 该列各图标个数之和</t>
  </si>
  <si>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t>
    </r>
    <r>
      <rPr>
        <b val="true"/>
        <sz val="11"/>
        <color rgb="FF1F4E79"/>
        <rFont val="Cambria"/>
        <family val="0"/>
        <charset val="1"/>
      </rPr>
      <t xml:space="preserve">MS </t>
    </r>
    <r>
      <rPr>
        <b val="true"/>
        <sz val="11"/>
        <color rgb="FF1F4E79"/>
        <rFont val="Noto Sans SC"/>
        <family val="2"/>
        <charset val="134"/>
      </rPr>
      <t xml:space="preserve">变身几率表（合计应为 </t>
    </r>
    <r>
      <rPr>
        <b val="true"/>
        <sz val="11"/>
        <color rgb="FF1F4E79"/>
        <rFont val="Cambria"/>
        <family val="0"/>
        <charset val="1"/>
      </rPr>
      <t xml:space="preserve">100%</t>
    </r>
    <r>
      <rPr>
        <b val="true"/>
        <sz val="11"/>
        <color rgb="FF1F4E79"/>
        <rFont val="Noto Sans SC"/>
        <family val="2"/>
        <charset val="134"/>
      </rPr>
      <t xml:space="preserve">）</t>
    </r>
  </si>
  <si>
    <t xml:space="preserve">MS →</t>
  </si>
  <si>
    <t xml:space="preserve">出现几率</t>
  </si>
  <si>
    <r>
      <rPr>
        <b val="true"/>
        <sz val="11"/>
        <color rgb="FF1F4E79"/>
        <rFont val="Noto Sans SC"/>
        <family val="2"/>
        <charset val="134"/>
      </rPr>
      <t xml:space="preserve">【</t>
    </r>
    <r>
      <rPr>
        <b val="true"/>
        <sz val="11"/>
        <color rgb="FF1F4E79"/>
        <rFont val="Cambria"/>
        <family val="0"/>
        <charset val="1"/>
      </rPr>
      <t xml:space="preserve">5</t>
    </r>
    <r>
      <rPr>
        <b val="true"/>
        <sz val="11"/>
        <color rgb="FF1F4E79"/>
        <rFont val="Noto Sans SC"/>
        <family val="2"/>
        <charset val="134"/>
      </rPr>
      <t xml:space="preserve">】分 </t>
    </r>
    <r>
      <rPr>
        <b val="true"/>
        <sz val="11"/>
        <color rgb="FF1F4E79"/>
        <rFont val="Cambria"/>
        <family val="0"/>
        <charset val="1"/>
      </rPr>
      <t xml:space="preserve">4 </t>
    </r>
    <r>
      <rPr>
        <b val="true"/>
        <sz val="11"/>
        <color rgb="FF1F4E79"/>
        <rFont val="Noto Sans SC"/>
        <family val="2"/>
        <charset val="134"/>
      </rPr>
      <t xml:space="preserve">类讨论：每类的事件数与 </t>
    </r>
    <r>
      <rPr>
        <b val="true"/>
        <sz val="11"/>
        <color rgb="FF1F4E79"/>
        <rFont val="Cambria"/>
        <family val="0"/>
        <charset val="1"/>
      </rPr>
      <t xml:space="preserve">RTP</t>
    </r>
    <r>
      <rPr>
        <b val="true"/>
        <sz val="11"/>
        <color rgb="FF1F4E79"/>
        <rFont val="Noto Sans SC"/>
        <family val="2"/>
        <charset val="134"/>
      </rPr>
      <t xml:space="preserve">（出现事件数含 </t>
    </r>
    <r>
      <rPr>
        <b val="true"/>
        <sz val="11"/>
        <color rgb="FF1F4E79"/>
        <rFont val="Cambria"/>
        <family val="0"/>
        <charset val="1"/>
      </rPr>
      <t xml:space="preserve">Wild</t>
    </r>
    <r>
      <rPr>
        <b val="true"/>
        <sz val="11"/>
        <color rgb="FF1F4E79"/>
        <rFont val="Noto Sans SC"/>
        <family val="2"/>
        <charset val="134"/>
      </rPr>
      <t xml:space="preserve">；仅当 </t>
    </r>
    <r>
      <rPr>
        <b val="true"/>
        <sz val="11"/>
        <color rgb="FF1F4E79"/>
        <rFont val="Cambria"/>
        <family val="0"/>
        <charset val="1"/>
      </rPr>
      <t xml:space="preserve">MS </t>
    </r>
    <r>
      <rPr>
        <b val="true"/>
        <sz val="11"/>
        <color rgb="FF1F4E79"/>
        <rFont val="Noto Sans SC"/>
        <family val="2"/>
        <charset val="134"/>
      </rPr>
      <t xml:space="preserve">变成该符号时计入 </t>
    </r>
    <r>
      <rPr>
        <b val="true"/>
        <sz val="11"/>
        <color rgb="FF1F4E79"/>
        <rFont val="Cambria"/>
        <family val="0"/>
        <charset val="1"/>
      </rPr>
      <t xml:space="preserve">MS</t>
    </r>
    <r>
      <rPr>
        <b val="true"/>
        <sz val="11"/>
        <color rgb="FF1F4E79"/>
        <rFont val="Noto Sans SC"/>
        <family val="2"/>
        <charset val="134"/>
      </rPr>
      <t xml:space="preserve">）</t>
    </r>
  </si>
  <si>
    <t xml:space="preserve">情景</t>
  </si>
  <si>
    <r>
      <rPr>
        <b val="true"/>
        <sz val="11"/>
        <color rgb="FF1F4E79"/>
        <rFont val="Cambria"/>
        <family val="0"/>
        <charset val="1"/>
      </rPr>
      <t xml:space="preserve">5 </t>
    </r>
    <r>
      <rPr>
        <b val="true"/>
        <sz val="11"/>
        <color rgb="FF1F4E79"/>
        <rFont val="Noto Sans SC"/>
        <family val="2"/>
        <charset val="134"/>
      </rPr>
      <t xml:space="preserve">连事件数</t>
    </r>
  </si>
  <si>
    <r>
      <rPr>
        <b val="true"/>
        <sz val="11"/>
        <color rgb="FF1F4E79"/>
        <rFont val="Cambria"/>
        <family val="0"/>
        <charset val="1"/>
      </rPr>
      <t xml:space="preserve">4 </t>
    </r>
    <r>
      <rPr>
        <b val="true"/>
        <sz val="11"/>
        <color rgb="FF1F4E79"/>
        <rFont val="Noto Sans SC"/>
        <family val="2"/>
        <charset val="134"/>
      </rPr>
      <t xml:space="preserve">连事件数</t>
    </r>
  </si>
  <si>
    <r>
      <rPr>
        <b val="true"/>
        <sz val="11"/>
        <color rgb="FF1F4E79"/>
        <rFont val="Cambria"/>
        <family val="0"/>
        <charset val="1"/>
      </rPr>
      <t xml:space="preserve">3 </t>
    </r>
    <r>
      <rPr>
        <b val="true"/>
        <sz val="11"/>
        <color rgb="FF1F4E79"/>
        <rFont val="Noto Sans SC"/>
        <family val="2"/>
        <charset val="134"/>
      </rPr>
      <t xml:space="preserve">连事件数</t>
    </r>
  </si>
  <si>
    <r>
      <rPr>
        <b val="true"/>
        <sz val="11"/>
        <color rgb="FF1F4E79"/>
        <rFont val="Noto Sans SC"/>
        <family val="2"/>
        <charset val="134"/>
      </rPr>
      <t xml:space="preserve">情况 </t>
    </r>
    <r>
      <rPr>
        <b val="true"/>
        <sz val="11"/>
        <color rgb="FF1F4E79"/>
        <rFont val="Cambria"/>
        <family val="0"/>
        <charset val="1"/>
      </rPr>
      <t xml:space="preserve">RTP</t>
    </r>
  </si>
  <si>
    <t xml:space="preserve">情况几率</t>
  </si>
  <si>
    <t xml:space="preserve">MS → J</t>
  </si>
  <si>
    <t xml:space="preserve">MS → Q</t>
  </si>
  <si>
    <t xml:space="preserve">MS → K</t>
  </si>
  <si>
    <t xml:space="preserve">MS → A</t>
  </si>
  <si>
    <r>
      <rPr>
        <b val="true"/>
        <sz val="11"/>
        <color rgb="FF1F4E79"/>
        <rFont val="Noto Sans SC"/>
        <family val="2"/>
        <charset val="134"/>
      </rPr>
      <t xml:space="preserve">【</t>
    </r>
    <r>
      <rPr>
        <b val="true"/>
        <sz val="11"/>
        <color rgb="FF1F4E79"/>
        <rFont val="Cambria"/>
        <family val="0"/>
        <charset val="1"/>
      </rPr>
      <t xml:space="preserve">6</t>
    </r>
    <r>
      <rPr>
        <b val="true"/>
        <sz val="11"/>
        <color rgb="FF1F4E79"/>
        <rFont val="Noto Sans SC"/>
        <family val="2"/>
        <charset val="134"/>
      </rPr>
      <t xml:space="preserve">】</t>
    </r>
    <r>
      <rPr>
        <b val="true"/>
        <sz val="11"/>
        <color rgb="FF1F4E79"/>
        <rFont val="Cambria"/>
        <family val="0"/>
        <charset val="1"/>
      </rPr>
      <t xml:space="preserve">RTP </t>
    </r>
    <r>
      <rPr>
        <b val="true"/>
        <sz val="11"/>
        <color rgb="FF1F4E79"/>
        <rFont val="Noto Sans SC"/>
        <family val="2"/>
        <charset val="134"/>
      </rPr>
      <t xml:space="preserve">汇总（各符号的 </t>
    </r>
    <r>
      <rPr>
        <b val="true"/>
        <sz val="11"/>
        <color rgb="FF1F4E79"/>
        <rFont val="Cambria"/>
        <family val="0"/>
        <charset val="1"/>
      </rPr>
      <t xml:space="preserve">4 </t>
    </r>
    <r>
      <rPr>
        <b val="true"/>
        <sz val="11"/>
        <color rgb="FF1F4E79"/>
        <rFont val="Noto Sans SC"/>
        <family val="2"/>
        <charset val="134"/>
      </rPr>
      <t xml:space="preserve">个情景按 </t>
    </r>
    <r>
      <rPr>
        <b val="true"/>
        <sz val="11"/>
        <color rgb="FF1F4E79"/>
        <rFont val="Cambria"/>
        <family val="0"/>
        <charset val="1"/>
      </rPr>
      <t xml:space="preserve">MS </t>
    </r>
    <r>
      <rPr>
        <b val="true"/>
        <sz val="11"/>
        <color rgb="FF1F4E79"/>
        <rFont val="Noto Sans SC"/>
        <family val="2"/>
        <charset val="134"/>
      </rPr>
      <t xml:space="preserve">变身几率加权）</t>
    </r>
  </si>
  <si>
    <t xml:space="preserve">MS→J</t>
  </si>
  <si>
    <t xml:space="preserve">MS→Q</t>
  </si>
  <si>
    <t xml:space="preserve">MS→K</t>
  </si>
  <si>
    <t xml:space="preserve">MS→A</t>
  </si>
  <si>
    <r>
      <rPr>
        <b val="true"/>
        <sz val="11"/>
        <color rgb="FF1F4E79"/>
        <rFont val="Noto Sans SC"/>
        <family val="2"/>
        <charset val="134"/>
      </rPr>
      <t xml:space="preserve">加权 </t>
    </r>
    <r>
      <rPr>
        <b val="true"/>
        <sz val="11"/>
        <color rgb="FF1F4E79"/>
        <rFont val="Cambria"/>
        <family val="0"/>
        <charset val="1"/>
      </rPr>
      <t xml:space="preserve">RTP</t>
    </r>
  </si>
  <si>
    <r>
      <rPr>
        <sz val="11"/>
        <color rgb="FF000000"/>
        <rFont val="Noto Sans SC"/>
        <family val="2"/>
        <charset val="134"/>
      </rPr>
      <t xml:space="preserve">合计 </t>
    </r>
    <r>
      <rPr>
        <sz val="11"/>
        <color rgb="FF000000"/>
        <rFont val="Cambria"/>
        <family val="0"/>
        <charset val="1"/>
      </rPr>
      <t xml:space="preserve">RTP</t>
    </r>
    <r>
      <rPr>
        <sz val="11"/>
        <color rgb="FF000000"/>
        <rFont val="Noto Sans SC"/>
        <family val="2"/>
        <charset val="134"/>
      </rPr>
      <t xml:space="preserve">（</t>
    </r>
    <r>
      <rPr>
        <sz val="11"/>
        <color rgb="FF000000"/>
        <rFont val="Cambria"/>
        <family val="0"/>
        <charset val="1"/>
      </rPr>
      <t xml:space="preserve">Mystery Symbols</t>
    </r>
    <r>
      <rPr>
        <sz val="11"/>
        <color rgb="FF000000"/>
        <rFont val="Noto Sans SC"/>
        <family val="2"/>
        <charset val="134"/>
      </rPr>
      <t xml:space="preserve">）</t>
    </r>
  </si>
  <si>
    <r>
      <rPr>
        <b val="true"/>
        <sz val="11"/>
        <color rgb="FF1F4E79"/>
        <rFont val="Noto Sans SC"/>
        <family val="2"/>
        <charset val="134"/>
      </rPr>
      <t xml:space="preserve">【</t>
    </r>
    <r>
      <rPr>
        <b val="true"/>
        <sz val="11"/>
        <color rgb="FF1F4E79"/>
        <rFont val="Cambria"/>
        <family val="0"/>
        <charset val="1"/>
      </rPr>
      <t xml:space="preserve">7</t>
    </r>
    <r>
      <rPr>
        <b val="true"/>
        <sz val="11"/>
        <color rgb="FF1F4E79"/>
        <rFont val="Noto Sans SC"/>
        <family val="2"/>
        <charset val="134"/>
      </rPr>
      <t xml:space="preserve">】与 </t>
    </r>
    <r>
      <rPr>
        <b val="true"/>
        <sz val="11"/>
        <color rgb="FF1F4E79"/>
        <rFont val="Cambria"/>
        <family val="0"/>
        <charset val="1"/>
      </rPr>
      <t xml:space="preserve">Super Stack </t>
    </r>
    <r>
      <rPr>
        <b val="true"/>
        <sz val="11"/>
        <color rgb="FF1F4E79"/>
        <rFont val="Noto Sans SC"/>
        <family val="2"/>
        <charset val="134"/>
      </rPr>
      <t xml:space="preserve">的对照（硬编码，原文结论）</t>
    </r>
  </si>
  <si>
    <t xml:space="preserve">Feature</t>
  </si>
  <si>
    <r>
      <rPr>
        <b val="true"/>
        <sz val="11"/>
        <color rgb="FF1F4E79"/>
        <rFont val="Noto Sans SC"/>
        <family val="2"/>
        <charset val="134"/>
      </rPr>
      <t xml:space="preserve">对 </t>
    </r>
    <r>
      <rPr>
        <b val="true"/>
        <sz val="11"/>
        <color rgb="FF1F4E79"/>
        <rFont val="Cambria"/>
        <family val="0"/>
        <charset val="1"/>
      </rPr>
      <t xml:space="preserve">RTP </t>
    </r>
    <r>
      <rPr>
        <b val="true"/>
        <sz val="11"/>
        <color rgb="FF1F4E79"/>
        <rFont val="Noto Sans SC"/>
        <family val="2"/>
        <charset val="134"/>
      </rPr>
      <t xml:space="preserve">的影响</t>
    </r>
  </si>
  <si>
    <t xml:space="preserve">原文建议</t>
  </si>
  <si>
    <t xml:space="preserve">Super Stack</t>
  </si>
  <si>
    <t xml:space="preserve">提升较小</t>
  </si>
  <si>
    <t xml:space="preserve">普通摇也几乎不用降压发放</t>
  </si>
  <si>
    <t xml:space="preserve">Mystery Symbols</t>
  </si>
  <si>
    <t xml:space="preserve">提升明显</t>
  </si>
  <si>
    <t xml:space="preserve">建议放在免费摇；否则压普通摇发放</t>
  </si>
  <si>
    <r>
      <rPr>
        <sz val="11"/>
        <color rgb="FF808080"/>
        <rFont val="Noto Sans SC"/>
        <family val="2"/>
        <charset val="134"/>
      </rPr>
      <t xml:space="preserve">口径：</t>
    </r>
    <r>
      <rPr>
        <sz val="11"/>
        <color rgb="FF808080"/>
        <rFont val="Cambria"/>
        <family val="0"/>
        <charset val="1"/>
      </rPr>
      <t xml:space="preserve">Line Slots </t>
    </r>
    <r>
      <rPr>
        <sz val="11"/>
        <color rgb="FF808080"/>
        <rFont val="Noto Sans SC"/>
        <family val="2"/>
        <charset val="134"/>
      </rPr>
      <t xml:space="preserve">聚焦一条中奖线；出现事件数 ＝ 该符号数 </t>
    </r>
    <r>
      <rPr>
        <sz val="11"/>
        <color rgb="FF808080"/>
        <rFont val="Cambria"/>
        <family val="0"/>
        <charset val="1"/>
      </rPr>
      <t xml:space="preserve">+ Wild </t>
    </r>
    <r>
      <rPr>
        <sz val="11"/>
        <color rgb="FF808080"/>
        <rFont val="Noto Sans SC"/>
        <family val="2"/>
        <charset val="134"/>
      </rPr>
      <t xml:space="preserve">数 </t>
    </r>
    <r>
      <rPr>
        <sz val="11"/>
        <color rgb="FF808080"/>
        <rFont val="Cambria"/>
        <family val="0"/>
        <charset val="1"/>
      </rPr>
      <t xml:space="preserve">+</t>
    </r>
    <r>
      <rPr>
        <sz val="11"/>
        <color rgb="FF808080"/>
        <rFont val="Noto Sans SC"/>
        <family val="2"/>
        <charset val="134"/>
      </rPr>
      <t xml:space="preserve">（</t>
    </r>
    <r>
      <rPr>
        <sz val="11"/>
        <color rgb="FF808080"/>
        <rFont val="Cambria"/>
        <family val="0"/>
        <charset val="1"/>
      </rPr>
      <t xml:space="preserve">MS </t>
    </r>
    <r>
      <rPr>
        <sz val="11"/>
        <color rgb="FF808080"/>
        <rFont val="Noto Sans SC"/>
        <family val="2"/>
        <charset val="134"/>
      </rPr>
      <t xml:space="preserve">数，仅当 </t>
    </r>
    <r>
      <rPr>
        <sz val="11"/>
        <color rgb="FF808080"/>
        <rFont val="Cambria"/>
        <family val="0"/>
        <charset val="1"/>
      </rPr>
      <t xml:space="preserve">MS </t>
    </r>
    <r>
      <rPr>
        <sz val="11"/>
        <color rgb="FF808080"/>
        <rFont val="Noto Sans SC"/>
        <family val="2"/>
        <charset val="134"/>
      </rPr>
      <t xml:space="preserve">变成该符号时）；</t>
    </r>
  </si>
  <si>
    <r>
      <rPr>
        <sz val="11"/>
        <color rgb="FF808080"/>
        <rFont val="Noto Sans SC"/>
        <family val="2"/>
        <charset val="134"/>
      </rPr>
      <t xml:space="preserve">不出现事件数 ＝ 每列格数 − 出现事件数；</t>
    </r>
    <r>
      <rPr>
        <sz val="11"/>
        <color rgb="FF808080"/>
        <rFont val="Cambria"/>
        <family val="0"/>
        <charset val="1"/>
      </rPr>
      <t xml:space="preserve">3/4/5 </t>
    </r>
    <r>
      <rPr>
        <sz val="11"/>
        <color rgb="FF808080"/>
        <rFont val="Noto Sans SC"/>
        <family val="2"/>
        <charset val="134"/>
      </rPr>
      <t xml:space="preserve">连取乘积除以总事件数 </t>
    </r>
    <r>
      <rPr>
        <sz val="11"/>
        <color rgb="FF808080"/>
        <rFont val="Cambria"/>
        <family val="0"/>
        <charset val="1"/>
      </rPr>
      <t xml:space="preserve">(</t>
    </r>
    <r>
      <rPr>
        <sz val="11"/>
        <color rgb="FF808080"/>
        <rFont val="Noto Sans SC"/>
        <family val="2"/>
        <charset val="134"/>
      </rPr>
      <t xml:space="preserve">每列格数</t>
    </r>
    <r>
      <rPr>
        <sz val="11"/>
        <color rgb="FF808080"/>
        <rFont val="Cambria"/>
        <family val="0"/>
        <charset val="1"/>
      </rPr>
      <t xml:space="preserve">)^5</t>
    </r>
    <r>
      <rPr>
        <sz val="11"/>
        <color rgb="FF808080"/>
        <rFont val="Noto Sans SC"/>
        <family val="2"/>
        <charset val="134"/>
      </rPr>
      <t xml:space="preserve">，再乘赔率并按 </t>
    </r>
    <r>
      <rPr>
        <sz val="11"/>
        <color rgb="FF808080"/>
        <rFont val="Cambria"/>
        <family val="0"/>
        <charset val="1"/>
      </rPr>
      <t xml:space="preserve">MS </t>
    </r>
    <r>
      <rPr>
        <sz val="11"/>
        <color rgb="FF808080"/>
        <rFont val="Noto Sans SC"/>
        <family val="2"/>
        <charset val="134"/>
      </rPr>
      <t xml:space="preserve">变身几率加权。</t>
    </r>
  </si>
  <si>
    <r>
      <rPr>
        <b val="true"/>
        <sz val="11"/>
        <color rgb="FF1F4E79"/>
        <rFont val="Noto Sans SC"/>
        <family val="2"/>
        <charset val="134"/>
      </rPr>
      <t xml:space="preserve">【</t>
    </r>
    <r>
      <rPr>
        <b val="true"/>
        <sz val="11"/>
        <color rgb="FF1F4E79"/>
        <rFont val="Cambria"/>
        <family val="0"/>
        <charset val="1"/>
      </rPr>
      <t xml:space="preserve">8</t>
    </r>
    <r>
      <rPr>
        <b val="true"/>
        <sz val="11"/>
        <color rgb="FF1F4E79"/>
        <rFont val="Noto Sans SC"/>
        <family val="2"/>
        <charset val="134"/>
      </rPr>
      <t xml:space="preserve">】配表自检（原文配图逐项对照）</t>
    </r>
  </si>
  <si>
    <t xml:space="preserve">检查项</t>
  </si>
  <si>
    <t xml:space="preserve">结果</t>
  </si>
  <si>
    <r>
      <rPr>
        <sz val="11"/>
        <color rgb="FF000000"/>
        <rFont val="Noto Sans SC"/>
        <family val="2"/>
        <charset val="134"/>
      </rPr>
      <t xml:space="preserve">每列图标个数合计 ＝ </t>
    </r>
    <r>
      <rPr>
        <sz val="11"/>
        <color rgb="FF000000"/>
        <rFont val="Cambria"/>
        <family val="0"/>
        <charset val="1"/>
      </rPr>
      <t xml:space="preserve">100</t>
    </r>
  </si>
  <si>
    <r>
      <rPr>
        <sz val="11"/>
        <color rgb="FF000000"/>
        <rFont val="Noto Sans SC"/>
        <family val="2"/>
        <charset val="134"/>
      </rPr>
      <t xml:space="preserve">原文配图</t>
    </r>
    <r>
      <rPr>
        <sz val="11"/>
        <color rgb="FF000000"/>
        <rFont val="Cambria"/>
        <family val="0"/>
        <charset val="1"/>
      </rPr>
      <t xml:space="preserve">37</t>
    </r>
  </si>
  <si>
    <r>
      <rPr>
        <sz val="11"/>
        <color rgb="FF000000"/>
        <rFont val="Cambria"/>
        <family val="0"/>
        <charset val="1"/>
      </rPr>
      <t xml:space="preserve">MS </t>
    </r>
    <r>
      <rPr>
        <sz val="11"/>
        <color rgb="FF000000"/>
        <rFont val="Noto Sans SC"/>
        <family val="2"/>
        <charset val="134"/>
      </rPr>
      <t xml:space="preserve">变身几率合计 ＝ </t>
    </r>
    <r>
      <rPr>
        <sz val="11"/>
        <color rgb="FF000000"/>
        <rFont val="Cambria"/>
        <family val="0"/>
        <charset val="1"/>
      </rPr>
      <t xml:space="preserve">100%</t>
    </r>
  </si>
  <si>
    <r>
      <rPr>
        <sz val="11"/>
        <color rgb="FF000000"/>
        <rFont val="Cambria"/>
        <family val="0"/>
        <charset val="1"/>
      </rPr>
      <t xml:space="preserve">J/Q/K/A </t>
    </r>
    <r>
      <rPr>
        <sz val="11"/>
        <color rgb="FF000000"/>
        <rFont val="Noto Sans SC"/>
        <family val="2"/>
        <charset val="134"/>
      </rPr>
      <t xml:space="preserve">各 </t>
    </r>
    <r>
      <rPr>
        <sz val="11"/>
        <color rgb="FF000000"/>
        <rFont val="Cambria"/>
        <family val="0"/>
        <charset val="1"/>
      </rPr>
      <t xml:space="preserve">25%</t>
    </r>
  </si>
  <si>
    <r>
      <rPr>
        <sz val="11"/>
        <color rgb="FF000000"/>
        <rFont val="Noto Sans SC"/>
        <family val="2"/>
        <charset val="134"/>
      </rPr>
      <t xml:space="preserve">出现事件数（</t>
    </r>
    <r>
      <rPr>
        <sz val="11"/>
        <color rgb="FF000000"/>
        <rFont val="Cambria"/>
        <family val="0"/>
        <charset val="1"/>
      </rPr>
      <t xml:space="preserve">MS→J </t>
    </r>
    <r>
      <rPr>
        <sz val="11"/>
        <color rgb="FF000000"/>
        <rFont val="Noto Sans SC"/>
        <family val="2"/>
        <charset val="134"/>
      </rPr>
      <t xml:space="preserve">情景下 </t>
    </r>
    <r>
      <rPr>
        <sz val="11"/>
        <color rgb="FF000000"/>
        <rFont val="Cambria"/>
        <family val="0"/>
        <charset val="1"/>
      </rPr>
      <t xml:space="preserve">J </t>
    </r>
    <r>
      <rPr>
        <sz val="11"/>
        <color rgb="FF000000"/>
        <rFont val="Noto Sans SC"/>
        <family val="2"/>
        <charset val="134"/>
      </rPr>
      <t xml:space="preserve">第</t>
    </r>
    <r>
      <rPr>
        <sz val="11"/>
        <color rgb="FF000000"/>
        <rFont val="Cambria"/>
        <family val="0"/>
        <charset val="1"/>
      </rPr>
      <t xml:space="preserve">1</t>
    </r>
    <r>
      <rPr>
        <sz val="11"/>
        <color rgb="FF000000"/>
        <rFont val="Noto Sans SC"/>
        <family val="2"/>
        <charset val="134"/>
      </rPr>
      <t xml:space="preserve">列）＝ </t>
    </r>
    <r>
      <rPr>
        <sz val="11"/>
        <color rgb="FF000000"/>
        <rFont val="Cambria"/>
        <family val="0"/>
        <charset val="1"/>
      </rPr>
      <t xml:space="preserve">20</t>
    </r>
    <r>
      <rPr>
        <sz val="11"/>
        <color rgb="FF000000"/>
        <rFont val="Noto Sans SC"/>
        <family val="2"/>
        <charset val="134"/>
      </rPr>
      <t xml:space="preserve">＋</t>
    </r>
    <r>
      <rPr>
        <sz val="11"/>
        <color rgb="FF000000"/>
        <rFont val="Cambria"/>
        <family val="0"/>
        <charset val="1"/>
      </rPr>
      <t xml:space="preserve">5</t>
    </r>
    <r>
      <rPr>
        <sz val="11"/>
        <color rgb="FF000000"/>
        <rFont val="Noto Sans SC"/>
        <family val="2"/>
        <charset val="134"/>
      </rPr>
      <t xml:space="preserve">＋</t>
    </r>
    <r>
      <rPr>
        <sz val="11"/>
        <color rgb="FF000000"/>
        <rFont val="Cambria"/>
        <family val="0"/>
        <charset val="1"/>
      </rPr>
      <t xml:space="preserve">25 </t>
    </r>
    <r>
      <rPr>
        <sz val="11"/>
        <color rgb="FF000000"/>
        <rFont val="Noto Sans SC"/>
        <family val="2"/>
        <charset val="134"/>
      </rPr>
      <t xml:space="preserve">＝ </t>
    </r>
    <r>
      <rPr>
        <sz val="11"/>
        <color rgb="FF000000"/>
        <rFont val="Cambria"/>
        <family val="0"/>
        <charset val="1"/>
      </rPr>
      <t xml:space="preserve">50</t>
    </r>
  </si>
  <si>
    <r>
      <rPr>
        <sz val="11"/>
        <color rgb="FF000000"/>
        <rFont val="Cambria"/>
        <family val="0"/>
        <charset val="1"/>
      </rPr>
      <t xml:space="preserve">MS </t>
    </r>
    <r>
      <rPr>
        <sz val="11"/>
        <color rgb="FF000000"/>
        <rFont val="Noto Sans SC"/>
        <family val="2"/>
        <charset val="134"/>
      </rPr>
      <t xml:space="preserve">变 </t>
    </r>
    <r>
      <rPr>
        <sz val="11"/>
        <color rgb="FF000000"/>
        <rFont val="Cambria"/>
        <family val="0"/>
        <charset val="1"/>
      </rPr>
      <t xml:space="preserve">J </t>
    </r>
    <r>
      <rPr>
        <sz val="11"/>
        <color rgb="FF000000"/>
        <rFont val="Noto Sans SC"/>
        <family val="2"/>
        <charset val="134"/>
      </rPr>
      <t xml:space="preserve">时全列 </t>
    </r>
    <r>
      <rPr>
        <sz val="11"/>
        <color rgb="FF000000"/>
        <rFont val="Cambria"/>
        <family val="0"/>
        <charset val="1"/>
      </rPr>
      <t xml:space="preserve">25 </t>
    </r>
    <r>
      <rPr>
        <sz val="11"/>
        <color rgb="FF000000"/>
        <rFont val="Noto Sans SC"/>
        <family val="2"/>
        <charset val="134"/>
      </rPr>
      <t xml:space="preserve">个 </t>
    </r>
    <r>
      <rPr>
        <sz val="11"/>
        <color rgb="FF000000"/>
        <rFont val="Cambria"/>
        <family val="0"/>
        <charset val="1"/>
      </rPr>
      <t xml:space="preserve">MS </t>
    </r>
    <r>
      <rPr>
        <sz val="11"/>
        <color rgb="FF000000"/>
        <rFont val="Noto Sans SC"/>
        <family val="2"/>
        <charset val="134"/>
      </rPr>
      <t xml:space="preserve">都算 </t>
    </r>
    <r>
      <rPr>
        <sz val="11"/>
        <color rgb="FF000000"/>
        <rFont val="Cambria"/>
        <family val="0"/>
        <charset val="1"/>
      </rPr>
      <t xml:space="preserve">J</t>
    </r>
  </si>
  <si>
    <r>
      <rPr>
        <sz val="11"/>
        <color rgb="FF000000"/>
        <rFont val="Noto Sans SC"/>
        <family val="2"/>
        <charset val="134"/>
      </rPr>
      <t xml:space="preserve">原文 </t>
    </r>
    <r>
      <rPr>
        <sz val="11"/>
        <color rgb="FF000000"/>
        <rFont val="Cambria"/>
        <family val="0"/>
        <charset val="1"/>
      </rPr>
      <t xml:space="preserve">RTP </t>
    </r>
    <r>
      <rPr>
        <sz val="11"/>
        <color rgb="FF000000"/>
        <rFont val="Noto Sans SC"/>
        <family val="2"/>
        <charset val="134"/>
      </rPr>
      <t xml:space="preserve">表加权合计 ＝ </t>
    </r>
    <r>
      <rPr>
        <sz val="11"/>
        <color rgb="FF000000"/>
        <rFont val="Cambria"/>
        <family val="0"/>
        <charset val="1"/>
      </rPr>
      <t xml:space="preserve">0.9505</t>
    </r>
  </si>
  <si>
    <r>
      <rPr>
        <sz val="11"/>
        <color rgb="FF000000"/>
        <rFont val="Noto Sans SC"/>
        <family val="2"/>
        <charset val="134"/>
      </rPr>
      <t xml:space="preserve">原文：</t>
    </r>
    <r>
      <rPr>
        <sz val="11"/>
        <color rgb="FF000000"/>
        <rFont val="Cambria"/>
        <family val="0"/>
        <charset val="1"/>
      </rPr>
      <t xml:space="preserve">MS→J/Q/K 0.8175</t>
    </r>
    <r>
      <rPr>
        <sz val="11"/>
        <color rgb="FF000000"/>
        <rFont val="Noto Sans SC"/>
        <family val="2"/>
        <charset val="134"/>
      </rPr>
      <t xml:space="preserve">、</t>
    </r>
    <r>
      <rPr>
        <sz val="11"/>
        <color rgb="FF000000"/>
        <rFont val="Cambria"/>
        <family val="0"/>
        <charset val="1"/>
      </rPr>
      <t xml:space="preserve">MS→A 1.3494 → 0.2044×3 </t>
    </r>
    <r>
      <rPr>
        <sz val="11"/>
        <color rgb="FF000000"/>
        <rFont val="Noto Sans SC"/>
        <family val="2"/>
        <charset val="134"/>
      </rPr>
      <t xml:space="preserve">＋ </t>
    </r>
    <r>
      <rPr>
        <sz val="11"/>
        <color rgb="FF000000"/>
        <rFont val="Cambria"/>
        <family val="0"/>
        <charset val="1"/>
      </rPr>
      <t xml:space="preserve">0.3373 </t>
    </r>
    <r>
      <rPr>
        <sz val="11"/>
        <color rgb="FF000000"/>
        <rFont val="Noto Sans SC"/>
        <family val="2"/>
        <charset val="134"/>
      </rPr>
      <t xml:space="preserve">＝ </t>
    </r>
    <r>
      <rPr>
        <sz val="11"/>
        <color rgb="FF000000"/>
        <rFont val="Cambria"/>
        <family val="0"/>
        <charset val="1"/>
      </rPr>
      <t xml:space="preserve">0.9505</t>
    </r>
  </si>
</sst>
</file>

<file path=xl/styles.xml><?xml version="1.0" encoding="utf-8"?>
<styleSheet xmlns="http://schemas.openxmlformats.org/spreadsheetml/2006/main">
  <numFmts count="5">
    <numFmt numFmtId="164" formatCode="General"/>
    <numFmt numFmtId="165" formatCode="#,##0"/>
    <numFmt numFmtId="166" formatCode="0.00%"/>
    <numFmt numFmtId="167" formatCode="0.0000%"/>
    <numFmt numFmtId="168" formatCode="0.0000000000%"/>
  </numFmts>
  <fonts count="17">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FF"/>
      <name val="Cambria"/>
      <family val="0"/>
      <charset val="1"/>
    </font>
    <font>
      <sz val="11"/>
      <color rgb="FF0000FF"/>
      <name val="Noto Sans SC"/>
      <family val="2"/>
      <charset val="134"/>
    </font>
    <font>
      <sz val="11"/>
      <color rgb="FF000000"/>
      <name val="Noto Sans SC"/>
      <family val="2"/>
      <charset val="134"/>
    </font>
    <font>
      <sz val="11"/>
      <color rgb="FF000000"/>
      <name val="Cambria"/>
      <family val="0"/>
      <charset val="1"/>
    </font>
  </fonts>
  <fills count="5">
    <fill>
      <patternFill patternType="none"/>
    </fill>
    <fill>
      <patternFill patternType="gray125"/>
    </fill>
    <fill>
      <patternFill patternType="solid">
        <fgColor rgb="FFB4C7E7"/>
        <bgColor rgb="FFCCCCFF"/>
      </patternFill>
    </fill>
    <fill>
      <patternFill patternType="solid">
        <fgColor rgb="FFDEEBF7"/>
        <bgColor rgb="FFCC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12" fillId="3" borderId="0" xfId="0" applyFont="true" applyBorder="fals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true" applyAlignment="true" applyProtection="true">
      <alignment horizontal="general" vertical="bottom" textRotation="0" wrapText="false" indent="0" shrinkToFit="false"/>
      <protection locked="true" hidden="false"/>
    </xf>
    <xf numFmtId="165" fontId="13" fillId="0" borderId="0" xfId="0" applyFont="true" applyBorder="false" applyAlignment="true" applyProtection="true">
      <alignment horizontal="general" vertical="bottom" textRotation="0" wrapText="false" indent="0" shrinkToFit="false"/>
      <protection locked="true" hidden="false"/>
    </xf>
    <xf numFmtId="165" fontId="16" fillId="0" borderId="0" xfId="0" applyFont="true" applyBorder="false" applyAlignment="true" applyProtection="true">
      <alignment horizontal="general" vertical="bottom" textRotation="0" wrapText="false" indent="0" shrinkToFit="false"/>
      <protection locked="true" hidden="false"/>
    </xf>
    <xf numFmtId="166" fontId="13" fillId="0" borderId="0" xfId="0" applyFont="true" applyBorder="false" applyAlignment="true" applyProtection="true">
      <alignment horizontal="general" vertical="bottom" textRotation="0" wrapText="false" indent="0" shrinkToFit="false"/>
      <protection locked="true" hidden="false"/>
    </xf>
    <xf numFmtId="166" fontId="16"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7" fontId="16" fillId="0" borderId="0" xfId="0" applyFont="true" applyBorder="false" applyAlignment="true" applyProtection="true">
      <alignment horizontal="general" vertical="bottom" textRotation="0" wrapText="false" indent="0" shrinkToFit="false"/>
      <protection locked="true" hidden="false"/>
    </xf>
    <xf numFmtId="167" fontId="10" fillId="4"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16" fillId="0" borderId="0"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8"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11" fillId="0" borderId="0" xfId="0" applyFont="true" applyBorder="false" applyAlignment="true" applyProtection="true">
      <alignment horizontal="general" vertical="top" textRotation="0" indent="0" shrinkToFit="false"/>
      <protection locked="true" hidden="false"/>
    </xf>
    <xf numFmtId="0" fontId="9" fillId="0" borderId="0" xfId="0" applyFont="true" applyBorder="false" applyAlignment="true" applyProtection="true">
      <alignment horizontal="general" vertical="top" textRotation="0" wrapText="true" indent="0" shrinkToFit="false"/>
      <protection locked="true" hidden="false"/>
    </xf>
    <xf numFmtId="0" fontId="9" fillId="0" borderId="0" xfId="0" applyFont="true" applyBorder="false" applyAlignment="true" applyProtection="true">
      <alignment horizontal="general" vertical="top" textRotation="0" indent="0" shrinkToFit="false"/>
      <protection locked="true" hidden="false"/>
    </xf>
    <xf numFmtId="0" fontId="12" fillId="3" borderId="0" xfId="0" applyFont="true" applyBorder="false" applyAlignment="true" applyProtection="true">
      <alignment horizontal="center" vertical="center" textRotation="0" wrapText="false" indent="0" shrinkToFit="false"/>
      <protection locked="true" hidden="false"/>
    </xf>
    <xf numFmtId="168" applyNumberFormat="1" fontId="13" fillId="0" borderId="0" xfId="0" applyFont="true" applyBorder="false" applyAlignment="true" applyProtection="true">
      <alignment horizontal="general" vertical="bottom" textRotation="0" wrapText="false" indent="0" shrinkToFit="false"/>
      <protection locked="true" hidden="false"/>
    </xf>
    <xf numFmtId="168" applyNumberFormat="1" fontId="16" fillId="0" borderId="0" xfId="0" applyFont="true" applyBorder="false" applyAlignment="true" applyProtection="true">
      <alignment horizontal="general" vertical="bottom" textRotation="0" wrapText="false" indent="0" shrinkToFit="false"/>
      <protection locked="true" hidden="false"/>
    </xf>
    <xf numFmtId="168" applyNumberFormat="1" fontId="16" fillId="0" borderId="0" xfId="0" applyFont="true" applyBorder="false" applyAlignment="true" applyProtection="true">
      <alignment horizontal="general" vertical="bottom" textRotation="0" wrapText="false" indent="0" shrinkToFit="false"/>
      <protection locked="true" hidden="false"/>
    </xf>
    <xf numFmtId="168" applyNumberFormat="1" fontId="10" fillId="4"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6" customFormat="false" ht="15" hidden="false" customHeight="false" outlineLevel="0" collapsed="false">
      <c r="A6" s="3" t="s">
        <v>3</v>
      </c>
    </row>
    <row r="7" customFormat="false" ht="43" hidden="false" customHeight="false" outlineLevel="0" collapsed="false">
      <c r="A7" s="28" t="s">
        <v>4</v>
      </c>
    </row>
    <row r="9" customFormat="false" ht="15" hidden="false" customHeight="false" outlineLevel="0" collapsed="false">
      <c r="A9" s="3" t="s">
        <v>5</v>
      </c>
    </row>
    <row r="10" customFormat="false" ht="42" hidden="false" customHeight="false" outlineLevel="0" collapsed="false">
      <c r="A10" s="28" t="s">
        <v>6</v>
      </c>
    </row>
    <row r="11" customFormat="false" ht="29" hidden="false" customHeight="false" outlineLevel="0" collapsed="false">
      <c r="A11" s="28" t="s">
        <v>7</v>
      </c>
    </row>
    <row r="13" customFormat="false" ht="15.5" hidden="false" customHeight="false" outlineLevel="0" collapsed="false">
      <c r="A13" s="29" t="s">
        <v>8</v>
      </c>
    </row>
    <row r="14" customFormat="false" ht="29" hidden="false" customHeight="false" outlineLevel="0" collapsed="false">
      <c r="A14" s="28" t="s">
        <v>9</v>
      </c>
    </row>
    <row r="15" customFormat="false" ht="42" hidden="false" customHeight="false" outlineLevel="0" collapsed="false">
      <c r="A15" s="30" t="s">
        <v>10</v>
      </c>
    </row>
    <row r="16" customFormat="false" ht="43" hidden="false" customHeight="false" outlineLevel="0" collapsed="false">
      <c r="A16" s="30" t="s">
        <v>11</v>
      </c>
    </row>
    <row r="17" customFormat="false" ht="30" hidden="false" customHeight="false" outlineLevel="0" collapsed="false">
      <c r="A17" s="30" t="s">
        <v>12</v>
      </c>
    </row>
    <row r="19" customFormat="false" ht="15" hidden="false" customHeight="false" outlineLevel="0" collapsed="false">
      <c r="A19" s="3" t="s">
        <v>13</v>
      </c>
    </row>
    <row r="20" customFormat="false" ht="16" hidden="false" customHeight="false" outlineLevel="0" collapsed="false">
      <c r="A20" s="28" t="s">
        <v>14</v>
      </c>
    </row>
    <row r="21" customFormat="false" ht="42" hidden="false" customHeight="false" outlineLevel="0" collapsed="false">
      <c r="A21" s="28" t="s">
        <v>15</v>
      </c>
    </row>
    <row r="22" customFormat="false" ht="15" hidden="false" customHeight="1" outlineLevel="0" collapsed="false">
      <c r="A22" s="31" t="s">
        <v>16</v>
      </c>
      <c r="B22" s="6"/>
      <c r="C22" s="6"/>
    </row>
    <row r="24" customFormat="false" ht="15.5" hidden="false" customHeight="false" outlineLevel="0" collapsed="false">
      <c r="A24" s="29" t="s">
        <v>17</v>
      </c>
    </row>
    <row r="25" customFormat="false" ht="29" hidden="false" customHeight="false" outlineLevel="0" collapsed="false">
      <c r="A25" s="30" t="s">
        <v>18</v>
      </c>
    </row>
    <row r="26" customFormat="false" ht="16" hidden="false" customHeight="false" outlineLevel="0" collapsed="false">
      <c r="A26" s="4" t="s">
        <v>19</v>
      </c>
    </row>
    <row r="27" customFormat="false" ht="29" hidden="false" customHeight="false" outlineLevel="0" collapsed="false">
      <c r="A27" s="28" t="s">
        <v>20</v>
      </c>
    </row>
    <row r="28" customFormat="false" ht="42" hidden="false" customHeight="false" outlineLevel="0" collapsed="false">
      <c r="A28" s="28" t="s">
        <v>21</v>
      </c>
    </row>
    <row r="29" customFormat="false" ht="30" hidden="false" customHeight="false" outlineLevel="0" collapsed="false">
      <c r="A29" s="28" t="s">
        <v>22</v>
      </c>
    </row>
    <row r="31" customFormat="false" ht="15.5" hidden="false" customHeight="false" outlineLevel="0" collapsed="false">
      <c r="A31" s="3" t="s">
        <v>23</v>
      </c>
    </row>
    <row r="32" customFormat="false" ht="30" hidden="false" customHeight="false" outlineLevel="0" collapsed="false">
      <c r="A32" s="30" t="s">
        <v>24</v>
      </c>
    </row>
    <row r="33" customFormat="false" ht="30" hidden="false" customHeight="false" outlineLevel="0" collapsed="false">
      <c r="A33" s="30" t="s">
        <v>25</v>
      </c>
    </row>
    <row r="34" customFormat="false" ht="15" hidden="false" customHeight="1" outlineLevel="0" collapsed="false">
      <c r="A34" s="32" t="s">
        <v>26</v>
      </c>
      <c r="B34" s="7"/>
      <c r="C34" s="7"/>
    </row>
    <row r="35" customFormat="false" ht="41" hidden="false" customHeight="false" outlineLevel="0" collapsed="false">
      <c r="A35" s="30" t="s">
        <v>27</v>
      </c>
    </row>
    <row r="38" customFormat="false" ht="15" hidden="false" customHeight="false" outlineLevel="0" collapsed="false">
      <c r="A38" s="8" t="s">
        <v>28</v>
      </c>
    </row>
    <row r="39" customFormat="false" ht="15" hidden="false" customHeight="false" outlineLevel="0" collapsed="false">
      <c r="A39" s="5"/>
    </row>
    <row r="40" customFormat="false" ht="29" hidden="false" customHeight="false" outlineLevel="0" collapsed="false">
      <c r="A40" s="30" t="s">
        <v>29</v>
      </c>
    </row>
    <row r="41" customFormat="false" ht="16" hidden="false" customHeight="false" outlineLevel="0" collapsed="false">
      <c r="A41" s="30" t="s">
        <v>30</v>
      </c>
    </row>
    <row r="42" customFormat="false" ht="15" hidden="false" customHeight="false" outlineLevel="0" collapsed="false">
      <c r="A42" s="5" t="s">
        <v>31</v>
      </c>
    </row>
    <row r="43" customFormat="false" ht="15" hidden="false" customHeight="false" outlineLevel="0" collapsed="false">
      <c r="A43" s="5"/>
    </row>
    <row r="44" customFormat="false" ht="16" hidden="false" customHeight="false" outlineLevel="0" collapsed="false">
      <c r="A44" s="5" t="s">
        <v>32</v>
      </c>
    </row>
    <row r="45" customFormat="false" ht="30" hidden="false" customHeight="false" outlineLevel="0" collapsed="false">
      <c r="A45" s="30" t="s">
        <v>33</v>
      </c>
    </row>
    <row r="46" customFormat="false" ht="15" hidden="false" customHeight="false" outlineLevel="0" collapsed="false">
      <c r="A46" s="5"/>
    </row>
    <row r="47" customFormat="false" ht="16" hidden="false" customHeight="false" outlineLevel="0" collapsed="false">
      <c r="A47" s="5" t="s">
        <v>34</v>
      </c>
    </row>
    <row r="48" customFormat="false" ht="30" hidden="false" customHeight="false" outlineLevel="0" collapsed="false">
      <c r="A48" s="30" t="s">
        <v>35</v>
      </c>
    </row>
    <row r="49" customFormat="false" ht="30" hidden="false" customHeight="false" outlineLevel="0" collapsed="false">
      <c r="A49" s="28" t="s">
        <v>36</v>
      </c>
    </row>
    <row r="50" customFormat="false" ht="16" hidden="false" customHeight="false" outlineLevel="0" collapsed="false">
      <c r="A50" s="5" t="s">
        <v>37</v>
      </c>
    </row>
    <row r="51" customFormat="false" ht="15" hidden="false" customHeight="false" outlineLevel="0" collapsed="false">
      <c r="A51" s="5"/>
    </row>
    <row r="52" customFormat="false" ht="16" hidden="false" customHeight="false" outlineLevel="0" collapsed="false">
      <c r="A52" s="5" t="s">
        <v>38</v>
      </c>
    </row>
    <row r="53" customFormat="false" ht="15" hidden="false" customHeight="false" outlineLevel="0" collapsed="false">
      <c r="A53" s="5"/>
    </row>
    <row r="54" customFormat="false" ht="15" hidden="false" customHeight="1" outlineLevel="0" collapsed="false">
      <c r="A54" s="32" t="s">
        <v>39</v>
      </c>
      <c r="B54" s="7"/>
      <c r="C54" s="7"/>
      <c r="D54" s="7"/>
      <c r="E54" s="7"/>
    </row>
    <row r="55" customFormat="false" ht="29" hidden="false" customHeight="false" outlineLevel="0" collapsed="false">
      <c r="A55" s="30" t="s">
        <v>40</v>
      </c>
    </row>
    <row r="56" customFormat="false" ht="28" hidden="false" customHeight="false" outlineLevel="0" collapsed="false">
      <c r="A56" s="30" t="s">
        <v>41</v>
      </c>
    </row>
    <row r="57" customFormat="false" ht="41" hidden="false" customHeight="false" outlineLevel="0" collapsed="false">
      <c r="A57" s="30" t="s">
        <v>42</v>
      </c>
    </row>
    <row r="58" customFormat="false" ht="41" hidden="false" customHeight="false" outlineLevel="0" collapsed="false">
      <c r="A58" s="30" t="s">
        <v>43</v>
      </c>
    </row>
    <row r="59" customFormat="false" ht="29" hidden="false" customHeight="false" outlineLevel="0" collapsed="false">
      <c r="A59" s="30" t="s">
        <v>44</v>
      </c>
    </row>
    <row r="60" customFormat="false" ht="30" hidden="false" customHeight="false" outlineLevel="0" collapsed="false">
      <c r="A60" s="30" t="s">
        <v>45</v>
      </c>
    </row>
    <row r="61" customFormat="false" ht="15" hidden="false" customHeight="false" outlineLevel="0" collapsed="false">
      <c r="A61" s="5"/>
    </row>
    <row r="62" customFormat="false" ht="16" hidden="false" customHeight="false" outlineLevel="0" collapsed="false">
      <c r="A62" s="5" t="s">
        <v>46</v>
      </c>
    </row>
    <row r="63" customFormat="false" ht="15" hidden="false" customHeight="false" outlineLevel="0" collapsed="false">
      <c r="A63" s="5"/>
    </row>
    <row r="64" customFormat="false" ht="15" hidden="false" customHeight="false" outlineLevel="0" collapsed="false">
      <c r="A64" s="5" t="s">
        <v>47</v>
      </c>
    </row>
    <row r="65" customFormat="false" ht="15" hidden="false" customHeight="false" outlineLevel="0" collapsed="false">
      <c r="A65" s="5" t="s">
        <v>48</v>
      </c>
    </row>
    <row r="66" customFormat="false" ht="16" hidden="false" customHeight="false" outlineLevel="0" collapsed="false">
      <c r="A66" s="5" t="s">
        <v>49</v>
      </c>
    </row>
    <row r="67" customFormat="false" ht="15" hidden="false" customHeight="false" outlineLevel="0" collapsed="false">
      <c r="A67" s="5" t="s">
        <v>50</v>
      </c>
    </row>
    <row r="68" customFormat="false" ht="16" hidden="false" customHeight="false" outlineLevel="0" collapsed="false">
      <c r="A68" s="34">
        <v>4</v>
      </c>
    </row>
    <row r="69" customFormat="false" ht="30" hidden="false" customHeight="false" outlineLevel="0" collapsed="false">
      <c r="A69" s="35">
        <v>2</v>
      </c>
    </row>
    <row r="70" customFormat="false" ht="16" hidden="false" customHeight="false" outlineLevel="0" collapsed="false">
      <c r="A70" s="5" t="s">
        <v>53</v>
      </c>
    </row>
    <row r="71" customFormat="false" ht="41" hidden="false" customHeight="false" outlineLevel="0" collapsed="false">
      <c r="A71" s="30" t="s">
        <v>54</v>
      </c>
    </row>
    <row r="72" customFormat="false" ht="28" hidden="false" customHeight="false" outlineLevel="0" collapsed="false">
      <c r="A72" s="30" t="s">
        <v>55</v>
      </c>
    </row>
    <row r="73" customFormat="false" ht="15" hidden="false" customHeight="false" outlineLevel="0" collapsed="false">
      <c r="A73" s="5" t="s">
        <v>56</v>
      </c>
    </row>
    <row r="74" customFormat="false" ht="41" hidden="false" customHeight="false" outlineLevel="0" collapsed="false">
      <c r="A74" s="30" t="s">
        <v>57</v>
      </c>
    </row>
    <row r="75" customFormat="false" ht="43" hidden="false" customHeight="false" outlineLevel="0" collapsed="false">
      <c r="A75" s="30" t="s">
        <v>58</v>
      </c>
    </row>
    <row r="76" customFormat="false" ht="15" hidden="false" customHeight="false" outlineLevel="0" collapsed="false">
      <c r="A76" s="5" t="s">
        <v>59</v>
      </c>
    </row>
    <row r="77" customFormat="false" ht="15" hidden="false" customHeight="1" outlineLevel="0" collapsed="false">
      <c r="A77" s="32" t="s">
        <v>60</v>
      </c>
      <c r="B77" s="7"/>
      <c r="C77" s="7"/>
      <c r="D77" s="7"/>
      <c r="E77" s="7"/>
      <c r="F77" s="7"/>
      <c r="G77" s="7"/>
    </row>
    <row r="78" customFormat="false" ht="15" hidden="false" customHeight="false" outlineLevel="0" collapsed="false">
      <c r="A78" s="5"/>
    </row>
    <row r="79" customFormat="false" ht="16" hidden="false" customHeight="false" outlineLevel="0" collapsed="false">
      <c r="A79" s="5" t="s">
        <v>61</v>
      </c>
    </row>
    <row r="80" customFormat="false" ht="15" hidden="false" customHeight="false" outlineLevel="0" collapsed="false">
      <c r="A80" s="5"/>
    </row>
    <row r="81" customFormat="false" ht="15" hidden="false" customHeight="false" outlineLevel="0" collapsed="false">
      <c r="A81" s="5" t="s">
        <v>62</v>
      </c>
    </row>
    <row r="82" customFormat="false" ht="15" hidden="false" customHeight="false" outlineLevel="0" collapsed="false">
      <c r="A82" s="5"/>
    </row>
    <row r="83" customFormat="false" ht="16" hidden="false" customHeight="false" outlineLevel="0" collapsed="false">
      <c r="A83" s="5" t="s">
        <v>63</v>
      </c>
    </row>
    <row r="84" customFormat="false" ht="15" hidden="false" customHeight="false" outlineLevel="0" collapsed="false">
      <c r="A84" s="5"/>
    </row>
    <row r="85" customFormat="false" ht="15" hidden="false" customHeight="false" outlineLevel="0" collapsed="false">
      <c r="A85" s="5" t="s">
        <v>64</v>
      </c>
    </row>
    <row r="86" customFormat="false" ht="15" hidden="false" customHeight="false" outlineLevel="0" collapsed="false">
      <c r="A86" s="30" t="s">
        <v>65</v>
      </c>
    </row>
    <row r="87" customFormat="false" ht="29" hidden="false" customHeight="false" outlineLevel="0" collapsed="false">
      <c r="A87" s="30" t="s">
        <v>66</v>
      </c>
    </row>
    <row r="88" customFormat="false" ht="29" hidden="false" customHeight="false" outlineLevel="0" collapsed="false">
      <c r="A88" s="30" t="s">
        <v>67</v>
      </c>
    </row>
    <row r="89" customFormat="false" ht="15" hidden="false" customHeight="false" outlineLevel="0" collapsed="false">
      <c r="A89" s="5"/>
    </row>
    <row r="90" customFormat="false" ht="16" hidden="false" customHeight="false" outlineLevel="0" collapsed="false">
      <c r="A90" s="5" t="s">
        <v>63</v>
      </c>
    </row>
    <row r="91" customFormat="false" ht="15" hidden="false" customHeight="false" outlineLevel="0" collapsed="false">
      <c r="A91" s="5"/>
    </row>
    <row r="92" customFormat="false" ht="15" hidden="false" customHeight="false" outlineLevel="0" collapsed="false">
      <c r="A92" s="5" t="s">
        <v>68</v>
      </c>
    </row>
    <row r="93" customFormat="false" ht="29" hidden="false" customHeight="false" outlineLevel="0" collapsed="false">
      <c r="A93" s="30" t="s">
        <v>69</v>
      </c>
    </row>
    <row r="94" customFormat="false" ht="15" hidden="false" customHeight="false" outlineLevel="0" collapsed="false">
      <c r="A94" s="5"/>
    </row>
    <row r="95" customFormat="false" ht="16" hidden="false" customHeight="false" outlineLevel="0" collapsed="false">
      <c r="A95" s="5" t="s">
        <v>70</v>
      </c>
    </row>
    <row r="96" customFormat="false" ht="15" hidden="false" customHeight="false" outlineLevel="0" collapsed="false">
      <c r="A96" s="5"/>
    </row>
    <row r="97" customFormat="false" ht="16" hidden="false" customHeight="false" outlineLevel="0" collapsed="false">
      <c r="A97" s="5" t="s">
        <v>71</v>
      </c>
    </row>
    <row r="98" customFormat="false" ht="44" hidden="false" customHeight="false" outlineLevel="0" collapsed="false">
      <c r="A98" s="30" t="s">
        <v>72</v>
      </c>
    </row>
    <row r="99" customFormat="false" ht="15" hidden="false" customHeight="false" outlineLevel="0" collapsed="false">
      <c r="A99" s="5"/>
    </row>
    <row r="100" customFormat="false" ht="16" hidden="false" customHeight="false" outlineLevel="0" collapsed="false">
      <c r="A100" s="5" t="s">
        <v>73</v>
      </c>
    </row>
    <row r="101" customFormat="false" ht="15" hidden="false" customHeight="false" outlineLevel="0" collapsed="false">
      <c r="A101" s="5"/>
    </row>
    <row r="102" customFormat="false" ht="42" hidden="false" customHeight="false" outlineLevel="0" collapsed="false">
      <c r="A102" s="30" t="s">
        <v>74</v>
      </c>
    </row>
    <row r="103" customFormat="false" ht="27.5" hidden="false" customHeight="false" outlineLevel="0" collapsed="false">
      <c r="A103" s="30" t="s">
        <v>75</v>
      </c>
    </row>
    <row r="104" customFormat="false" ht="29" hidden="false" customHeight="false" outlineLevel="0" collapsed="false">
      <c r="A104" s="30" t="s">
        <v>76</v>
      </c>
    </row>
    <row r="105" customFormat="false" ht="42" hidden="false" customHeight="false" outlineLevel="0" collapsed="false">
      <c r="A105" s="30" t="s">
        <v>77</v>
      </c>
    </row>
    <row r="106" customFormat="false" ht="15" hidden="false" customHeight="1" outlineLevel="0" collapsed="false">
      <c r="A106" s="32" t="s">
        <v>78</v>
      </c>
      <c r="B106" s="7"/>
      <c r="C106" s="7"/>
    </row>
    <row r="107" customFormat="false" ht="30" hidden="false" customHeight="false" outlineLevel="0" collapsed="false">
      <c r="A107" s="30" t="s">
        <v>79</v>
      </c>
    </row>
    <row r="108" customFormat="false" ht="16" hidden="false" customHeight="false" outlineLevel="0" collapsed="false">
      <c r="A108" s="30" t="s">
        <v>80</v>
      </c>
    </row>
    <row r="109" customFormat="false" ht="15" hidden="false" customHeight="1" outlineLevel="0" collapsed="false">
      <c r="A109" s="32" t="s">
        <v>81</v>
      </c>
      <c r="B109" s="7"/>
      <c r="C109" s="7"/>
    </row>
    <row r="110" customFormat="false" ht="15" hidden="false" customHeight="false" outlineLevel="0" collapsed="false">
      <c r="A110" s="5"/>
    </row>
    <row r="111" customFormat="false" ht="15.5" hidden="false" customHeight="false" outlineLevel="0" collapsed="false">
      <c r="A111" s="33" t="s">
        <v>82</v>
      </c>
    </row>
    <row r="112" customFormat="false" ht="16" hidden="false" customHeight="false" outlineLevel="0" collapsed="false">
      <c r="A112" s="5" t="s">
        <v>38</v>
      </c>
    </row>
    <row r="113" customFormat="false" ht="16" hidden="false" customHeight="false" outlineLevel="0" collapsed="false">
      <c r="A113" s="5" t="s">
        <v>46</v>
      </c>
    </row>
    <row r="114" customFormat="false" ht="16" hidden="false" customHeight="false" outlineLevel="0" collapsed="false">
      <c r="A114" s="5" t="s">
        <v>61</v>
      </c>
    </row>
    <row r="115" customFormat="false" ht="16" hidden="false" customHeight="false" outlineLevel="0" collapsed="false">
      <c r="A115" s="5" t="s">
        <v>63</v>
      </c>
    </row>
    <row r="116" customFormat="false" ht="16" hidden="false" customHeight="false" outlineLevel="0" collapsed="false">
      <c r="A116" s="5" t="s">
        <v>63</v>
      </c>
    </row>
    <row r="117" customFormat="false" ht="16" hidden="false" customHeight="false" outlineLevel="0" collapsed="false">
      <c r="A117" s="5" t="s">
        <v>70</v>
      </c>
    </row>
    <row r="118" customFormat="false" ht="16" hidden="false" customHeight="false" outlineLevel="0" collapsed="false">
      <c r="A118" s="5" t="s">
        <v>73</v>
      </c>
    </row>
    <row r="119" customFormat="false" ht="15" hidden="false" customHeight="false" outlineLevel="0" collapsed="false">
      <c r="A119" s="5"/>
    </row>
    <row r="120" customFormat="false" ht="15.5" hidden="false" customHeight="false" outlineLevel="0" collapsed="false">
      <c r="A120" s="8" t="s">
        <v>83</v>
      </c>
    </row>
    <row r="121" customFormat="false" ht="29" hidden="false" customHeight="false" outlineLevel="0" collapsed="false">
      <c r="A121" s="28" t="s">
        <v>84</v>
      </c>
    </row>
    <row r="122" customFormat="false" ht="29" hidden="false" customHeight="false" outlineLevel="0" collapsed="false">
      <c r="A122" s="28" t="s">
        <v>85</v>
      </c>
    </row>
  </sheetData>
  <mergeCells count="6">
    <mergeCell ref="A22:J22"/>
    <mergeCell ref="A34:I34"/>
    <mergeCell ref="A54:N54"/>
    <mergeCell ref="A77:Q77"/>
    <mergeCell ref="A106:J106"/>
    <mergeCell ref="A109:J10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L142"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9" width="27.31"/>
    <col collapsed="false" customWidth="true" hidden="false" outlineLevel="0" max="7" min="2" style="9" width="14.56"/>
    <col collapsed="false" customWidth="true" hidden="false" outlineLevel="0" max="8" min="8" style="9" width="49.13"/>
  </cols>
  <sheetData>
    <row r="1" customFormat="false" ht="19" hidden="false" customHeight="false" outlineLevel="0" collapsed="false">
      <c r="A1" s="10" t="s">
        <v>86</v>
      </c>
      <c r="B1" s="10"/>
      <c r="C1" s="10"/>
      <c r="D1" s="10"/>
      <c r="E1" s="10"/>
      <c r="F1" s="10"/>
      <c r="G1" s="10"/>
    </row>
    <row r="3" customFormat="false" ht="15.5" hidden="false" customHeight="false" outlineLevel="0" collapsed="false">
      <c r="A3" s="11" t="s">
        <v>87</v>
      </c>
      <c r="B3" s="11"/>
      <c r="C3" s="11"/>
      <c r="D3" s="11"/>
      <c r="E3" s="11"/>
      <c r="F3" s="11"/>
      <c r="G3" s="12"/>
      <c r="H3" s="12"/>
    </row>
    <row r="4" customFormat="false" ht="15.5" hidden="false" customHeight="false" outlineLevel="0" collapsed="false">
      <c r="A4" s="13" t="s">
        <v>88</v>
      </c>
      <c r="B4" s="13" t="s">
        <v>89</v>
      </c>
      <c r="C4" s="36">
        <v>3</v>
      </c>
      <c r="D4" s="36">
        <v>4</v>
      </c>
      <c r="E4" s="36">
        <v>5</v>
      </c>
      <c r="F4" s="13" t="s">
        <v>93</v>
      </c>
    </row>
    <row r="5" customFormat="false" ht="15" hidden="false" customHeight="false" outlineLevel="0" collapsed="false">
      <c r="A5" s="15" t="s">
        <v>94</v>
      </c>
      <c r="B5" s="16" t="s">
        <v>95</v>
      </c>
      <c r="C5" s="15" t="n">
        <v>5</v>
      </c>
      <c r="D5" s="15" t="n">
        <v>25</v>
      </c>
      <c r="E5" s="15" t="n">
        <v>100</v>
      </c>
      <c r="F5" s="17"/>
    </row>
    <row r="6" customFormat="false" ht="15" hidden="false" customHeight="false" outlineLevel="0" collapsed="false">
      <c r="A6" s="15" t="s">
        <v>96</v>
      </c>
      <c r="B6" s="16" t="s">
        <v>95</v>
      </c>
      <c r="C6" s="15" t="n">
        <v>3</v>
      </c>
      <c r="D6" s="15" t="n">
        <v>13</v>
      </c>
      <c r="E6" s="15" t="n">
        <v>50</v>
      </c>
      <c r="F6" s="17"/>
    </row>
    <row r="7" customFormat="false" ht="15" hidden="false" customHeight="false" outlineLevel="0" collapsed="false">
      <c r="A7" s="15" t="s">
        <v>97</v>
      </c>
      <c r="B7" s="16" t="s">
        <v>95</v>
      </c>
      <c r="C7" s="15" t="n">
        <v>3</v>
      </c>
      <c r="D7" s="15" t="n">
        <v>10</v>
      </c>
      <c r="E7" s="15" t="n">
        <v>38</v>
      </c>
      <c r="F7" s="17"/>
    </row>
    <row r="8" customFormat="false" ht="15" hidden="false" customHeight="false" outlineLevel="0" collapsed="false">
      <c r="A8" s="15" t="s">
        <v>98</v>
      </c>
      <c r="B8" s="16" t="s">
        <v>95</v>
      </c>
      <c r="C8" s="15" t="n">
        <v>3</v>
      </c>
      <c r="D8" s="15" t="n">
        <v>8</v>
      </c>
      <c r="E8" s="15" t="n">
        <v>25</v>
      </c>
      <c r="F8" s="17"/>
    </row>
    <row r="9" customFormat="false" ht="15" hidden="false" customHeight="false" outlineLevel="0" collapsed="false">
      <c r="A9" s="15" t="s">
        <v>99</v>
      </c>
      <c r="B9" s="15" t="s">
        <v>100</v>
      </c>
      <c r="C9" s="17" t="s">
        <v>101</v>
      </c>
      <c r="D9" s="17" t="s">
        <v>101</v>
      </c>
      <c r="E9" s="17" t="s">
        <v>101</v>
      </c>
      <c r="F9" s="18" t="s">
        <v>102</v>
      </c>
      <c r="G9" s="18"/>
    </row>
    <row r="10" customFormat="false" ht="15.5" hidden="false" customHeight="false" outlineLevel="0" collapsed="false">
      <c r="A10" s="15" t="s">
        <v>103</v>
      </c>
      <c r="B10" s="15" t="s">
        <v>104</v>
      </c>
      <c r="C10" s="17" t="s">
        <v>101</v>
      </c>
      <c r="D10" s="17" t="s">
        <v>101</v>
      </c>
      <c r="E10" s="17" t="s">
        <v>101</v>
      </c>
      <c r="F10" s="18" t="s">
        <v>105</v>
      </c>
      <c r="G10" s="18"/>
      <c r="H10" s="18"/>
    </row>
    <row r="12" customFormat="false" ht="15.5" hidden="false" customHeight="false" outlineLevel="0" collapsed="false">
      <c r="A12" s="11" t="s">
        <v>106</v>
      </c>
      <c r="B12" s="11"/>
      <c r="C12" s="11"/>
      <c r="D12" s="11"/>
      <c r="E12" s="11"/>
      <c r="F12" s="11"/>
      <c r="G12" s="12"/>
      <c r="H12" s="12"/>
    </row>
    <row r="13" customFormat="false" ht="15.5" hidden="false" customHeight="false" outlineLevel="0" collapsed="false">
      <c r="A13" s="13" t="s">
        <v>107</v>
      </c>
      <c r="B13" s="13" t="s">
        <v>108</v>
      </c>
      <c r="C13" s="13" t="s">
        <v>109</v>
      </c>
      <c r="D13" s="13" t="s">
        <v>110</v>
      </c>
      <c r="E13" s="13" t="s">
        <v>111</v>
      </c>
      <c r="F13" s="13" t="s">
        <v>112</v>
      </c>
      <c r="G13" s="13" t="s">
        <v>93</v>
      </c>
    </row>
    <row r="14" customFormat="false" ht="15" hidden="false" customHeight="false" outlineLevel="0" collapsed="false">
      <c r="A14" s="15" t="s">
        <v>94</v>
      </c>
      <c r="B14" s="19" t="n">
        <v>10</v>
      </c>
      <c r="C14" s="19" t="n">
        <v>10</v>
      </c>
      <c r="D14" s="19" t="n">
        <v>10</v>
      </c>
      <c r="E14" s="19" t="n">
        <v>10</v>
      </c>
      <c r="F14" s="19" t="n">
        <v>10</v>
      </c>
      <c r="G14" s="17"/>
    </row>
    <row r="15" customFormat="false" ht="15" hidden="false" customHeight="false" outlineLevel="0" collapsed="false">
      <c r="A15" s="15" t="s">
        <v>96</v>
      </c>
      <c r="B15" s="19" t="n">
        <v>20</v>
      </c>
      <c r="C15" s="19" t="n">
        <v>20</v>
      </c>
      <c r="D15" s="19" t="n">
        <v>20</v>
      </c>
      <c r="E15" s="19" t="n">
        <v>20</v>
      </c>
      <c r="F15" s="19" t="n">
        <v>20</v>
      </c>
      <c r="G15" s="17"/>
    </row>
    <row r="16" customFormat="false" ht="15" hidden="false" customHeight="false" outlineLevel="0" collapsed="false">
      <c r="A16" s="15" t="s">
        <v>97</v>
      </c>
      <c r="B16" s="19" t="n">
        <v>20</v>
      </c>
      <c r="C16" s="19" t="n">
        <v>20</v>
      </c>
      <c r="D16" s="19" t="n">
        <v>20</v>
      </c>
      <c r="E16" s="19" t="n">
        <v>20</v>
      </c>
      <c r="F16" s="19" t="n">
        <v>20</v>
      </c>
      <c r="G16" s="17"/>
    </row>
    <row r="17" customFormat="false" ht="15" hidden="false" customHeight="false" outlineLevel="0" collapsed="false">
      <c r="A17" s="15" t="s">
        <v>98</v>
      </c>
      <c r="B17" s="19" t="n">
        <v>20</v>
      </c>
      <c r="C17" s="19" t="n">
        <v>20</v>
      </c>
      <c r="D17" s="19" t="n">
        <v>20</v>
      </c>
      <c r="E17" s="19" t="n">
        <v>20</v>
      </c>
      <c r="F17" s="19" t="n">
        <v>20</v>
      </c>
      <c r="G17" s="17"/>
    </row>
    <row r="18" customFormat="false" ht="15" hidden="false" customHeight="false" outlineLevel="0" collapsed="false">
      <c r="A18" s="15" t="s">
        <v>99</v>
      </c>
      <c r="B18" s="19" t="n">
        <v>5</v>
      </c>
      <c r="C18" s="19" t="n">
        <v>5</v>
      </c>
      <c r="D18" s="19" t="n">
        <v>5</v>
      </c>
      <c r="E18" s="19" t="n">
        <v>5</v>
      </c>
      <c r="F18" s="19" t="n">
        <v>5</v>
      </c>
      <c r="G18" s="17"/>
    </row>
    <row r="19" customFormat="false" ht="15.5" hidden="false" customHeight="false" outlineLevel="0" collapsed="false">
      <c r="A19" s="15" t="s">
        <v>103</v>
      </c>
      <c r="B19" s="19" t="n">
        <v>25</v>
      </c>
      <c r="C19" s="19" t="n">
        <v>25</v>
      </c>
      <c r="D19" s="19" t="n">
        <v>25</v>
      </c>
      <c r="E19" s="19" t="n">
        <v>25</v>
      </c>
      <c r="F19" s="19" t="n">
        <v>25</v>
      </c>
      <c r="G19" s="18" t="s">
        <v>113</v>
      </c>
      <c r="H19" s="18"/>
    </row>
    <row r="20" customFormat="false" ht="15.5" hidden="false" customHeight="false" outlineLevel="0" collapsed="false">
      <c r="A20" s="17" t="s">
        <v>114</v>
      </c>
      <c r="B20" s="20" t="n">
        <f aca="false">SUM(B14:B19)</f>
        <v>100</v>
      </c>
      <c r="C20" s="20" t="n">
        <f aca="false">SUM(C14:C19)</f>
        <v>100</v>
      </c>
      <c r="D20" s="20" t="n">
        <f aca="false">SUM(D14:D19)</f>
        <v>100</v>
      </c>
      <c r="E20" s="20" t="n">
        <f aca="false">SUM(E14:E19)</f>
        <v>100</v>
      </c>
      <c r="F20" s="20" t="n">
        <f aca="false">SUM(F14:F19)</f>
        <v>100</v>
      </c>
      <c r="G20" s="17" t="s">
        <v>115</v>
      </c>
    </row>
    <row r="22" customFormat="false" ht="15.5" hidden="false" customHeight="false" outlineLevel="0" collapsed="false">
      <c r="A22" s="11" t="s">
        <v>116</v>
      </c>
      <c r="B22" s="11"/>
      <c r="C22" s="11"/>
      <c r="D22" s="11"/>
      <c r="E22" s="11"/>
      <c r="F22" s="11"/>
      <c r="G22" s="12"/>
      <c r="H22" s="12"/>
    </row>
    <row r="23" customFormat="false" ht="15.5" hidden="false" customHeight="false" outlineLevel="0" collapsed="false">
      <c r="A23" s="13" t="s">
        <v>117</v>
      </c>
      <c r="B23" s="13" t="s">
        <v>108</v>
      </c>
      <c r="C23" s="13" t="s">
        <v>109</v>
      </c>
      <c r="D23" s="13" t="s">
        <v>110</v>
      </c>
      <c r="E23" s="13" t="s">
        <v>111</v>
      </c>
      <c r="F23" s="13" t="s">
        <v>112</v>
      </c>
      <c r="G23" s="13" t="s">
        <v>93</v>
      </c>
    </row>
    <row r="24" customFormat="false" ht="15" hidden="false" customHeight="false" outlineLevel="0" collapsed="false">
      <c r="A24" s="17" t="s">
        <v>118</v>
      </c>
      <c r="B24" s="20" t="n">
        <f aca="false">B20</f>
        <v>100</v>
      </c>
      <c r="C24" s="20" t="n">
        <f aca="false">C20</f>
        <v>100</v>
      </c>
      <c r="D24" s="20" t="n">
        <f aca="false">D20</f>
        <v>100</v>
      </c>
      <c r="E24" s="20" t="n">
        <f aca="false">E20</f>
        <v>100</v>
      </c>
      <c r="F24" s="20" t="n">
        <f aca="false">F20</f>
        <v>100</v>
      </c>
      <c r="G24" s="18" t="s">
        <v>119</v>
      </c>
      <c r="H24" s="18"/>
    </row>
    <row r="26" customFormat="false" ht="15.5" hidden="false" customHeight="false" outlineLevel="0" collapsed="false">
      <c r="A26" s="11" t="s">
        <v>120</v>
      </c>
      <c r="B26" s="11"/>
      <c r="C26" s="11"/>
      <c r="D26" s="11"/>
      <c r="E26" s="11"/>
      <c r="F26" s="11"/>
      <c r="G26" s="12"/>
      <c r="H26" s="12"/>
    </row>
    <row r="27" customFormat="false" ht="15" hidden="false" customHeight="false" outlineLevel="0" collapsed="false">
      <c r="A27" s="14" t="s">
        <v>121</v>
      </c>
      <c r="B27" s="14" t="s">
        <v>98</v>
      </c>
      <c r="C27" s="14" t="s">
        <v>97</v>
      </c>
      <c r="D27" s="14" t="s">
        <v>96</v>
      </c>
      <c r="E27" s="14" t="s">
        <v>94</v>
      </c>
      <c r="F27" s="13" t="s">
        <v>114</v>
      </c>
      <c r="G27" s="13"/>
    </row>
    <row r="28" customFormat="false" ht="15" hidden="false" customHeight="false" outlineLevel="0" collapsed="false">
      <c r="A28" s="17" t="s">
        <v>122</v>
      </c>
      <c r="B28" s="21" t="n">
        <v>0.25</v>
      </c>
      <c r="C28" s="21" t="n">
        <v>0.25</v>
      </c>
      <c r="D28" s="21" t="n">
        <v>0.25</v>
      </c>
      <c r="E28" s="21" t="n">
        <v>0.25</v>
      </c>
      <c r="F28" s="38" t="n">
        <f aca="false">SUM(B28:E28)</f>
        <v>1</v>
      </c>
      <c r="G28" s="17"/>
    </row>
    <row r="30" customFormat="false" ht="15.5" hidden="false" customHeight="false" outlineLevel="0" collapsed="false">
      <c r="A30" s="11" t="s">
        <v>123</v>
      </c>
      <c r="B30" s="11"/>
      <c r="C30" s="11"/>
      <c r="D30" s="11"/>
      <c r="E30" s="11"/>
      <c r="F30" s="11"/>
      <c r="G30" s="12"/>
      <c r="H30" s="12"/>
    </row>
    <row r="31" customFormat="false" ht="15.5" hidden="false" customHeight="false" outlineLevel="0" collapsed="false">
      <c r="A31" s="13" t="s">
        <v>124</v>
      </c>
      <c r="B31" s="13" t="s">
        <v>88</v>
      </c>
      <c r="C31" s="36">
        <v>5</v>
      </c>
      <c r="D31" s="36">
        <v>4</v>
      </c>
      <c r="E31" s="36">
        <v>3</v>
      </c>
      <c r="F31" s="13" t="s">
        <v>128</v>
      </c>
      <c r="G31" s="13" t="s">
        <v>129</v>
      </c>
    </row>
    <row r="32" customFormat="false" ht="15" hidden="false" customHeight="false" outlineLevel="0" collapsed="false">
      <c r="A32" s="23" t="s">
        <v>130</v>
      </c>
      <c r="B32" s="23" t="s">
        <v>94</v>
      </c>
      <c r="C32" s="20" t="n">
        <f aca="false">(B14+B18)*(C14+C18)*(D14+D18)*(E14+E18)*(F14+F18)</f>
        <v>759375</v>
      </c>
      <c r="D32" s="20" t="n">
        <f aca="false">(B14+B18)*(C14+C18)*(D14+D18)*(E14+E18)*(F24-(F14+F18))</f>
        <v>4303125</v>
      </c>
      <c r="E32" s="20" t="n">
        <f aca="false">(B14+B18)*(C14+C18)*(D14+D18)*(E24-(E14+E18))*$B$24</f>
        <v>28687500</v>
      </c>
      <c r="F32" s="39" t="n">
        <f aca="false">IF(PRODUCT($B$24:$F$24)&lt;=0,0,(C32/PRODUCT($B$24:$F$24))*100+(D32/PRODUCT($B$24:$F$24))*25+(E32/PRODUCT($B$24:$F$24))*5)</f>
        <v>0.0326953125</v>
      </c>
      <c r="G32" s="38" t="n">
        <f aca="false">$B$28</f>
        <v>0.25</v>
      </c>
    </row>
    <row r="33" customFormat="false" ht="15" hidden="false" customHeight="false" outlineLevel="0" collapsed="false">
      <c r="A33" s="23" t="s">
        <v>130</v>
      </c>
      <c r="B33" s="23" t="s">
        <v>96</v>
      </c>
      <c r="C33" s="20" t="n">
        <f aca="false">(B15+B18)*(C15+C18)*(D15+D18)*(E15+E18)*(F15+F18)</f>
        <v>9765625</v>
      </c>
      <c r="D33" s="20" t="n">
        <f aca="false">(B15+B18)*(C15+C18)*(D15+D18)*(E15+E18)*(F24-(F15+F18))</f>
        <v>29296875</v>
      </c>
      <c r="E33" s="20" t="n">
        <f aca="false">(B15+B18)*(C15+C18)*(D15+D18)*(E24-(E15+E18))*$B$24</f>
        <v>117187500</v>
      </c>
      <c r="F33" s="39" t="n">
        <f aca="false">IF(PRODUCT($B$24:$F$24)&lt;=0,0,(C33/PRODUCT($B$24:$F$24))*50+(D33/PRODUCT($B$24:$F$24))*13+(E33/PRODUCT($B$24:$F$24))*3)</f>
        <v>0.1220703125</v>
      </c>
      <c r="G33" s="38" t="n">
        <f aca="false">$B$28</f>
        <v>0.25</v>
      </c>
    </row>
    <row r="34" customFormat="false" ht="15" hidden="false" customHeight="false" outlineLevel="0" collapsed="false">
      <c r="A34" s="23" t="s">
        <v>130</v>
      </c>
      <c r="B34" s="23" t="s">
        <v>97</v>
      </c>
      <c r="C34" s="20" t="n">
        <f aca="false">(B16+B18)*(C16+C18)*(D16+D18)*(E16+E18)*(F16+F18)</f>
        <v>9765625</v>
      </c>
      <c r="D34" s="20" t="n">
        <f aca="false">(B16+B18)*(C16+C18)*(D16+D18)*(E16+E18)*(F24-(F16+F18))</f>
        <v>29296875</v>
      </c>
      <c r="E34" s="20" t="n">
        <f aca="false">(B16+B18)*(C16+C18)*(D16+D18)*(E24-(E16+E18))*$B$24</f>
        <v>117187500</v>
      </c>
      <c r="F34" s="39" t="n">
        <f aca="false">IF(PRODUCT($B$24:$F$24)&lt;=0,0,(C34/PRODUCT($B$24:$F$24))*38+(D34/PRODUCT($B$24:$F$24))*10+(E34/PRODUCT($B$24:$F$24))*3)</f>
        <v>0.1015625</v>
      </c>
      <c r="G34" s="38" t="n">
        <f aca="false">$B$28</f>
        <v>0.25</v>
      </c>
    </row>
    <row r="35" customFormat="false" ht="15" hidden="false" customHeight="false" outlineLevel="0" collapsed="false">
      <c r="A35" s="23" t="s">
        <v>130</v>
      </c>
      <c r="B35" s="23" t="s">
        <v>98</v>
      </c>
      <c r="C35" s="20" t="n">
        <f aca="false">(B17+B18+B19)*(C17+C18+C19)*(D17+D18+D19)*(E17+E18+E19)*(F17+F18+F19)</f>
        <v>312500000</v>
      </c>
      <c r="D35" s="20" t="n">
        <f aca="false">(B17+B18+B19)*(C17+C18+C19)*(D17+D18+D19)*(E17+E18+E19)*(F24-(F17+F18+F19))</f>
        <v>312500000</v>
      </c>
      <c r="E35" s="20" t="n">
        <f aca="false">(B17+B18+B19)*(C17+C18+C19)*(D17+D18+D19)*(E24-(E17+E18+E19))*$B$24</f>
        <v>625000000</v>
      </c>
      <c r="F35" s="39" t="n">
        <f aca="false">IF(PRODUCT($B$24:$F$24)&lt;=0,0,(C35/PRODUCT($B$24:$F$24))*25+(D35/PRODUCT($B$24:$F$24))*8+(E35/PRODUCT($B$24:$F$24))*3)</f>
        <v>1.21875</v>
      </c>
      <c r="G35" s="38" t="n">
        <f aca="false">$B$28</f>
        <v>0.25</v>
      </c>
    </row>
    <row r="36" customFormat="false" ht="15" hidden="false" customHeight="false" outlineLevel="0" collapsed="false">
      <c r="A36" s="23" t="s">
        <v>131</v>
      </c>
      <c r="B36" s="23" t="s">
        <v>94</v>
      </c>
      <c r="C36" s="20" t="n">
        <f aca="false">(B14+B18)*(C14+C18)*(D14+D18)*(E14+E18)*(F14+F18)</f>
        <v>759375</v>
      </c>
      <c r="D36" s="20" t="n">
        <f aca="false">(B14+B18)*(C14+C18)*(D14+D18)*(E14+E18)*(F24-(F14+F18))</f>
        <v>4303125</v>
      </c>
      <c r="E36" s="20" t="n">
        <f aca="false">(B14+B18)*(C14+C18)*(D14+D18)*(E24-(E14+E18))*$B$24</f>
        <v>28687500</v>
      </c>
      <c r="F36" s="39" t="n">
        <f aca="false">IF(PRODUCT($B$24:$F$24)&lt;=0,0,(C36/PRODUCT($B$24:$F$24))*100+(D36/PRODUCT($B$24:$F$24))*25+(E36/PRODUCT($B$24:$F$24))*5)</f>
        <v>0.0326953125</v>
      </c>
      <c r="G36" s="38" t="n">
        <f aca="false">$C$28</f>
        <v>0.25</v>
      </c>
    </row>
    <row r="37" customFormat="false" ht="15" hidden="false" customHeight="false" outlineLevel="0" collapsed="false">
      <c r="A37" s="23" t="s">
        <v>131</v>
      </c>
      <c r="B37" s="23" t="s">
        <v>96</v>
      </c>
      <c r="C37" s="20" t="n">
        <f aca="false">(B15+B18)*(C15+C18)*(D15+D18)*(E15+E18)*(F15+F18)</f>
        <v>9765625</v>
      </c>
      <c r="D37" s="20" t="n">
        <f aca="false">(B15+B18)*(C15+C18)*(D15+D18)*(E15+E18)*(F24-(F15+F18))</f>
        <v>29296875</v>
      </c>
      <c r="E37" s="20" t="n">
        <f aca="false">(B15+B18)*(C15+C18)*(D15+D18)*(E24-(E15+E18))*$B$24</f>
        <v>117187500</v>
      </c>
      <c r="F37" s="39" t="n">
        <f aca="false">IF(PRODUCT($B$24:$F$24)&lt;=0,0,(C37/PRODUCT($B$24:$F$24))*50+(D37/PRODUCT($B$24:$F$24))*13+(E37/PRODUCT($B$24:$F$24))*3)</f>
        <v>0.1220703125</v>
      </c>
      <c r="G37" s="38" t="n">
        <f aca="false">$C$28</f>
        <v>0.25</v>
      </c>
    </row>
    <row r="38" customFormat="false" ht="15" hidden="false" customHeight="false" outlineLevel="0" collapsed="false">
      <c r="A38" s="23" t="s">
        <v>131</v>
      </c>
      <c r="B38" s="23" t="s">
        <v>97</v>
      </c>
      <c r="C38" s="20" t="n">
        <f aca="false">(B16+B18+B19)*(C16+C18+C19)*(D16+D18+D19)*(E16+E18+E19)*(F16+F18+F19)</f>
        <v>312500000</v>
      </c>
      <c r="D38" s="20" t="n">
        <f aca="false">(B16+B18+B19)*(C16+C18+C19)*(D16+D18+D19)*(E16+E18+E19)*(F24-(F16+F18+F19))</f>
        <v>312500000</v>
      </c>
      <c r="E38" s="20" t="n">
        <f aca="false">(B16+B18+B19)*(C16+C18+C19)*(D16+D18+D19)*(E24-(E16+E18+E19))*$B$24</f>
        <v>625000000</v>
      </c>
      <c r="F38" s="39" t="n">
        <f aca="false">IF(PRODUCT($B$24:$F$24)&lt;=0,0,(C38/PRODUCT($B$24:$F$24))*38+(D38/PRODUCT($B$24:$F$24))*10+(E38/PRODUCT($B$24:$F$24))*3)</f>
        <v>1.6875</v>
      </c>
      <c r="G38" s="38" t="n">
        <f aca="false">$C$28</f>
        <v>0.25</v>
      </c>
    </row>
    <row r="39" customFormat="false" ht="15" hidden="false" customHeight="false" outlineLevel="0" collapsed="false">
      <c r="A39" s="23" t="s">
        <v>131</v>
      </c>
      <c r="B39" s="23" t="s">
        <v>98</v>
      </c>
      <c r="C39" s="20" t="n">
        <f aca="false">(B17+B18)*(C17+C18)*(D17+D18)*(E17+E18)*(F17+F18)</f>
        <v>9765625</v>
      </c>
      <c r="D39" s="20" t="n">
        <f aca="false">(B17+B18)*(C17+C18)*(D17+D18)*(E17+E18)*(F24-(F17+F18))</f>
        <v>29296875</v>
      </c>
      <c r="E39" s="20" t="n">
        <f aca="false">(B17+B18)*(C17+C18)*(D17+D18)*(E24-(E17+E18))*$B$24</f>
        <v>117187500</v>
      </c>
      <c r="F39" s="39" t="n">
        <f aca="false">IF(PRODUCT($B$24:$F$24)&lt;=0,0,(C39/PRODUCT($B$24:$F$24))*25+(D39/PRODUCT($B$24:$F$24))*8+(E39/PRODUCT($B$24:$F$24))*3)</f>
        <v>0.0830078125</v>
      </c>
      <c r="G39" s="38" t="n">
        <f aca="false">$C$28</f>
        <v>0.25</v>
      </c>
    </row>
    <row r="40" customFormat="false" ht="15" hidden="false" customHeight="false" outlineLevel="0" collapsed="false">
      <c r="A40" s="23" t="s">
        <v>132</v>
      </c>
      <c r="B40" s="23" t="s">
        <v>94</v>
      </c>
      <c r="C40" s="20" t="n">
        <f aca="false">(B14+B18)*(C14+C18)*(D14+D18)*(E14+E18)*(F14+F18)</f>
        <v>759375</v>
      </c>
      <c r="D40" s="20" t="n">
        <f aca="false">(B14+B18)*(C14+C18)*(D14+D18)*(E14+E18)*(F24-(F14+F18))</f>
        <v>4303125</v>
      </c>
      <c r="E40" s="20" t="n">
        <f aca="false">(B14+B18)*(C14+C18)*(D14+D18)*(E24-(E14+E18))*$B$24</f>
        <v>28687500</v>
      </c>
      <c r="F40" s="39" t="n">
        <f aca="false">IF(PRODUCT($B$24:$F$24)&lt;=0,0,(C40/PRODUCT($B$24:$F$24))*100+(D40/PRODUCT($B$24:$F$24))*25+(E40/PRODUCT($B$24:$F$24))*5)</f>
        <v>0.0326953125</v>
      </c>
      <c r="G40" s="38" t="n">
        <f aca="false">$D$28</f>
        <v>0.25</v>
      </c>
    </row>
    <row r="41" customFormat="false" ht="15" hidden="false" customHeight="false" outlineLevel="0" collapsed="false">
      <c r="A41" s="23" t="s">
        <v>132</v>
      </c>
      <c r="B41" s="23" t="s">
        <v>96</v>
      </c>
      <c r="C41" s="20" t="n">
        <f aca="false">(B15+B18+B19)*(C15+C18+C19)*(D15+D18+D19)*(E15+E18+E19)*(F15+F18+F19)</f>
        <v>312500000</v>
      </c>
      <c r="D41" s="20" t="n">
        <f aca="false">(B15+B18+B19)*(C15+C18+C19)*(D15+D18+D19)*(E15+E18+E19)*(F24-(F15+F18+F19))</f>
        <v>312500000</v>
      </c>
      <c r="E41" s="20" t="n">
        <f aca="false">(B15+B18+B19)*(C15+C18+C19)*(D15+D18+D19)*(E24-(E15+E18+E19))*$B$24</f>
        <v>625000000</v>
      </c>
      <c r="F41" s="39" t="n">
        <f aca="false">IF(PRODUCT($B$24:$F$24)&lt;=0,0,(C41/PRODUCT($B$24:$F$24))*50+(D41/PRODUCT($B$24:$F$24))*13+(E41/PRODUCT($B$24:$F$24))*3)</f>
        <v>2.15625</v>
      </c>
      <c r="G41" s="38" t="n">
        <f aca="false">$D$28</f>
        <v>0.25</v>
      </c>
    </row>
    <row r="42" customFormat="false" ht="15" hidden="false" customHeight="false" outlineLevel="0" collapsed="false">
      <c r="A42" s="23" t="s">
        <v>132</v>
      </c>
      <c r="B42" s="23" t="s">
        <v>97</v>
      </c>
      <c r="C42" s="20" t="n">
        <f aca="false">(B16+B18)*(C16+C18)*(D16+D18)*(E16+E18)*(F16+F18)</f>
        <v>9765625</v>
      </c>
      <c r="D42" s="20" t="n">
        <f aca="false">(B16+B18)*(C16+C18)*(D16+D18)*(E16+E18)*(F24-(F16+F18))</f>
        <v>29296875</v>
      </c>
      <c r="E42" s="20" t="n">
        <f aca="false">(B16+B18)*(C16+C18)*(D16+D18)*(E24-(E16+E18))*$B$24</f>
        <v>117187500</v>
      </c>
      <c r="F42" s="39" t="n">
        <f aca="false">IF(PRODUCT($B$24:$F$24)&lt;=0,0,(C42/PRODUCT($B$24:$F$24))*38+(D42/PRODUCT($B$24:$F$24))*10+(E42/PRODUCT($B$24:$F$24))*3)</f>
        <v>0.1015625</v>
      </c>
      <c r="G42" s="38" t="n">
        <f aca="false">$D$28</f>
        <v>0.25</v>
      </c>
    </row>
    <row r="43" customFormat="false" ht="15" hidden="false" customHeight="false" outlineLevel="0" collapsed="false">
      <c r="A43" s="23" t="s">
        <v>132</v>
      </c>
      <c r="B43" s="23" t="s">
        <v>98</v>
      </c>
      <c r="C43" s="20" t="n">
        <f aca="false">(B17+B18)*(C17+C18)*(D17+D18)*(E17+E18)*(F17+F18)</f>
        <v>9765625</v>
      </c>
      <c r="D43" s="20" t="n">
        <f aca="false">(B17+B18)*(C17+C18)*(D17+D18)*(E17+E18)*(F24-(F17+F18))</f>
        <v>29296875</v>
      </c>
      <c r="E43" s="20" t="n">
        <f aca="false">(B17+B18)*(C17+C18)*(D17+D18)*(E24-(E17+E18))*$B$24</f>
        <v>117187500</v>
      </c>
      <c r="F43" s="39" t="n">
        <f aca="false">IF(PRODUCT($B$24:$F$24)&lt;=0,0,(C43/PRODUCT($B$24:$F$24))*25+(D43/PRODUCT($B$24:$F$24))*8+(E43/PRODUCT($B$24:$F$24))*3)</f>
        <v>0.0830078125</v>
      </c>
      <c r="G43" s="38" t="n">
        <f aca="false">$D$28</f>
        <v>0.25</v>
      </c>
    </row>
    <row r="44" customFormat="false" ht="15" hidden="false" customHeight="false" outlineLevel="0" collapsed="false">
      <c r="A44" s="23" t="s">
        <v>133</v>
      </c>
      <c r="B44" s="23" t="s">
        <v>94</v>
      </c>
      <c r="C44" s="20" t="n">
        <f aca="false">(B14+B18+B19)*(C14+C18+C19)*(D14+D18+D19)*(E14+E18+E19)*(F14+F18+F19)</f>
        <v>102400000</v>
      </c>
      <c r="D44" s="20" t="n">
        <f aca="false">(B14+B18+B19)*(C14+C18+C19)*(D14+D18+D19)*(E14+E18+E19)*(F24-(F14+F18+F19))</f>
        <v>153600000</v>
      </c>
      <c r="E44" s="20" t="n">
        <f aca="false">(B14+B18+B19)*(C14+C18+C19)*(D14+D18+D19)*(E24-(E14+E18+E19))*$B$24</f>
        <v>384000000</v>
      </c>
      <c r="F44" s="39" t="n">
        <f aca="false">IF(PRODUCT($B$24:$F$24)&lt;=0,0,(C44/PRODUCT($B$24:$F$24))*100+(D44/PRODUCT($B$24:$F$24))*25+(E44/PRODUCT($B$24:$F$24))*5)</f>
        <v>1.6</v>
      </c>
      <c r="G44" s="38" t="n">
        <f aca="false">$E$28</f>
        <v>0.25</v>
      </c>
    </row>
    <row r="45" customFormat="false" ht="15" hidden="false" customHeight="false" outlineLevel="0" collapsed="false">
      <c r="A45" s="23" t="s">
        <v>133</v>
      </c>
      <c r="B45" s="23" t="s">
        <v>96</v>
      </c>
      <c r="C45" s="20" t="n">
        <f aca="false">(B15+B18)*(C15+C18)*(D15+D18)*(E15+E18)*(F15+F18)</f>
        <v>9765625</v>
      </c>
      <c r="D45" s="20" t="n">
        <f aca="false">(B15+B18)*(C15+C18)*(D15+D18)*(E15+E18)*(F24-(F15+F18))</f>
        <v>29296875</v>
      </c>
      <c r="E45" s="20" t="n">
        <f aca="false">(B15+B18)*(C15+C18)*(D15+D18)*(E24-(E15+E18))*$B$24</f>
        <v>117187500</v>
      </c>
      <c r="F45" s="39" t="n">
        <f aca="false">IF(PRODUCT($B$24:$F$24)&lt;=0,0,(C45/PRODUCT($B$24:$F$24))*50+(D45/PRODUCT($B$24:$F$24))*13+(E45/PRODUCT($B$24:$F$24))*3)</f>
        <v>0.1220703125</v>
      </c>
      <c r="G45" s="38" t="n">
        <f aca="false">$E$28</f>
        <v>0.25</v>
      </c>
    </row>
    <row r="46" customFormat="false" ht="15" hidden="false" customHeight="false" outlineLevel="0" collapsed="false">
      <c r="A46" s="23" t="s">
        <v>133</v>
      </c>
      <c r="B46" s="23" t="s">
        <v>97</v>
      </c>
      <c r="C46" s="20" t="n">
        <f aca="false">(B16+B18)*(C16+C18)*(D16+D18)*(E16+E18)*(F16+F18)</f>
        <v>9765625</v>
      </c>
      <c r="D46" s="20" t="n">
        <f aca="false">(B16+B18)*(C16+C18)*(D16+D18)*(E16+E18)*(F24-(F16+F18))</f>
        <v>29296875</v>
      </c>
      <c r="E46" s="20" t="n">
        <f aca="false">(B16+B18)*(C16+C18)*(D16+D18)*(E24-(E16+E18))*$B$24</f>
        <v>117187500</v>
      </c>
      <c r="F46" s="39" t="n">
        <f aca="false">IF(PRODUCT($B$24:$F$24)&lt;=0,0,(C46/PRODUCT($B$24:$F$24))*38+(D46/PRODUCT($B$24:$F$24))*10+(E46/PRODUCT($B$24:$F$24))*3)</f>
        <v>0.1015625</v>
      </c>
      <c r="G46" s="38" t="n">
        <f aca="false">$E$28</f>
        <v>0.25</v>
      </c>
    </row>
    <row r="47" customFormat="false" ht="15" hidden="false" customHeight="false" outlineLevel="0" collapsed="false">
      <c r="A47" s="23" t="s">
        <v>133</v>
      </c>
      <c r="B47" s="23" t="s">
        <v>98</v>
      </c>
      <c r="C47" s="20" t="n">
        <f aca="false">(B17+B18)*(C17+C18)*(D17+D18)*(E17+E18)*(F17+F18)</f>
        <v>9765625</v>
      </c>
      <c r="D47" s="20" t="n">
        <f aca="false">(B17+B18)*(C17+C18)*(D17+D18)*(E17+E18)*(F24-(F17+F18))</f>
        <v>29296875</v>
      </c>
      <c r="E47" s="20" t="n">
        <f aca="false">(B17+B18)*(C17+C18)*(D17+D18)*(E24-(E17+E18))*$B$24</f>
        <v>117187500</v>
      </c>
      <c r="F47" s="39" t="n">
        <f aca="false">IF(PRODUCT($B$24:$F$24)&lt;=0,0,(C47/PRODUCT($B$24:$F$24))*25+(D47/PRODUCT($B$24:$F$24))*8+(E47/PRODUCT($B$24:$F$24))*3)</f>
        <v>0.0830078125</v>
      </c>
      <c r="G47" s="38" t="n">
        <f aca="false">$E$28</f>
        <v>0.25</v>
      </c>
    </row>
    <row r="49" customFormat="false" ht="15.5" hidden="false" customHeight="false" outlineLevel="0" collapsed="false">
      <c r="A49" s="11" t="s">
        <v>134</v>
      </c>
      <c r="B49" s="11"/>
      <c r="C49" s="11"/>
      <c r="D49" s="11"/>
      <c r="E49" s="11"/>
      <c r="F49" s="11"/>
      <c r="G49" s="12"/>
      <c r="H49" s="12"/>
    </row>
    <row r="50" customFormat="false" ht="15.5" hidden="false" customHeight="false" outlineLevel="0" collapsed="false">
      <c r="A50" s="13" t="s">
        <v>88</v>
      </c>
      <c r="B50" s="14" t="s">
        <v>135</v>
      </c>
      <c r="C50" s="14" t="s">
        <v>136</v>
      </c>
      <c r="D50" s="14" t="s">
        <v>137</v>
      </c>
      <c r="E50" s="14" t="s">
        <v>138</v>
      </c>
      <c r="F50" s="13" t="s">
        <v>139</v>
      </c>
      <c r="G50" s="13"/>
    </row>
    <row r="51" customFormat="false" ht="15" hidden="false" customHeight="false" outlineLevel="0" collapsed="false">
      <c r="A51" s="23" t="s">
        <v>94</v>
      </c>
      <c r="B51" s="39" t="n">
        <f aca="false">F32</f>
        <v>0.0326953125</v>
      </c>
      <c r="C51" s="39" t="n">
        <f aca="false">F36</f>
        <v>0.0326953125</v>
      </c>
      <c r="D51" s="39" t="n">
        <f aca="false">F40</f>
        <v>0.0326953125</v>
      </c>
      <c r="E51" s="39" t="n">
        <f aca="false">F44</f>
        <v>1.6</v>
      </c>
      <c r="F51" s="39" t="n">
        <f aca="false">B51*$B$28+C51*$C$28+D51*$D$28+E51*$E$28</f>
        <v>0.424521484375</v>
      </c>
      <c r="G51" s="17"/>
    </row>
    <row r="52" customFormat="false" ht="15" hidden="false" customHeight="false" outlineLevel="0" collapsed="false">
      <c r="A52" s="23" t="s">
        <v>96</v>
      </c>
      <c r="B52" s="39" t="n">
        <f aca="false">F33</f>
        <v>0.1220703125</v>
      </c>
      <c r="C52" s="39" t="n">
        <f aca="false">F37</f>
        <v>0.1220703125</v>
      </c>
      <c r="D52" s="39" t="n">
        <f aca="false">F41</f>
        <v>2.15625</v>
      </c>
      <c r="E52" s="39" t="n">
        <f aca="false">F45</f>
        <v>0.1220703125</v>
      </c>
      <c r="F52" s="39" t="n">
        <f aca="false">B52*$B$28+C52*$C$28+D52*$D$28+E52*$E$28</f>
        <v>0.630615234375</v>
      </c>
      <c r="G52" s="17"/>
    </row>
    <row r="53" customFormat="false" ht="15" hidden="false" customHeight="false" outlineLevel="0" collapsed="false">
      <c r="A53" s="23" t="s">
        <v>97</v>
      </c>
      <c r="B53" s="39" t="n">
        <f aca="false">F34</f>
        <v>0.1015625</v>
      </c>
      <c r="C53" s="39" t="n">
        <f aca="false">F38</f>
        <v>1.6875</v>
      </c>
      <c r="D53" s="39" t="n">
        <f aca="false">F42</f>
        <v>0.1015625</v>
      </c>
      <c r="E53" s="39" t="n">
        <f aca="false">F46</f>
        <v>0.1015625</v>
      </c>
      <c r="F53" s="39" t="n">
        <f aca="false">B53*$B$28+C53*$C$28+D53*$D$28+E53*$E$28</f>
        <v>0.498046875</v>
      </c>
      <c r="G53" s="17"/>
    </row>
    <row r="54" customFormat="false" ht="15" hidden="false" customHeight="false" outlineLevel="0" collapsed="false">
      <c r="A54" s="23" t="s">
        <v>98</v>
      </c>
      <c r="B54" s="39" t="n">
        <f aca="false">F35</f>
        <v>1.21875</v>
      </c>
      <c r="C54" s="39" t="n">
        <f aca="false">F39</f>
        <v>0.0830078125</v>
      </c>
      <c r="D54" s="39" t="n">
        <f aca="false">F43</f>
        <v>0.0830078125</v>
      </c>
      <c r="E54" s="39" t="n">
        <f aca="false">F47</f>
        <v>0.0830078125</v>
      </c>
      <c r="F54" s="39" t="n">
        <f aca="false">B54*$B$28+C54*$C$28+D54*$D$28+E54*$E$28</f>
        <v>0.366943359375</v>
      </c>
      <c r="G54" s="17"/>
    </row>
    <row r="55" customFormat="false" ht="15.5" hidden="false" customHeight="false" outlineLevel="0" collapsed="false">
      <c r="A55" s="17" t="s">
        <v>140</v>
      </c>
      <c r="B55" s="17"/>
      <c r="C55" s="17"/>
      <c r="D55" s="17"/>
      <c r="E55" s="17"/>
      <c r="F55" s="40" t="n">
        <f aca="false">SUM(F51:F54)</f>
        <v>1.920126953125</v>
      </c>
      <c r="G55" s="17"/>
    </row>
    <row r="57" customFormat="false" ht="15.5" hidden="false" customHeight="false" outlineLevel="0" collapsed="false">
      <c r="A57" s="11" t="s">
        <v>141</v>
      </c>
      <c r="B57" s="11"/>
      <c r="C57" s="11"/>
      <c r="D57" s="12"/>
      <c r="E57" s="12"/>
      <c r="F57" s="12"/>
      <c r="G57" s="12"/>
      <c r="H57" s="12"/>
    </row>
    <row r="58" customFormat="false" ht="15.5" hidden="false" customHeight="false" outlineLevel="0" collapsed="false">
      <c r="A58" s="14" t="s">
        <v>142</v>
      </c>
      <c r="B58" s="13" t="s">
        <v>143</v>
      </c>
      <c r="C58" s="13" t="s">
        <v>144</v>
      </c>
      <c r="D58" s="13"/>
      <c r="E58" s="13"/>
    </row>
    <row r="59" customFormat="false" ht="15" hidden="false" customHeight="false" outlineLevel="0" collapsed="false">
      <c r="A59" s="23" t="s">
        <v>145</v>
      </c>
      <c r="B59" s="17" t="s">
        <v>146</v>
      </c>
      <c r="C59" s="18" t="s">
        <v>147</v>
      </c>
      <c r="D59" s="18"/>
      <c r="E59" s="18"/>
    </row>
    <row r="60" customFormat="false" ht="15" hidden="false" customHeight="false" outlineLevel="0" collapsed="false">
      <c r="A60" s="23" t="s">
        <v>148</v>
      </c>
      <c r="B60" s="17" t="s">
        <v>149</v>
      </c>
      <c r="C60" s="18" t="s">
        <v>150</v>
      </c>
      <c r="D60" s="18"/>
      <c r="E60" s="18"/>
    </row>
    <row r="62" customFormat="false" ht="15.5" hidden="false" customHeight="true" outlineLevel="0" collapsed="false">
      <c r="A62" s="26" t="s">
        <v>151</v>
      </c>
      <c r="B62" s="26"/>
      <c r="C62" s="26"/>
      <c r="D62" s="26"/>
      <c r="E62" s="26"/>
      <c r="F62" s="26"/>
      <c r="G62" s="26"/>
      <c r="H62" s="26"/>
    </row>
    <row r="63" customFormat="false" ht="15.5" hidden="false" customHeight="true" outlineLevel="0" collapsed="false">
      <c r="A63" s="26" t="s">
        <v>152</v>
      </c>
      <c r="B63" s="26"/>
      <c r="C63" s="26"/>
      <c r="D63" s="26"/>
      <c r="E63" s="26"/>
      <c r="F63" s="26"/>
      <c r="G63" s="26"/>
      <c r="H63" s="26"/>
    </row>
    <row r="65" customFormat="false" ht="15.5" hidden="false" customHeight="false" outlineLevel="0" collapsed="false">
      <c r="A65" s="11" t="s">
        <v>153</v>
      </c>
      <c r="B65" s="11"/>
      <c r="C65" s="11"/>
      <c r="D65" s="12"/>
      <c r="E65" s="12"/>
      <c r="F65" s="12"/>
      <c r="G65" s="12"/>
      <c r="H65" s="12"/>
    </row>
    <row r="66" customFormat="false" ht="15" hidden="false" customHeight="false" outlineLevel="0" collapsed="false">
      <c r="A66" s="13" t="s">
        <v>154</v>
      </c>
      <c r="B66" s="13" t="s">
        <v>155</v>
      </c>
      <c r="C66" s="13" t="s">
        <v>93</v>
      </c>
      <c r="D66" s="13"/>
      <c r="E66" s="13"/>
      <c r="F66" s="13"/>
      <c r="G66" s="13"/>
    </row>
    <row r="67" customFormat="false" ht="15.5" hidden="false" customHeight="false" outlineLevel="0" collapsed="false">
      <c r="A67" s="17" t="s">
        <v>156</v>
      </c>
      <c r="B67" s="17" t="str">
        <f aca="false">IF(AND(B20=100,C20=100,D20=100,E20=100,F20=100),"✓","✗")</f>
        <v>✓</v>
      </c>
      <c r="C67" s="17" t="s">
        <v>157</v>
      </c>
      <c r="D67" s="17"/>
      <c r="E67" s="17"/>
      <c r="F67" s="17"/>
      <c r="G67" s="17"/>
    </row>
    <row r="68" customFormat="false" ht="15.5" hidden="false" customHeight="false" outlineLevel="0" collapsed="false">
      <c r="A68" s="23" t="s">
        <v>158</v>
      </c>
      <c r="B68" s="17" t="str">
        <f aca="false">IF(ABS(F28-1)&lt;0.0001,"✓","✗")</f>
        <v>✓</v>
      </c>
      <c r="C68" s="27" t="s">
        <v>159</v>
      </c>
      <c r="D68" s="27"/>
      <c r="E68" s="17"/>
      <c r="F68" s="17"/>
      <c r="G68" s="17"/>
    </row>
    <row r="69" customFormat="false" ht="15.5" hidden="false" customHeight="false" outlineLevel="0" collapsed="false">
      <c r="A69" s="17" t="s">
        <v>160</v>
      </c>
      <c r="B69" s="17" t="str">
        <f aca="false">IF(B17+5+B19=50,"✓","✗")</f>
        <v>✓</v>
      </c>
      <c r="C69" s="27" t="s">
        <v>161</v>
      </c>
      <c r="D69" s="27"/>
      <c r="E69" s="27"/>
      <c r="F69" s="17"/>
      <c r="G69" s="17"/>
    </row>
    <row r="70" customFormat="false" ht="15.5" hidden="false" customHeight="false" outlineLevel="0" collapsed="false">
      <c r="A70" s="17" t="s">
        <v>162</v>
      </c>
      <c r="B70" s="17" t="str">
        <f aca="false">IF(ABS(0.25*(0.8175*3+1.3494)-0.9505)&lt;0.0005,"✓","✗")</f>
        <v>✓</v>
      </c>
      <c r="C70" s="18" t="s">
        <v>163</v>
      </c>
      <c r="D70" s="18"/>
      <c r="E70" s="18"/>
      <c r="F70" s="18"/>
      <c r="G70" s="18"/>
      <c r="H70" s="18"/>
    </row>
  </sheetData>
  <mergeCells count="20">
    <mergeCell ref="A1:G1"/>
    <mergeCell ref="A3:F3"/>
    <mergeCell ref="F9:G9"/>
    <mergeCell ref="F10:H10"/>
    <mergeCell ref="A12:F12"/>
    <mergeCell ref="G19:H19"/>
    <mergeCell ref="A22:F22"/>
    <mergeCell ref="G24:H24"/>
    <mergeCell ref="A26:F26"/>
    <mergeCell ref="A30:F30"/>
    <mergeCell ref="A49:F49"/>
    <mergeCell ref="A57:C57"/>
    <mergeCell ref="C59:E59"/>
    <mergeCell ref="C60:E60"/>
    <mergeCell ref="A62:H62"/>
    <mergeCell ref="A63:H63"/>
    <mergeCell ref="A65:C65"/>
    <mergeCell ref="C68:D68"/>
    <mergeCell ref="C69:E69"/>
    <mergeCell ref="C70:H7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M90"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2026-09-29T15:06:23Z</dcterms:created>
  <dc:creator>openpyxl</dc:creator>
  <dc:description/>
  <dc:language>zh-CN</dc:language>
  <cp:lastModifiedBy/>
  <dcterms:modified xsi:type="dcterms:W3CDTF">2026-09-29T15:06:29Z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