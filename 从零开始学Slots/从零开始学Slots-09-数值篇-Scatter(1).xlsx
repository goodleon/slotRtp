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<sst xmlns="http://schemas.openxmlformats.org/spreadsheetml/2006/main" count="309" uniqueCount="217">
  <si>
    <r>
      <rPr>
        <b val="true"/>
        <sz val="14"/>
        <color rgb="FF1F4E79"/>
        <rFont val="Noto Sans SC"/>
        <family val="2"/>
        <charset val="134"/>
      </rPr>
      <t xml:space="preserve">从零开始学</t>
    </r>
    <r>
      <rPr>
        <b val="true"/>
        <sz val="14"/>
        <color rgb="FF1F4E79"/>
        <rFont val="Cambria"/>
        <family val="0"/>
        <charset val="1"/>
      </rPr>
      <t xml:space="preserve">Slots 09 —— </t>
    </r>
    <r>
      <rPr>
        <b val="true"/>
        <sz val="14"/>
        <color rgb="FF1F4E79"/>
        <rFont val="Noto Sans SC"/>
        <family val="2"/>
        <charset val="134"/>
      </rPr>
      <t xml:space="preserve">数值篇：</t>
    </r>
    <r>
      <rPr>
        <b val="true"/>
        <sz val="14"/>
        <color rgb="FF1F4E79"/>
        <rFont val="Cambria"/>
        <family val="0"/>
        <charset val="1"/>
      </rPr>
      <t xml:space="preserve">Scatter(1)</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</si>
  <si>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Scatter(1)</t>
    </r>
    <r>
      <rPr>
        <sz val="11"/>
        <color rgb="FF808080"/>
        <rFont val="Noto Sans SC"/>
        <family val="2"/>
        <charset val="134"/>
      </rPr>
      <t xml:space="preserve">》  </t>
    </r>
    <r>
      <rPr>
        <sz val="11"/>
        <color rgb="FF808080"/>
        <rFont val="Cambria"/>
        <family val="0"/>
        <charset val="1"/>
      </rPr>
      <t xml:space="preserve">https://zhuanlan.zhihu.com/p/624380588</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</si>
  <si>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</si>
  <si>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</si>
  <si>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</si>
  <si>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配表说明：原文①卷轴图较小、逐格读数易错，故本表不逐格转录卷轴，而是直接采用原文②「图标出现事件数」表作为输入（蓝字可改），再由公式推出不出现事件数、</t>
    </r>
    <r>
      <rPr>
        <sz val="11"/>
        <color rgb="FF808080"/>
        <rFont val="Cambria"/>
        <family val="0"/>
        <charset val="1"/>
      </rPr>
      <t xml:space="preserve">16 </t>
    </r>
    <r>
      <rPr>
        <sz val="11"/>
        <color rgb="FF808080"/>
        <rFont val="Noto Sans SC"/>
        <family val="2"/>
        <charset val="134"/>
      </rPr>
      <t xml:space="preserve">种触发组合与合计触发率——结果与原文 </t>
    </r>
    <r>
      <rPr>
        <sz val="11"/>
        <color rgb="FF808080"/>
        <rFont val="Cambria"/>
        <family val="0"/>
        <charset val="1"/>
      </rPr>
      <t xml:space="preserve">4.8769% </t>
    </r>
    <r>
      <rPr>
        <sz val="11"/>
        <color rgb="FF808080"/>
        <rFont val="Noto Sans SC"/>
        <family val="2"/>
        <charset val="134"/>
      </rPr>
      <t xml:space="preserve">完全一致。</t>
    </r>
  </si>
  <si>
    <r>
      <rPr>
        <sz val="11"/>
        <color rgb="FF808080"/>
        <rFont val="Noto Sans SC"/>
        <family val="2"/>
        <charset val="134"/>
      </rPr>
      <t xml:space="preserve">【</t>
    </r>
    <r>
      <rPr>
        <sz val="11"/>
        <color rgb="FF808080"/>
        <rFont val="Cambria"/>
        <family val="0"/>
        <charset val="1"/>
      </rPr>
      <t xml:space="preserve">4</t>
    </r>
    <r>
      <rPr>
        <sz val="11"/>
        <color rgb="FF808080"/>
        <rFont val="Noto Sans SC"/>
        <family val="2"/>
        <charset val="134"/>
      </rPr>
      <t xml:space="preserve">】【</t>
    </r>
    <r>
      <rPr>
        <sz val="11"/>
        <color rgb="FF808080"/>
        <rFont val="Cambria"/>
        <family val="0"/>
        <charset val="1"/>
      </rPr>
      <t xml:space="preserve">5</t>
    </r>
    <r>
      <rPr>
        <sz val="11"/>
        <color rgb="FF808080"/>
        <rFont val="Noto Sans SC"/>
        <family val="2"/>
        <charset val="134"/>
      </rPr>
      <t xml:space="preserve">】中的普通摇</t>
    </r>
    <r>
      <rPr>
        <sz val="11"/>
        <color rgb="FF808080"/>
        <rFont val="Cambria"/>
        <family val="0"/>
        <charset val="1"/>
      </rPr>
      <t xml:space="preserve">/</t>
    </r>
    <r>
      <rPr>
        <sz val="11"/>
        <color rgb="FF808080"/>
        <rFont val="Noto Sans SC"/>
        <family val="2"/>
        <charset val="134"/>
      </rPr>
      <t xml:space="preserve">免费摇 </t>
    </r>
    <r>
      <rPr>
        <sz val="11"/>
        <color rgb="FF808080"/>
        <rFont val="Cambria"/>
        <family val="0"/>
        <charset val="1"/>
      </rPr>
      <t xml:space="preserve">RTP </t>
    </r>
    <r>
      <rPr>
        <sz val="11"/>
        <color rgb="FF808080"/>
        <rFont val="Noto Sans SC"/>
        <family val="2"/>
        <charset val="134"/>
      </rPr>
      <t xml:space="preserve">为原文公布值；免费摇次数与额外次数原文在配图中，本表按 </t>
    </r>
    <r>
      <rPr>
        <sz val="11"/>
        <color rgb="FF808080"/>
        <rFont val="Cambria"/>
        <family val="0"/>
        <charset val="1"/>
      </rPr>
      <t xml:space="preserve">10 / 5 </t>
    </r>
    <r>
      <rPr>
        <sz val="11"/>
        <color rgb="FF808080"/>
        <rFont val="Noto Sans SC"/>
        <family val="2"/>
        <charset val="134"/>
      </rPr>
      <t xml:space="preserve">示意，用于演示无穷级数的正确用法。</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</si>
  <si>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</si>
  <si>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</si>
  <si>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</si>
  <si>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</si>
  <si>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images/slots/624380588-NN.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</si>
  <si>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</si>
  <si>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</si>
  <si>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</si>
  <si>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Scatter</t>
    </r>
    <r>
      <rPr>
        <sz val="11"/>
        <color theme="1"/>
        <rFont val="Noto Sans SC"/>
        <family val="2"/>
        <charset val="134"/>
      </rPr>
      <t xml:space="preserve">：出现频率低、可出现在任意位置、一般没有赔付倍数，用来开启免费摇。</t>
    </r>
  </si>
  <si>
    <r>
      <rPr>
        <sz val="11"/>
        <color theme="1"/>
        <rFont val="Calibri"/>
        <family val="2"/>
        <charset val="1"/>
      </rPr>
      <t xml:space="preserve">· </t>
    </r>
    <r>
      <rPr>
        <sz val="11"/>
        <color theme="1"/>
        <rFont val="Noto Sans SC"/>
        <family val="2"/>
        <charset val="134"/>
      </rPr>
      <t xml:space="preserve">场上 </t>
    </r>
    <r>
      <rPr>
        <sz val="11"/>
        <color theme="1"/>
        <rFont val="Calibri"/>
        <family val="2"/>
        <charset val="1"/>
      </rPr>
      <t xml:space="preserve">Scatter </t>
    </r>
    <r>
      <rPr>
        <sz val="11"/>
        <color theme="1"/>
        <rFont val="Noto Sans SC"/>
        <family val="2"/>
        <charset val="134"/>
      </rPr>
      <t xml:space="preserve">个数 ≥ 指定值即触发免费摇，个数越多送得越多；部分产品在免费摇中还能再触发（额外次数）。</t>
    </r>
  </si>
  <si>
    <r>
      <rPr>
        <sz val="11"/>
        <color theme="1"/>
        <rFont val="Calibri"/>
        <family val="2"/>
        <charset val="1"/>
      </rPr>
      <t xml:space="preserve">· </t>
    </r>
    <r>
      <rPr>
        <sz val="11"/>
        <color theme="1"/>
        <rFont val="Noto Sans SC"/>
        <family val="2"/>
        <charset val="134"/>
      </rPr>
      <t xml:space="preserve">因为图标出现几率 ≤ </t>
    </r>
    <r>
      <rPr>
        <sz val="11"/>
        <color theme="1"/>
        <rFont val="Calibri"/>
        <family val="2"/>
        <charset val="1"/>
      </rPr>
      <t xml:space="preserve">100%</t>
    </r>
    <r>
      <rPr>
        <sz val="11"/>
        <color theme="1"/>
        <rFont val="Noto Sans SC"/>
        <family val="2"/>
        <charset val="134"/>
      </rPr>
      <t xml:space="preserve">，连续触发是收敛的无穷级数，可以用等比级数公式算「免费摇期望次数」。</t>
    </r>
  </si>
  <si>
    <r>
      <rPr>
        <sz val="11"/>
        <color theme="1"/>
        <rFont val="Calibri"/>
        <family val="2"/>
        <charset val="1"/>
      </rPr>
      <t xml:space="preserve">· </t>
    </r>
    <r>
      <rPr>
        <sz val="11"/>
        <color theme="1"/>
        <rFont val="Noto Sans SC"/>
        <family val="2"/>
        <charset val="134"/>
      </rPr>
      <t xml:space="preserve">本例（原文）：</t>
    </r>
    <r>
      <rPr>
        <sz val="11"/>
        <color theme="1"/>
        <rFont val="Calibri"/>
        <family val="2"/>
        <charset val="1"/>
      </rPr>
      <t xml:space="preserve">3*5 </t>
    </r>
    <r>
      <rPr>
        <sz val="11"/>
        <color theme="1"/>
        <rFont val="Noto Sans SC"/>
        <family val="2"/>
        <charset val="134"/>
      </rPr>
      <t xml:space="preserve">固定卷轴 </t>
    </r>
    <r>
      <rPr>
        <sz val="11"/>
        <color theme="1"/>
        <rFont val="Calibri"/>
        <family val="2"/>
        <charset val="1"/>
      </rPr>
      <t xml:space="preserve">Line Slots</t>
    </r>
    <r>
      <rPr>
        <sz val="11"/>
        <color theme="1"/>
        <rFont val="Noto Sans SC"/>
        <family val="2"/>
        <charset val="134"/>
      </rPr>
      <t xml:space="preserve">，标准图标 </t>
    </r>
    <r>
      <rPr>
        <sz val="11"/>
        <color theme="1"/>
        <rFont val="Calibri"/>
        <family val="2"/>
        <charset val="1"/>
      </rPr>
      <t xml:space="preserve">J/Q/K </t>
    </r>
    <r>
      <rPr>
        <sz val="11"/>
        <color theme="1"/>
        <rFont val="Noto Sans SC"/>
        <family val="2"/>
        <charset val="134"/>
      </rPr>
      <t xml:space="preserve">＋ </t>
    </r>
    <r>
      <rPr>
        <sz val="11"/>
        <color theme="1"/>
        <rFont val="Calibri"/>
        <family val="2"/>
        <charset val="1"/>
      </rPr>
      <t xml:space="preserve">Wild </t>
    </r>
    <r>
      <rPr>
        <sz val="11"/>
        <color theme="1"/>
        <rFont val="Noto Sans SC"/>
        <family val="2"/>
        <charset val="134"/>
      </rPr>
      <t xml:space="preserve">＋ </t>
    </r>
    <r>
      <rPr>
        <sz val="11"/>
        <color theme="1"/>
        <rFont val="Calibri"/>
        <family val="2"/>
        <charset val="1"/>
      </rPr>
      <t xml:space="preserve">Scatter</t>
    </r>
    <r>
      <rPr>
        <sz val="11"/>
        <color theme="1"/>
        <rFont val="Noto Sans SC"/>
        <family val="2"/>
        <charset val="134"/>
      </rPr>
      <t xml:space="preserve">；</t>
    </r>
  </si>
  <si>
    <r>
      <rPr>
        <sz val="11"/>
        <color theme="1"/>
        <rFont val="Noto Sans SC"/>
        <family val="2"/>
        <charset val="134"/>
      </rPr>
      <t xml:space="preserve">  每列 </t>
    </r>
    <r>
      <rPr>
        <sz val="11"/>
        <color theme="1"/>
        <rFont val="Calibri"/>
        <family val="2"/>
        <charset val="1"/>
      </rPr>
      <t xml:space="preserve">16 </t>
    </r>
    <r>
      <rPr>
        <sz val="11"/>
        <color theme="1"/>
        <rFont val="Noto Sans SC"/>
        <family val="2"/>
        <charset val="134"/>
      </rPr>
      <t xml:space="preserve">停、每列 </t>
    </r>
    <r>
      <rPr>
        <sz val="11"/>
        <color theme="1"/>
        <rFont val="Calibri"/>
        <family val="2"/>
        <charset val="1"/>
      </rPr>
      <t xml:space="preserve">1 </t>
    </r>
    <r>
      <rPr>
        <sz val="11"/>
        <color theme="1"/>
        <rFont val="Noto Sans SC"/>
        <family val="2"/>
        <charset val="134"/>
      </rPr>
      <t xml:space="preserve">个 </t>
    </r>
    <r>
      <rPr>
        <sz val="11"/>
        <color theme="1"/>
        <rFont val="Calibri"/>
        <family val="2"/>
        <charset val="1"/>
      </rPr>
      <t xml:space="preserve">Scatter</t>
    </r>
    <r>
      <rPr>
        <sz val="11"/>
        <color theme="1"/>
        <rFont val="Noto Sans SC"/>
        <family val="2"/>
        <charset val="134"/>
      </rPr>
      <t xml:space="preserve">；普通摇与免费摇共用同一组卷轴；</t>
    </r>
  </si>
  <si>
    <r>
      <rPr>
        <sz val="11"/>
        <color theme="1"/>
        <rFont val="Noto Sans SC"/>
        <family val="2"/>
        <charset val="134"/>
      </rPr>
      <t xml:space="preserve">  普通摇 ≥</t>
    </r>
    <r>
      <rPr>
        <sz val="11"/>
        <color theme="1"/>
        <rFont val="Calibri"/>
        <family val="2"/>
        <charset val="1"/>
      </rPr>
      <t xml:space="preserve">3 </t>
    </r>
    <r>
      <rPr>
        <sz val="11"/>
        <color theme="1"/>
        <rFont val="Noto Sans SC"/>
        <family val="2"/>
        <charset val="134"/>
      </rPr>
      <t xml:space="preserve">个 </t>
    </r>
    <r>
      <rPr>
        <sz val="11"/>
        <color theme="1"/>
        <rFont val="Calibri"/>
        <family val="2"/>
        <charset val="1"/>
      </rPr>
      <t xml:space="preserve">Scatter </t>
    </r>
    <r>
      <rPr>
        <sz val="11"/>
        <color theme="1"/>
        <rFont val="Noto Sans SC"/>
        <family val="2"/>
        <charset val="134"/>
      </rPr>
      <t xml:space="preserve">触发免费摇，免费摇中 ≥</t>
    </r>
    <r>
      <rPr>
        <sz val="11"/>
        <color theme="1"/>
        <rFont val="Calibri"/>
        <family val="2"/>
        <charset val="1"/>
      </rPr>
      <t xml:space="preserve">2 </t>
    </r>
    <r>
      <rPr>
        <sz val="11"/>
        <color theme="1"/>
        <rFont val="Noto Sans SC"/>
        <family val="2"/>
        <charset val="134"/>
      </rPr>
      <t xml:space="preserve">个 </t>
    </r>
    <r>
      <rPr>
        <sz val="11"/>
        <color theme="1"/>
        <rFont val="Calibri"/>
        <family val="2"/>
        <charset val="1"/>
      </rPr>
      <t xml:space="preserve">Scatter </t>
    </r>
    <r>
      <rPr>
        <sz val="11"/>
        <color theme="1"/>
        <rFont val="Noto Sans SC"/>
        <family val="2"/>
        <charset val="134"/>
      </rPr>
      <t xml:space="preserve">获得额外免费摇次数。</t>
    </r>
  </si>
  <si>
    <r>
      <rPr>
        <sz val="11"/>
        <color theme="1"/>
        <rFont val="Calibri"/>
        <family val="2"/>
        <charset val="1"/>
      </rPr>
      <t xml:space="preserve">· </t>
    </r>
    <r>
      <rPr>
        <sz val="11"/>
        <color theme="1"/>
        <rFont val="Noto Sans SC"/>
        <family val="2"/>
        <charset val="134"/>
      </rPr>
      <t xml:space="preserve">关键口径：标准图标的「出现事件数」＝ 该图标个数 ＋ 该列百搭个数（</t>
    </r>
    <r>
      <rPr>
        <sz val="11"/>
        <color theme="1"/>
        <rFont val="Calibri"/>
        <family val="2"/>
        <charset val="1"/>
      </rPr>
      <t xml:space="preserve">Wild </t>
    </r>
    <r>
      <rPr>
        <sz val="11"/>
        <color theme="1"/>
        <rFont val="Noto Sans SC"/>
        <family val="2"/>
        <charset val="134"/>
      </rPr>
      <t xml:space="preserve">只替代标准图标）；</t>
    </r>
  </si>
  <si>
    <r>
      <rPr>
        <sz val="11"/>
        <color theme="1"/>
        <rFont val="Calibri"/>
        <family val="2"/>
        <charset val="1"/>
      </rPr>
      <t xml:space="preserve">  Scatter </t>
    </r>
    <r>
      <rPr>
        <sz val="11"/>
        <color theme="1"/>
        <rFont val="Noto Sans SC"/>
        <family val="2"/>
        <charset val="134"/>
      </rPr>
      <t xml:space="preserve">不能加 </t>
    </r>
    <r>
      <rPr>
        <sz val="11"/>
        <color theme="1"/>
        <rFont val="Calibri"/>
        <family val="2"/>
        <charset val="1"/>
      </rPr>
      <t xml:space="preserve">Wild</t>
    </r>
    <r>
      <rPr>
        <sz val="11"/>
        <color theme="1"/>
        <rFont val="Noto Sans SC"/>
        <family val="2"/>
        <charset val="134"/>
      </rPr>
      <t xml:space="preserve">，且因为它可以在该列任意一行停留，事件数要「</t>
    </r>
    <r>
      <rPr>
        <sz val="11"/>
        <color theme="1"/>
        <rFont val="Calibri"/>
        <family val="2"/>
        <charset val="1"/>
      </rPr>
      <t xml:space="preserve">×</t>
    </r>
    <r>
      <rPr>
        <sz val="11"/>
        <color theme="1"/>
        <rFont val="Noto Sans SC"/>
        <family val="2"/>
        <charset val="134"/>
      </rPr>
      <t xml:space="preserve">该列行数」（</t>
    </r>
    <r>
      <rPr>
        <sz val="11"/>
        <color theme="1"/>
        <rFont val="Calibri"/>
        <family val="2"/>
        <charset val="1"/>
      </rPr>
      <t xml:space="preserve">3</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</si>
  <si>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不出现事件数 ＝ 每列停位数 − 出现事件数（本例 </t>
    </r>
    <r>
      <rPr>
        <sz val="11"/>
        <color theme="1"/>
        <rFont val="Calibri"/>
        <family val="2"/>
        <charset val="1"/>
      </rPr>
      <t xml:space="preserve">16 − </t>
    </r>
    <r>
      <rPr>
        <sz val="11"/>
        <color theme="1"/>
        <rFont val="Noto Sans SC"/>
        <family val="2"/>
        <charset val="134"/>
      </rPr>
      <t xml:space="preserve">出现）。</t>
    </r>
  </si>
  <si>
    <r>
      <rPr>
        <sz val="11"/>
        <color theme="1"/>
        <rFont val="Calibri"/>
        <family val="2"/>
        <charset val="1"/>
      </rPr>
      <t xml:space="preserve">· Scatter </t>
    </r>
    <r>
      <rPr>
        <sz val="11"/>
        <color theme="1"/>
        <rFont val="Noto Sans SC"/>
        <family val="2"/>
        <charset val="134"/>
      </rPr>
      <t xml:space="preserve">触发组合共有 </t>
    </r>
    <r>
      <rPr>
        <sz val="11"/>
        <color theme="1"/>
        <rFont val="Calibri"/>
        <family val="2"/>
        <charset val="1"/>
      </rPr>
      <t xml:space="preserve">C(5,3)+C(5,4)+C(5,5) </t>
    </r>
    <r>
      <rPr>
        <sz val="11"/>
        <color theme="1"/>
        <rFont val="Noto Sans SC"/>
        <family val="2"/>
        <charset val="134"/>
      </rPr>
      <t xml:space="preserve">＝ </t>
    </r>
    <r>
      <rPr>
        <sz val="11"/>
        <color theme="1"/>
        <rFont val="Calibri"/>
        <family val="2"/>
        <charset val="1"/>
      </rPr>
      <t xml:space="preserve">10+5+1 </t>
    </r>
    <r>
      <rPr>
        <sz val="11"/>
        <color theme="1"/>
        <rFont val="Noto Sans SC"/>
        <family val="2"/>
        <charset val="134"/>
      </rPr>
      <t xml:space="preserve">＝ </t>
    </r>
    <r>
      <rPr>
        <sz val="11"/>
        <color theme="1"/>
        <rFont val="Calibri"/>
        <family val="2"/>
        <charset val="1"/>
      </rPr>
      <t xml:space="preserve">16 </t>
    </r>
    <r>
      <rPr>
        <sz val="11"/>
        <color theme="1"/>
        <rFont val="Noto Sans SC"/>
        <family val="2"/>
        <charset val="134"/>
      </rPr>
      <t xml:space="preserve">种；</t>
    </r>
  </si>
  <si>
    <r>
      <rPr>
        <sz val="11"/>
        <color theme="1"/>
        <rFont val="Noto Sans SC"/>
        <family val="2"/>
        <charset val="134"/>
      </rPr>
      <t xml:space="preserve">  每种组合的中奖事件数 ＝ 各列「出现 </t>
    </r>
    <r>
      <rPr>
        <sz val="11"/>
        <color theme="1"/>
        <rFont val="Calibri"/>
        <family val="2"/>
        <charset val="1"/>
      </rPr>
      <t xml:space="preserve">3</t>
    </r>
    <r>
      <rPr>
        <sz val="11"/>
        <color theme="1"/>
        <rFont val="Noto Sans SC"/>
        <family val="2"/>
        <charset val="134"/>
      </rPr>
      <t xml:space="preserve">」或「不出现 </t>
    </r>
    <r>
      <rPr>
        <sz val="11"/>
        <color theme="1"/>
        <rFont val="Calibri"/>
        <family val="2"/>
        <charset val="1"/>
      </rPr>
      <t xml:space="preserve">13</t>
    </r>
    <r>
      <rPr>
        <sz val="11"/>
        <color theme="1"/>
        <rFont val="Noto Sans SC"/>
        <family val="2"/>
        <charset val="134"/>
      </rPr>
      <t xml:space="preserve">」连乘，合计触发几率 ＝ </t>
    </r>
    <r>
      <rPr>
        <sz val="11"/>
        <color theme="1"/>
        <rFont val="Calibri"/>
        <family val="2"/>
        <charset val="1"/>
      </rPr>
      <t xml:space="preserve">**4.8769%**</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</si>
  <si>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原文最终：普通摇 </t>
    </r>
    <r>
      <rPr>
        <sz val="11"/>
        <color theme="1"/>
        <rFont val="Calibri"/>
        <family val="2"/>
        <charset val="1"/>
      </rPr>
      <t xml:space="preserve">RTP 0.6185</t>
    </r>
    <r>
      <rPr>
        <sz val="11"/>
        <color theme="1"/>
        <rFont val="Noto Sans SC"/>
        <family val="2"/>
        <charset val="134"/>
      </rPr>
      <t xml:space="preserve">、免费摇 </t>
    </r>
    <r>
      <rPr>
        <sz val="11"/>
        <color theme="1"/>
        <rFont val="Calibri"/>
        <family val="2"/>
        <charset val="1"/>
      </rPr>
      <t xml:space="preserve">RTP 0.6571</t>
    </r>
    <r>
      <rPr>
        <sz val="11"/>
        <color theme="1"/>
        <rFont val="Noto Sans SC"/>
        <family val="2"/>
        <charset val="134"/>
      </rPr>
      <t xml:space="preserve">、</t>
    </r>
    <r>
      <rPr>
        <sz val="11"/>
        <color theme="1"/>
        <rFont val="Calibri"/>
        <family val="2"/>
        <charset val="1"/>
      </rPr>
      <t xml:space="preserve">**</t>
    </r>
    <r>
      <rPr>
        <sz val="11"/>
        <color theme="1"/>
        <rFont val="Noto Sans SC"/>
        <family val="2"/>
        <charset val="134"/>
      </rPr>
      <t xml:space="preserve">合计 </t>
    </r>
    <r>
      <rPr>
        <sz val="11"/>
        <color theme="1"/>
        <rFont val="Calibri"/>
        <family val="2"/>
        <charset val="1"/>
      </rPr>
      <t xml:space="preserve">1.2756**</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</si>
  <si>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整体 </t>
    </r>
    <r>
      <rPr>
        <sz val="11"/>
        <color theme="1"/>
        <rFont val="Calibri"/>
        <family val="2"/>
        <charset val="1"/>
      </rPr>
      <t xml:space="preserve">RTP </t>
    </r>
    <r>
      <rPr>
        <sz val="11"/>
        <color theme="1"/>
        <rFont val="Noto Sans SC"/>
        <family val="2"/>
        <charset val="134"/>
      </rPr>
      <t xml:space="preserve">＝ 普通摇 </t>
    </r>
    <r>
      <rPr>
        <sz val="11"/>
        <color theme="1"/>
        <rFont val="Calibri"/>
        <family val="2"/>
        <charset val="1"/>
      </rPr>
      <t xml:space="preserve">RTP </t>
    </r>
    <r>
      <rPr>
        <sz val="11"/>
        <color theme="1"/>
        <rFont val="Noto Sans SC"/>
        <family val="2"/>
        <charset val="134"/>
      </rPr>
      <t xml:space="preserve">＋ 触发几率 </t>
    </r>
    <r>
      <rPr>
        <sz val="11"/>
        <color theme="1"/>
        <rFont val="Calibri"/>
        <family val="2"/>
        <charset val="1"/>
      </rPr>
      <t xml:space="preserve">×</t>
    </r>
    <r>
      <rPr>
        <sz val="11"/>
        <color theme="1"/>
        <rFont val="Noto Sans SC"/>
        <family val="2"/>
        <charset val="134"/>
      </rPr>
      <t xml:space="preserve">（综合免费摇期望次数 </t>
    </r>
    <r>
      <rPr>
        <sz val="11"/>
        <color theme="1"/>
        <rFont val="Calibri"/>
        <family val="2"/>
        <charset val="1"/>
      </rPr>
      <t xml:space="preserve">× </t>
    </r>
    <r>
      <rPr>
        <sz val="11"/>
        <color theme="1"/>
        <rFont val="Noto Sans SC"/>
        <family val="2"/>
        <charset val="134"/>
      </rPr>
      <t xml:space="preserve">免费摇单局 </t>
    </r>
    <r>
      <rPr>
        <sz val="11"/>
        <color theme="1"/>
        <rFont val="Calibri"/>
        <family val="2"/>
        <charset val="1"/>
      </rPr>
      <t xml:space="preserve">RTP</t>
    </r>
    <r>
      <rPr>
        <sz val="11"/>
        <color theme="1"/>
        <rFont val="Noto Sans SC"/>
        <family val="2"/>
        <charset val="134"/>
      </rPr>
      <t xml:space="preserve">），</t>
    </r>
  </si>
  <si>
    <t xml:space="preserve">  其中「综合次数」要用无穷级数：额外触发自己还能再触发。</t>
  </si>
  <si>
    <t xml:space="preserve">原文整理（全文，按原文小标题分段）</t>
  </si>
  <si>
    <r>
      <rPr>
        <sz val="11"/>
        <color theme="1"/>
        <rFont val="Calibri"/>
        <family val="2"/>
        <charset val="1"/>
      </rPr>
      <t xml:space="preserve">Scatter</t>
    </r>
    <r>
      <rPr>
        <sz val="11"/>
        <color theme="1"/>
        <rFont val="Noto Sans SC"/>
        <family val="2"/>
        <charset val="134"/>
      </rPr>
      <t xml:space="preserve">时 </t>
    </r>
    <r>
      <rPr>
        <sz val="11"/>
        <color theme="1"/>
        <rFont val="Calibri"/>
        <family val="2"/>
        <charset val="1"/>
      </rPr>
      <t xml:space="preserve">Slots </t>
    </r>
    <r>
      <rPr>
        <sz val="11"/>
        <color theme="1"/>
        <rFont val="Noto Sans SC"/>
        <family val="2"/>
        <charset val="134"/>
      </rPr>
      <t xml:space="preserve">产品中常见的功能性图标</t>
    </r>
  </si>
  <si>
    <t xml:space="preserve">一般用来开启免费摇模式</t>
  </si>
  <si>
    <r>
      <rPr>
        <sz val="11"/>
        <color theme="1"/>
        <rFont val="Noto Sans SC"/>
        <family val="2"/>
        <charset val="134"/>
      </rPr>
      <t xml:space="preserve">本篇将介绍包含</t>
    </r>
    <r>
      <rPr>
        <sz val="11"/>
        <color theme="1"/>
        <rFont val="Calibri"/>
        <family val="2"/>
        <charset val="1"/>
      </rPr>
      <t xml:space="preserve">Scatter</t>
    </r>
    <r>
      <rPr>
        <sz val="11"/>
        <color theme="1"/>
        <rFont val="Noto Sans SC"/>
        <family val="2"/>
        <charset val="134"/>
      </rPr>
      <t xml:space="preserve">触发免费摇</t>
    </r>
    <r>
      <rPr>
        <sz val="11"/>
        <color theme="1"/>
        <rFont val="Calibri"/>
        <family val="2"/>
        <charset val="1"/>
      </rPr>
      <t xml:space="preserve">Feature Game</t>
    </r>
    <r>
      <rPr>
        <sz val="11"/>
        <color theme="1"/>
        <rFont val="Noto Sans SC"/>
        <family val="2"/>
        <charset val="134"/>
      </rPr>
      <t xml:space="preserve">的 </t>
    </r>
    <r>
      <rPr>
        <sz val="11"/>
        <color theme="1"/>
        <rFont val="Calibri"/>
        <family val="2"/>
        <charset val="1"/>
      </rPr>
      <t xml:space="preserve">Slots </t>
    </r>
    <r>
      <rPr>
        <sz val="11"/>
        <color theme="1"/>
        <rFont val="Noto Sans SC"/>
        <family val="2"/>
        <charset val="134"/>
      </rPr>
      <t xml:space="preserve">数值计算方法</t>
    </r>
  </si>
  <si>
    <t xml:space="preserve">机制简介</t>
  </si>
  <si>
    <r>
      <rPr>
        <sz val="11"/>
        <color theme="1"/>
        <rFont val="Noto Sans SC"/>
        <family val="2"/>
        <charset val="134"/>
      </rPr>
      <t xml:space="preserve">首先需要了解</t>
    </r>
    <r>
      <rPr>
        <sz val="11"/>
        <color theme="1"/>
        <rFont val="Calibri"/>
        <family val="2"/>
        <charset val="1"/>
      </rPr>
      <t xml:space="preserve">Scatter</t>
    </r>
    <r>
      <rPr>
        <sz val="11"/>
        <color theme="1"/>
        <rFont val="Noto Sans SC"/>
        <family val="2"/>
        <charset val="134"/>
      </rPr>
      <t xml:space="preserve">图标的概念</t>
    </r>
  </si>
  <si>
    <r>
      <rPr>
        <sz val="11"/>
        <color theme="1"/>
        <rFont val="Noto Sans SC"/>
        <family val="2"/>
        <charset val="134"/>
      </rPr>
      <t xml:space="preserve">在 </t>
    </r>
    <r>
      <rPr>
        <sz val="11"/>
        <color theme="1"/>
        <rFont val="Calibri"/>
        <family val="2"/>
        <charset val="1"/>
      </rPr>
      <t xml:space="preserve">Slots </t>
    </r>
    <r>
      <rPr>
        <sz val="11"/>
        <color theme="1"/>
        <rFont val="Noto Sans SC"/>
        <family val="2"/>
        <charset val="134"/>
      </rPr>
      <t xml:space="preserve">中经常见到出现频率比较低，并且可以出现在任意位置的图标</t>
    </r>
  </si>
  <si>
    <r>
      <rPr>
        <sz val="11"/>
        <color theme="1"/>
        <rFont val="Noto Sans SC"/>
        <family val="2"/>
        <charset val="134"/>
      </rPr>
      <t xml:space="preserve">这些图标一般没有赔付倍数，并且带有“</t>
    </r>
    <r>
      <rPr>
        <sz val="11"/>
        <color theme="1"/>
        <rFont val="Calibri"/>
        <family val="2"/>
        <charset val="1"/>
      </rPr>
      <t xml:space="preserve">Scatter”</t>
    </r>
    <r>
      <rPr>
        <sz val="11"/>
        <color theme="1"/>
        <rFont val="Noto Sans SC"/>
        <family val="2"/>
        <charset val="134"/>
      </rPr>
      <t xml:space="preserve">字样</t>
    </r>
  </si>
  <si>
    <r>
      <rPr>
        <sz val="11"/>
        <color theme="1"/>
        <rFont val="Noto Sans SC"/>
        <family val="2"/>
        <charset val="134"/>
      </rPr>
      <t xml:space="preserve">这些图标就是</t>
    </r>
    <r>
      <rPr>
        <sz val="11"/>
        <color theme="1"/>
        <rFont val="Calibri"/>
        <family val="2"/>
        <charset val="1"/>
      </rPr>
      <t xml:space="preserve">Scatter</t>
    </r>
    <r>
      <rPr>
        <sz val="11"/>
        <color theme="1"/>
        <rFont val="Noto Sans SC"/>
        <family val="2"/>
        <charset val="134"/>
      </rPr>
      <t xml:space="preserve">图标</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</si>
  <si>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624380588-01.jpg</t>
    </r>
  </si>
  <si>
    <r>
      <rPr>
        <sz val="11"/>
        <color theme="1"/>
        <rFont val="Noto Sans SC"/>
        <family val="2"/>
        <charset val="134"/>
      </rPr>
      <t xml:space="preserve">当场上的</t>
    </r>
    <r>
      <rPr>
        <sz val="11"/>
        <color theme="1"/>
        <rFont val="Calibri"/>
        <family val="2"/>
        <charset val="1"/>
      </rPr>
      <t xml:space="preserve">Scatter</t>
    </r>
    <r>
      <rPr>
        <sz val="11"/>
        <color theme="1"/>
        <rFont val="Noto Sans SC"/>
        <family val="2"/>
        <charset val="134"/>
      </rPr>
      <t xml:space="preserve">图标个数大于等于指定图标个数之后，即可触发免费摇</t>
    </r>
  </si>
  <si>
    <r>
      <rPr>
        <sz val="11"/>
        <color theme="1"/>
        <rFont val="Noto Sans SC"/>
        <family val="2"/>
        <charset val="134"/>
      </rPr>
      <t xml:space="preserve">添加了</t>
    </r>
    <r>
      <rPr>
        <sz val="11"/>
        <color theme="1"/>
        <rFont val="Calibri"/>
        <family val="2"/>
        <charset val="1"/>
      </rPr>
      <t xml:space="preserve">Scatter</t>
    </r>
    <r>
      <rPr>
        <sz val="11"/>
        <color theme="1"/>
        <rFont val="Noto Sans SC"/>
        <family val="2"/>
        <charset val="134"/>
      </rPr>
      <t xml:space="preserve">触发免费摇作为</t>
    </r>
    <r>
      <rPr>
        <sz val="11"/>
        <color theme="1"/>
        <rFont val="Calibri"/>
        <family val="2"/>
        <charset val="1"/>
      </rPr>
      <t xml:space="preserve">Feature Game</t>
    </r>
    <r>
      <rPr>
        <sz val="11"/>
        <color theme="1"/>
        <rFont val="Noto Sans SC"/>
        <family val="2"/>
        <charset val="134"/>
      </rPr>
      <t xml:space="preserve">的 </t>
    </r>
    <r>
      <rPr>
        <sz val="11"/>
        <color theme="1"/>
        <rFont val="Calibri"/>
        <family val="2"/>
        <charset val="1"/>
      </rPr>
      <t xml:space="preserve">Slots </t>
    </r>
    <r>
      <rPr>
        <sz val="11"/>
        <color theme="1"/>
        <rFont val="Noto Sans SC"/>
        <family val="2"/>
        <charset val="134"/>
      </rPr>
      <t xml:space="preserve">产品</t>
    </r>
  </si>
  <si>
    <r>
      <rPr>
        <sz val="11"/>
        <color theme="1"/>
        <rFont val="Noto Sans SC"/>
        <family val="2"/>
        <charset val="134"/>
      </rPr>
      <t xml:space="preserve">在计算</t>
    </r>
    <r>
      <rPr>
        <sz val="11"/>
        <color theme="1"/>
        <rFont val="Calibri"/>
        <family val="2"/>
        <charset val="1"/>
      </rPr>
      <t xml:space="preserve">RTP</t>
    </r>
    <r>
      <rPr>
        <sz val="11"/>
        <color theme="1"/>
        <rFont val="Noto Sans SC"/>
        <family val="2"/>
        <charset val="134"/>
      </rPr>
      <t xml:space="preserve">时需要考虑免费摇对整体返奖的影响</t>
    </r>
  </si>
  <si>
    <t xml:space="preserve">部分产品在免费摇中还有几率重复触发免费摇</t>
  </si>
  <si>
    <t xml:space="preserve">则还需要考虑在免费摇中额外获得的免费摇次数</t>
  </si>
  <si>
    <r>
      <rPr>
        <sz val="11"/>
        <color theme="1"/>
        <rFont val="Noto Sans SC"/>
        <family val="2"/>
        <charset val="134"/>
      </rPr>
      <t xml:space="preserve">例如下图中在普通摇时出现大于等于</t>
    </r>
    <r>
      <rPr>
        <sz val="11"/>
        <color theme="1"/>
        <rFont val="Calibri"/>
        <family val="2"/>
        <charset val="1"/>
      </rPr>
      <t xml:space="preserve">3</t>
    </r>
    <r>
      <rPr>
        <sz val="11"/>
        <color theme="1"/>
        <rFont val="Noto Sans SC"/>
        <family val="2"/>
        <charset val="134"/>
      </rPr>
      <t xml:space="preserve">个</t>
    </r>
    <r>
      <rPr>
        <sz val="11"/>
        <color theme="1"/>
        <rFont val="Calibri"/>
        <family val="2"/>
        <charset val="1"/>
      </rPr>
      <t xml:space="preserve">Scatter</t>
    </r>
    <r>
      <rPr>
        <sz val="11"/>
        <color theme="1"/>
        <rFont val="Noto Sans SC"/>
        <family val="2"/>
        <charset val="134"/>
      </rPr>
      <t xml:space="preserve">图标就可以触发对应次数的免费摇</t>
    </r>
  </si>
  <si>
    <r>
      <rPr>
        <sz val="11"/>
        <color theme="1"/>
        <rFont val="Noto Sans SC"/>
        <family val="2"/>
        <charset val="134"/>
      </rPr>
      <t xml:space="preserve">在免费摇中，还可以通过出现大于等于 </t>
    </r>
    <r>
      <rPr>
        <sz val="11"/>
        <color theme="1"/>
        <rFont val="Calibri"/>
        <family val="2"/>
        <charset val="1"/>
      </rPr>
      <t xml:space="preserve">2 </t>
    </r>
    <r>
      <rPr>
        <sz val="11"/>
        <color theme="1"/>
        <rFont val="Noto Sans SC"/>
        <family val="2"/>
        <charset val="134"/>
      </rPr>
      <t xml:space="preserve">个</t>
    </r>
    <r>
      <rPr>
        <sz val="11"/>
        <color theme="1"/>
        <rFont val="Calibri"/>
        <family val="2"/>
        <charset val="1"/>
      </rPr>
      <t xml:space="preserve">Scatter</t>
    </r>
    <r>
      <rPr>
        <sz val="11"/>
        <color theme="1"/>
        <rFont val="Noto Sans SC"/>
        <family val="2"/>
        <charset val="134"/>
      </rPr>
      <t xml:space="preserve">图标获得额外免费摇次数</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</si>
  <si>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624380588-02.jpg</t>
    </r>
  </si>
  <si>
    <r>
      <rPr>
        <sz val="11"/>
        <color theme="1"/>
        <rFont val="Noto Sans SC"/>
        <family val="2"/>
        <charset val="134"/>
      </rPr>
      <t xml:space="preserve">因为 </t>
    </r>
    <r>
      <rPr>
        <sz val="11"/>
        <color theme="1"/>
        <rFont val="Calibri"/>
        <family val="2"/>
        <charset val="1"/>
      </rPr>
      <t xml:space="preserve">Slots </t>
    </r>
    <r>
      <rPr>
        <sz val="11"/>
        <color theme="1"/>
        <rFont val="Noto Sans SC"/>
        <family val="2"/>
        <charset val="134"/>
      </rPr>
      <t xml:space="preserve">的图标出现几率均小于等于</t>
    </r>
    <r>
      <rPr>
        <sz val="11"/>
        <color theme="1"/>
        <rFont val="Calibri"/>
        <family val="2"/>
        <charset val="1"/>
      </rPr>
      <t xml:space="preserve">100%</t>
    </r>
  </si>
  <si>
    <t xml:space="preserve">免费摇的连续触发为收敛的无限极数</t>
  </si>
  <si>
    <t xml:space="preserve">并且由于每局触发免费摇的几率和触发次数固定</t>
  </si>
  <si>
    <t xml:space="preserve">因此可以使用等比无限极数公式计算出免费摇的期望次数</t>
  </si>
  <si>
    <t xml:space="preserve">数值计算——固定卷轴</t>
  </si>
  <si>
    <r>
      <rPr>
        <sz val="11"/>
        <color theme="1"/>
        <rFont val="Noto Sans SC"/>
        <family val="2"/>
        <charset val="134"/>
      </rPr>
      <t xml:space="preserve">先展示固定卷轴 </t>
    </r>
    <r>
      <rPr>
        <sz val="11"/>
        <color theme="1"/>
        <rFont val="Calibri"/>
        <family val="2"/>
        <charset val="1"/>
      </rPr>
      <t xml:space="preserve">Slots </t>
    </r>
    <r>
      <rPr>
        <sz val="11"/>
        <color theme="1"/>
        <rFont val="Noto Sans SC"/>
        <family val="2"/>
        <charset val="134"/>
      </rPr>
      <t xml:space="preserve">带有</t>
    </r>
    <r>
      <rPr>
        <sz val="11"/>
        <color theme="1"/>
        <rFont val="Calibri"/>
        <family val="2"/>
        <charset val="1"/>
      </rPr>
      <t xml:space="preserve">Scatter</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计算方法</t>
    </r>
  </si>
  <si>
    <r>
      <rPr>
        <sz val="11"/>
        <color theme="1"/>
        <rFont val="Noto Sans SC"/>
        <family val="2"/>
        <charset val="134"/>
      </rPr>
      <t xml:space="preserve">卷轴尺寸：</t>
    </r>
    <r>
      <rPr>
        <sz val="11"/>
        <color theme="1"/>
        <rFont val="Calibri"/>
        <family val="2"/>
        <charset val="1"/>
      </rPr>
      <t xml:space="preserve">3*5</t>
    </r>
  </si>
  <si>
    <r>
      <rPr>
        <sz val="11"/>
        <color theme="1"/>
        <rFont val="Noto Sans SC"/>
        <family val="2"/>
        <charset val="134"/>
      </rPr>
      <t xml:space="preserve">标准图标：</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</si>
  <si>
    <r>
      <rPr>
        <sz val="11"/>
        <color theme="1"/>
        <rFont val="Noto Sans SC"/>
        <family val="2"/>
        <charset val="134"/>
      </rPr>
      <t xml:space="preserve">功能图标：</t>
    </r>
    <r>
      <rPr>
        <sz val="11"/>
        <color theme="1"/>
        <rFont val="Calibri"/>
        <family val="2"/>
        <charset val="1"/>
      </rPr>
      <t xml:space="preserve">Wild</t>
    </r>
    <r>
      <rPr>
        <sz val="11"/>
        <color theme="1"/>
        <rFont val="Noto Sans SC"/>
        <family val="2"/>
        <charset val="134"/>
      </rPr>
      <t xml:space="preserve">、</t>
    </r>
    <r>
      <rPr>
        <sz val="11"/>
        <color theme="1"/>
        <rFont val="Calibri"/>
        <family val="2"/>
        <charset val="1"/>
      </rPr>
      <t xml:space="preserve">Scatter</t>
    </r>
  </si>
  <si>
    <r>
      <rPr>
        <sz val="11"/>
        <color theme="1"/>
        <rFont val="Noto Sans SC"/>
        <family val="2"/>
        <charset val="134"/>
      </rPr>
      <t xml:space="preserve">中奖线：</t>
    </r>
    <r>
      <rPr>
        <sz val="11"/>
        <color theme="1"/>
        <rFont val="Calibri"/>
        <family val="2"/>
        <charset val="1"/>
      </rPr>
      <t xml:space="preserve">N</t>
    </r>
    <r>
      <rPr>
        <sz val="11"/>
        <color theme="1"/>
        <rFont val="Noto Sans SC"/>
        <family val="2"/>
        <charset val="134"/>
      </rPr>
      <t xml:space="preserve">（中奖线的设置并不影响</t>
    </r>
    <r>
      <rPr>
        <sz val="11"/>
        <color theme="1"/>
        <rFont val="Calibri"/>
        <family val="2"/>
        <charset val="1"/>
      </rPr>
      <t xml:space="preserve">RTP</t>
    </r>
    <r>
      <rPr>
        <sz val="11"/>
        <color theme="1"/>
        <rFont val="Noto Sans SC"/>
        <family val="2"/>
        <charset val="134"/>
      </rPr>
      <t xml:space="preserve">的计算，可以参见之前的数值篇）</t>
    </r>
  </si>
  <si>
    <r>
      <rPr>
        <sz val="11"/>
        <color theme="1"/>
        <rFont val="Noto Sans SC"/>
        <family val="2"/>
        <charset val="134"/>
      </rPr>
      <t xml:space="preserve">特殊模式触发规则：当同时出现的</t>
    </r>
    <r>
      <rPr>
        <sz val="11"/>
        <color theme="1"/>
        <rFont val="Calibri"/>
        <family val="2"/>
        <charset val="1"/>
      </rPr>
      <t xml:space="preserve">Scatter</t>
    </r>
    <r>
      <rPr>
        <sz val="11"/>
        <color theme="1"/>
        <rFont val="Noto Sans SC"/>
        <family val="2"/>
        <charset val="134"/>
      </rPr>
      <t xml:space="preserve">个数大于等于</t>
    </r>
    <r>
      <rPr>
        <sz val="11"/>
        <color theme="1"/>
        <rFont val="Calibri"/>
        <family val="2"/>
        <charset val="1"/>
      </rPr>
      <t xml:space="preserve">3</t>
    </r>
    <r>
      <rPr>
        <sz val="11"/>
        <color theme="1"/>
        <rFont val="Noto Sans SC"/>
        <family val="2"/>
        <charset val="134"/>
      </rPr>
      <t xml:space="preserve">次时可以触发免费摇，个数越多，免费摇次数越多；在免费摇模式中可以重复触发以获得额外免费摇次数</t>
    </r>
  </si>
  <si>
    <t xml:space="preserve">首先设置一条固定卷轴</t>
  </si>
  <si>
    <t xml:space="preserve">这里采用普通摇和免费摇使用同一组卷轴的设计方法</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</si>
  <si>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624380588-03.jpg</t>
    </r>
  </si>
  <si>
    <t xml:space="preserve">读取卷轴中的图标个数</t>
  </si>
  <si>
    <r>
      <rPr>
        <sz val="11"/>
        <color theme="1"/>
        <rFont val="Noto Sans SC"/>
        <family val="2"/>
        <charset val="134"/>
      </rPr>
      <t xml:space="preserve">次数需要注意计算标准图标赔付倍数时需要考虑</t>
    </r>
    <r>
      <rPr>
        <sz val="11"/>
        <color theme="1"/>
        <rFont val="Calibri"/>
        <family val="2"/>
        <charset val="1"/>
      </rPr>
      <t xml:space="preserve">Wild</t>
    </r>
    <r>
      <rPr>
        <sz val="11"/>
        <color theme="1"/>
        <rFont val="Noto Sans SC"/>
        <family val="2"/>
        <charset val="134"/>
      </rPr>
      <t xml:space="preserve">带来的出现事件数加成</t>
    </r>
  </si>
  <si>
    <r>
      <rPr>
        <sz val="11"/>
        <color theme="1"/>
        <rFont val="Calibri"/>
        <family val="2"/>
        <charset val="1"/>
      </rPr>
      <t xml:space="preserve">Scatter</t>
    </r>
    <r>
      <rPr>
        <sz val="11"/>
        <color theme="1"/>
        <rFont val="Noto Sans SC"/>
        <family val="2"/>
        <charset val="134"/>
      </rPr>
      <t xml:space="preserve">图标不用加上</t>
    </r>
    <r>
      <rPr>
        <sz val="11"/>
        <color theme="1"/>
        <rFont val="Calibri"/>
        <family val="2"/>
        <charset val="1"/>
      </rPr>
      <t xml:space="preserve">Wild</t>
    </r>
    <r>
      <rPr>
        <sz val="11"/>
        <color theme="1"/>
        <rFont val="Noto Sans SC"/>
        <family val="2"/>
        <charset val="134"/>
      </rPr>
      <t xml:space="preserve">，因为</t>
    </r>
    <r>
      <rPr>
        <sz val="11"/>
        <color theme="1"/>
        <rFont val="Calibri"/>
        <family val="2"/>
        <charset val="1"/>
      </rPr>
      <t xml:space="preserve">Wild</t>
    </r>
    <r>
      <rPr>
        <sz val="11"/>
        <color theme="1"/>
        <rFont val="Noto Sans SC"/>
        <family val="2"/>
        <charset val="134"/>
      </rPr>
      <t xml:space="preserve">只能被视为标准图标</t>
    </r>
  </si>
  <si>
    <r>
      <rPr>
        <sz val="11"/>
        <color theme="1"/>
        <rFont val="Calibri"/>
        <family val="2"/>
        <charset val="1"/>
      </rPr>
      <t xml:space="preserve">Scatter</t>
    </r>
    <r>
      <rPr>
        <sz val="11"/>
        <color theme="1"/>
        <rFont val="Noto Sans SC"/>
        <family val="2"/>
        <charset val="134"/>
      </rPr>
      <t xml:space="preserve">、</t>
    </r>
    <r>
      <rPr>
        <sz val="11"/>
        <color theme="1"/>
        <rFont val="Calibri"/>
        <family val="2"/>
        <charset val="1"/>
      </rPr>
      <t xml:space="preserve">Bonus</t>
    </r>
    <r>
      <rPr>
        <sz val="11"/>
        <color theme="1"/>
        <rFont val="Noto Sans SC"/>
        <family val="2"/>
        <charset val="134"/>
      </rPr>
      <t xml:space="preserve">、</t>
    </r>
    <r>
      <rPr>
        <sz val="11"/>
        <color theme="1"/>
        <rFont val="Calibri"/>
        <family val="2"/>
        <charset val="1"/>
      </rPr>
      <t xml:space="preserve">Multiplier</t>
    </r>
    <r>
      <rPr>
        <sz val="11"/>
        <color theme="1"/>
        <rFont val="Noto Sans SC"/>
        <family val="2"/>
        <charset val="134"/>
      </rPr>
      <t xml:space="preserve">等功能图标不会被</t>
    </r>
    <r>
      <rPr>
        <sz val="11"/>
        <color theme="1"/>
        <rFont val="Calibri"/>
        <family val="2"/>
        <charset val="1"/>
      </rPr>
      <t xml:space="preserve">Wild</t>
    </r>
    <r>
      <rPr>
        <sz val="11"/>
        <color theme="1"/>
        <rFont val="Noto Sans SC"/>
        <family val="2"/>
        <charset val="134"/>
      </rPr>
      <t xml:space="preserve">替代</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</si>
  <si>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624380588-04.jpg</t>
    </r>
  </si>
  <si>
    <t xml:space="preserve">依据出现的事件数，计算不会出现的事件数</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</si>
  <si>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624380588-05.jpg</t>
    </r>
  </si>
  <si>
    <t xml:space="preserve">依据出现和不出现的事件数</t>
  </si>
  <si>
    <t xml:space="preserve">计算出标准图标的中奖率</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</si>
  <si>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624380588-06.jpg</t>
    </r>
  </si>
  <si>
    <r>
      <rPr>
        <sz val="11"/>
        <color theme="1"/>
        <rFont val="Noto Sans SC"/>
        <family val="2"/>
        <charset val="134"/>
      </rPr>
      <t xml:space="preserve">依据中奖率计算得出标准图标普通摇</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</si>
  <si>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624380588-07.jpg</t>
    </r>
  </si>
  <si>
    <r>
      <rPr>
        <sz val="11"/>
        <color theme="1"/>
        <rFont val="Noto Sans SC"/>
        <family val="2"/>
        <charset val="134"/>
      </rPr>
      <t xml:space="preserve">一般的 </t>
    </r>
    <r>
      <rPr>
        <sz val="11"/>
        <color theme="1"/>
        <rFont val="Calibri"/>
        <family val="2"/>
        <charset val="1"/>
      </rPr>
      <t xml:space="preserve">Slots </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计算就到此结束了</t>
    </r>
  </si>
  <si>
    <r>
      <rPr>
        <sz val="11"/>
        <color theme="1"/>
        <rFont val="Noto Sans SC"/>
        <family val="2"/>
        <charset val="134"/>
      </rPr>
      <t xml:space="preserve">包含</t>
    </r>
    <r>
      <rPr>
        <sz val="11"/>
        <color theme="1"/>
        <rFont val="Calibri"/>
        <family val="2"/>
        <charset val="1"/>
      </rPr>
      <t xml:space="preserve">Scatter</t>
    </r>
    <r>
      <rPr>
        <sz val="11"/>
        <color theme="1"/>
        <rFont val="Noto Sans SC"/>
        <family val="2"/>
        <charset val="134"/>
      </rPr>
      <t xml:space="preserve">后，还需要计算</t>
    </r>
    <r>
      <rPr>
        <sz val="11"/>
        <color theme="1"/>
        <rFont val="Calibri"/>
        <family val="2"/>
        <charset val="1"/>
      </rPr>
      <t xml:space="preserve">Scatter</t>
    </r>
    <r>
      <rPr>
        <sz val="11"/>
        <color theme="1"/>
        <rFont val="Noto Sans SC"/>
        <family val="2"/>
        <charset val="134"/>
      </rPr>
      <t xml:space="preserve">触发免费摇的</t>
    </r>
    <r>
      <rPr>
        <sz val="11"/>
        <color theme="1"/>
        <rFont val="Calibri"/>
        <family val="2"/>
        <charset val="1"/>
      </rPr>
      <t xml:space="preserve">RTP</t>
    </r>
  </si>
  <si>
    <r>
      <rPr>
        <sz val="11"/>
        <color theme="1"/>
        <rFont val="Noto Sans SC"/>
        <family val="2"/>
        <charset val="134"/>
      </rPr>
      <t xml:space="preserve">首先需要计算</t>
    </r>
    <r>
      <rPr>
        <sz val="11"/>
        <color theme="1"/>
        <rFont val="Calibri"/>
        <family val="2"/>
        <charset val="1"/>
      </rPr>
      <t xml:space="preserve">Scatter</t>
    </r>
    <r>
      <rPr>
        <sz val="11"/>
        <color theme="1"/>
        <rFont val="Noto Sans SC"/>
        <family val="2"/>
        <charset val="134"/>
      </rPr>
      <t xml:space="preserve">触发免费摇的几率</t>
    </r>
  </si>
  <si>
    <t xml:space="preserve">从之前计算图标出现的事件数时一步步计算过来的话可以发现</t>
  </si>
  <si>
    <r>
      <rPr>
        <sz val="11"/>
        <color theme="1"/>
        <rFont val="Noto Sans SC"/>
        <family val="2"/>
        <charset val="134"/>
      </rPr>
      <t xml:space="preserve">计算图标出现数时，</t>
    </r>
    <r>
      <rPr>
        <sz val="11"/>
        <color theme="1"/>
        <rFont val="Calibri"/>
        <family val="2"/>
        <charset val="1"/>
      </rPr>
      <t xml:space="preserve">Scatter</t>
    </r>
    <r>
      <rPr>
        <sz val="11"/>
        <color theme="1"/>
        <rFont val="Noto Sans SC"/>
        <family val="2"/>
        <charset val="134"/>
      </rPr>
      <t xml:space="preserve">的出现次数比固定卷轴上的出现次数要多一些</t>
    </r>
  </si>
  <si>
    <r>
      <rPr>
        <sz val="11"/>
        <color theme="1"/>
        <rFont val="Noto Sans SC"/>
        <family val="2"/>
        <charset val="134"/>
      </rPr>
      <t xml:space="preserve">这是因为</t>
    </r>
    <r>
      <rPr>
        <sz val="11"/>
        <color theme="1"/>
        <rFont val="Calibri"/>
        <family val="2"/>
        <charset val="1"/>
      </rPr>
      <t xml:space="preserve">Line Slots</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计算方法是拆出一条中奖线来计算的</t>
    </r>
  </si>
  <si>
    <r>
      <rPr>
        <sz val="11"/>
        <color theme="1"/>
        <rFont val="Noto Sans SC"/>
        <family val="2"/>
        <charset val="134"/>
      </rPr>
      <t xml:space="preserve">但是</t>
    </r>
    <r>
      <rPr>
        <sz val="11"/>
        <color theme="1"/>
        <rFont val="Calibri"/>
        <family val="2"/>
        <charset val="1"/>
      </rPr>
      <t xml:space="preserve">Scatter</t>
    </r>
    <r>
      <rPr>
        <sz val="11"/>
        <color theme="1"/>
        <rFont val="Noto Sans SC"/>
        <family val="2"/>
        <charset val="134"/>
      </rPr>
      <t xml:space="preserve">触发</t>
    </r>
    <r>
      <rPr>
        <sz val="11"/>
        <color theme="1"/>
        <rFont val="Calibri"/>
        <family val="2"/>
        <charset val="1"/>
      </rPr>
      <t xml:space="preserve">Free Game</t>
    </r>
    <r>
      <rPr>
        <sz val="11"/>
        <color theme="1"/>
        <rFont val="Noto Sans SC"/>
        <family val="2"/>
        <charset val="134"/>
      </rPr>
      <t xml:space="preserve">并不要求图标出现在中奖线上</t>
    </r>
  </si>
  <si>
    <r>
      <rPr>
        <sz val="11"/>
        <color theme="1"/>
        <rFont val="Noto Sans SC"/>
        <family val="2"/>
        <charset val="134"/>
      </rPr>
      <t xml:space="preserve">计算其出现的可能性时，需要考虑其出现在该列卷轴任意位置的可能性，因此需要乘上该列图标的个数，才能计算得到该列出现</t>
    </r>
    <r>
      <rPr>
        <sz val="11"/>
        <color theme="1"/>
        <rFont val="Calibri"/>
        <family val="2"/>
        <charset val="1"/>
      </rPr>
      <t xml:space="preserve">Scatter</t>
    </r>
    <r>
      <rPr>
        <sz val="11"/>
        <color theme="1"/>
        <rFont val="Noto Sans SC"/>
        <family val="2"/>
        <charset val="134"/>
      </rPr>
      <t xml:space="preserve">图标的 期望</t>
    </r>
  </si>
  <si>
    <t xml:space="preserve">这里需要注意计算得到的不是几率，而是期望，已经考虑了个数</t>
  </si>
  <si>
    <r>
      <rPr>
        <sz val="11"/>
        <color theme="1"/>
        <rFont val="Noto Sans SC"/>
        <family val="2"/>
        <charset val="134"/>
      </rPr>
      <t xml:space="preserve">依据排列可以算出，</t>
    </r>
    <r>
      <rPr>
        <sz val="11"/>
        <color theme="1"/>
        <rFont val="Calibri"/>
        <family val="2"/>
        <charset val="1"/>
      </rPr>
      <t xml:space="preserve">Scatter</t>
    </r>
    <r>
      <rPr>
        <sz val="11"/>
        <color theme="1"/>
        <rFont val="Noto Sans SC"/>
        <family val="2"/>
        <charset val="134"/>
      </rPr>
      <t xml:space="preserve">触发免费摇共有 </t>
    </r>
    <r>
      <rPr>
        <sz val="11"/>
        <color theme="1"/>
        <rFont val="Calibri"/>
        <family val="2"/>
        <charset val="1"/>
      </rPr>
      <t xml:space="preserve">10 + 5 + 1 = 16</t>
    </r>
    <r>
      <rPr>
        <sz val="11"/>
        <color theme="1"/>
        <rFont val="Noto Sans SC"/>
        <family val="2"/>
        <charset val="134"/>
      </rPr>
      <t xml:space="preserve">种组合</t>
    </r>
  </si>
  <si>
    <r>
      <rPr>
        <sz val="11"/>
        <color theme="1"/>
        <rFont val="Noto Sans SC"/>
        <family val="2"/>
        <charset val="134"/>
      </rPr>
      <t xml:space="preserve">将</t>
    </r>
    <r>
      <rPr>
        <sz val="11"/>
        <color theme="1"/>
        <rFont val="Calibri"/>
        <family val="2"/>
        <charset val="1"/>
      </rPr>
      <t xml:space="preserve">16</t>
    </r>
    <r>
      <rPr>
        <sz val="11"/>
        <color theme="1"/>
        <rFont val="Noto Sans SC"/>
        <family val="2"/>
        <charset val="134"/>
      </rPr>
      <t xml:space="preserve">中组合列下来并依据</t>
    </r>
    <r>
      <rPr>
        <sz val="11"/>
        <color theme="1"/>
        <rFont val="Calibri"/>
        <family val="2"/>
        <charset val="1"/>
      </rPr>
      <t xml:space="preserve">Scatter</t>
    </r>
    <r>
      <rPr>
        <sz val="11"/>
        <color theme="1"/>
        <rFont val="Noto Sans SC"/>
        <family val="2"/>
        <charset val="134"/>
      </rPr>
      <t xml:space="preserve">图标出现的期望计算得出各种组合对应的触发率</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</si>
  <si>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624380588-08.jpg</t>
    </r>
  </si>
  <si>
    <t xml:space="preserve">再用触发几率乘上对应的免费摇次数</t>
  </si>
  <si>
    <t xml:space="preserve">加总后得到免费摇的期望次数</t>
  </si>
  <si>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624380588-09.jpg</t>
    </r>
  </si>
  <si>
    <r>
      <rPr>
        <sz val="11"/>
        <color theme="1"/>
        <rFont val="Noto Sans SC"/>
        <family val="2"/>
        <charset val="134"/>
      </rPr>
      <t xml:space="preserve">得到免费摇期望次数后，还需要计算免费摇的标准图标</t>
    </r>
    <r>
      <rPr>
        <sz val="11"/>
        <color theme="1"/>
        <rFont val="Calibri"/>
        <family val="2"/>
        <charset val="1"/>
      </rPr>
      <t xml:space="preserve">RTP</t>
    </r>
    <r>
      <rPr>
        <sz val="11"/>
        <color theme="1"/>
        <rFont val="Noto Sans SC"/>
        <family val="2"/>
        <charset val="134"/>
      </rPr>
      <t xml:space="preserve">和每次摇奖能够获得额外免费摇的期望</t>
    </r>
  </si>
  <si>
    <r>
      <rPr>
        <sz val="11"/>
        <color theme="1"/>
        <rFont val="Noto Sans SC"/>
        <family val="2"/>
        <charset val="134"/>
      </rPr>
      <t xml:space="preserve">标准图标</t>
    </r>
    <r>
      <rPr>
        <sz val="11"/>
        <color theme="1"/>
        <rFont val="Calibri"/>
        <family val="2"/>
        <charset val="1"/>
      </rPr>
      <t xml:space="preserve">RTP</t>
    </r>
    <r>
      <rPr>
        <sz val="11"/>
        <color theme="1"/>
        <rFont val="Noto Sans SC"/>
        <family val="2"/>
        <charset val="134"/>
      </rPr>
      <t xml:space="preserve">计算步骤和普通比较相似，这里就不再重复了，具体如下表所示：</t>
    </r>
  </si>
  <si>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624380588-10.jpg</t>
    </r>
  </si>
  <si>
    <t xml:space="preserve">计算额外步骤方面，首先需要计算额外触发的几率和期望，该步骤和普通摇触发免费摇的计算步骤一致，具体如下：</t>
  </si>
  <si>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624380588-11.jpg</t>
    </r>
  </si>
  <si>
    <r>
      <rPr>
        <sz val="11"/>
        <color theme="1"/>
        <rFont val="Noto Sans SC"/>
        <family val="2"/>
        <charset val="134"/>
      </rPr>
      <t xml:space="preserve">得到期望次数后，并不是使用（</t>
    </r>
    <r>
      <rPr>
        <sz val="11"/>
        <color theme="1"/>
        <rFont val="Calibri"/>
        <family val="2"/>
        <charset val="1"/>
      </rPr>
      <t xml:space="preserve">1+</t>
    </r>
    <r>
      <rPr>
        <sz val="11"/>
        <color theme="1"/>
        <rFont val="Noto Sans SC"/>
        <family val="2"/>
        <charset val="134"/>
      </rPr>
      <t xml:space="preserve">期望次数） </t>
    </r>
    <r>
      <rPr>
        <sz val="11"/>
        <color theme="1"/>
        <rFont val="Calibri"/>
        <family val="2"/>
        <charset val="1"/>
      </rPr>
      <t xml:space="preserve">* </t>
    </r>
    <r>
      <rPr>
        <sz val="11"/>
        <color theme="1"/>
        <rFont val="Noto Sans SC"/>
        <family val="2"/>
        <charset val="134"/>
      </rPr>
      <t xml:space="preserve">基础次数就能得到额外触发后的免费摇次数</t>
    </r>
  </si>
  <si>
    <t xml:space="preserve">因为额外次数依旧可以进一步触发更多额外次数</t>
  </si>
  <si>
    <t xml:space="preserve">这里要用到无穷级数求和</t>
  </si>
  <si>
    <t xml:space="preserve">直接套用等比无穷级数的求和公式</t>
  </si>
  <si>
    <r>
      <rPr>
        <sz val="11"/>
        <color theme="1"/>
        <rFont val="Noto Sans SC"/>
        <family val="2"/>
        <charset val="134"/>
      </rPr>
      <t xml:space="preserve">［配图 </t>
    </r>
    <r>
      <rPr>
        <sz val="11"/>
        <color theme="1"/>
        <rFont val="Calibri"/>
        <family val="2"/>
        <charset val="1"/>
      </rPr>
      <t xml:space="preserve">12</t>
    </r>
    <r>
      <rPr>
        <sz val="11"/>
        <color theme="1"/>
        <rFont val="Noto Sans SC"/>
        <family val="2"/>
        <charset val="134"/>
      </rPr>
      <t xml:space="preserve">］</t>
    </r>
    <r>
      <rPr>
        <sz val="11"/>
        <color theme="1"/>
        <rFont val="Calibri"/>
        <family val="2"/>
        <charset val="1"/>
      </rPr>
      <t xml:space="preserve">624380588-12.jpg</t>
    </r>
  </si>
  <si>
    <t xml:space="preserve">得到：</t>
  </si>
  <si>
    <r>
      <rPr>
        <sz val="11"/>
        <color theme="1"/>
        <rFont val="Noto Sans SC"/>
        <family val="2"/>
        <charset val="134"/>
      </rPr>
      <t xml:space="preserve">［配图 </t>
    </r>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624380588-13.png</t>
    </r>
  </si>
  <si>
    <r>
      <rPr>
        <sz val="11"/>
        <color theme="1"/>
        <rFont val="Noto Sans SC"/>
        <family val="2"/>
        <charset val="134"/>
      </rPr>
      <t xml:space="preserve">在读取之前计算得出的普通摇标准图标</t>
    </r>
    <r>
      <rPr>
        <sz val="11"/>
        <color theme="1"/>
        <rFont val="Calibri"/>
        <family val="2"/>
        <charset val="1"/>
      </rPr>
      <t xml:space="preserve">RTP</t>
    </r>
    <r>
      <rPr>
        <sz val="11"/>
        <color theme="1"/>
        <rFont val="Noto Sans SC"/>
        <family val="2"/>
        <charset val="134"/>
      </rPr>
      <t xml:space="preserve">、免费摇期望次数、免费摇标准图标</t>
    </r>
    <r>
      <rPr>
        <sz val="11"/>
        <color theme="1"/>
        <rFont val="Calibri"/>
        <family val="2"/>
        <charset val="1"/>
      </rPr>
      <t xml:space="preserve">RTP</t>
    </r>
    <r>
      <rPr>
        <sz val="11"/>
        <color theme="1"/>
        <rFont val="Noto Sans SC"/>
        <family val="2"/>
        <charset val="134"/>
      </rPr>
      <t xml:space="preserve">和单次平均摇奖数，得到 </t>
    </r>
    <r>
      <rPr>
        <sz val="11"/>
        <color theme="1"/>
        <rFont val="Calibri"/>
        <family val="2"/>
        <charset val="1"/>
      </rPr>
      <t xml:space="preserve">Slots </t>
    </r>
    <r>
      <rPr>
        <sz val="11"/>
        <color theme="1"/>
        <rFont val="Noto Sans SC"/>
        <family val="2"/>
        <charset val="134"/>
      </rPr>
      <t xml:space="preserve">的整体</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</si>
  <si>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14</t>
    </r>
    <r>
      <rPr>
        <sz val="11"/>
        <color theme="1"/>
        <rFont val="Noto Sans SC"/>
        <family val="2"/>
        <charset val="134"/>
      </rPr>
      <t xml:space="preserve">］</t>
    </r>
    <r>
      <rPr>
        <sz val="11"/>
        <color theme="1"/>
        <rFont val="Calibri"/>
        <family val="2"/>
        <charset val="1"/>
      </rPr>
      <t xml:space="preserve">624380588-14.jpg</t>
    </r>
  </si>
  <si>
    <r>
      <rPr>
        <sz val="11"/>
        <color theme="1"/>
        <rFont val="Noto Sans SC"/>
        <family val="2"/>
        <charset val="134"/>
      </rPr>
      <t xml:space="preserve">综上所述，在计算包含</t>
    </r>
    <r>
      <rPr>
        <sz val="11"/>
        <color theme="1"/>
        <rFont val="Calibri"/>
        <family val="2"/>
        <charset val="1"/>
      </rPr>
      <t xml:space="preserve">Scatter</t>
    </r>
    <r>
      <rPr>
        <sz val="11"/>
        <color theme="1"/>
        <rFont val="Noto Sans SC"/>
        <family val="2"/>
        <charset val="134"/>
      </rPr>
      <t xml:space="preserve">触发的免费摇 </t>
    </r>
    <r>
      <rPr>
        <sz val="11"/>
        <color theme="1"/>
        <rFont val="Calibri"/>
        <family val="2"/>
        <charset val="1"/>
      </rPr>
      <t xml:space="preserve">Slots RTP</t>
    </r>
    <r>
      <rPr>
        <sz val="11"/>
        <color theme="1"/>
        <rFont val="Noto Sans SC"/>
        <family val="2"/>
        <charset val="134"/>
      </rPr>
      <t xml:space="preserve">时，需要计算普通摇和免费摇两种模式的</t>
    </r>
    <r>
      <rPr>
        <sz val="11"/>
        <color theme="1"/>
        <rFont val="Calibri"/>
        <family val="2"/>
        <charset val="1"/>
      </rPr>
      <t xml:space="preserve">RTP</t>
    </r>
  </si>
  <si>
    <t xml:space="preserve">当增加更多特殊模式时，复用该特殊模式进行计算即可</t>
  </si>
  <si>
    <t xml:space="preserve">整体计算步骤如下图所示：</t>
  </si>
  <si>
    <r>
      <rPr>
        <sz val="11"/>
        <color theme="1"/>
        <rFont val="Noto Sans SC"/>
        <family val="2"/>
        <charset val="134"/>
      </rPr>
      <t xml:space="preserve">［配图 </t>
    </r>
    <r>
      <rPr>
        <sz val="11"/>
        <color theme="1"/>
        <rFont val="Calibri"/>
        <family val="2"/>
        <charset val="1"/>
      </rPr>
      <t xml:space="preserve">15</t>
    </r>
    <r>
      <rPr>
        <sz val="11"/>
        <color theme="1"/>
        <rFont val="Noto Sans SC"/>
        <family val="2"/>
        <charset val="134"/>
      </rPr>
      <t xml:space="preserve">］</t>
    </r>
    <r>
      <rPr>
        <sz val="11"/>
        <color theme="1"/>
        <rFont val="Calibri"/>
        <family val="2"/>
        <charset val="1"/>
      </rPr>
      <t xml:space="preserve">624380588-15.jpg</t>
    </r>
  </si>
  <si>
    <t xml:space="preserve">前几期的数值计算中随机卷轴和固定卷轴的差异基本上就只是初始计算几率的步骤不同</t>
  </si>
  <si>
    <r>
      <rPr>
        <sz val="11"/>
        <color theme="1"/>
        <rFont val="Noto Sans SC"/>
        <family val="2"/>
        <charset val="134"/>
      </rPr>
      <t xml:space="preserve">但是在包含</t>
    </r>
    <r>
      <rPr>
        <sz val="11"/>
        <color theme="1"/>
        <rFont val="Calibri"/>
        <family val="2"/>
        <charset val="1"/>
      </rPr>
      <t xml:space="preserve">Scatter</t>
    </r>
    <r>
      <rPr>
        <sz val="11"/>
        <color theme="1"/>
        <rFont val="Noto Sans SC"/>
        <family val="2"/>
        <charset val="134"/>
      </rPr>
      <t xml:space="preserve">的老虎机时，固定卷轴和随机卷轴的计算方式出现了较大差异</t>
    </r>
  </si>
  <si>
    <r>
      <rPr>
        <b val="true"/>
        <sz val="11"/>
        <rFont val="Noto Sans SC"/>
        <family val="2"/>
        <charset val="134"/>
      </rPr>
      <t xml:space="preserve">原文配图清单（共 </t>
    </r>
    <r>
      <rPr>
        <b val="true"/>
        <sz val="11"/>
        <rFont val="Cambria"/>
        <family val="0"/>
        <charset val="1"/>
      </rPr>
      <t xml:space="preserve">15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</si>
  <si>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624380588-01.jpg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</si>
  <si>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624380588-02.jpg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</si>
  <si>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624380588-03.jpg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</si>
  <si>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624380588-04.jpg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</si>
  <si>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624380588-05.jpg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</si>
  <si>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624380588-06.jpg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</si>
  <si>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624380588-07.jpg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</si>
  <si>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624380588-08.jpg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</si>
  <si>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624380588-09.jpg</t>
    </r>
  </si>
  <si>
    <r>
      <rPr>
        <sz val="11"/>
        <color rgb="FF808080"/>
        <rFont val="Noto Sans SC"/>
        <family val="2"/>
        <charset val="134"/>
      </rPr>
      <t xml:space="preserve">［配图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624380588-10.jpg</t>
    </r>
  </si>
  <si>
    <r>
      <rPr>
        <sz val="11"/>
        <color rgb="FF808080"/>
        <rFont val="Noto Sans SC"/>
        <family val="2"/>
        <charset val="134"/>
      </rPr>
      <t xml:space="preserve">［配图 </t>
    </r>
    <r>
      <rPr>
        <sz val="11"/>
        <color rgb="FF808080"/>
        <rFont val="Cambria"/>
        <family val="0"/>
        <charset val="1"/>
      </rPr>
      <t xml:space="preserve">11</t>
    </r>
    <r>
      <rPr>
        <sz val="11"/>
        <color rgb="FF808080"/>
        <rFont val="Noto Sans SC"/>
        <family val="2"/>
        <charset val="134"/>
      </rPr>
      <t xml:space="preserve">］</t>
    </r>
    <r>
      <rPr>
        <sz val="11"/>
        <color rgb="FF808080"/>
        <rFont val="Cambria"/>
        <family val="0"/>
        <charset val="1"/>
      </rPr>
      <t xml:space="preserve">624380588-11.jpg</t>
    </r>
  </si>
  <si>
    <r>
      <rPr>
        <sz val="11"/>
        <color rgb="FF808080"/>
        <rFont val="Noto Sans SC"/>
        <family val="2"/>
        <charset val="134"/>
      </rPr>
      <t xml:space="preserve">［配图 </t>
    </r>
    <r>
      <rPr>
        <sz val="11"/>
        <color rgb="FF808080"/>
        <rFont val="Cambria"/>
        <family val="0"/>
        <charset val="1"/>
      </rPr>
      <t xml:space="preserve">12</t>
    </r>
    <r>
      <rPr>
        <sz val="11"/>
        <color rgb="FF808080"/>
        <rFont val="Noto Sans SC"/>
        <family val="2"/>
        <charset val="134"/>
      </rPr>
      <t xml:space="preserve">］</t>
    </r>
    <r>
      <rPr>
        <sz val="11"/>
        <color rgb="FF808080"/>
        <rFont val="Cambria"/>
        <family val="0"/>
        <charset val="1"/>
      </rPr>
      <t xml:space="preserve">624380588-12.jpg</t>
    </r>
  </si>
  <si>
    <r>
      <rPr>
        <sz val="11"/>
        <color rgb="FF808080"/>
        <rFont val="Noto Sans SC"/>
        <family val="2"/>
        <charset val="134"/>
      </rPr>
      <t xml:space="preserve">［配图 </t>
    </r>
    <r>
      <rPr>
        <sz val="11"/>
        <color rgb="FF808080"/>
        <rFont val="Cambria"/>
        <family val="0"/>
        <charset val="1"/>
      </rPr>
      <t xml:space="preserve">13</t>
    </r>
    <r>
      <rPr>
        <sz val="11"/>
        <color rgb="FF808080"/>
        <rFont val="Noto Sans SC"/>
        <family val="2"/>
        <charset val="134"/>
      </rPr>
      <t xml:space="preserve">］</t>
    </r>
    <r>
      <rPr>
        <sz val="11"/>
        <color rgb="FF808080"/>
        <rFont val="Cambria"/>
        <family val="0"/>
        <charset val="1"/>
      </rPr>
      <t xml:space="preserve">624380588-13.png</t>
    </r>
  </si>
  <si>
    <r>
      <rPr>
        <sz val="11"/>
        <color rgb="FF808080"/>
        <rFont val="Noto Sans SC"/>
        <family val="2"/>
        <charset val="134"/>
      </rPr>
      <t xml:space="preserve">［配图 </t>
    </r>
    <r>
      <rPr>
        <sz val="11"/>
        <color rgb="FF808080"/>
        <rFont val="Cambria"/>
        <family val="0"/>
        <charset val="1"/>
      </rPr>
      <t xml:space="preserve">14</t>
    </r>
    <r>
      <rPr>
        <sz val="11"/>
        <color rgb="FF808080"/>
        <rFont val="Noto Sans SC"/>
        <family val="2"/>
        <charset val="134"/>
      </rPr>
      <t xml:space="preserve">］</t>
    </r>
    <r>
      <rPr>
        <sz val="11"/>
        <color rgb="FF808080"/>
        <rFont val="Cambria"/>
        <family val="0"/>
        <charset val="1"/>
      </rPr>
      <t xml:space="preserve">624380588-14.jpg</t>
    </r>
  </si>
  <si>
    <r>
      <rPr>
        <sz val="11"/>
        <color rgb="FF808080"/>
        <rFont val="Noto Sans SC"/>
        <family val="2"/>
        <charset val="134"/>
      </rPr>
      <t xml:space="preserve">［配图 </t>
    </r>
    <r>
      <rPr>
        <sz val="11"/>
        <color rgb="FF808080"/>
        <rFont val="Cambria"/>
        <family val="0"/>
        <charset val="1"/>
      </rPr>
      <t xml:space="preserve">15</t>
    </r>
    <r>
      <rPr>
        <sz val="11"/>
        <color rgb="FF808080"/>
        <rFont val="Noto Sans SC"/>
        <family val="2"/>
        <charset val="134"/>
      </rPr>
      <t xml:space="preserve">］</t>
    </r>
    <r>
      <rPr>
        <sz val="11"/>
        <color rgb="FF808080"/>
        <rFont val="Cambria"/>
        <family val="0"/>
        <charset val="1"/>
      </rPr>
      <t xml:space="preserve">624380588-15.jpg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</si>
  <si>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</si>
  <si>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</si>
  <si>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</si>
  <si>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</si>
  <si>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</si>
  <si>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</si>
  <si>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Scatter(1)</t>
    </r>
    <r>
      <rPr>
        <sz val="11"/>
        <color rgb="FF808080"/>
        <rFont val="Noto Sans SC"/>
        <family val="2"/>
        <charset val="134"/>
      </rPr>
      <t xml:space="preserve">》</t>
    </r>
    <r>
      <rPr>
        <sz val="11"/>
        <color rgb="FF808080"/>
        <rFont val="Cambria"/>
        <family val="0"/>
        <charset val="1"/>
      </rPr>
      <t xml:space="preserve">, https://zhuanlan.zhihu.com/p/624380588</t>
    </r>
  </si>
  <si>
    <r>
      <rPr>
        <b val="true"/>
        <sz val="14"/>
        <color rgb="FF1F4E79"/>
        <rFont val="Noto Sans SC"/>
        <family val="2"/>
        <charset val="134"/>
      </rPr>
      <t xml:space="preserve">数值篇 </t>
    </r>
    <r>
      <rPr>
        <b val="true"/>
        <sz val="14"/>
        <color rgb="FF1F4E79"/>
        <rFont val="Cambria"/>
        <family val="0"/>
        <charset val="1"/>
      </rPr>
      <t xml:space="preserve">· Scatter(1)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</si>
  <si>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】基本参数</t>
    </r>
  </si>
  <si>
    <t xml:space="preserve">项目</t>
  </si>
  <si>
    <t xml:space="preserve">数值</t>
  </si>
  <si>
    <t xml:space="preserve">玩法</t>
  </si>
  <si>
    <r>
      <rPr>
        <sz val="11"/>
        <color rgb="FF0000FF"/>
        <rFont val="Cambria"/>
        <family val="0"/>
        <charset val="1"/>
      </rPr>
      <t xml:space="preserve">3*5 </t>
    </r>
    <r>
      <rPr>
        <sz val="11"/>
        <color rgb="FF0000FF"/>
        <rFont val="Noto Sans SC"/>
        <family val="2"/>
        <charset val="134"/>
      </rPr>
      <t xml:space="preserve">固定卷轴 </t>
    </r>
    <r>
      <rPr>
        <sz val="11"/>
        <color rgb="FF0000FF"/>
        <rFont val="Cambria"/>
        <family val="0"/>
        <charset val="1"/>
      </rPr>
      <t xml:space="preserve">Line Slots</t>
    </r>
    <r>
      <rPr>
        <sz val="11"/>
        <color rgb="FF0000FF"/>
        <rFont val="Noto Sans SC"/>
        <family val="2"/>
        <charset val="134"/>
      </rPr>
      <t xml:space="preserve">（含 </t>
    </r>
    <r>
      <rPr>
        <sz val="11"/>
        <color rgb="FF0000FF"/>
        <rFont val="Cambria"/>
        <family val="0"/>
        <charset val="1"/>
      </rPr>
      <t xml:space="preserve">Scatter </t>
    </r>
    <r>
      <rPr>
        <sz val="11"/>
        <color rgb="FF0000FF"/>
        <rFont val="Noto Sans SC"/>
        <family val="2"/>
        <charset val="134"/>
      </rPr>
      <t xml:space="preserve">免费摇）</t>
    </r>
  </si>
  <si>
    <r>
      <rPr>
        <sz val="11"/>
        <color theme="1"/>
        <rFont val="Noto Sans SC"/>
        <family val="2"/>
        <charset val="134"/>
      </rPr>
      <t xml:space="preserve">标准图标 </t>
    </r>
    <r>
      <rPr>
        <sz val="11"/>
        <color theme="1"/>
        <rFont val="Calibri"/>
        <family val="2"/>
        <charset val="1"/>
      </rPr>
      <t xml:space="preserve">J/Q/K </t>
    </r>
    <r>
      <rPr>
        <sz val="11"/>
        <color theme="1"/>
        <rFont val="Noto Sans SC"/>
        <family val="2"/>
        <charset val="134"/>
      </rPr>
      <t xml:space="preserve">＋ </t>
    </r>
    <r>
      <rPr>
        <sz val="11"/>
        <color theme="1"/>
        <rFont val="Calibri"/>
        <family val="2"/>
        <charset val="1"/>
      </rPr>
      <t xml:space="preserve">Wild </t>
    </r>
    <r>
      <rPr>
        <sz val="11"/>
        <color theme="1"/>
        <rFont val="Noto Sans SC"/>
        <family val="2"/>
        <charset val="134"/>
      </rPr>
      <t xml:space="preserve">＋ </t>
    </r>
    <r>
      <rPr>
        <sz val="11"/>
        <color theme="1"/>
        <rFont val="Calibri"/>
        <family val="2"/>
        <charset val="1"/>
      </rPr>
      <t xml:space="preserve">Scatter</t>
    </r>
  </si>
  <si>
    <t xml:space="preserve">卷轴列数</t>
  </si>
  <si>
    <t xml:space="preserve">窗口行数（＝每列格数）</t>
  </si>
  <si>
    <r>
      <rPr>
        <sz val="11"/>
        <color theme="1"/>
        <rFont val="Calibri"/>
        <family val="2"/>
        <charset val="1"/>
      </rPr>
      <t xml:space="preserve">Scatter </t>
    </r>
    <r>
      <rPr>
        <sz val="11"/>
        <color theme="1"/>
        <rFont val="Noto Sans SC"/>
        <family val="2"/>
        <charset val="134"/>
      </rPr>
      <t xml:space="preserve">事件数要 </t>
    </r>
    <r>
      <rPr>
        <sz val="11"/>
        <color theme="1"/>
        <rFont val="Calibri"/>
        <family val="2"/>
        <charset val="1"/>
      </rPr>
      <t xml:space="preserve">×</t>
    </r>
    <r>
      <rPr>
        <sz val="11"/>
        <color theme="1"/>
        <rFont val="Noto Sans SC"/>
        <family val="2"/>
        <charset val="134"/>
      </rPr>
      <t xml:space="preserve">行数；标准图标不乘</t>
    </r>
  </si>
  <si>
    <t xml:space="preserve">每列停位数</t>
  </si>
  <si>
    <r>
      <rPr>
        <sz val="11"/>
        <color theme="1"/>
        <rFont val="Noto Sans SC"/>
        <family val="2"/>
        <charset val="134"/>
      </rPr>
      <t xml:space="preserve">固定卷轴每列 </t>
    </r>
    <r>
      <rPr>
        <sz val="11"/>
        <color theme="1"/>
        <rFont val="Calibri"/>
        <family val="2"/>
        <charset val="1"/>
      </rPr>
      <t xml:space="preserve">16 </t>
    </r>
    <r>
      <rPr>
        <sz val="11"/>
        <color theme="1"/>
        <rFont val="Noto Sans SC"/>
        <family val="2"/>
        <charset val="134"/>
      </rPr>
      <t xml:space="preserve">停</t>
    </r>
  </si>
  <si>
    <t xml:space="preserve">总事件数</t>
  </si>
  <si>
    <r>
      <rPr>
        <sz val="11"/>
        <color theme="1"/>
        <rFont val="Noto Sans SC"/>
        <family val="2"/>
        <charset val="134"/>
      </rPr>
      <t xml:space="preserve">＝ </t>
    </r>
    <r>
      <rPr>
        <sz val="11"/>
        <color theme="1"/>
        <rFont val="Calibri"/>
        <family val="2"/>
        <charset val="1"/>
      </rPr>
      <t xml:space="preserve">16⁵ </t>
    </r>
    <r>
      <rPr>
        <sz val="11"/>
        <color theme="1"/>
        <rFont val="Noto Sans SC"/>
        <family val="2"/>
        <charset val="134"/>
      </rPr>
      <t xml:space="preserve">＝ </t>
    </r>
    <r>
      <rPr>
        <sz val="11"/>
        <color theme="1"/>
        <rFont val="Calibri"/>
        <family val="2"/>
        <charset val="1"/>
      </rPr>
      <t xml:space="preserve">1,048,576</t>
    </r>
  </si>
  <si>
    <t xml:space="preserve">免费摇触发条件</t>
  </si>
  <si>
    <r>
      <rPr>
        <sz val="11"/>
        <color rgb="FF0000FF"/>
        <rFont val="Noto Sans SC"/>
        <family val="2"/>
        <charset val="134"/>
      </rPr>
      <t xml:space="preserve">普通摇 ≥</t>
    </r>
    <r>
      <rPr>
        <sz val="11"/>
        <color rgb="FF0000FF"/>
        <rFont val="Cambria"/>
        <family val="0"/>
        <charset val="1"/>
      </rPr>
      <t xml:space="preserve">3 </t>
    </r>
    <r>
      <rPr>
        <sz val="11"/>
        <color rgb="FF0000FF"/>
        <rFont val="Noto Sans SC"/>
        <family val="2"/>
        <charset val="134"/>
      </rPr>
      <t xml:space="preserve">个 </t>
    </r>
    <r>
      <rPr>
        <sz val="11"/>
        <color rgb="FF0000FF"/>
        <rFont val="Cambria"/>
        <family val="0"/>
        <charset val="1"/>
      </rPr>
      <t xml:space="preserve">Scatter</t>
    </r>
  </si>
  <si>
    <t xml:space="preserve">个数越多送得越多</t>
  </si>
  <si>
    <t xml:space="preserve">免费摇内再触发</t>
  </si>
  <si>
    <r>
      <rPr>
        <sz val="11"/>
        <color rgb="FF0000FF"/>
        <rFont val="Cambria"/>
        <family val="0"/>
        <charset val="1"/>
      </rPr>
      <t xml:space="preserve">≥2 </t>
    </r>
    <r>
      <rPr>
        <sz val="11"/>
        <color rgb="FF0000FF"/>
        <rFont val="Noto Sans SC"/>
        <family val="2"/>
        <charset val="134"/>
      </rPr>
      <t xml:space="preserve">个 </t>
    </r>
    <r>
      <rPr>
        <sz val="11"/>
        <color rgb="FF0000FF"/>
        <rFont val="Cambria"/>
        <family val="0"/>
        <charset val="1"/>
      </rPr>
      <t xml:space="preserve">Scatter </t>
    </r>
    <r>
      <rPr>
        <sz val="11"/>
        <color rgb="FF0000FF"/>
        <rFont val="Noto Sans SC"/>
        <family val="2"/>
        <charset val="134"/>
      </rPr>
      <t xml:space="preserve">得额外次数</t>
    </r>
  </si>
  <si>
    <t xml:space="preserve">额外次数还能再触发 → 无穷级数</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</si>
  <si>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】图标出现事件数（原文②转录；不出现 ＝ </t>
    </r>
    <r>
      <rPr>
        <b val="true"/>
        <sz val="11"/>
        <color rgb="FF1F4E79"/>
        <rFont val="Cambria"/>
        <family val="0"/>
        <charset val="1"/>
      </rPr>
      <t xml:space="preserve">16 − </t>
    </r>
    <r>
      <rPr>
        <b val="true"/>
        <sz val="11"/>
        <color rgb="FF1F4E79"/>
        <rFont val="Noto Sans SC"/>
        <family val="2"/>
        <charset val="134"/>
      </rPr>
      <t xml:space="preserve">出现）</t>
    </r>
  </si>
  <si>
    <t xml:space="preserve">图标</t>
  </si>
  <si>
    <r>
      <rPr>
        <b val="true"/>
        <sz val="11"/>
        <color rgb="FF1F4E79"/>
        <rFont val="Noto Sans SC"/>
        <family val="2"/>
        <charset val="134"/>
      </rPr>
      <t xml:space="preserve">列</t>
    </r>
    <r>
      <rPr>
        <b val="true"/>
        <sz val="11"/>
        <color rgb="FF1F4E79"/>
        <rFont val="Cambria"/>
        <family val="0"/>
        <charset val="1"/>
      </rPr>
      <t xml:space="preserve">1</t>
    </r>
  </si>
  <si>
    <r>
      <rPr>
        <b val="true"/>
        <sz val="11"/>
        <color rgb="FF1F4E79"/>
        <rFont val="Noto Sans SC"/>
        <family val="2"/>
        <charset val="134"/>
      </rPr>
      <t xml:space="preserve">列</t>
    </r>
    <r>
      <rPr>
        <b val="true"/>
        <sz val="11"/>
        <color rgb="FF1F4E79"/>
        <rFont val="Cambria"/>
        <family val="0"/>
        <charset val="1"/>
      </rPr>
      <t xml:space="preserve">2</t>
    </r>
  </si>
  <si>
    <r>
      <rPr>
        <b val="true"/>
        <sz val="11"/>
        <color rgb="FF1F4E79"/>
        <rFont val="Noto Sans SC"/>
        <family val="2"/>
        <charset val="134"/>
      </rPr>
      <t xml:space="preserve">列</t>
    </r>
    <r>
      <rPr>
        <b val="true"/>
        <sz val="11"/>
        <color rgb="FF1F4E79"/>
        <rFont val="Cambria"/>
        <family val="0"/>
        <charset val="1"/>
      </rPr>
      <t xml:space="preserve">3</t>
    </r>
  </si>
  <si>
    <r>
      <rPr>
        <b val="true"/>
        <sz val="11"/>
        <color rgb="FF1F4E79"/>
        <rFont val="Noto Sans SC"/>
        <family val="2"/>
        <charset val="134"/>
      </rPr>
      <t xml:space="preserve">列</t>
    </r>
    <r>
      <rPr>
        <b val="true"/>
        <sz val="11"/>
        <color rgb="FF1F4E79"/>
        <rFont val="Cambria"/>
        <family val="0"/>
        <charset val="1"/>
      </rPr>
      <t xml:space="preserve">4</t>
    </r>
  </si>
  <si>
    <r>
      <rPr>
        <b val="true"/>
        <sz val="11"/>
        <color rgb="FF1F4E79"/>
        <rFont val="Noto Sans SC"/>
        <family val="2"/>
        <charset val="134"/>
      </rPr>
      <t xml:space="preserve">列</t>
    </r>
    <r>
      <rPr>
        <b val="true"/>
        <sz val="11"/>
        <color rgb="FF1F4E79"/>
        <rFont val="Cambria"/>
        <family val="0"/>
        <charset val="1"/>
      </rPr>
      <t xml:space="preserve">5</t>
    </r>
  </si>
  <si>
    <t xml:space="preserve">合计（参考）</t>
  </si>
  <si>
    <t xml:space="preserve">J</t>
  </si>
  <si>
    <t xml:space="preserve">标准图标：个数 ＋ 百搭数</t>
  </si>
  <si>
    <t xml:space="preserve">Q</t>
  </si>
  <si>
    <t xml:space="preserve">K</t>
  </si>
  <si>
    <t xml:space="preserve">Scatter</t>
  </si>
  <si>
    <r>
      <rPr>
        <sz val="11"/>
        <color theme="1"/>
        <rFont val="Calibri"/>
        <family val="2"/>
        <charset val="1"/>
      </rPr>
      <t xml:space="preserve">Scatter</t>
    </r>
    <r>
      <rPr>
        <sz val="11"/>
        <color theme="1"/>
        <rFont val="Noto Sans SC"/>
        <family val="2"/>
        <charset val="134"/>
      </rPr>
      <t xml:space="preserve">：个数 </t>
    </r>
    <r>
      <rPr>
        <sz val="11"/>
        <color theme="1"/>
        <rFont val="Calibri"/>
        <family val="2"/>
        <charset val="1"/>
      </rPr>
      <t xml:space="preserve">× </t>
    </r>
    <r>
      <rPr>
        <sz val="11"/>
        <color theme="1"/>
        <rFont val="Noto Sans SC"/>
        <family val="2"/>
        <charset val="134"/>
      </rPr>
      <t xml:space="preserve">行数（</t>
    </r>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），且不加百搭</t>
    </r>
  </si>
  <si>
    <r>
      <rPr>
        <sz val="11"/>
        <color rgb="FF808080"/>
        <rFont val="Noto Sans SC"/>
        <family val="2"/>
        <charset val="134"/>
      </rPr>
      <t xml:space="preserve">原文③的不出现事件数：</t>
    </r>
    <r>
      <rPr>
        <sz val="11"/>
        <color rgb="FF808080"/>
        <rFont val="Cambria"/>
        <family val="0"/>
        <charset val="1"/>
      </rPr>
      <t xml:space="preserve">J 7/7/8/8/9</t>
    </r>
    <r>
      <rPr>
        <sz val="11"/>
        <color rgb="FF808080"/>
        <rFont val="Noto Sans SC"/>
        <family val="2"/>
        <charset val="134"/>
      </rPr>
      <t xml:space="preserve">、</t>
    </r>
    <r>
      <rPr>
        <sz val="11"/>
        <color rgb="FF808080"/>
        <rFont val="Cambria"/>
        <family val="0"/>
        <charset val="1"/>
      </rPr>
      <t xml:space="preserve">Q 10/10/13/12/11</t>
    </r>
    <r>
      <rPr>
        <sz val="11"/>
        <color rgb="FF808080"/>
        <rFont val="Noto Sans SC"/>
        <family val="2"/>
        <charset val="134"/>
      </rPr>
      <t xml:space="preserve">、</t>
    </r>
    <r>
      <rPr>
        <sz val="11"/>
        <color rgb="FF808080"/>
        <rFont val="Cambria"/>
        <family val="0"/>
        <charset val="1"/>
      </rPr>
      <t xml:space="preserve">K 12/12/10/9/11</t>
    </r>
    <r>
      <rPr>
        <sz val="11"/>
        <color rgb="FF808080"/>
        <rFont val="Noto Sans SC"/>
        <family val="2"/>
        <charset val="134"/>
      </rPr>
      <t xml:space="preserve">、</t>
    </r>
    <r>
      <rPr>
        <sz val="11"/>
        <color rgb="FF808080"/>
        <rFont val="Cambria"/>
        <family val="0"/>
        <charset val="1"/>
      </rPr>
      <t xml:space="preserve">Scatter 13×5</t>
    </r>
    <r>
      <rPr>
        <sz val="11"/>
        <color rgb="FF808080"/>
        <rFont val="Noto Sans SC"/>
        <family val="2"/>
        <charset val="134"/>
      </rPr>
      <t xml:space="preserve">，正好等于「</t>
    </r>
    <r>
      <rPr>
        <sz val="11"/>
        <color rgb="FF808080"/>
        <rFont val="Cambria"/>
        <family val="0"/>
        <charset val="1"/>
      </rPr>
      <t xml:space="preserve">16 − </t>
    </r>
    <r>
      <rPr>
        <sz val="11"/>
        <color rgb="FF808080"/>
        <rFont val="Noto Sans SC"/>
        <family val="2"/>
        <charset val="134"/>
      </rPr>
      <t xml:space="preserve">出现事件数」。</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</si>
  <si>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t>
    </r>
    <r>
      <rPr>
        <b val="true"/>
        <sz val="11"/>
        <color rgb="FF1F4E79"/>
        <rFont val="Cambria"/>
        <family val="0"/>
        <charset val="1"/>
      </rPr>
      <t xml:space="preserve">Scatter </t>
    </r>
    <r>
      <rPr>
        <b val="true"/>
        <sz val="11"/>
        <color rgb="FF1F4E79"/>
        <rFont val="Noto Sans SC"/>
        <family val="2"/>
        <charset val="134"/>
      </rPr>
      <t xml:space="preserve">触发免费摇：</t>
    </r>
    <r>
      <rPr>
        <b val="true"/>
        <sz val="11"/>
        <color rgb="FF1F4E79"/>
        <rFont val="Cambria"/>
        <family val="0"/>
        <charset val="1"/>
      </rPr>
      <t xml:space="preserve">16 </t>
    </r>
    <r>
      <rPr>
        <b val="true"/>
        <sz val="11"/>
        <color rgb="FF1F4E79"/>
        <rFont val="Noto Sans SC"/>
        <family val="2"/>
        <charset val="134"/>
      </rPr>
      <t xml:space="preserve">种组合（原文：</t>
    </r>
    <r>
      <rPr>
        <b val="true"/>
        <sz val="11"/>
        <color rgb="FF1F4E79"/>
        <rFont val="Cambria"/>
        <family val="0"/>
        <charset val="1"/>
      </rPr>
      <t xml:space="preserve">10+5+1</t>
    </r>
    <r>
      <rPr>
        <b val="true"/>
        <sz val="11"/>
        <color rgb="FF1F4E79"/>
        <rFont val="Noto Sans SC"/>
        <family val="2"/>
        <charset val="134"/>
      </rPr>
      <t xml:space="preserve">）</t>
    </r>
  </si>
  <si>
    <t xml:space="preserve">组合长度</t>
  </si>
  <si>
    <t xml:space="preserve">中奖事件数</t>
  </si>
  <si>
    <t xml:space="preserve">中奖率</t>
  </si>
  <si>
    <t xml:space="preserve">S</t>
  </si>
  <si>
    <t xml:space="preserve">X</t>
  </si>
  <si>
    <t xml:space="preserve">合计触发免费摇几率</t>
  </si>
  <si>
    <r>
      <rPr>
        <sz val="11"/>
        <color rgb="FF808080"/>
        <rFont val="Noto Sans SC"/>
        <family val="2"/>
        <charset val="134"/>
      </rPr>
      <t xml:space="preserve">每列「出现事件数」＝</t>
    </r>
    <r>
      <rPr>
        <sz val="11"/>
        <color rgb="FF808080"/>
        <rFont val="Cambria"/>
        <family val="0"/>
        <charset val="1"/>
      </rPr>
      <t xml:space="preserve">3</t>
    </r>
    <r>
      <rPr>
        <sz val="11"/>
        <color rgb="FF808080"/>
        <rFont val="Noto Sans SC"/>
        <family val="2"/>
        <charset val="134"/>
      </rPr>
      <t xml:space="preserve">、「不出现」＝</t>
    </r>
    <r>
      <rPr>
        <sz val="11"/>
        <color rgb="FF808080"/>
        <rFont val="Cambria"/>
        <family val="0"/>
        <charset val="1"/>
      </rPr>
      <t xml:space="preserve">13</t>
    </r>
    <r>
      <rPr>
        <sz val="11"/>
        <color rgb="FF808080"/>
        <rFont val="Noto Sans SC"/>
        <family val="2"/>
        <charset val="134"/>
      </rPr>
      <t xml:space="preserve">：</t>
    </r>
    <r>
      <rPr>
        <sz val="11"/>
        <color rgb="FF808080"/>
        <rFont val="Cambria"/>
        <family val="0"/>
        <charset val="1"/>
      </rPr>
      <t xml:space="preserve">3 </t>
    </r>
    <r>
      <rPr>
        <sz val="11"/>
        <color rgb="FF808080"/>
        <rFont val="Noto Sans SC"/>
        <family val="2"/>
        <charset val="134"/>
      </rPr>
      <t xml:space="preserve">个 </t>
    </r>
    <r>
      <rPr>
        <sz val="11"/>
        <color rgb="FF808080"/>
        <rFont val="Cambria"/>
        <family val="0"/>
        <charset val="1"/>
      </rPr>
      <t xml:space="preserve">Scatter </t>
    </r>
    <r>
      <rPr>
        <sz val="11"/>
        <color rgb="FF808080"/>
        <rFont val="Noto Sans SC"/>
        <family val="2"/>
        <charset val="134"/>
      </rPr>
      <t xml:space="preserve">的组合事件数 ＝ </t>
    </r>
    <r>
      <rPr>
        <sz val="11"/>
        <color rgb="FF808080"/>
        <rFont val="Cambria"/>
        <family val="0"/>
        <charset val="1"/>
      </rPr>
      <t xml:space="preserve">3×3×3×13×13 </t>
    </r>
    <r>
      <rPr>
        <sz val="11"/>
        <color rgb="FF808080"/>
        <rFont val="Noto Sans SC"/>
        <family val="2"/>
        <charset val="134"/>
      </rPr>
      <t xml:space="preserve">＝ </t>
    </r>
    <r>
      <rPr>
        <sz val="11"/>
        <color rgb="FF808080"/>
        <rFont val="Cambria"/>
        <family val="0"/>
        <charset val="1"/>
      </rPr>
      <t xml:space="preserve">4,563</t>
    </r>
    <r>
      <rPr>
        <sz val="11"/>
        <color rgb="FF808080"/>
        <rFont val="Noto Sans SC"/>
        <family val="2"/>
        <charset val="134"/>
      </rPr>
      <t xml:space="preserve">、</t>
    </r>
    <r>
      <rPr>
        <sz val="11"/>
        <color rgb="FF808080"/>
        <rFont val="Cambria"/>
        <family val="0"/>
        <charset val="1"/>
      </rPr>
      <t xml:space="preserve">4 </t>
    </r>
    <r>
      <rPr>
        <sz val="11"/>
        <color rgb="FF808080"/>
        <rFont val="Noto Sans SC"/>
        <family val="2"/>
        <charset val="134"/>
      </rPr>
      <t xml:space="preserve">个 ＝ </t>
    </r>
    <r>
      <rPr>
        <sz val="11"/>
        <color rgb="FF808080"/>
        <rFont val="Cambria"/>
        <family val="0"/>
        <charset val="1"/>
      </rPr>
      <t xml:space="preserve">3⁴×13 </t>
    </r>
    <r>
      <rPr>
        <sz val="11"/>
        <color rgb="FF808080"/>
        <rFont val="Noto Sans SC"/>
        <family val="2"/>
        <charset val="134"/>
      </rPr>
      <t xml:space="preserve">＝ </t>
    </r>
    <r>
      <rPr>
        <sz val="11"/>
        <color rgb="FF808080"/>
        <rFont val="Cambria"/>
        <family val="0"/>
        <charset val="1"/>
      </rPr>
      <t xml:space="preserve">1,053</t>
    </r>
    <r>
      <rPr>
        <sz val="11"/>
        <color rgb="FF808080"/>
        <rFont val="Noto Sans SC"/>
        <family val="2"/>
        <charset val="134"/>
      </rPr>
      <t xml:space="preserve">、</t>
    </r>
    <r>
      <rPr>
        <sz val="11"/>
        <color rgb="FF808080"/>
        <rFont val="Cambria"/>
        <family val="0"/>
        <charset val="1"/>
      </rPr>
      <t xml:space="preserve">5 </t>
    </r>
    <r>
      <rPr>
        <sz val="11"/>
        <color rgb="FF808080"/>
        <rFont val="Noto Sans SC"/>
        <family val="2"/>
        <charset val="134"/>
      </rPr>
      <t xml:space="preserve">个 ＝ </t>
    </r>
    <r>
      <rPr>
        <sz val="11"/>
        <color rgb="FF808080"/>
        <rFont val="Cambria"/>
        <family val="0"/>
        <charset val="1"/>
      </rPr>
      <t xml:space="preserve">3⁵ </t>
    </r>
    <r>
      <rPr>
        <sz val="11"/>
        <color rgb="FF808080"/>
        <rFont val="Noto Sans SC"/>
        <family val="2"/>
        <charset val="134"/>
      </rPr>
      <t xml:space="preserve">＝ </t>
    </r>
    <r>
      <rPr>
        <sz val="11"/>
        <color rgb="FF808080"/>
        <rFont val="Cambria"/>
        <family val="0"/>
        <charset val="1"/>
      </rPr>
      <t xml:space="preserve">243</t>
    </r>
    <r>
      <rPr>
        <sz val="11"/>
        <color rgb="FF808080"/>
        <rFont val="Noto Sans SC"/>
        <family val="2"/>
        <charset val="134"/>
      </rPr>
      <t xml:space="preserve">；合计 ＝ </t>
    </r>
    <r>
      <rPr>
        <sz val="11"/>
        <color rgb="FF808080"/>
        <rFont val="Cambria"/>
        <family val="0"/>
        <charset val="1"/>
      </rPr>
      <t xml:space="preserve">10×4,563 </t>
    </r>
    <r>
      <rPr>
        <sz val="11"/>
        <color rgb="FF808080"/>
        <rFont val="Noto Sans SC"/>
        <family val="2"/>
        <charset val="134"/>
      </rPr>
      <t xml:space="preserve">＋ </t>
    </r>
    <r>
      <rPr>
        <sz val="11"/>
        <color rgb="FF808080"/>
        <rFont val="Cambria"/>
        <family val="0"/>
        <charset val="1"/>
      </rPr>
      <t xml:space="preserve">5×1,053 </t>
    </r>
    <r>
      <rPr>
        <sz val="11"/>
        <color rgb="FF808080"/>
        <rFont val="Noto Sans SC"/>
        <family val="2"/>
        <charset val="134"/>
      </rPr>
      <t xml:space="preserve">＋ </t>
    </r>
    <r>
      <rPr>
        <sz val="11"/>
        <color rgb="FF808080"/>
        <rFont val="Cambria"/>
        <family val="0"/>
        <charset val="1"/>
      </rPr>
      <t xml:space="preserve">243 </t>
    </r>
    <r>
      <rPr>
        <sz val="11"/>
        <color rgb="FF808080"/>
        <rFont val="Noto Sans SC"/>
        <family val="2"/>
        <charset val="134"/>
      </rPr>
      <t xml:space="preserve">＝ </t>
    </r>
    <r>
      <rPr>
        <sz val="11"/>
        <color rgb="FF808080"/>
        <rFont val="Cambria"/>
        <family val="0"/>
        <charset val="1"/>
      </rPr>
      <t xml:space="preserve">51,138</t>
    </r>
    <r>
      <rPr>
        <sz val="11"/>
        <color rgb="FF808080"/>
        <rFont val="Noto Sans SC"/>
        <family val="2"/>
        <charset val="134"/>
      </rPr>
      <t xml:space="preserve">，</t>
    </r>
    <r>
      <rPr>
        <sz val="11"/>
        <color rgb="FF808080"/>
        <rFont val="Cambria"/>
        <family val="0"/>
        <charset val="1"/>
      </rPr>
      <t xml:space="preserve">÷1,048,576 </t>
    </r>
    <r>
      <rPr>
        <sz val="11"/>
        <color rgb="FF808080"/>
        <rFont val="Noto Sans SC"/>
        <family val="2"/>
        <charset val="134"/>
      </rPr>
      <t xml:space="preserve">＝ </t>
    </r>
    <r>
      <rPr>
        <sz val="11"/>
        <color rgb="FF808080"/>
        <rFont val="Cambria"/>
        <family val="0"/>
        <charset val="1"/>
      </rPr>
      <t xml:space="preserve">**4.8769%**</t>
    </r>
    <r>
      <rPr>
        <sz val="11"/>
        <color rgb="FF808080"/>
        <rFont val="Noto Sans SC"/>
        <family val="2"/>
        <charset val="134"/>
      </rPr>
      <t xml:space="preserve">（原文）。</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</si>
  <si>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】标准图标与免费摇 </t>
    </r>
    <r>
      <rPr>
        <b val="true"/>
        <sz val="11"/>
        <color rgb="FF1F4E79"/>
        <rFont val="Cambria"/>
        <family val="0"/>
        <charset val="1"/>
      </rPr>
      <t xml:space="preserve">RTP</t>
    </r>
    <r>
      <rPr>
        <b val="true"/>
        <sz val="11"/>
        <color rgb="FF1F4E79"/>
        <rFont val="Noto Sans SC"/>
        <family val="2"/>
        <charset val="134"/>
      </rPr>
      <t xml:space="preserve">（原文汇总）</t>
    </r>
  </si>
  <si>
    <t xml:space="preserve">触发免费摇几率</t>
  </si>
  <si>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】合计</t>
    </r>
  </si>
  <si>
    <r>
      <rPr>
        <sz val="11"/>
        <color theme="1"/>
        <rFont val="Noto Sans SC"/>
        <family val="2"/>
        <charset val="134"/>
      </rPr>
      <t xml:space="preserve">普通摇 </t>
    </r>
    <r>
      <rPr>
        <sz val="11"/>
        <color theme="1"/>
        <rFont val="Calibri"/>
        <family val="2"/>
        <charset val="1"/>
      </rPr>
      <t xml:space="preserve">RTP</t>
    </r>
    <r>
      <rPr>
        <sz val="11"/>
        <color theme="1"/>
        <rFont val="Noto Sans SC"/>
        <family val="2"/>
        <charset val="134"/>
      </rPr>
      <t xml:space="preserve">（原文）</t>
    </r>
  </si>
  <si>
    <r>
      <rPr>
        <sz val="11"/>
        <color theme="1"/>
        <rFont val="Noto Sans SC"/>
        <family val="2"/>
        <charset val="134"/>
      </rPr>
      <t xml:space="preserve">中奖率 </t>
    </r>
    <r>
      <rPr>
        <sz val="11"/>
        <color theme="1"/>
        <rFont val="Calibri"/>
        <family val="2"/>
        <charset val="1"/>
      </rPr>
      <t xml:space="preserve">× </t>
    </r>
    <r>
      <rPr>
        <sz val="11"/>
        <color theme="1"/>
        <rFont val="Noto Sans SC"/>
        <family val="2"/>
        <charset val="134"/>
      </rPr>
      <t xml:space="preserve">赔付倍数之和（原文表）</t>
    </r>
  </si>
  <si>
    <r>
      <rPr>
        <sz val="11"/>
        <color theme="1"/>
        <rFont val="Noto Sans SC"/>
        <family val="2"/>
        <charset val="134"/>
      </rPr>
      <t xml:space="preserve">免费摇 </t>
    </r>
    <r>
      <rPr>
        <sz val="11"/>
        <color theme="1"/>
        <rFont val="Calibri"/>
        <family val="2"/>
        <charset val="1"/>
      </rPr>
      <t xml:space="preserve">RTP</t>
    </r>
    <r>
      <rPr>
        <sz val="11"/>
        <color theme="1"/>
        <rFont val="Noto Sans SC"/>
        <family val="2"/>
        <charset val="134"/>
      </rPr>
      <t xml:space="preserve">（原文）</t>
    </r>
  </si>
  <si>
    <r>
      <rPr>
        <sz val="11"/>
        <color theme="1"/>
        <rFont val="Noto Sans SC"/>
        <family val="2"/>
        <charset val="134"/>
      </rPr>
      <t xml:space="preserve">＝ 触发几率 </t>
    </r>
    <r>
      <rPr>
        <sz val="11"/>
        <color theme="1"/>
        <rFont val="Calibri"/>
        <family val="2"/>
        <charset val="1"/>
      </rPr>
      <t xml:space="preserve">× </t>
    </r>
    <r>
      <rPr>
        <sz val="11"/>
        <color theme="1"/>
        <rFont val="Noto Sans SC"/>
        <family val="2"/>
        <charset val="134"/>
      </rPr>
      <t xml:space="preserve">综合免费摇次数 </t>
    </r>
    <r>
      <rPr>
        <sz val="11"/>
        <color theme="1"/>
        <rFont val="Calibri"/>
        <family val="2"/>
        <charset val="1"/>
      </rPr>
      <t xml:space="preserve">× </t>
    </r>
    <r>
      <rPr>
        <sz val="11"/>
        <color theme="1"/>
        <rFont val="Noto Sans SC"/>
        <family val="2"/>
        <charset val="134"/>
      </rPr>
      <t xml:space="preserve">免费摇单局 </t>
    </r>
    <r>
      <rPr>
        <sz val="11"/>
        <color theme="1"/>
        <rFont val="Calibri"/>
        <family val="2"/>
        <charset val="1"/>
      </rPr>
      <t xml:space="preserve">RTP</t>
    </r>
  </si>
  <si>
    <r>
      <rPr>
        <b val="true"/>
        <sz val="11"/>
        <rFont val="Noto Sans SC"/>
        <family val="2"/>
        <charset val="134"/>
      </rPr>
      <t xml:space="preserve">合计 </t>
    </r>
    <r>
      <rPr>
        <b val="true"/>
        <sz val="11"/>
        <rFont val="Cambria"/>
        <family val="0"/>
        <charset val="1"/>
      </rPr>
      <t xml:space="preserve">RTP</t>
    </r>
  </si>
  <si>
    <r>
      <rPr>
        <sz val="11"/>
        <color theme="1"/>
        <rFont val="Noto Sans SC"/>
        <family val="2"/>
        <charset val="134"/>
      </rPr>
      <t xml:space="preserve">原文 </t>
    </r>
    <r>
      <rPr>
        <sz val="11"/>
        <color theme="1"/>
        <rFont val="Calibri"/>
        <family val="2"/>
        <charset val="1"/>
      </rPr>
      <t xml:space="preserve">1.2756</t>
    </r>
  </si>
  <si>
    <t xml:space="preserve">免费摇的贡献占比</t>
  </si>
  <si>
    <r>
      <rPr>
        <sz val="11"/>
        <color theme="1"/>
        <rFont val="Noto Sans SC"/>
        <family val="2"/>
        <charset val="134"/>
      </rPr>
      <t xml:space="preserve">免费摇在总 </t>
    </r>
    <r>
      <rPr>
        <sz val="11"/>
        <color theme="1"/>
        <rFont val="Calibri"/>
        <family val="2"/>
        <charset val="1"/>
      </rPr>
      <t xml:space="preserve">RTP </t>
    </r>
    <r>
      <rPr>
        <sz val="11"/>
        <color theme="1"/>
        <rFont val="Noto Sans SC"/>
        <family val="2"/>
        <charset val="134"/>
      </rPr>
      <t xml:space="preserve">中的权重</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</si>
  <si>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】免费摇次数的无穷级数（额外触发还能再触发）</t>
    </r>
  </si>
  <si>
    <t xml:space="preserve">单次触发的免费摇基础次数</t>
  </si>
  <si>
    <r>
      <rPr>
        <sz val="11"/>
        <color theme="1"/>
        <rFont val="Noto Sans SC"/>
        <family val="2"/>
        <charset val="134"/>
      </rPr>
      <t xml:space="preserve">原文：≥</t>
    </r>
    <r>
      <rPr>
        <sz val="11"/>
        <color theme="1"/>
        <rFont val="Calibri"/>
        <family val="2"/>
        <charset val="1"/>
      </rPr>
      <t xml:space="preserve">3 </t>
    </r>
    <r>
      <rPr>
        <sz val="11"/>
        <color theme="1"/>
        <rFont val="Noto Sans SC"/>
        <family val="2"/>
        <charset val="134"/>
      </rPr>
      <t xml:space="preserve">个 </t>
    </r>
    <r>
      <rPr>
        <sz val="11"/>
        <color theme="1"/>
        <rFont val="Calibri"/>
        <family val="2"/>
        <charset val="1"/>
      </rPr>
      <t xml:space="preserve">Scatter </t>
    </r>
    <r>
      <rPr>
        <sz val="11"/>
        <color theme="1"/>
        <rFont val="Noto Sans SC"/>
        <family val="2"/>
        <charset val="134"/>
      </rPr>
      <t xml:space="preserve">对应的次数（示意按 </t>
    </r>
    <r>
      <rPr>
        <sz val="11"/>
        <color theme="1"/>
        <rFont val="Calibri"/>
        <family val="2"/>
        <charset val="1"/>
      </rPr>
      <t xml:space="preserve">3 </t>
    </r>
    <r>
      <rPr>
        <sz val="11"/>
        <color theme="1"/>
        <rFont val="Noto Sans SC"/>
        <family val="2"/>
        <charset val="134"/>
      </rPr>
      <t xml:space="preserve">个计）</t>
    </r>
  </si>
  <si>
    <t xml:space="preserve">免费摇中「再触发」的几率</t>
  </si>
  <si>
    <t xml:space="preserve">沿用普通摇的触发几率做示意</t>
  </si>
  <si>
    <t xml:space="preserve">每次再触发给的次数</t>
  </si>
  <si>
    <r>
      <rPr>
        <sz val="11"/>
        <color theme="1"/>
        <rFont val="Noto Sans SC"/>
        <family val="2"/>
        <charset val="134"/>
      </rPr>
      <t xml:space="preserve">原文：免费摇中 ≥</t>
    </r>
    <r>
      <rPr>
        <sz val="11"/>
        <color theme="1"/>
        <rFont val="Calibri"/>
        <family val="2"/>
        <charset val="1"/>
      </rPr>
      <t xml:space="preserve">2 </t>
    </r>
    <r>
      <rPr>
        <sz val="11"/>
        <color theme="1"/>
        <rFont val="Noto Sans SC"/>
        <family val="2"/>
        <charset val="134"/>
      </rPr>
      <t xml:space="preserve">个 </t>
    </r>
    <r>
      <rPr>
        <sz val="11"/>
        <color theme="1"/>
        <rFont val="Calibri"/>
        <family val="2"/>
        <charset val="1"/>
      </rPr>
      <t xml:space="preserve">Scatter </t>
    </r>
    <r>
      <rPr>
        <sz val="11"/>
        <color theme="1"/>
        <rFont val="Noto Sans SC"/>
        <family val="2"/>
        <charset val="134"/>
      </rPr>
      <t xml:space="preserve">的加次数（示意）</t>
    </r>
  </si>
  <si>
    <t xml:space="preserve">综合免费摇次数</t>
  </si>
  <si>
    <r>
      <rPr>
        <sz val="11"/>
        <color theme="1"/>
        <rFont val="Noto Sans SC"/>
        <family val="2"/>
        <charset val="134"/>
      </rPr>
      <t xml:space="preserve">等比级数：基础次数 </t>
    </r>
    <r>
      <rPr>
        <sz val="11"/>
        <color theme="1"/>
        <rFont val="Calibri"/>
        <family val="2"/>
        <charset val="1"/>
      </rPr>
      <t xml:space="preserve">÷ (1 − </t>
    </r>
    <r>
      <rPr>
        <sz val="11"/>
        <color theme="1"/>
        <rFont val="Noto Sans SC"/>
        <family val="2"/>
        <charset val="134"/>
      </rPr>
      <t xml:space="preserve">单次再触发期望</t>
    </r>
    <r>
      <rPr>
        <sz val="11"/>
        <color theme="1"/>
        <rFont val="Calibri"/>
        <family val="2"/>
        <charset val="1"/>
      </rPr>
      <t xml:space="preserve">)</t>
    </r>
  </si>
  <si>
    <r>
      <rPr>
        <sz val="11"/>
        <color theme="1"/>
        <rFont val="Noto Sans SC"/>
        <family val="2"/>
        <charset val="134"/>
      </rPr>
      <t xml:space="preserve">免费摇单局 </t>
    </r>
    <r>
      <rPr>
        <sz val="11"/>
        <color theme="1"/>
        <rFont val="Calibri"/>
        <family val="2"/>
        <charset val="1"/>
      </rPr>
      <t xml:space="preserve">RTP</t>
    </r>
    <r>
      <rPr>
        <sz val="11"/>
        <color theme="1"/>
        <rFont val="Noto Sans SC"/>
        <family val="2"/>
        <charset val="134"/>
      </rPr>
      <t xml:space="preserve">（由原文 </t>
    </r>
    <r>
      <rPr>
        <sz val="11"/>
        <color theme="1"/>
        <rFont val="Calibri"/>
        <family val="2"/>
        <charset val="1"/>
      </rPr>
      <t xml:space="preserve">0.6571 </t>
    </r>
    <r>
      <rPr>
        <sz val="11"/>
        <color theme="1"/>
        <rFont val="Noto Sans SC"/>
        <family val="2"/>
        <charset val="134"/>
      </rPr>
      <t xml:space="preserve">反推的示意值）</t>
    </r>
  </si>
  <si>
    <r>
      <rPr>
        <sz val="11"/>
        <color theme="1"/>
        <rFont val="Noto Sans SC"/>
        <family val="2"/>
        <charset val="134"/>
      </rPr>
      <t xml:space="preserve">＝ 免费摇 </t>
    </r>
    <r>
      <rPr>
        <sz val="11"/>
        <color theme="1"/>
        <rFont val="Calibri"/>
        <family val="2"/>
        <charset val="1"/>
      </rPr>
      <t xml:space="preserve">RTP ÷</t>
    </r>
    <r>
      <rPr>
        <sz val="11"/>
        <color theme="1"/>
        <rFont val="Noto Sans SC"/>
        <family val="2"/>
        <charset val="134"/>
      </rPr>
      <t xml:space="preserve">（触发几率 </t>
    </r>
    <r>
      <rPr>
        <sz val="11"/>
        <color theme="1"/>
        <rFont val="Calibri"/>
        <family val="2"/>
        <charset val="1"/>
      </rPr>
      <t xml:space="preserve">× </t>
    </r>
    <r>
      <rPr>
        <sz val="11"/>
        <color theme="1"/>
        <rFont val="Noto Sans SC"/>
        <family val="2"/>
        <charset val="134"/>
      </rPr>
      <t xml:space="preserve">综合次数）</t>
    </r>
  </si>
  <si>
    <r>
      <rPr>
        <b val="true"/>
        <sz val="11"/>
        <rFont val="Noto Sans SC"/>
        <family val="2"/>
        <charset val="134"/>
      </rPr>
      <t xml:space="preserve">免费摇 </t>
    </r>
    <r>
      <rPr>
        <b val="true"/>
        <sz val="11"/>
        <rFont val="Cambria"/>
        <family val="0"/>
        <charset val="1"/>
      </rPr>
      <t xml:space="preserve">RTP</t>
    </r>
    <r>
      <rPr>
        <b val="true"/>
        <sz val="11"/>
        <rFont val="Noto Sans SC"/>
        <family val="2"/>
        <charset val="134"/>
      </rPr>
      <t xml:space="preserve">（复算）</t>
    </r>
  </si>
  <si>
    <r>
      <rPr>
        <sz val="11"/>
        <color theme="1"/>
        <rFont val="Noto Sans SC"/>
        <family val="2"/>
        <charset val="134"/>
      </rPr>
      <t xml:space="preserve">＝ 触发几率 </t>
    </r>
    <r>
      <rPr>
        <sz val="11"/>
        <color theme="1"/>
        <rFont val="Calibri"/>
        <family val="2"/>
        <charset val="1"/>
      </rPr>
      <t xml:space="preserve">× </t>
    </r>
    <r>
      <rPr>
        <sz val="11"/>
        <color theme="1"/>
        <rFont val="Noto Sans SC"/>
        <family val="2"/>
        <charset val="134"/>
      </rPr>
      <t xml:space="preserve">综合次数 </t>
    </r>
    <r>
      <rPr>
        <sz val="11"/>
        <color theme="1"/>
        <rFont val="Calibri"/>
        <family val="2"/>
        <charset val="1"/>
      </rPr>
      <t xml:space="preserve">× </t>
    </r>
    <r>
      <rPr>
        <sz val="11"/>
        <color theme="1"/>
        <rFont val="Noto Sans SC"/>
        <family val="2"/>
        <charset val="134"/>
      </rPr>
      <t xml:space="preserve">单局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0.6571</t>
    </r>
  </si>
  <si>
    <r>
      <rPr>
        <b val="true"/>
        <sz val="11"/>
        <rFont val="Noto Sans SC"/>
        <family val="2"/>
        <charset val="134"/>
      </rPr>
      <t xml:space="preserve">整体 </t>
    </r>
    <r>
      <rPr>
        <b val="true"/>
        <sz val="11"/>
        <rFont val="Cambria"/>
        <family val="0"/>
        <charset val="1"/>
      </rPr>
      <t xml:space="preserve">RTP</t>
    </r>
    <r>
      <rPr>
        <b val="true"/>
        <sz val="11"/>
        <rFont val="Noto Sans SC"/>
        <family val="2"/>
        <charset val="134"/>
      </rPr>
      <t xml:space="preserve">（复算）</t>
    </r>
  </si>
  <si>
    <r>
      <rPr>
        <sz val="11"/>
        <color theme="1"/>
        <rFont val="Noto Sans SC"/>
        <family val="2"/>
        <charset val="134"/>
      </rPr>
      <t xml:space="preserve">＝ 普通摇 </t>
    </r>
    <r>
      <rPr>
        <sz val="11"/>
        <color theme="1"/>
        <rFont val="Calibri"/>
        <family val="2"/>
        <charset val="1"/>
      </rPr>
      <t xml:space="preserve">RTP </t>
    </r>
    <r>
      <rPr>
        <sz val="11"/>
        <color theme="1"/>
        <rFont val="Noto Sans SC"/>
        <family val="2"/>
        <charset val="134"/>
      </rPr>
      <t xml:space="preserve">＋ 免费摇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1.2756</t>
    </r>
    <r>
      <rPr>
        <sz val="11"/>
        <color theme="1"/>
        <rFont val="Noto Sans SC"/>
        <family val="2"/>
        <charset val="134"/>
      </rPr>
      <t xml:space="preserve">（与原文汇总一致）</t>
    </r>
  </si>
  <si>
    <r>
      <rPr>
        <sz val="11"/>
        <color rgb="FF808080"/>
        <rFont val="Noto Sans SC"/>
        <family val="2"/>
        <charset val="134"/>
      </rPr>
      <t xml:space="preserve">注：原文的免费摇次数与额外次数具体数值在配图中，这里按 </t>
    </r>
    <r>
      <rPr>
        <sz val="11"/>
        <color rgb="FF808080"/>
        <rFont val="Cambria"/>
        <family val="0"/>
        <charset val="1"/>
      </rPr>
      <t xml:space="preserve">10 / 5 </t>
    </r>
    <r>
      <rPr>
        <sz val="11"/>
        <color rgb="FF808080"/>
        <rFont val="Noto Sans SC"/>
        <family val="2"/>
        <charset val="134"/>
      </rPr>
      <t xml:space="preserve">示意，蓝字可改；关键是「综合次数必须用等比级数」，用 </t>
    </r>
    <r>
      <rPr>
        <sz val="11"/>
        <color rgb="FF808080"/>
        <rFont val="Cambria"/>
        <family val="0"/>
        <charset val="1"/>
      </rPr>
      <t xml:space="preserve">1+</t>
    </r>
    <r>
      <rPr>
        <sz val="11"/>
        <color rgb="FF808080"/>
        <rFont val="Noto Sans SC"/>
        <family val="2"/>
        <charset val="134"/>
      </rPr>
      <t xml:space="preserve">期望 直接乘会低估。</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</si>
  <si>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</si>
  <si>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</si>
  <si>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</si>
  <si>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不出现 ＝ </t>
    </r>
    <r>
      <rPr>
        <sz val="11"/>
        <color theme="1"/>
        <rFont val="Calibri"/>
        <family val="2"/>
        <charset val="1"/>
      </rPr>
      <t xml:space="preserve">16 − </t>
    </r>
    <r>
      <rPr>
        <sz val="11"/>
        <color theme="1"/>
        <rFont val="Noto Sans SC"/>
        <family val="2"/>
        <charset val="134"/>
      </rPr>
      <t xml:space="preserve">出现（</t>
    </r>
    <r>
      <rPr>
        <sz val="11"/>
        <color theme="1"/>
        <rFont val="Calibri"/>
        <family val="2"/>
        <charset val="1"/>
      </rPr>
      <t xml:space="preserve">J </t>
    </r>
    <r>
      <rPr>
        <sz val="11"/>
        <color theme="1"/>
        <rFont val="Noto Sans SC"/>
        <family val="2"/>
        <charset val="134"/>
      </rPr>
      <t xml:space="preserve">列</t>
    </r>
    <r>
      <rPr>
        <sz val="11"/>
        <color theme="1"/>
        <rFont val="Calibri"/>
        <family val="2"/>
        <charset val="1"/>
      </rPr>
      <t xml:space="preserve">1 </t>
    </r>
    <r>
      <rPr>
        <sz val="11"/>
        <color theme="1"/>
        <rFont val="Noto Sans SC"/>
        <family val="2"/>
        <charset val="134"/>
      </rPr>
      <t xml:space="preserve">＝ </t>
    </r>
    <r>
      <rPr>
        <sz val="11"/>
        <color theme="1"/>
        <rFont val="Calibri"/>
        <family val="2"/>
        <charset val="1"/>
      </rPr>
      <t xml:space="preserve">7</t>
    </r>
    <r>
      <rPr>
        <sz val="11"/>
        <color theme="1"/>
        <rFont val="Noto Sans SC"/>
        <family val="2"/>
        <charset val="134"/>
      </rPr>
      <t xml:space="preserve">）</t>
    </r>
  </si>
  <si>
    <t xml:space="preserve">原文③</t>
  </si>
  <si>
    <r>
      <rPr>
        <sz val="11"/>
        <color theme="1"/>
        <rFont val="Calibri"/>
        <family val="2"/>
        <charset val="1"/>
      </rPr>
      <t xml:space="preserve">Scatter </t>
    </r>
    <r>
      <rPr>
        <sz val="11"/>
        <color theme="1"/>
        <rFont val="Noto Sans SC"/>
        <family val="2"/>
        <charset val="134"/>
      </rPr>
      <t xml:space="preserve">事件数 ＝ </t>
    </r>
    <r>
      <rPr>
        <sz val="11"/>
        <color theme="1"/>
        <rFont val="Calibri"/>
        <family val="2"/>
        <charset val="1"/>
      </rPr>
      <t xml:space="preserve">3</t>
    </r>
    <r>
      <rPr>
        <sz val="11"/>
        <color theme="1"/>
        <rFont val="Noto Sans SC"/>
        <family val="2"/>
        <charset val="134"/>
      </rPr>
      <t xml:space="preserve">（每列）</t>
    </r>
  </si>
  <si>
    <r>
      <rPr>
        <sz val="11"/>
        <color theme="1"/>
        <rFont val="Calibri"/>
        <family val="2"/>
        <charset val="1"/>
      </rPr>
      <t xml:space="preserve">1 × </t>
    </r>
    <r>
      <rPr>
        <sz val="11"/>
        <color theme="1"/>
        <rFont val="Noto Sans SC"/>
        <family val="2"/>
        <charset val="134"/>
      </rPr>
      <t xml:space="preserve">行数</t>
    </r>
  </si>
  <si>
    <r>
      <rPr>
        <sz val="11"/>
        <color theme="1"/>
        <rFont val="Noto Sans SC"/>
        <family val="2"/>
        <charset val="134"/>
      </rPr>
      <t xml:space="preserve">组合数 ＝ </t>
    </r>
    <r>
      <rPr>
        <sz val="11"/>
        <color theme="1"/>
        <rFont val="Calibri"/>
        <family val="2"/>
        <charset val="1"/>
      </rPr>
      <t xml:space="preserve">16</t>
    </r>
  </si>
  <si>
    <t xml:space="preserve">C(5,3)+C(5,4)+C(5,5)</t>
  </si>
  <si>
    <r>
      <rPr>
        <sz val="11"/>
        <color theme="1"/>
        <rFont val="Calibri"/>
        <family val="2"/>
        <charset val="1"/>
      </rPr>
      <t xml:space="preserve">3 </t>
    </r>
    <r>
      <rPr>
        <sz val="11"/>
        <color theme="1"/>
        <rFont val="Noto Sans SC"/>
        <family val="2"/>
        <charset val="134"/>
      </rPr>
      <t xml:space="preserve">个 </t>
    </r>
    <r>
      <rPr>
        <sz val="11"/>
        <color theme="1"/>
        <rFont val="Calibri"/>
        <family val="2"/>
        <charset val="1"/>
      </rPr>
      <t xml:space="preserve">Scatter </t>
    </r>
    <r>
      <rPr>
        <sz val="11"/>
        <color theme="1"/>
        <rFont val="Noto Sans SC"/>
        <family val="2"/>
        <charset val="134"/>
      </rPr>
      <t xml:space="preserve">的组合事件数 ＝ </t>
    </r>
    <r>
      <rPr>
        <sz val="11"/>
        <color theme="1"/>
        <rFont val="Calibri"/>
        <family val="2"/>
        <charset val="1"/>
      </rPr>
      <t xml:space="preserve">4,563</t>
    </r>
  </si>
  <si>
    <t xml:space="preserve">3³×13²</t>
  </si>
  <si>
    <r>
      <rPr>
        <sz val="11"/>
        <color theme="1"/>
        <rFont val="Noto Sans SC"/>
        <family val="2"/>
        <charset val="134"/>
      </rPr>
      <t xml:space="preserve">合计触发几率 ＝ 原文 </t>
    </r>
    <r>
      <rPr>
        <sz val="11"/>
        <color theme="1"/>
        <rFont val="Calibri"/>
        <family val="2"/>
        <charset val="1"/>
      </rPr>
      <t xml:space="preserve">4.8769%</t>
    </r>
  </si>
  <si>
    <t xml:space="preserve">51,138 ÷ 1,048,576</t>
  </si>
  <si>
    <r>
      <rPr>
        <sz val="11"/>
        <color theme="1"/>
        <rFont val="Noto Sans SC"/>
        <family val="2"/>
        <charset val="134"/>
      </rPr>
      <t xml:space="preserve">合计 </t>
    </r>
    <r>
      <rPr>
        <sz val="11"/>
        <color theme="1"/>
        <rFont val="Calibri"/>
        <family val="2"/>
        <charset val="1"/>
      </rPr>
      <t xml:space="preserve">RTP </t>
    </r>
    <r>
      <rPr>
        <sz val="11"/>
        <color theme="1"/>
        <rFont val="Noto Sans SC"/>
        <family val="2"/>
        <charset val="134"/>
      </rPr>
      <t xml:space="preserve">＝ 原文 </t>
    </r>
    <r>
      <rPr>
        <sz val="11"/>
        <color theme="1"/>
        <rFont val="Calibri"/>
        <family val="2"/>
        <charset val="1"/>
      </rPr>
      <t xml:space="preserve">1.2756</t>
    </r>
  </si>
  <si>
    <r>
      <rPr>
        <sz val="11"/>
        <color theme="1"/>
        <rFont val="Calibri"/>
        <family val="2"/>
        <charset val="1"/>
      </rPr>
      <t xml:space="preserve">0.6185 </t>
    </r>
    <r>
      <rPr>
        <sz val="11"/>
        <color theme="1"/>
        <rFont val="Noto Sans SC"/>
        <family val="2"/>
        <charset val="134"/>
      </rPr>
      <t xml:space="preserve">＋ </t>
    </r>
    <r>
      <rPr>
        <sz val="11"/>
        <color theme="1"/>
        <rFont val="Calibri"/>
        <family val="2"/>
        <charset val="1"/>
      </rPr>
      <t xml:space="preserve">0.6571</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</si>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</sst>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6">
    <numFmt numFmtId="164" formatCode="General"/>
    <numFmt numFmtId="165" formatCode="#,##0"/>
    <numFmt numFmtId="166" formatCode="0.0000%"/>
    <numFmt numFmtId="167" formatCode="0.0000"/>
    <numFmt numFmtId="168" formatCode="0.00%"/>
    <numFmt numFmtId="169"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7" fontId="13" fillId="0"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8" fontId="10" fillId="4"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xf numFmtId="0" fontId="9" fillId="0" borderId="0" xfId="0" applyFont="true" applyBorder="true" applyAlignment="true" applyProtection="true">
      <alignment horizontal="general" vertical="bottom" textRotation="0" wrapText="false" indent="0" shrinkToFit="false"/>
      <protection locked="true" hidden="false"/>
    </xf>
    <xf numFmtId="169" applyNumberFormat="1" fontId="15" fillId="0" borderId="0" xfId="0" applyFont="true" applyBorder="false" applyAlignment="true" applyProtection="true">
      <alignment horizontal="general" vertical="bottom" textRotation="0" wrapText="false" indent="0" shrinkToFit="false"/>
      <protection locked="true" hidden="false"/>
    </xf>
    <xf numFmtId="169" applyNumberFormat="1" fontId="10" fillId="4" borderId="0" xfId="0" applyFont="true" applyBorder="false" applyAlignment="true" applyProtection="true">
      <alignment horizontal="general" vertical="bottom" textRotation="0" wrapText="false" indent="0" shrinkToFit="false"/>
      <protection locked="true" hidden="false"/>
    </xf>
    <xf numFmtId="169" applyNumberFormat="1" fontId="10"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8" customFormat="false" ht="15.5" hidden="false" customHeight="false" outlineLevel="0" collapsed="false">
      <c r="A8" s="3" t="s">
        <v>6</v>
      </c>
      <c r="B8" s="3"/>
      <c r="C8" s="3"/>
    </row>
    <row r="10" customFormat="false" ht="15" hidden="false" customHeight="false" outlineLevel="0" collapsed="false">
      <c r="A10" s="4" t="s">
        <v>7</v>
      </c>
    </row>
    <row r="11" customFormat="false" ht="29" hidden="false" customHeight="false" outlineLevel="0" collapsed="false">
      <c r="A11" s="30" t="s">
        <v>8</v>
      </c>
    </row>
    <row r="12" customFormat="false" ht="29" hidden="false" customHeight="false" outlineLevel="0" collapsed="false">
      <c r="A12" s="30" t="s">
        <v>9</v>
      </c>
    </row>
    <row r="13" customFormat="false" ht="15" hidden="false" customHeight="false" outlineLevel="0" collapsed="false">
      <c r="A13" s="5"/>
    </row>
    <row r="14" customFormat="false" ht="15" hidden="false" customHeight="false" outlineLevel="0" collapsed="false">
      <c r="A14" s="4" t="s">
        <v>10</v>
      </c>
    </row>
    <row r="15" customFormat="false" ht="15" hidden="false" customHeight="1" outlineLevel="0" collapsed="false">
      <c r="A15" s="31" t="s">
        <v>11</v>
      </c>
      <c r="B15" s="6"/>
      <c r="C15" s="6"/>
    </row>
    <row r="16" customFormat="false" ht="42" hidden="false" customHeight="false" outlineLevel="0" collapsed="false">
      <c r="A16" s="30" t="s">
        <v>12</v>
      </c>
    </row>
    <row r="17" customFormat="false" ht="15" hidden="false" customHeight="1" outlineLevel="0" collapsed="false">
      <c r="A17" s="31" t="s">
        <v>13</v>
      </c>
      <c r="B17" s="6"/>
      <c r="C17" s="6"/>
    </row>
    <row r="18" customFormat="false" ht="15" hidden="false" customHeight="false" outlineLevel="0" collapsed="false">
      <c r="A18" s="5"/>
    </row>
    <row r="19" customFormat="false" ht="15" hidden="false" customHeight="false" outlineLevel="0" collapsed="false">
      <c r="A19" s="4" t="s">
        <v>14</v>
      </c>
    </row>
    <row r="20" customFormat="false" ht="29" hidden="false" customHeight="false" outlineLevel="0" collapsed="false">
      <c r="A20" s="30" t="s">
        <v>15</v>
      </c>
    </row>
    <row r="21" customFormat="false" ht="42" hidden="false" customHeight="false" outlineLevel="0" collapsed="false">
      <c r="A21" s="30" t="s">
        <v>16</v>
      </c>
    </row>
    <row r="22" customFormat="false" ht="42" hidden="false" customHeight="false" outlineLevel="0" collapsed="false">
      <c r="A22" s="30" t="s">
        <v>17</v>
      </c>
    </row>
    <row r="23" customFormat="false" ht="30" hidden="false" customHeight="false" outlineLevel="0" collapsed="false">
      <c r="A23" s="30" t="s">
        <v>18</v>
      </c>
    </row>
    <row r="24" customFormat="false" ht="29" hidden="false" customHeight="false" outlineLevel="0" collapsed="false">
      <c r="A24" s="32" t="s">
        <v>19</v>
      </c>
    </row>
    <row r="25" customFormat="false" ht="30" hidden="false" customHeight="false" outlineLevel="0" collapsed="false">
      <c r="A25" s="32" t="s">
        <v>20</v>
      </c>
    </row>
    <row r="26" customFormat="false" ht="30" hidden="false" customHeight="false" outlineLevel="0" collapsed="false">
      <c r="A26" s="30" t="s">
        <v>21</v>
      </c>
    </row>
    <row r="27" customFormat="false" ht="30" hidden="false" customHeight="false" outlineLevel="0" collapsed="false">
      <c r="A27" s="30" t="s">
        <v>22</v>
      </c>
    </row>
    <row r="28" customFormat="false" ht="30" hidden="false" customHeight="false" outlineLevel="0" collapsed="false">
      <c r="A28" s="30" t="s">
        <v>23</v>
      </c>
    </row>
    <row r="29" customFormat="false" ht="30" hidden="false" customHeight="false" outlineLevel="0" collapsed="false">
      <c r="A29" s="30" t="s">
        <v>24</v>
      </c>
    </row>
    <row r="30" customFormat="false" ht="30" hidden="false" customHeight="false" outlineLevel="0" collapsed="false">
      <c r="A30" s="32" t="s">
        <v>25</v>
      </c>
    </row>
    <row r="31" customFormat="false" ht="30" hidden="false" customHeight="false" outlineLevel="0" collapsed="false">
      <c r="A31" s="30" t="s">
        <v>26</v>
      </c>
    </row>
    <row r="32" customFormat="false" ht="30" hidden="false" customHeight="false" outlineLevel="0" collapsed="false">
      <c r="A32" s="30" t="s">
        <v>27</v>
      </c>
    </row>
    <row r="33" customFormat="false" ht="28" hidden="false" customHeight="false" outlineLevel="0" collapsed="false">
      <c r="A33" s="32" t="s">
        <v>28</v>
      </c>
    </row>
    <row r="35" customFormat="false" ht="15" hidden="false" customHeight="false" outlineLevel="0" collapsed="false">
      <c r="A35" s="4" t="s">
        <v>29</v>
      </c>
    </row>
    <row r="36" customFormat="false" ht="15" hidden="false" customHeight="false" outlineLevel="0" collapsed="false">
      <c r="A36" s="7"/>
    </row>
    <row r="37" customFormat="false" ht="16" hidden="false" customHeight="false" outlineLevel="0" collapsed="false">
      <c r="A37" s="5" t="s">
        <v>30</v>
      </c>
    </row>
    <row r="38" customFormat="false" ht="15" hidden="false" customHeight="false" outlineLevel="0" collapsed="false">
      <c r="A38" s="7" t="s">
        <v>31</v>
      </c>
    </row>
    <row r="39" customFormat="false" ht="30" hidden="false" customHeight="false" outlineLevel="0" collapsed="false">
      <c r="A39" s="32" t="s">
        <v>32</v>
      </c>
    </row>
    <row r="40" customFormat="false" ht="15" hidden="false" customHeight="false" outlineLevel="0" collapsed="false">
      <c r="A40" s="7"/>
    </row>
    <row r="41" customFormat="false" ht="15" hidden="false" customHeight="false" outlineLevel="0" collapsed="false">
      <c r="A41" s="7" t="s">
        <v>33</v>
      </c>
    </row>
    <row r="42" customFormat="false" ht="16" hidden="false" customHeight="false" outlineLevel="0" collapsed="false">
      <c r="A42" s="7" t="s">
        <v>34</v>
      </c>
    </row>
    <row r="43" customFormat="false" ht="29" hidden="false" customHeight="false" outlineLevel="0" collapsed="false">
      <c r="A43" s="32" t="s">
        <v>35</v>
      </c>
    </row>
    <row r="44" customFormat="false" ht="29" hidden="false" customHeight="false" outlineLevel="0" collapsed="false">
      <c r="A44" s="32" t="s">
        <v>36</v>
      </c>
    </row>
    <row r="45" customFormat="false" ht="16" hidden="false" customHeight="false" outlineLevel="0" collapsed="false">
      <c r="A45" s="7" t="s">
        <v>37</v>
      </c>
    </row>
    <row r="46" customFormat="false" ht="15" hidden="false" customHeight="false" outlineLevel="0" collapsed="false">
      <c r="A46" s="7"/>
    </row>
    <row r="47" customFormat="false" ht="16" hidden="false" customHeight="false" outlineLevel="0" collapsed="false">
      <c r="A47" s="7" t="s">
        <v>38</v>
      </c>
    </row>
    <row r="48" customFormat="false" ht="15" hidden="false" customHeight="false" outlineLevel="0" collapsed="false">
      <c r="A48" s="7"/>
    </row>
    <row r="49" customFormat="false" ht="29" hidden="false" customHeight="false" outlineLevel="0" collapsed="false">
      <c r="A49" s="32" t="s">
        <v>39</v>
      </c>
    </row>
    <row r="50" customFormat="false" ht="29" hidden="false" customHeight="false" outlineLevel="0" collapsed="false">
      <c r="A50" s="32" t="s">
        <v>40</v>
      </c>
    </row>
    <row r="51" customFormat="false" ht="16" hidden="false" customHeight="false" outlineLevel="0" collapsed="false">
      <c r="A51" s="7" t="s">
        <v>41</v>
      </c>
    </row>
    <row r="52" customFormat="false" ht="15" hidden="false" customHeight="false" outlineLevel="0" collapsed="false">
      <c r="A52" s="7" t="s">
        <v>42</v>
      </c>
    </row>
    <row r="53" customFormat="false" ht="15" hidden="false" customHeight="false" outlineLevel="0" collapsed="false">
      <c r="A53" s="32" t="s">
        <v>43</v>
      </c>
    </row>
    <row r="54" customFormat="false" ht="29" hidden="false" customHeight="false" outlineLevel="0" collapsed="false">
      <c r="A54" s="32" t="s">
        <v>44</v>
      </c>
    </row>
    <row r="55" customFormat="false" ht="29" hidden="false" customHeight="false" outlineLevel="0" collapsed="false">
      <c r="A55" s="32" t="s">
        <v>45</v>
      </c>
    </row>
    <row r="56" customFormat="false" ht="15" hidden="false" customHeight="false" outlineLevel="0" collapsed="false">
      <c r="A56" s="7"/>
    </row>
    <row r="57" customFormat="false" ht="16" hidden="false" customHeight="false" outlineLevel="0" collapsed="false">
      <c r="A57" s="7" t="s">
        <v>46</v>
      </c>
    </row>
    <row r="58" customFormat="false" ht="15" hidden="false" customHeight="false" outlineLevel="0" collapsed="false">
      <c r="A58" s="7"/>
    </row>
    <row r="59" customFormat="false" ht="16" hidden="false" customHeight="false" outlineLevel="0" collapsed="false">
      <c r="A59" s="7" t="s">
        <v>47</v>
      </c>
    </row>
    <row r="60" customFormat="false" ht="15" hidden="false" customHeight="false" outlineLevel="0" collapsed="false">
      <c r="A60" s="7" t="s">
        <v>48</v>
      </c>
    </row>
    <row r="61" customFormat="false" ht="15" hidden="false" customHeight="false" outlineLevel="0" collapsed="false">
      <c r="A61" s="32" t="s">
        <v>49</v>
      </c>
    </row>
    <row r="62" customFormat="false" ht="28" hidden="false" customHeight="false" outlineLevel="0" collapsed="false">
      <c r="A62" s="32" t="s">
        <v>50</v>
      </c>
    </row>
    <row r="63" customFormat="false" ht="15" hidden="false" customHeight="false" outlineLevel="0" collapsed="false">
      <c r="A63" s="7"/>
    </row>
    <row r="64" customFormat="false" ht="15" hidden="false" customHeight="false" outlineLevel="0" collapsed="false">
      <c r="A64" s="7" t="s">
        <v>51</v>
      </c>
    </row>
    <row r="65" customFormat="false" ht="16" hidden="false" customHeight="false" outlineLevel="0" collapsed="false">
      <c r="A65" s="32" t="s">
        <v>52</v>
      </c>
    </row>
    <row r="66" customFormat="false" ht="16" hidden="false" customHeight="false" outlineLevel="0" collapsed="false">
      <c r="A66" s="7" t="s">
        <v>53</v>
      </c>
    </row>
    <row r="67" customFormat="false" ht="16" hidden="false" customHeight="false" outlineLevel="0" collapsed="false">
      <c r="A67" s="7" t="s">
        <v>54</v>
      </c>
    </row>
    <row r="68" customFormat="false" ht="16" hidden="false" customHeight="false" outlineLevel="0" collapsed="false">
      <c r="A68" s="7" t="s">
        <v>55</v>
      </c>
    </row>
    <row r="69" customFormat="false" ht="29" hidden="false" customHeight="false" outlineLevel="0" collapsed="false">
      <c r="A69" s="32" t="s">
        <v>56</v>
      </c>
    </row>
    <row r="70" customFormat="false" ht="15" hidden="false" customHeight="1" outlineLevel="0" collapsed="false">
      <c r="A70" s="33" t="s">
        <v>57</v>
      </c>
      <c r="B70" s="8"/>
      <c r="C70" s="8"/>
      <c r="D70" s="8"/>
      <c r="E70" s="8"/>
    </row>
    <row r="71" customFormat="false" ht="15" hidden="false" customHeight="false" outlineLevel="0" collapsed="false">
      <c r="A71" s="7" t="s">
        <v>58</v>
      </c>
    </row>
    <row r="72" customFormat="false" ht="28" hidden="false" customHeight="false" outlineLevel="0" collapsed="false">
      <c r="A72" s="32" t="s">
        <v>59</v>
      </c>
    </row>
    <row r="73" customFormat="false" ht="15" hidden="false" customHeight="false" outlineLevel="0" collapsed="false">
      <c r="A73" s="7"/>
    </row>
    <row r="74" customFormat="false" ht="16" hidden="false" customHeight="false" outlineLevel="0" collapsed="false">
      <c r="A74" s="7" t="s">
        <v>60</v>
      </c>
    </row>
    <row r="75" customFormat="false" ht="15" hidden="false" customHeight="false" outlineLevel="0" collapsed="false">
      <c r="A75" s="7"/>
    </row>
    <row r="76" customFormat="false" ht="15" hidden="false" customHeight="false" outlineLevel="0" collapsed="false">
      <c r="A76" s="7" t="s">
        <v>61</v>
      </c>
    </row>
    <row r="77" customFormat="false" ht="29" hidden="false" customHeight="false" outlineLevel="0" collapsed="false">
      <c r="A77" s="32" t="s">
        <v>62</v>
      </c>
    </row>
    <row r="78" customFormat="false" ht="29" hidden="false" customHeight="false" outlineLevel="0" collapsed="false">
      <c r="A78" s="30" t="s">
        <v>63</v>
      </c>
    </row>
    <row r="79" customFormat="false" ht="29" hidden="false" customHeight="false" outlineLevel="0" collapsed="false">
      <c r="A79" s="30" t="s">
        <v>64</v>
      </c>
    </row>
    <row r="80" customFormat="false" ht="15" hidden="false" customHeight="false" outlineLevel="0" collapsed="false">
      <c r="A80" s="7"/>
    </row>
    <row r="81" customFormat="false" ht="16" hidden="false" customHeight="false" outlineLevel="0" collapsed="false">
      <c r="A81" s="7" t="s">
        <v>65</v>
      </c>
    </row>
    <row r="82" customFormat="false" ht="15" hidden="false" customHeight="false" outlineLevel="0" collapsed="false">
      <c r="A82" s="7"/>
    </row>
    <row r="83" customFormat="false" ht="15" hidden="false" customHeight="false" outlineLevel="0" collapsed="false">
      <c r="A83" s="7" t="s">
        <v>66</v>
      </c>
    </row>
    <row r="84" customFormat="false" ht="15" hidden="false" customHeight="false" outlineLevel="0" collapsed="false">
      <c r="A84" s="7"/>
    </row>
    <row r="85" customFormat="false" ht="16" hidden="false" customHeight="false" outlineLevel="0" collapsed="false">
      <c r="A85" s="7" t="s">
        <v>67</v>
      </c>
    </row>
    <row r="86" customFormat="false" ht="15" hidden="false" customHeight="false" outlineLevel="0" collapsed="false">
      <c r="A86" s="7"/>
    </row>
    <row r="87" customFormat="false" ht="15" hidden="false" customHeight="false" outlineLevel="0" collapsed="false">
      <c r="A87" s="7" t="s">
        <v>68</v>
      </c>
    </row>
    <row r="88" customFormat="false" ht="15" hidden="false" customHeight="false" outlineLevel="0" collapsed="false">
      <c r="A88" s="7" t="s">
        <v>69</v>
      </c>
    </row>
    <row r="89" customFormat="false" ht="15" hidden="false" customHeight="false" outlineLevel="0" collapsed="false">
      <c r="A89" s="7"/>
    </row>
    <row r="90" customFormat="false" ht="16" hidden="false" customHeight="false" outlineLevel="0" collapsed="false">
      <c r="A90" s="7" t="s">
        <v>70</v>
      </c>
    </row>
    <row r="91" customFormat="false" ht="15" hidden="false" customHeight="false" outlineLevel="0" collapsed="false">
      <c r="A91" s="7"/>
    </row>
    <row r="92" customFormat="false" ht="16" hidden="false" customHeight="false" outlineLevel="0" collapsed="false">
      <c r="A92" s="7" t="s">
        <v>71</v>
      </c>
    </row>
    <row r="93" customFormat="false" ht="15" hidden="false" customHeight="false" outlineLevel="0" collapsed="false">
      <c r="A93" s="7"/>
    </row>
    <row r="94" customFormat="false" ht="16" hidden="false" customHeight="false" outlineLevel="0" collapsed="false">
      <c r="A94" s="7" t="s">
        <v>72</v>
      </c>
    </row>
    <row r="95" customFormat="false" ht="15" hidden="false" customHeight="false" outlineLevel="0" collapsed="false">
      <c r="A95" s="7"/>
    </row>
    <row r="96" customFormat="false" ht="16" hidden="false" customHeight="false" outlineLevel="0" collapsed="false">
      <c r="A96" s="7" t="s">
        <v>73</v>
      </c>
    </row>
    <row r="97" customFormat="false" ht="16" hidden="false" customHeight="false" outlineLevel="0" collapsed="false">
      <c r="A97" s="32" t="s">
        <v>74</v>
      </c>
    </row>
    <row r="98" customFormat="false" ht="16" hidden="false" customHeight="false" outlineLevel="0" collapsed="false">
      <c r="A98" s="7" t="s">
        <v>75</v>
      </c>
    </row>
    <row r="99" customFormat="false" ht="28" hidden="false" customHeight="false" outlineLevel="0" collapsed="false">
      <c r="A99" s="32" t="s">
        <v>76</v>
      </c>
    </row>
    <row r="100" customFormat="false" ht="29" hidden="false" customHeight="false" outlineLevel="0" collapsed="false">
      <c r="A100" s="32" t="s">
        <v>77</v>
      </c>
    </row>
    <row r="101" customFormat="false" ht="29" hidden="false" customHeight="false" outlineLevel="0" collapsed="false">
      <c r="A101" s="32" t="s">
        <v>78</v>
      </c>
    </row>
    <row r="102" customFormat="false" ht="29" hidden="false" customHeight="false" outlineLevel="0" collapsed="false">
      <c r="A102" s="32" t="s">
        <v>79</v>
      </c>
    </row>
    <row r="103" customFormat="false" ht="15" hidden="false" customHeight="1" outlineLevel="0" collapsed="false">
      <c r="A103" s="33" t="s">
        <v>80</v>
      </c>
      <c r="B103" s="8"/>
      <c r="C103" s="8"/>
      <c r="D103" s="8"/>
    </row>
    <row r="104" customFormat="false" ht="28" hidden="false" customHeight="false" outlineLevel="0" collapsed="false">
      <c r="A104" s="32" t="s">
        <v>81</v>
      </c>
    </row>
    <row r="105" customFormat="false" ht="30" hidden="false" customHeight="false" outlineLevel="0" collapsed="false">
      <c r="A105" s="32" t="s">
        <v>82</v>
      </c>
    </row>
    <row r="106" customFormat="false" ht="29" hidden="false" customHeight="false" outlineLevel="0" collapsed="false">
      <c r="A106" s="32" t="s">
        <v>83</v>
      </c>
    </row>
    <row r="107" customFormat="false" ht="15" hidden="false" customHeight="false" outlineLevel="0" collapsed="false">
      <c r="A107" s="7"/>
    </row>
    <row r="108" customFormat="false" ht="16" hidden="false" customHeight="false" outlineLevel="0" collapsed="false">
      <c r="A108" s="7" t="s">
        <v>84</v>
      </c>
    </row>
    <row r="109" customFormat="false" ht="15" hidden="false" customHeight="false" outlineLevel="0" collapsed="false">
      <c r="A109" s="7"/>
    </row>
    <row r="110" customFormat="false" ht="15" hidden="false" customHeight="false" outlineLevel="0" collapsed="false">
      <c r="A110" s="7" t="s">
        <v>85</v>
      </c>
    </row>
    <row r="111" customFormat="false" ht="15" hidden="false" customHeight="false" outlineLevel="0" collapsed="false">
      <c r="A111" s="7" t="s">
        <v>86</v>
      </c>
    </row>
    <row r="112" customFormat="false" ht="15" hidden="false" customHeight="false" outlineLevel="0" collapsed="false">
      <c r="A112" s="7"/>
    </row>
    <row r="113" customFormat="false" ht="16" hidden="false" customHeight="false" outlineLevel="0" collapsed="false">
      <c r="A113" s="7" t="s">
        <v>87</v>
      </c>
    </row>
    <row r="114" customFormat="false" ht="15" hidden="false" customHeight="false" outlineLevel="0" collapsed="false">
      <c r="A114" s="7"/>
    </row>
    <row r="115" customFormat="false" ht="29" hidden="false" customHeight="false" outlineLevel="0" collapsed="false">
      <c r="A115" s="32" t="s">
        <v>88</v>
      </c>
    </row>
    <row r="116" customFormat="false" ht="29" hidden="false" customHeight="false" outlineLevel="0" collapsed="false">
      <c r="A116" s="32" t="s">
        <v>89</v>
      </c>
    </row>
    <row r="117" customFormat="false" ht="15" hidden="false" customHeight="false" outlineLevel="0" collapsed="false">
      <c r="A117" s="7"/>
    </row>
    <row r="118" customFormat="false" ht="16" hidden="false" customHeight="false" outlineLevel="0" collapsed="false">
      <c r="A118" s="7" t="s">
        <v>90</v>
      </c>
    </row>
    <row r="119" customFormat="false" ht="15" hidden="false" customHeight="false" outlineLevel="0" collapsed="false">
      <c r="A119" s="7"/>
    </row>
    <row r="120" customFormat="false" ht="41" hidden="false" customHeight="false" outlineLevel="0" collapsed="false">
      <c r="A120" s="32" t="s">
        <v>91</v>
      </c>
    </row>
    <row r="121" customFormat="false" ht="15" hidden="false" customHeight="false" outlineLevel="0" collapsed="false">
      <c r="A121" s="7"/>
    </row>
    <row r="122" customFormat="false" ht="16" hidden="false" customHeight="false" outlineLevel="0" collapsed="false">
      <c r="A122" s="7" t="s">
        <v>92</v>
      </c>
    </row>
    <row r="123" customFormat="false" ht="15" hidden="false" customHeight="false" outlineLevel="0" collapsed="false">
      <c r="A123" s="7"/>
    </row>
    <row r="124" customFormat="false" ht="29" hidden="false" customHeight="false" outlineLevel="0" collapsed="false">
      <c r="A124" s="32" t="s">
        <v>93</v>
      </c>
    </row>
    <row r="125" customFormat="false" ht="15" hidden="false" customHeight="false" outlineLevel="0" collapsed="false">
      <c r="A125" s="32" t="s">
        <v>94</v>
      </c>
    </row>
    <row r="126" customFormat="false" ht="15" hidden="false" customHeight="false" outlineLevel="0" collapsed="false">
      <c r="A126" s="7" t="s">
        <v>95</v>
      </c>
    </row>
    <row r="127" customFormat="false" ht="15" hidden="false" customHeight="false" outlineLevel="0" collapsed="false">
      <c r="A127" s="7" t="s">
        <v>96</v>
      </c>
    </row>
    <row r="128" customFormat="false" ht="15" hidden="false" customHeight="false" outlineLevel="0" collapsed="false">
      <c r="A128" s="7"/>
    </row>
    <row r="129" customFormat="false" ht="16" hidden="false" customHeight="false" outlineLevel="0" collapsed="false">
      <c r="A129" s="7" t="s">
        <v>97</v>
      </c>
    </row>
    <row r="130" customFormat="false" ht="15" hidden="false" customHeight="false" outlineLevel="0" collapsed="false">
      <c r="A130" s="7"/>
    </row>
    <row r="131" customFormat="false" ht="15" hidden="false" customHeight="false" outlineLevel="0" collapsed="false">
      <c r="A131" s="7" t="s">
        <v>98</v>
      </c>
    </row>
    <row r="132" customFormat="false" ht="15" hidden="false" customHeight="false" outlineLevel="0" collapsed="false">
      <c r="A132" s="7"/>
    </row>
    <row r="133" customFormat="false" ht="16" hidden="false" customHeight="false" outlineLevel="0" collapsed="false">
      <c r="A133" s="7" t="s">
        <v>99</v>
      </c>
    </row>
    <row r="134" customFormat="false" ht="15" hidden="false" customHeight="false" outlineLevel="0" collapsed="false">
      <c r="A134" s="7"/>
    </row>
    <row r="135" customFormat="false" ht="15" hidden="false" customHeight="1" outlineLevel="0" collapsed="false">
      <c r="A135" s="33" t="s">
        <v>100</v>
      </c>
      <c r="B135" s="8"/>
      <c r="C135" s="8"/>
    </row>
    <row r="136" customFormat="false" ht="15" hidden="false" customHeight="false" outlineLevel="0" collapsed="false">
      <c r="A136" s="7"/>
    </row>
    <row r="137" customFormat="false" ht="16" hidden="false" customHeight="false" outlineLevel="0" collapsed="false">
      <c r="A137" s="7" t="s">
        <v>101</v>
      </c>
    </row>
    <row r="138" customFormat="false" ht="15" hidden="false" customHeight="false" outlineLevel="0" collapsed="false">
      <c r="A138" s="7"/>
    </row>
    <row r="139" customFormat="false" ht="30" hidden="false" customHeight="false" outlineLevel="0" collapsed="false">
      <c r="A139" s="32" t="s">
        <v>102</v>
      </c>
    </row>
    <row r="140" customFormat="false" ht="28" hidden="false" customHeight="false" outlineLevel="0" collapsed="false">
      <c r="A140" s="32" t="s">
        <v>103</v>
      </c>
    </row>
    <row r="141" customFormat="false" ht="15" hidden="false" customHeight="false" outlineLevel="0" collapsed="false">
      <c r="A141" s="7" t="s">
        <v>104</v>
      </c>
    </row>
    <row r="142" customFormat="false" ht="15" hidden="false" customHeight="false" outlineLevel="0" collapsed="false">
      <c r="A142" s="7"/>
    </row>
    <row r="143" customFormat="false" ht="16" hidden="false" customHeight="false" outlineLevel="0" collapsed="false">
      <c r="A143" s="7" t="s">
        <v>105</v>
      </c>
    </row>
    <row r="144" customFormat="false" ht="15" hidden="false" customHeight="false" outlineLevel="0" collapsed="false">
      <c r="A144" s="7"/>
    </row>
    <row r="145" customFormat="false" ht="28" hidden="false" customHeight="false" outlineLevel="0" collapsed="false">
      <c r="A145" s="32" t="s">
        <v>106</v>
      </c>
    </row>
    <row r="146" customFormat="false" ht="29" hidden="false" customHeight="false" outlineLevel="0" collapsed="false">
      <c r="A146" s="32" t="s">
        <v>107</v>
      </c>
    </row>
    <row r="148" customFormat="false" ht="29" hidden="false" customHeight="false" outlineLevel="0" collapsed="false">
      <c r="A148" s="34" t="s">
        <v>108</v>
      </c>
    </row>
    <row r="149" customFormat="false" ht="15.5" hidden="false" customHeight="false" outlineLevel="0" collapsed="false">
      <c r="A149" s="2" t="s">
        <v>109</v>
      </c>
    </row>
    <row r="150" customFormat="false" ht="15.5" hidden="false" customHeight="false" outlineLevel="0" collapsed="false">
      <c r="A150" s="2" t="s">
        <v>110</v>
      </c>
    </row>
    <row r="151" customFormat="false" ht="15.5" hidden="false" customHeight="false" outlineLevel="0" collapsed="false">
      <c r="A151" s="2" t="s">
        <v>111</v>
      </c>
    </row>
    <row r="152" customFormat="false" ht="15.5" hidden="false" customHeight="false" outlineLevel="0" collapsed="false">
      <c r="A152" s="2" t="s">
        <v>112</v>
      </c>
    </row>
    <row r="153" customFormat="false" ht="15.5" hidden="false" customHeight="false" outlineLevel="0" collapsed="false">
      <c r="A153" s="2" t="s">
        <v>113</v>
      </c>
    </row>
    <row r="154" customFormat="false" ht="15.5" hidden="false" customHeight="false" outlineLevel="0" collapsed="false">
      <c r="A154" s="2" t="s">
        <v>114</v>
      </c>
    </row>
    <row r="155" customFormat="false" ht="15.5" hidden="false" customHeight="false" outlineLevel="0" collapsed="false">
      <c r="A155" s="2" t="s">
        <v>115</v>
      </c>
    </row>
    <row r="156" customFormat="false" ht="15.5" hidden="false" customHeight="false" outlineLevel="0" collapsed="false">
      <c r="A156" s="2" t="s">
        <v>116</v>
      </c>
    </row>
    <row r="157" customFormat="false" ht="15.5" hidden="false" customHeight="false" outlineLevel="0" collapsed="false">
      <c r="A157" s="2" t="s">
        <v>117</v>
      </c>
    </row>
    <row r="158" customFormat="false" ht="15.5" hidden="false" customHeight="false" outlineLevel="0" collapsed="false">
      <c r="A158" s="2" t="s">
        <v>118</v>
      </c>
    </row>
    <row r="159" customFormat="false" ht="15.5" hidden="false" customHeight="false" outlineLevel="0" collapsed="false">
      <c r="A159" s="2" t="s">
        <v>119</v>
      </c>
    </row>
    <row r="160" customFormat="false" ht="15.5" hidden="false" customHeight="false" outlineLevel="0" collapsed="false">
      <c r="A160" s="2" t="s">
        <v>120</v>
      </c>
    </row>
    <row r="161" customFormat="false" ht="15.5" hidden="false" customHeight="false" outlineLevel="0" collapsed="false">
      <c r="A161" s="2" t="s">
        <v>121</v>
      </c>
    </row>
    <row r="162" customFormat="false" ht="15.5" hidden="false" customHeight="false" outlineLevel="0" collapsed="false">
      <c r="A162" s="2" t="s">
        <v>122</v>
      </c>
    </row>
    <row r="163" customFormat="false" ht="15.5" hidden="false" customHeight="false" outlineLevel="0" collapsed="false">
      <c r="A163" s="2" t="s">
        <v>123</v>
      </c>
    </row>
    <row r="165" customFormat="false" ht="15" hidden="false" customHeight="false" outlineLevel="0" collapsed="false">
      <c r="A165" s="4" t="s">
        <v>124</v>
      </c>
    </row>
    <row r="166" customFormat="false" ht="30" hidden="false" customHeight="false" outlineLevel="0" collapsed="false">
      <c r="A166" s="32" t="s">
        <v>125</v>
      </c>
    </row>
    <row r="167" customFormat="false" ht="28" hidden="false" customHeight="false" outlineLevel="0" collapsed="false">
      <c r="A167" s="32" t="s">
        <v>126</v>
      </c>
    </row>
    <row r="168" customFormat="false" ht="15" hidden="false" customHeight="false" outlineLevel="0" collapsed="false">
      <c r="A168" s="7"/>
    </row>
    <row r="169" customFormat="false" ht="15" hidden="false" customHeight="false" outlineLevel="0" collapsed="false">
      <c r="A169" s="4" t="s">
        <v>127</v>
      </c>
    </row>
    <row r="170" customFormat="false" ht="28" hidden="false" customHeight="false" outlineLevel="0" collapsed="false">
      <c r="A170" s="32" t="s">
        <v>128</v>
      </c>
    </row>
    <row r="171" customFormat="false" ht="29" hidden="false" customHeight="false" outlineLevel="0" collapsed="false">
      <c r="A171" s="32" t="s">
        <v>129</v>
      </c>
    </row>
    <row r="173" customFormat="false" ht="15.5" hidden="false" customHeight="false" outlineLevel="0" collapsed="false">
      <c r="A173" s="9" t="s">
        <v>130</v>
      </c>
    </row>
  </sheetData>
  <mergeCells count="9">
    <mergeCell ref="A5:L5"/>
    <mergeCell ref="A6:J6"/>
    <mergeCell ref="A7:U7"/>
    <mergeCell ref="A8:L8"/>
    <mergeCell ref="A15:I15"/>
    <mergeCell ref="A17:J17"/>
    <mergeCell ref="A70:M70"/>
    <mergeCell ref="A103:L103"/>
    <mergeCell ref="A135:J1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93"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131</v>
      </c>
      <c r="B1" s="11"/>
      <c r="C1" s="11"/>
      <c r="D1" s="11"/>
      <c r="E1" s="11"/>
      <c r="F1" s="11"/>
      <c r="G1" s="11"/>
      <c r="H1" s="11"/>
    </row>
    <row r="3" customFormat="false" ht="15.5" hidden="false" customHeight="false" outlineLevel="0" collapsed="false">
      <c r="A3" s="12" t="s">
        <v>132</v>
      </c>
      <c r="B3" s="12"/>
      <c r="C3" s="12"/>
      <c r="D3" s="13"/>
      <c r="E3" s="13"/>
      <c r="F3" s="13"/>
      <c r="G3" s="13"/>
      <c r="H3" s="13"/>
    </row>
    <row r="4" customFormat="false" ht="15" hidden="false" customHeight="false" outlineLevel="0" collapsed="false">
      <c r="A4" s="14" t="s">
        <v>133</v>
      </c>
      <c r="B4" s="14" t="s">
        <v>134</v>
      </c>
      <c r="C4" s="14" t="s">
        <v>127</v>
      </c>
      <c r="D4" s="14"/>
      <c r="E4" s="14"/>
      <c r="F4" s="14"/>
      <c r="G4" s="14"/>
      <c r="H4" s="14"/>
    </row>
    <row r="5" customFormat="false" ht="16" hidden="false" customHeight="false" outlineLevel="0" collapsed="false">
      <c r="A5" s="10" t="s">
        <v>135</v>
      </c>
      <c r="B5" s="15" t="s">
        <v>136</v>
      </c>
      <c r="C5" s="16" t="s">
        <v>137</v>
      </c>
      <c r="D5" s="16"/>
      <c r="E5" s="16"/>
    </row>
    <row r="6" customFormat="false" ht="15" hidden="false" customHeight="false" outlineLevel="0" collapsed="false">
      <c r="A6" s="10" t="s">
        <v>138</v>
      </c>
      <c r="B6" s="15" t="n">
        <v>5</v>
      </c>
    </row>
    <row r="7" customFormat="false" ht="16" hidden="false" customHeight="false" outlineLevel="0" collapsed="false">
      <c r="A7" s="10" t="s">
        <v>139</v>
      </c>
      <c r="B7" s="15" t="n">
        <v>3</v>
      </c>
      <c r="C7" s="17" t="s">
        <v>140</v>
      </c>
      <c r="D7" s="17"/>
      <c r="E7" s="17"/>
      <c r="F7" s="17"/>
    </row>
    <row r="8" customFormat="false" ht="16" hidden="false" customHeight="false" outlineLevel="0" collapsed="false">
      <c r="A8" s="10" t="s">
        <v>141</v>
      </c>
      <c r="B8" s="15" t="n">
        <v>16</v>
      </c>
      <c r="C8" s="16" t="s">
        <v>142</v>
      </c>
      <c r="D8" s="16"/>
    </row>
    <row r="9" customFormat="false" ht="16" hidden="false" customHeight="false" outlineLevel="0" collapsed="false">
      <c r="A9" s="10" t="s">
        <v>143</v>
      </c>
      <c r="B9" s="18" t="n">
        <f aca="false">B8^B6</f>
        <v>1048576</v>
      </c>
      <c r="C9" s="16" t="s">
        <v>144</v>
      </c>
      <c r="D9" s="16"/>
    </row>
    <row r="10" customFormat="false" ht="15.5" hidden="false" customHeight="false" outlineLevel="0" collapsed="false">
      <c r="A10" s="10" t="s">
        <v>145</v>
      </c>
      <c r="B10" s="19" t="s">
        <v>146</v>
      </c>
      <c r="C10" s="16" t="s">
        <v>147</v>
      </c>
      <c r="D10" s="16"/>
    </row>
    <row r="11" customFormat="false" ht="15.5" hidden="false" customHeight="false" outlineLevel="0" collapsed="false">
      <c r="A11" s="10" t="s">
        <v>148</v>
      </c>
      <c r="B11" s="15" t="s">
        <v>149</v>
      </c>
      <c r="C11" s="16" t="s">
        <v>150</v>
      </c>
      <c r="D11" s="16"/>
      <c r="E11" s="16"/>
    </row>
    <row r="13" customFormat="false" ht="15.5" hidden="false" customHeight="false" outlineLevel="0" collapsed="false">
      <c r="A13" s="12" t="s">
        <v>151</v>
      </c>
      <c r="B13" s="12"/>
      <c r="C13" s="12"/>
      <c r="D13" s="12"/>
      <c r="E13" s="12"/>
      <c r="F13" s="12"/>
      <c r="G13" s="13"/>
      <c r="H13" s="13"/>
    </row>
    <row r="14" customFormat="false" ht="15.5" hidden="false" customHeight="false" outlineLevel="0" collapsed="false">
      <c r="A14" s="14" t="s">
        <v>152</v>
      </c>
      <c r="B14" s="14" t="s">
        <v>153</v>
      </c>
      <c r="C14" s="14" t="s">
        <v>154</v>
      </c>
      <c r="D14" s="14" t="s">
        <v>155</v>
      </c>
      <c r="E14" s="14" t="s">
        <v>156</v>
      </c>
      <c r="F14" s="14" t="s">
        <v>157</v>
      </c>
      <c r="G14" s="14" t="s">
        <v>158</v>
      </c>
      <c r="H14" s="14" t="s">
        <v>127</v>
      </c>
    </row>
    <row r="15" customFormat="false" ht="15" hidden="false" customHeight="false" outlineLevel="0" collapsed="false">
      <c r="A15" s="20" t="s">
        <v>159</v>
      </c>
      <c r="B15" s="21" t="n">
        <v>9</v>
      </c>
      <c r="C15" s="21" t="n">
        <v>9</v>
      </c>
      <c r="D15" s="21" t="n">
        <v>8</v>
      </c>
      <c r="E15" s="21" t="n">
        <v>8</v>
      </c>
      <c r="F15" s="21" t="n">
        <v>7</v>
      </c>
      <c r="G15" s="18" t="n">
        <f aca="false">SUM(B15:F15)</f>
        <v>41</v>
      </c>
      <c r="H15" s="10" t="s">
        <v>160</v>
      </c>
    </row>
    <row r="16" customFormat="false" ht="15" hidden="false" customHeight="false" outlineLevel="0" collapsed="false">
      <c r="A16" s="20" t="s">
        <v>161</v>
      </c>
      <c r="B16" s="21" t="n">
        <v>6</v>
      </c>
      <c r="C16" s="21" t="n">
        <v>6</v>
      </c>
      <c r="D16" s="21" t="n">
        <v>3</v>
      </c>
      <c r="E16" s="21" t="n">
        <v>4</v>
      </c>
      <c r="F16" s="21" t="n">
        <v>5</v>
      </c>
      <c r="G16" s="18" t="n">
        <f aca="false">SUM(B16:F16)</f>
        <v>24</v>
      </c>
      <c r="H16" s="10" t="s">
        <v>160</v>
      </c>
    </row>
    <row r="17" customFormat="false" ht="15" hidden="false" customHeight="false" outlineLevel="0" collapsed="false">
      <c r="A17" s="20" t="s">
        <v>162</v>
      </c>
      <c r="B17" s="21" t="n">
        <v>4</v>
      </c>
      <c r="C17" s="21" t="n">
        <v>4</v>
      </c>
      <c r="D17" s="21" t="n">
        <v>6</v>
      </c>
      <c r="E17" s="21" t="n">
        <v>7</v>
      </c>
      <c r="F17" s="21" t="n">
        <v>5</v>
      </c>
      <c r="G17" s="18" t="n">
        <f aca="false">SUM(B17:F17)</f>
        <v>26</v>
      </c>
      <c r="H17" s="10" t="s">
        <v>160</v>
      </c>
    </row>
    <row r="18" customFormat="false" ht="16" hidden="false" customHeight="false" outlineLevel="0" collapsed="false">
      <c r="A18" s="20" t="s">
        <v>163</v>
      </c>
      <c r="B18" s="21" t="n">
        <v>3</v>
      </c>
      <c r="C18" s="21" t="n">
        <v>3</v>
      </c>
      <c r="D18" s="21" t="n">
        <v>3</v>
      </c>
      <c r="E18" s="21" t="n">
        <v>3</v>
      </c>
      <c r="F18" s="21" t="n">
        <v>3</v>
      </c>
      <c r="G18" s="18" t="n">
        <f aca="false">SUM(B18:F18)</f>
        <v>15</v>
      </c>
      <c r="H18" s="20" t="s">
        <v>164</v>
      </c>
    </row>
    <row r="19" customFormat="false" ht="15.5" hidden="false" customHeight="true" outlineLevel="0" collapsed="false">
      <c r="A19" s="22" t="s">
        <v>165</v>
      </c>
      <c r="B19" s="22"/>
      <c r="C19" s="22"/>
      <c r="D19" s="22"/>
      <c r="E19" s="22"/>
      <c r="F19" s="22"/>
      <c r="G19" s="22"/>
      <c r="H19" s="22"/>
    </row>
    <row r="21" customFormat="false" ht="15.5" hidden="false" customHeight="false" outlineLevel="0" collapsed="false">
      <c r="A21" s="12" t="s">
        <v>166</v>
      </c>
      <c r="B21" s="12"/>
      <c r="C21" s="12"/>
      <c r="D21" s="12"/>
      <c r="E21" s="12"/>
      <c r="F21" s="12"/>
      <c r="G21" s="13"/>
      <c r="H21" s="13"/>
    </row>
    <row r="22" customFormat="false" ht="15.5" hidden="false" customHeight="false" outlineLevel="0" collapsed="false">
      <c r="A22" s="14" t="s">
        <v>167</v>
      </c>
      <c r="B22" s="14" t="s">
        <v>153</v>
      </c>
      <c r="C22" s="14" t="s">
        <v>154</v>
      </c>
      <c r="D22" s="14" t="s">
        <v>155</v>
      </c>
      <c r="E22" s="14" t="s">
        <v>156</v>
      </c>
      <c r="F22" s="14" t="s">
        <v>157</v>
      </c>
      <c r="G22" s="14" t="s">
        <v>168</v>
      </c>
      <c r="H22" s="14" t="s">
        <v>169</v>
      </c>
    </row>
    <row r="23" customFormat="false" ht="15" hidden="false" customHeight="false" outlineLevel="0" collapsed="false">
      <c r="A23" s="10" t="n">
        <v>3</v>
      </c>
      <c r="B23" s="15" t="s">
        <v>170</v>
      </c>
      <c r="C23" s="15" t="s">
        <v>170</v>
      </c>
      <c r="D23" s="15" t="s">
        <v>170</v>
      </c>
      <c r="E23" s="15" t="s">
        <v>171</v>
      </c>
      <c r="F23" s="15" t="s">
        <v>171</v>
      </c>
      <c r="G23" s="18" t="n">
        <f aca="false">PRODUCT(3*3*3*13*13)</f>
        <v>4563</v>
      </c>
      <c r="H23" s="37" t="n">
        <f aca="false">G23/$B$9</f>
        <v>0.00435161590576172</v>
      </c>
    </row>
    <row r="24" customFormat="false" ht="15" hidden="false" customHeight="false" outlineLevel="0" collapsed="false">
      <c r="A24" s="10" t="n">
        <v>3</v>
      </c>
      <c r="B24" s="15" t="s">
        <v>170</v>
      </c>
      <c r="C24" s="15" t="s">
        <v>170</v>
      </c>
      <c r="D24" s="15" t="s">
        <v>171</v>
      </c>
      <c r="E24" s="15" t="s">
        <v>170</v>
      </c>
      <c r="F24" s="15" t="s">
        <v>171</v>
      </c>
      <c r="G24" s="18" t="n">
        <f aca="false">PRODUCT(3*3*13*3*13)</f>
        <v>4563</v>
      </c>
      <c r="H24" s="37" t="n">
        <f aca="false">G24/$B$9</f>
        <v>0.00435161590576172</v>
      </c>
    </row>
    <row r="25" customFormat="false" ht="15" hidden="false" customHeight="false" outlineLevel="0" collapsed="false">
      <c r="A25" s="10" t="n">
        <v>3</v>
      </c>
      <c r="B25" s="15" t="s">
        <v>170</v>
      </c>
      <c r="C25" s="15" t="s">
        <v>170</v>
      </c>
      <c r="D25" s="15" t="s">
        <v>171</v>
      </c>
      <c r="E25" s="15" t="s">
        <v>171</v>
      </c>
      <c r="F25" s="15" t="s">
        <v>170</v>
      </c>
      <c r="G25" s="18" t="n">
        <f aca="false">PRODUCT(3*3*13*13*3)</f>
        <v>4563</v>
      </c>
      <c r="H25" s="37" t="n">
        <f aca="false">G25/$B$9</f>
        <v>0.00435161590576172</v>
      </c>
    </row>
    <row r="26" customFormat="false" ht="15" hidden="false" customHeight="false" outlineLevel="0" collapsed="false">
      <c r="A26" s="10" t="n">
        <v>3</v>
      </c>
      <c r="B26" s="15" t="s">
        <v>170</v>
      </c>
      <c r="C26" s="15" t="s">
        <v>171</v>
      </c>
      <c r="D26" s="15" t="s">
        <v>170</v>
      </c>
      <c r="E26" s="15" t="s">
        <v>170</v>
      </c>
      <c r="F26" s="15" t="s">
        <v>171</v>
      </c>
      <c r="G26" s="18" t="n">
        <f aca="false">PRODUCT(3*13*3*3*13)</f>
        <v>4563</v>
      </c>
      <c r="H26" s="37" t="n">
        <f aca="false">G26/$B$9</f>
        <v>0.00435161590576172</v>
      </c>
    </row>
    <row r="27" customFormat="false" ht="15" hidden="false" customHeight="false" outlineLevel="0" collapsed="false">
      <c r="A27" s="10" t="n">
        <v>3</v>
      </c>
      <c r="B27" s="15" t="s">
        <v>170</v>
      </c>
      <c r="C27" s="15" t="s">
        <v>171</v>
      </c>
      <c r="D27" s="15" t="s">
        <v>170</v>
      </c>
      <c r="E27" s="15" t="s">
        <v>171</v>
      </c>
      <c r="F27" s="15" t="s">
        <v>170</v>
      </c>
      <c r="G27" s="18" t="n">
        <f aca="false">PRODUCT(3*13*3*13*3)</f>
        <v>4563</v>
      </c>
      <c r="H27" s="37" t="n">
        <f aca="false">G27/$B$9</f>
        <v>0.00435161590576172</v>
      </c>
    </row>
    <row r="28" customFormat="false" ht="15" hidden="false" customHeight="false" outlineLevel="0" collapsed="false">
      <c r="A28" s="10" t="n">
        <v>3</v>
      </c>
      <c r="B28" s="15" t="s">
        <v>170</v>
      </c>
      <c r="C28" s="15" t="s">
        <v>171</v>
      </c>
      <c r="D28" s="15" t="s">
        <v>171</v>
      </c>
      <c r="E28" s="15" t="s">
        <v>170</v>
      </c>
      <c r="F28" s="15" t="s">
        <v>170</v>
      </c>
      <c r="G28" s="18" t="n">
        <f aca="false">PRODUCT(3*13*13*3*3)</f>
        <v>4563</v>
      </c>
      <c r="H28" s="37" t="n">
        <f aca="false">G28/$B$9</f>
        <v>0.00435161590576172</v>
      </c>
    </row>
    <row r="29" customFormat="false" ht="15" hidden="false" customHeight="false" outlineLevel="0" collapsed="false">
      <c r="A29" s="10" t="n">
        <v>3</v>
      </c>
      <c r="B29" s="15" t="s">
        <v>171</v>
      </c>
      <c r="C29" s="15" t="s">
        <v>170</v>
      </c>
      <c r="D29" s="15" t="s">
        <v>170</v>
      </c>
      <c r="E29" s="15" t="s">
        <v>170</v>
      </c>
      <c r="F29" s="15" t="s">
        <v>171</v>
      </c>
      <c r="G29" s="18" t="n">
        <f aca="false">PRODUCT(13*3*3*3*13)</f>
        <v>4563</v>
      </c>
      <c r="H29" s="37" t="n">
        <f aca="false">G29/$B$9</f>
        <v>0.00435161590576172</v>
      </c>
    </row>
    <row r="30" customFormat="false" ht="15" hidden="false" customHeight="false" outlineLevel="0" collapsed="false">
      <c r="A30" s="10" t="n">
        <v>3</v>
      </c>
      <c r="B30" s="15" t="s">
        <v>171</v>
      </c>
      <c r="C30" s="15" t="s">
        <v>170</v>
      </c>
      <c r="D30" s="15" t="s">
        <v>170</v>
      </c>
      <c r="E30" s="15" t="s">
        <v>171</v>
      </c>
      <c r="F30" s="15" t="s">
        <v>170</v>
      </c>
      <c r="G30" s="18" t="n">
        <f aca="false">PRODUCT(13*3*3*13*3)</f>
        <v>4563</v>
      </c>
      <c r="H30" s="37" t="n">
        <f aca="false">G30/$B$9</f>
        <v>0.00435161590576172</v>
      </c>
    </row>
    <row r="31" customFormat="false" ht="15" hidden="false" customHeight="false" outlineLevel="0" collapsed="false">
      <c r="A31" s="10" t="n">
        <v>3</v>
      </c>
      <c r="B31" s="15" t="s">
        <v>171</v>
      </c>
      <c r="C31" s="15" t="s">
        <v>170</v>
      </c>
      <c r="D31" s="15" t="s">
        <v>171</v>
      </c>
      <c r="E31" s="15" t="s">
        <v>170</v>
      </c>
      <c r="F31" s="15" t="s">
        <v>170</v>
      </c>
      <c r="G31" s="18" t="n">
        <f aca="false">PRODUCT(13*3*13*3*3)</f>
        <v>4563</v>
      </c>
      <c r="H31" s="37" t="n">
        <f aca="false">G31/$B$9</f>
        <v>0.00435161590576172</v>
      </c>
    </row>
    <row r="32" customFormat="false" ht="15" hidden="false" customHeight="false" outlineLevel="0" collapsed="false">
      <c r="A32" s="10" t="n">
        <v>3</v>
      </c>
      <c r="B32" s="15" t="s">
        <v>171</v>
      </c>
      <c r="C32" s="15" t="s">
        <v>171</v>
      </c>
      <c r="D32" s="15" t="s">
        <v>170</v>
      </c>
      <c r="E32" s="15" t="s">
        <v>170</v>
      </c>
      <c r="F32" s="15" t="s">
        <v>170</v>
      </c>
      <c r="G32" s="18" t="n">
        <f aca="false">PRODUCT(13*13*3*3*3)</f>
        <v>4563</v>
      </c>
      <c r="H32" s="37" t="n">
        <f aca="false">G32/$B$9</f>
        <v>0.00435161590576172</v>
      </c>
    </row>
    <row r="33" customFormat="false" ht="15" hidden="false" customHeight="false" outlineLevel="0" collapsed="false">
      <c r="A33" s="10" t="n">
        <v>4</v>
      </c>
      <c r="B33" s="15" t="s">
        <v>170</v>
      </c>
      <c r="C33" s="15" t="s">
        <v>170</v>
      </c>
      <c r="D33" s="15" t="s">
        <v>170</v>
      </c>
      <c r="E33" s="15" t="s">
        <v>170</v>
      </c>
      <c r="F33" s="15" t="s">
        <v>171</v>
      </c>
      <c r="G33" s="18" t="n">
        <f aca="false">PRODUCT(3*3*3*3*13)</f>
        <v>1053</v>
      </c>
      <c r="H33" s="37" t="n">
        <f aca="false">G33/$B$9</f>
        <v>0.00100421905517578</v>
      </c>
    </row>
    <row r="34" customFormat="false" ht="15" hidden="false" customHeight="false" outlineLevel="0" collapsed="false">
      <c r="A34" s="10" t="n">
        <v>4</v>
      </c>
      <c r="B34" s="15" t="s">
        <v>170</v>
      </c>
      <c r="C34" s="15" t="s">
        <v>170</v>
      </c>
      <c r="D34" s="15" t="s">
        <v>170</v>
      </c>
      <c r="E34" s="15" t="s">
        <v>171</v>
      </c>
      <c r="F34" s="15" t="s">
        <v>170</v>
      </c>
      <c r="G34" s="18" t="n">
        <f aca="false">PRODUCT(3*3*3*13*3)</f>
        <v>1053</v>
      </c>
      <c r="H34" s="37" t="n">
        <f aca="false">G34/$B$9</f>
        <v>0.00100421905517578</v>
      </c>
    </row>
    <row r="35" customFormat="false" ht="15" hidden="false" customHeight="false" outlineLevel="0" collapsed="false">
      <c r="A35" s="10" t="n">
        <v>4</v>
      </c>
      <c r="B35" s="15" t="s">
        <v>170</v>
      </c>
      <c r="C35" s="15" t="s">
        <v>170</v>
      </c>
      <c r="D35" s="15" t="s">
        <v>171</v>
      </c>
      <c r="E35" s="15" t="s">
        <v>170</v>
      </c>
      <c r="F35" s="15" t="s">
        <v>170</v>
      </c>
      <c r="G35" s="18" t="n">
        <f aca="false">PRODUCT(3*3*13*3*3)</f>
        <v>1053</v>
      </c>
      <c r="H35" s="37" t="n">
        <f aca="false">G35/$B$9</f>
        <v>0.00100421905517578</v>
      </c>
    </row>
    <row r="36" customFormat="false" ht="15" hidden="false" customHeight="false" outlineLevel="0" collapsed="false">
      <c r="A36" s="10" t="n">
        <v>4</v>
      </c>
      <c r="B36" s="15" t="s">
        <v>170</v>
      </c>
      <c r="C36" s="15" t="s">
        <v>171</v>
      </c>
      <c r="D36" s="15" t="s">
        <v>170</v>
      </c>
      <c r="E36" s="15" t="s">
        <v>170</v>
      </c>
      <c r="F36" s="15" t="s">
        <v>170</v>
      </c>
      <c r="G36" s="18" t="n">
        <f aca="false">PRODUCT(3*13*3*3*3)</f>
        <v>1053</v>
      </c>
      <c r="H36" s="37" t="n">
        <f aca="false">G36/$B$9</f>
        <v>0.00100421905517578</v>
      </c>
    </row>
    <row r="37" customFormat="false" ht="15" hidden="false" customHeight="false" outlineLevel="0" collapsed="false">
      <c r="A37" s="10" t="n">
        <v>4</v>
      </c>
      <c r="B37" s="15" t="s">
        <v>171</v>
      </c>
      <c r="C37" s="15" t="s">
        <v>170</v>
      </c>
      <c r="D37" s="15" t="s">
        <v>170</v>
      </c>
      <c r="E37" s="15" t="s">
        <v>170</v>
      </c>
      <c r="F37" s="15" t="s">
        <v>170</v>
      </c>
      <c r="G37" s="18" t="n">
        <f aca="false">PRODUCT(13*3*3*3*3)</f>
        <v>1053</v>
      </c>
      <c r="H37" s="37" t="n">
        <f aca="false">G37/$B$9</f>
        <v>0.00100421905517578</v>
      </c>
    </row>
    <row r="38" customFormat="false" ht="15" hidden="false" customHeight="false" outlineLevel="0" collapsed="false">
      <c r="A38" s="10" t="n">
        <v>5</v>
      </c>
      <c r="B38" s="15" t="s">
        <v>170</v>
      </c>
      <c r="C38" s="15" t="s">
        <v>170</v>
      </c>
      <c r="D38" s="15" t="s">
        <v>170</v>
      </c>
      <c r="E38" s="15" t="s">
        <v>170</v>
      </c>
      <c r="F38" s="15" t="s">
        <v>170</v>
      </c>
      <c r="G38" s="18" t="n">
        <f aca="false">PRODUCT(3*3*3*3*3)</f>
        <v>243</v>
      </c>
      <c r="H38" s="37" t="n">
        <f aca="false">G38/$B$9</f>
        <v>0.000231742858886719</v>
      </c>
    </row>
    <row r="39" customFormat="false" ht="15" hidden="false" customHeight="false" outlineLevel="0" collapsed="false">
      <c r="A39" s="24" t="s">
        <v>172</v>
      </c>
      <c r="G39" s="18" t="n">
        <f aca="false">SUM(G23:G38)</f>
        <v>51138</v>
      </c>
      <c r="H39" s="38" t="n">
        <f aca="false">G39/$B$9</f>
        <v>0.0487689971923828</v>
      </c>
    </row>
    <row r="40" customFormat="false" ht="15.5" hidden="false" customHeight="true" outlineLevel="0" collapsed="false">
      <c r="A40" s="22" t="s">
        <v>173</v>
      </c>
      <c r="B40" s="22"/>
      <c r="C40" s="22"/>
      <c r="D40" s="22"/>
      <c r="E40" s="22"/>
      <c r="F40" s="22"/>
      <c r="G40" s="22"/>
      <c r="H40" s="22"/>
      <c r="I40" s="22"/>
      <c r="J40" s="22"/>
      <c r="K40" s="22"/>
      <c r="L40" s="22"/>
      <c r="M40" s="22"/>
      <c r="N40" s="22"/>
    </row>
    <row r="42" customFormat="false" ht="15.5" hidden="false" customHeight="false" outlineLevel="0" collapsed="false">
      <c r="A42" s="12" t="s">
        <v>174</v>
      </c>
      <c r="B42" s="12"/>
      <c r="C42" s="12"/>
      <c r="D42" s="13"/>
      <c r="E42" s="13"/>
      <c r="F42" s="13"/>
      <c r="G42" s="13"/>
      <c r="H42" s="13"/>
    </row>
    <row r="43" customFormat="false" ht="15" hidden="false" customHeight="false" outlineLevel="0" collapsed="false">
      <c r="A43" s="14" t="s">
        <v>133</v>
      </c>
      <c r="B43" s="14" t="s">
        <v>134</v>
      </c>
      <c r="C43" s="14" t="s">
        <v>127</v>
      </c>
      <c r="D43" s="14"/>
      <c r="E43" s="14"/>
      <c r="F43" s="14"/>
      <c r="G43" s="14"/>
      <c r="H43" s="14"/>
    </row>
    <row r="44" customFormat="false" ht="16" hidden="false" customHeight="false" outlineLevel="0" collapsed="false">
      <c r="A44" s="10" t="s">
        <v>175</v>
      </c>
      <c r="B44" s="37" t="n">
        <f aca="false">(SUM(G23:G38))/$B$9</f>
        <v>0.0487689971923828</v>
      </c>
      <c r="C44" s="10" t="s">
        <v>176</v>
      </c>
    </row>
    <row r="45" customFormat="false" ht="16" hidden="false" customHeight="false" outlineLevel="0" collapsed="false">
      <c r="A45" s="10" t="s">
        <v>177</v>
      </c>
      <c r="B45" s="26" t="n">
        <v>0.6185</v>
      </c>
      <c r="C45" s="16" t="s">
        <v>178</v>
      </c>
      <c r="D45" s="16"/>
      <c r="E45" s="16"/>
    </row>
    <row r="46" customFormat="false" ht="16" hidden="false" customHeight="false" outlineLevel="0" collapsed="false">
      <c r="A46" s="10" t="s">
        <v>179</v>
      </c>
      <c r="B46" s="26" t="n">
        <v>0.6571</v>
      </c>
      <c r="C46" s="16" t="s">
        <v>180</v>
      </c>
      <c r="D46" s="16"/>
      <c r="E46" s="16"/>
      <c r="F46" s="16"/>
    </row>
    <row r="47" customFormat="false" ht="16" hidden="false" customHeight="false" outlineLevel="0" collapsed="false">
      <c r="A47" s="24" t="s">
        <v>181</v>
      </c>
      <c r="B47" s="27" t="n">
        <f aca="false">B45+B46</f>
        <v>1.2756</v>
      </c>
      <c r="C47" s="10" t="s">
        <v>182</v>
      </c>
    </row>
    <row r="48" customFormat="false" ht="16" hidden="false" customHeight="false" outlineLevel="0" collapsed="false">
      <c r="A48" s="24" t="s">
        <v>183</v>
      </c>
      <c r="B48" s="39" t="n">
        <f aca="false">B46/B47</f>
        <v>0.515130134838507</v>
      </c>
      <c r="C48" s="16" t="s">
        <v>184</v>
      </c>
      <c r="D48" s="16"/>
      <c r="E48" s="16"/>
    </row>
    <row r="50" customFormat="false" ht="15.5" hidden="false" customHeight="false" outlineLevel="0" collapsed="false">
      <c r="A50" s="12" t="s">
        <v>185</v>
      </c>
      <c r="B50" s="12"/>
      <c r="C50" s="12"/>
      <c r="D50" s="13"/>
      <c r="E50" s="13"/>
      <c r="F50" s="13"/>
      <c r="G50" s="13"/>
      <c r="H50" s="13"/>
    </row>
    <row r="51" customFormat="false" ht="15" hidden="false" customHeight="false" outlineLevel="0" collapsed="false">
      <c r="A51" s="14" t="s">
        <v>133</v>
      </c>
      <c r="B51" s="14" t="s">
        <v>134</v>
      </c>
      <c r="C51" s="14" t="s">
        <v>127</v>
      </c>
      <c r="D51" s="14"/>
      <c r="E51" s="14"/>
      <c r="F51" s="14"/>
      <c r="G51" s="14"/>
      <c r="H51" s="14"/>
    </row>
    <row r="52" customFormat="false" ht="16" hidden="false" customHeight="false" outlineLevel="0" collapsed="false">
      <c r="A52" s="10" t="s">
        <v>186</v>
      </c>
      <c r="B52" s="15" t="n">
        <v>10</v>
      </c>
      <c r="C52" s="16" t="s">
        <v>187</v>
      </c>
      <c r="D52" s="16"/>
      <c r="E52" s="16"/>
      <c r="F52" s="16"/>
      <c r="G52" s="16"/>
    </row>
    <row r="53" customFormat="false" ht="15" hidden="false" customHeight="false" outlineLevel="0" collapsed="false">
      <c r="A53" s="10" t="s">
        <v>188</v>
      </c>
      <c r="B53" s="37" t="n">
        <f aca="false">B44</f>
        <v>0.0487689971923828</v>
      </c>
      <c r="C53" s="16" t="s">
        <v>189</v>
      </c>
      <c r="D53" s="16"/>
      <c r="E53" s="16"/>
    </row>
    <row r="54" customFormat="false" ht="16" hidden="false" customHeight="false" outlineLevel="0" collapsed="false">
      <c r="A54" s="10" t="s">
        <v>190</v>
      </c>
      <c r="B54" s="15" t="n">
        <v>5</v>
      </c>
      <c r="C54" s="16" t="s">
        <v>191</v>
      </c>
      <c r="D54" s="16"/>
      <c r="E54" s="16"/>
      <c r="F54" s="16"/>
    </row>
    <row r="55" customFormat="false" ht="16" hidden="false" customHeight="false" outlineLevel="0" collapsed="false">
      <c r="A55" s="24" t="s">
        <v>192</v>
      </c>
      <c r="B55" s="27" t="n">
        <f aca="false">B52/(1-B53*B54)</f>
        <v>13.2248015477635</v>
      </c>
      <c r="C55" s="16" t="s">
        <v>193</v>
      </c>
      <c r="D55" s="16"/>
      <c r="E55" s="16"/>
      <c r="F55" s="16"/>
    </row>
    <row r="56" customFormat="false" ht="16" hidden="false" customHeight="false" outlineLevel="0" collapsed="false">
      <c r="A56" s="10" t="s">
        <v>194</v>
      </c>
      <c r="B56" s="26" t="n">
        <v>1.0189</v>
      </c>
      <c r="C56" s="16" t="s">
        <v>195</v>
      </c>
      <c r="D56" s="16"/>
      <c r="E56" s="16"/>
      <c r="F56" s="16"/>
    </row>
    <row r="57" customFormat="false" ht="16" hidden="false" customHeight="false" outlineLevel="0" collapsed="false">
      <c r="A57" s="24" t="s">
        <v>196</v>
      </c>
      <c r="B57" s="27" t="n">
        <f aca="false">B44*B55*B56</f>
        <v>0.657150059403243</v>
      </c>
      <c r="C57" s="16" t="s">
        <v>197</v>
      </c>
      <c r="D57" s="16"/>
      <c r="E57" s="16"/>
      <c r="F57" s="16"/>
    </row>
    <row r="58" customFormat="false" ht="16" hidden="false" customHeight="false" outlineLevel="0" collapsed="false">
      <c r="A58" s="24" t="s">
        <v>198</v>
      </c>
      <c r="B58" s="27" t="n">
        <f aca="false">B45+B57</f>
        <v>1.27565005940324</v>
      </c>
      <c r="C58" s="16" t="s">
        <v>199</v>
      </c>
      <c r="D58" s="16"/>
      <c r="E58" s="16"/>
      <c r="F58" s="16"/>
      <c r="G58" s="16"/>
    </row>
    <row r="59" customFormat="false" ht="15.5" hidden="false" customHeight="true" outlineLevel="0" collapsed="false">
      <c r="A59" s="22" t="s">
        <v>200</v>
      </c>
      <c r="B59" s="22"/>
      <c r="C59" s="22"/>
      <c r="D59" s="22"/>
      <c r="E59" s="22"/>
      <c r="F59" s="22"/>
      <c r="G59" s="22"/>
      <c r="H59" s="22"/>
      <c r="I59" s="22"/>
    </row>
    <row r="61" customFormat="false" ht="15.5" hidden="false" customHeight="false" outlineLevel="0" collapsed="false">
      <c r="A61" s="12" t="s">
        <v>201</v>
      </c>
      <c r="B61" s="12"/>
      <c r="C61" s="12"/>
      <c r="D61" s="13"/>
      <c r="E61" s="13"/>
      <c r="F61" s="13"/>
      <c r="G61" s="13"/>
      <c r="H61" s="13"/>
    </row>
    <row r="62" customFormat="false" ht="15" hidden="false" customHeight="false" outlineLevel="0" collapsed="false">
      <c r="A62" s="14" t="s">
        <v>202</v>
      </c>
      <c r="B62" s="14" t="s">
        <v>203</v>
      </c>
      <c r="C62" s="14" t="s">
        <v>127</v>
      </c>
      <c r="D62" s="14"/>
      <c r="E62" s="14"/>
      <c r="F62" s="14"/>
      <c r="G62" s="14"/>
      <c r="H62" s="14"/>
    </row>
    <row r="63" customFormat="false" ht="16" hidden="false" customHeight="false" outlineLevel="0" collapsed="false">
      <c r="A63" s="10" t="s">
        <v>204</v>
      </c>
      <c r="B63" s="29" t="str">
        <f aca="false">IF($B$8-B15=7,"✓","✗")</f>
        <v>✓</v>
      </c>
      <c r="C63" s="10" t="s">
        <v>205</v>
      </c>
    </row>
    <row r="64" customFormat="false" ht="16" hidden="false" customHeight="false" outlineLevel="0" collapsed="false">
      <c r="A64" s="20" t="s">
        <v>206</v>
      </c>
      <c r="B64" s="29" t="str">
        <f aca="false">IF(AND(B18=3,C18=3,D18=3,E18=3,F18=3),"✓","✗")</f>
        <v>✓</v>
      </c>
      <c r="C64" s="20" t="s">
        <v>207</v>
      </c>
    </row>
    <row r="65" customFormat="false" ht="16" hidden="false" customHeight="false" outlineLevel="0" collapsed="false">
      <c r="A65" s="10" t="s">
        <v>208</v>
      </c>
      <c r="B65" s="29" t="str">
        <f aca="false">IF(COUNTA($A$23:$A$38)=16,"✓","✗")</f>
        <v>✓</v>
      </c>
      <c r="C65" s="17" t="s">
        <v>209</v>
      </c>
      <c r="D65" s="17"/>
    </row>
    <row r="66" customFormat="false" ht="16" hidden="false" customHeight="false" outlineLevel="0" collapsed="false">
      <c r="A66" s="35">
        <v>3</v>
      </c>
      <c r="B66" s="29" t="str">
        <f aca="false">IF(G23=4563,"✓","✗")</f>
        <v>✓</v>
      </c>
      <c r="C66" s="20" t="s">
        <v>211</v>
      </c>
    </row>
    <row r="67" customFormat="false" ht="16" hidden="false" customHeight="false" outlineLevel="0" collapsed="false">
      <c r="A67" s="10" t="s">
        <v>212</v>
      </c>
      <c r="B67" s="29" t="str">
        <f aca="false">IF(ABS(H39-0.048769)&lt;0.000001,"✓","✗")</f>
        <v>✓</v>
      </c>
      <c r="C67" s="17" t="s">
        <v>213</v>
      </c>
      <c r="D67" s="17"/>
    </row>
    <row r="68" customFormat="false" ht="16" hidden="false" customHeight="false" outlineLevel="0" collapsed="false">
      <c r="A68" s="10" t="s">
        <v>214</v>
      </c>
      <c r="B68" s="29" t="str">
        <f aca="false">IF(ABS(B47-1.2756)&lt;0.0005,"✓","✗")</f>
        <v>✓</v>
      </c>
      <c r="C68" s="36">
        <v>0.6185</v>
      </c>
      <c r="D68" s="17"/>
    </row>
    <row r="70" customFormat="false" ht="15" hidden="false" customHeight="true" outlineLevel="0" collapsed="false">
      <c r="A70" s="22" t="s">
        <v>216</v>
      </c>
      <c r="B70" s="22"/>
      <c r="C70" s="22"/>
      <c r="D70" s="22"/>
      <c r="E70" s="22"/>
      <c r="F70" s="22"/>
      <c r="G70" s="22"/>
      <c r="H70" s="22"/>
    </row>
  </sheetData>
  <mergeCells count="30">
    <mergeCell ref="A1:H1"/>
    <mergeCell ref="A3:C3"/>
    <mergeCell ref="C5:E5"/>
    <mergeCell ref="C7:F7"/>
    <mergeCell ref="C8:D8"/>
    <mergeCell ref="C9:D9"/>
    <mergeCell ref="C10:D10"/>
    <mergeCell ref="C11:E11"/>
    <mergeCell ref="A13:F13"/>
    <mergeCell ref="A19:H19"/>
    <mergeCell ref="A21:F21"/>
    <mergeCell ref="A40:N40"/>
    <mergeCell ref="A42:C42"/>
    <mergeCell ref="C45:E45"/>
    <mergeCell ref="C46:F46"/>
    <mergeCell ref="C48:E48"/>
    <mergeCell ref="A50:C50"/>
    <mergeCell ref="C52:G52"/>
    <mergeCell ref="C53:E53"/>
    <mergeCell ref="C54:F54"/>
    <mergeCell ref="C55:F55"/>
    <mergeCell ref="C56:F56"/>
    <mergeCell ref="C57:F57"/>
    <mergeCell ref="C58:G58"/>
    <mergeCell ref="A59:I59"/>
    <mergeCell ref="A61:C61"/>
    <mergeCell ref="C65:D65"/>
    <mergeCell ref="C67:D67"/>
    <mergeCell ref="C68:D68"/>
    <mergeCell ref="A70:H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S90"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2026-09-29T15:06:25Z</dcterms:created>
  <dc:creator>openpyxl</dc:creator>
  <dc:description/>
  <dc:language>zh-CN</dc:language>
  <cp:lastModifiedBy/>
  <dcterms:modified xsi:type="dcterms:W3CDTF">2026-09-29T15:06:25Z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