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<sst xmlns="http://schemas.openxmlformats.org/spreadsheetml/2006/main" count="277" uniqueCount="266">
  <si>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03 —— </t>
    </r>
    <r>
      <rPr>
        <b val="true"/>
        <sz val="14"/>
        <color rgb="FF1F4E79"/>
        <rFont val="Noto Sans SC"/>
        <family val="2"/>
        <charset val="134"/>
      </rPr>
      <t xml:space="preserve">基础篇：玩法类型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</si>
  <si>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基础篇——玩法类型》  </t>
    </r>
    <r>
      <rPr>
        <sz val="11"/>
        <color rgb="FF808080"/>
        <rFont val="Cambria"/>
        <family val="0"/>
        <charset val="1"/>
      </rPr>
      <t xml:space="preserve">https://zhuanlan.zhihu.com/p/623694441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</si>
  <si>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</si>
  <si>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</si>
  <si>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</si>
  <si>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t xml:space="preserve">配表说明：本篇为玩法类型总览，公式与判定口径全部取自原文；</t>
  </si>
  <si>
    <r>
      <rPr>
        <sz val="11"/>
        <color rgb="FF808080"/>
        <rFont val="Noto Sans SC"/>
        <family val="2"/>
        <charset val="134"/>
      </rPr>
      <t xml:space="preserve">【</t>
    </r>
    <r>
      <rPr>
        <sz val="11"/>
        <color rgb="FF808080"/>
        <rFont val="Cambria"/>
        <family val="0"/>
        <charset val="1"/>
      </rPr>
      <t xml:space="preserve">4</t>
    </r>
    <r>
      <rPr>
        <sz val="11"/>
        <color rgb="FF808080"/>
        <rFont val="Noto Sans SC"/>
        <family val="2"/>
        <charset val="134"/>
      </rPr>
      <t xml:space="preserve">】【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SC"/>
        <family val="2"/>
        <charset val="134"/>
      </rPr>
      <t xml:space="preserve">】中的各列图标个数、赔付倍数、基数都是可改的示意值（原文未给具体配置），目的是把「线数 ＝ 各列个数乘积」「基数口径差异」「取最高档」这几件事量化出来。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</si>
  <si>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</si>
  <si>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</si>
  <si>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</si>
  <si>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</si>
  <si>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images/slots/623694441-NN.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</si>
  <si>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</si>
  <si>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</si>
  <si>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</si>
  <si>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Slots </t>
    </r>
    <r>
      <rPr>
        <sz val="11"/>
        <color theme="1"/>
        <rFont val="Noto Sans SC"/>
        <family val="2"/>
        <charset val="134"/>
      </rPr>
      <t xml:space="preserve">按中奖判定方式分六大类：</t>
    </r>
    <r>
      <rPr>
        <sz val="11"/>
        <color theme="1"/>
        <rFont val="Calibri"/>
        <family val="2"/>
        <charset val="1"/>
      </rPr>
      <t xml:space="preserve">Line / Way / Megaways / Cluster / Grid / MegaCluster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</si>
  <si>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Line Slots</t>
    </r>
    <r>
      <rPr>
        <sz val="11"/>
        <color theme="1"/>
        <rFont val="Noto Sans SC"/>
        <family val="2"/>
        <charset val="134"/>
      </rPr>
      <t xml:space="preserve">：由中奖线判定。中奖额 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中奖线数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图标赔付倍数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；</t>
    </r>
  </si>
  <si>
    <t xml:space="preserve">  一个图标有多档赔付时分开算再加总，多个图标中奖时分别算再加总。</t>
  </si>
  <si>
    <r>
      <rPr>
        <sz val="11"/>
        <color theme="1"/>
        <rFont val="Calibri"/>
        <family val="2"/>
        <charset val="1"/>
      </rPr>
      <t xml:space="preserve">· Way Slots</t>
    </r>
    <r>
      <rPr>
        <sz val="11"/>
        <color theme="1"/>
        <rFont val="Noto Sans SC"/>
        <family val="2"/>
        <charset val="134"/>
      </rPr>
      <t xml:space="preserve">：不需要指定位置，只要图标从第一列起连续出现即中奖；</t>
    </r>
  </si>
  <si>
    <r>
      <rPr>
        <sz val="11"/>
        <color theme="1"/>
        <rFont val="Noto Sans SC"/>
        <family val="2"/>
        <charset val="134"/>
      </rPr>
      <t xml:space="preserve">  同一列出现多个该图标时按个数放大 → 中奖额 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中奖各列图标个数乘积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</si>
  <si>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只取能满足的最高档赔付（无需分开加总），计算基数不再是「下注额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线数」而是人为规定</t>
    </r>
  </si>
  <si>
    <r>
      <rPr>
        <sz val="11"/>
        <color theme="1"/>
        <rFont val="Noto Sans SC"/>
        <family val="2"/>
        <charset val="134"/>
      </rPr>
      <t xml:space="preserve">  （下注额 </t>
    </r>
    <r>
      <rPr>
        <sz val="11"/>
        <color theme="1"/>
        <rFont val="Calibri"/>
        <family val="2"/>
        <charset val="1"/>
      </rPr>
      <t xml:space="preserve">÷ 10 / 18 / 88 / 100</t>
    </r>
    <r>
      <rPr>
        <sz val="11"/>
        <color theme="1"/>
        <rFont val="Noto Sans SC"/>
        <family val="2"/>
        <charset val="134"/>
      </rPr>
      <t xml:space="preserve">，或固定值——固定值时改下注额就调图标赔付倍数）。</t>
    </r>
  </si>
  <si>
    <r>
      <rPr>
        <sz val="11"/>
        <color theme="1"/>
        <rFont val="Calibri"/>
        <family val="2"/>
        <charset val="1"/>
      </rPr>
      <t xml:space="preserve">· Megaways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SC"/>
        <family val="2"/>
        <charset val="134"/>
      </rPr>
      <t xml:space="preserve">的进阶——图标大小不一 → 每列图标个数不固定 → 线数每局变化</t>
    </r>
  </si>
  <si>
    <r>
      <rPr>
        <sz val="11"/>
        <color theme="1"/>
        <rFont val="Noto Sans SC"/>
        <family val="2"/>
        <charset val="134"/>
      </rPr>
      <t xml:space="preserve">  （原文例：</t>
    </r>
    <r>
      <rPr>
        <sz val="11"/>
        <color theme="1"/>
        <rFont val="Calibri"/>
        <family val="2"/>
        <charset val="1"/>
      </rPr>
      <t xml:space="preserve">5×3×3×4×4×2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1440 </t>
    </r>
    <r>
      <rPr>
        <sz val="11"/>
        <color theme="1"/>
        <rFont val="Noto Sans SC"/>
        <family val="2"/>
        <charset val="134"/>
      </rPr>
      <t xml:space="preserve">线）；最常见形态是 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列上方多一行固定大小区域，</t>
    </r>
  </si>
  <si>
    <r>
      <rPr>
        <sz val="11"/>
        <color theme="1"/>
        <rFont val="Noto Sans SC"/>
        <family val="2"/>
        <charset val="134"/>
      </rPr>
      <t xml:space="preserve">  下半区域无论出现多少个相同图标都只算一个 → 每列图标个数乘积被限制（例：</t>
    </r>
    <r>
      <rPr>
        <sz val="11"/>
        <color theme="1"/>
        <rFont val="Calibri"/>
        <family val="2"/>
        <charset val="1"/>
      </rPr>
      <t xml:space="preserve">7×2×2×2×2×7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392 </t>
    </r>
    <r>
      <rPr>
        <sz val="11"/>
        <color theme="1"/>
        <rFont val="Noto Sans SC"/>
        <family val="2"/>
        <charset val="134"/>
      </rPr>
      <t xml:space="preserve">以内）。</t>
    </r>
  </si>
  <si>
    <r>
      <rPr>
        <sz val="11"/>
        <color theme="1"/>
        <rFont val="Calibri"/>
        <family val="2"/>
        <charset val="1"/>
      </rPr>
      <t xml:space="preserve">· Cluster</t>
    </r>
    <r>
      <rPr>
        <sz val="11"/>
        <color theme="1"/>
        <rFont val="Noto Sans SC"/>
        <family val="2"/>
        <charset val="134"/>
      </rPr>
      <t xml:space="preserve">：无中奖线，也不要求从第一列开始；上下左右相邻的同图标即相连，成组即中奖；</t>
    </r>
  </si>
  <si>
    <r>
      <rPr>
        <sz val="11"/>
        <color theme="1"/>
        <rFont val="Noto Sans SC"/>
        <family val="2"/>
        <charset val="134"/>
      </rPr>
      <t xml:space="preserve">  中奖额 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（按每一组相邻图标分别求和）；常带消除连消，</t>
    </r>
  </si>
  <si>
    <t xml:space="preserve">  一次游戏被拆成多次中奖体验。</t>
  </si>
  <si>
    <r>
      <rPr>
        <sz val="11"/>
        <color theme="1"/>
        <rFont val="Calibri"/>
        <family val="2"/>
        <charset val="1"/>
      </rPr>
      <t xml:space="preserve">· Grid</t>
    </r>
    <r>
      <rPr>
        <sz val="11"/>
        <color theme="1"/>
        <rFont val="Noto Sans SC"/>
        <family val="2"/>
        <charset val="134"/>
      </rPr>
      <t xml:space="preserve">：比 </t>
    </r>
    <r>
      <rPr>
        <sz val="11"/>
        <color theme="1"/>
        <rFont val="Calibri"/>
        <family val="2"/>
        <charset val="1"/>
      </rPr>
      <t xml:space="preserve">Cluster </t>
    </r>
    <r>
      <rPr>
        <sz val="11"/>
        <color theme="1"/>
        <rFont val="Noto Sans SC"/>
        <family val="2"/>
        <charset val="134"/>
      </rPr>
      <t xml:space="preserve">更简单，图标甚至不需要相邻，只要场上该图标出现个数 ≥ 门槛即中奖；</t>
    </r>
  </si>
  <si>
    <r>
      <rPr>
        <sz val="11"/>
        <color theme="1"/>
        <rFont val="Noto Sans SC"/>
        <family val="2"/>
        <charset val="134"/>
      </rPr>
      <t xml:space="preserve">  中奖额 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图标倍数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，与 </t>
    </r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SC"/>
        <family val="2"/>
        <charset val="134"/>
      </rPr>
      <t xml:space="preserve">一致只取满足的最高档。</t>
    </r>
  </si>
  <si>
    <r>
      <rPr>
        <sz val="11"/>
        <color theme="1"/>
        <rFont val="Calibri"/>
        <family val="2"/>
        <charset val="1"/>
      </rPr>
      <t xml:space="preserve">· MegaCluster</t>
    </r>
    <r>
      <rPr>
        <sz val="11"/>
        <color theme="1"/>
        <rFont val="Noto Sans SC"/>
        <family val="2"/>
        <charset val="134"/>
      </rPr>
      <t xml:space="preserve">：</t>
    </r>
    <r>
      <rPr>
        <sz val="11"/>
        <color theme="1"/>
        <rFont val="Calibri"/>
        <family val="2"/>
        <charset val="1"/>
      </rPr>
      <t xml:space="preserve">Cluster </t>
    </r>
    <r>
      <rPr>
        <sz val="11"/>
        <color theme="1"/>
        <rFont val="Noto Sans SC"/>
        <family val="2"/>
        <charset val="134"/>
      </rPr>
      <t xml:space="preserve">的进阶——中奖后不消失，而是分裂成 </t>
    </r>
    <r>
      <rPr>
        <sz val="11"/>
        <color theme="1"/>
        <rFont val="Calibri"/>
        <family val="2"/>
        <charset val="1"/>
      </rPr>
      <t xml:space="preserve">2×2 </t>
    </r>
    <r>
      <rPr>
        <sz val="11"/>
        <color theme="1"/>
        <rFont val="Noto Sans SC"/>
        <family val="2"/>
        <charset val="134"/>
      </rPr>
      <t xml:space="preserve">的小图标（小图标同样按相邻判定）；</t>
    </r>
  </si>
  <si>
    <t xml:space="preserve">  因为上方大图标会留空隙，该玩法取消了中奖消除，连中次数因此大幅减少。</t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</si>
  <si>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</si>
  <si>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前两篇对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的基础概念进行了介绍（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 基础构成 </t>
    </r>
    <r>
      <rPr>
        <sz val="11"/>
        <color theme="1"/>
        <rFont val="Calibri"/>
        <family val="2"/>
        <charset val="1"/>
      </rPr>
      <t xml:space="preserve">&amp;Slots</t>
    </r>
    <r>
      <rPr>
        <sz val="11"/>
        <color theme="1"/>
        <rFont val="Noto Sans SC"/>
        <family val="2"/>
        <charset val="134"/>
      </rPr>
      <t xml:space="preserve">基础篇——数值概念简介）</t>
    </r>
  </si>
  <si>
    <r>
      <rPr>
        <sz val="11"/>
        <color theme="1"/>
        <rFont val="Noto Sans SC"/>
        <family val="2"/>
        <charset val="134"/>
      </rPr>
      <t xml:space="preserve">本篇将从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的中奖规则切入</t>
    </r>
  </si>
  <si>
    <r>
      <rPr>
        <sz val="11"/>
        <color theme="1"/>
        <rFont val="Noto Sans SC"/>
        <family val="2"/>
        <charset val="134"/>
      </rPr>
      <t xml:space="preserve">介绍当前移动端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产品中比较常见的一些类型，及其中奖判定方法和奖金结算公式</t>
    </r>
  </si>
  <si>
    <r>
      <rPr>
        <sz val="11"/>
        <color theme="1"/>
        <rFont val="Noto Sans SC"/>
        <family val="2"/>
        <charset val="134"/>
      </rPr>
      <t xml:space="preserve">本文只是简单介绍玩法规则和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特点，不包括具体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的结算方式和数值模型</t>
    </r>
  </si>
  <si>
    <t xml:space="preserve">Line Slots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</si>
  <si>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623694441-01.jpg</t>
    </r>
  </si>
  <si>
    <r>
      <rPr>
        <sz val="11"/>
        <color theme="1"/>
        <rFont val="Noto Sans SC"/>
        <family val="2"/>
        <charset val="134"/>
      </rPr>
      <t xml:space="preserve">大家印象中比较熟悉的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类型都属于这一类，是最原始、经典的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类型</t>
    </r>
  </si>
  <si>
    <t xml:space="preserve">其主要的特点和其名称一样，使用中奖线判定玩家的中奖情况</t>
  </si>
  <si>
    <r>
      <rPr>
        <sz val="11"/>
        <color theme="1"/>
        <rFont val="Noto Sans SC"/>
        <family val="2"/>
        <charset val="134"/>
      </rPr>
      <t xml:space="preserve">例如，在</t>
    </r>
    <r>
      <rPr>
        <sz val="11"/>
        <color theme="1"/>
        <rFont val="Calibri"/>
        <family val="2"/>
        <charset val="1"/>
      </rPr>
      <t xml:space="preserve">1*3 Line Slots </t>
    </r>
    <r>
      <rPr>
        <sz val="11"/>
        <color theme="1"/>
        <rFont val="Noto Sans SC"/>
        <family val="2"/>
        <charset val="134"/>
      </rPr>
      <t xml:space="preserve">中，中奖线就从第一列到第三列这一条线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</si>
  <si>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623694441-02.png</t>
    </r>
  </si>
  <si>
    <t xml:space="preserve">灰色部分代表卷轴外</t>
  </si>
  <si>
    <r>
      <rPr>
        <sz val="11"/>
        <color theme="1"/>
        <rFont val="Noto Sans SC"/>
        <family val="2"/>
        <charset val="134"/>
      </rPr>
      <t xml:space="preserve">最原始的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都是传统的</t>
    </r>
    <r>
      <rPr>
        <sz val="11"/>
        <color theme="1"/>
        <rFont val="Calibri"/>
        <family val="2"/>
        <charset val="1"/>
      </rPr>
      <t xml:space="preserve">1*3 Line Slots</t>
    </r>
  </si>
  <si>
    <t xml:space="preserve">但是一次只能下注一条线的游戏形式对于部分玩家来说效率比较低、不够刺激</t>
  </si>
  <si>
    <r>
      <rPr>
        <sz val="11"/>
        <color theme="1"/>
        <rFont val="Noto Sans SC"/>
        <family val="2"/>
        <charset val="134"/>
      </rPr>
      <t xml:space="preserve">在此需求的基础上，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制作商开发出了初始版的</t>
    </r>
    <r>
      <rPr>
        <sz val="11"/>
        <color theme="1"/>
        <rFont val="Calibri"/>
        <family val="2"/>
        <charset val="1"/>
      </rPr>
      <t xml:space="preserve">3*3 Slots</t>
    </r>
  </si>
  <si>
    <r>
      <rPr>
        <sz val="11"/>
        <color theme="1"/>
        <rFont val="Noto Sans SC"/>
        <family val="2"/>
        <charset val="134"/>
      </rPr>
      <t xml:space="preserve">最初的</t>
    </r>
    <r>
      <rPr>
        <sz val="11"/>
        <color theme="1"/>
        <rFont val="Calibri"/>
        <family val="2"/>
        <charset val="1"/>
      </rPr>
      <t xml:space="preserve">3*3 Line Slots </t>
    </r>
    <r>
      <rPr>
        <sz val="11"/>
        <color theme="1"/>
        <rFont val="Noto Sans SC"/>
        <family val="2"/>
        <charset val="134"/>
      </rPr>
      <t xml:space="preserve">只是将三个</t>
    </r>
    <r>
      <rPr>
        <sz val="11"/>
        <color theme="1"/>
        <rFont val="Calibri"/>
        <family val="2"/>
        <charset val="1"/>
      </rPr>
      <t xml:space="preserve">1*3 Line Slots </t>
    </r>
    <r>
      <rPr>
        <sz val="11"/>
        <color theme="1"/>
        <rFont val="Noto Sans SC"/>
        <family val="2"/>
        <charset val="134"/>
      </rPr>
      <t xml:space="preserve">拼接在一起</t>
    </r>
  </si>
  <si>
    <t xml:space="preserve">只有三条横向的中奖线。具体如下：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</si>
  <si>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623694441-03.jpg</t>
    </r>
  </si>
  <si>
    <t xml:space="preserve">每条中奖线对应一份下注额，在中奖线增加的同时，下注额也随之提升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</si>
  <si>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623694441-04.jpg</t>
    </r>
  </si>
  <si>
    <r>
      <rPr>
        <sz val="11"/>
        <color theme="1"/>
        <rFont val="Noto Sans SC"/>
        <family val="2"/>
        <charset val="134"/>
      </rPr>
      <t xml:space="preserve">今天依旧有部分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玩法使用这种自选中奖线数的方式</t>
    </r>
  </si>
  <si>
    <t xml:space="preserve">玩家可以从预设的中奖线中进行选择，但是需要提供和线数对应的下注额</t>
  </si>
  <si>
    <r>
      <rPr>
        <sz val="11"/>
        <color theme="1"/>
        <rFont val="Noto Sans SC"/>
        <family val="2"/>
        <charset val="134"/>
      </rPr>
      <t xml:space="preserve">无论是否固定中奖线，这种分中奖线判断图标是否中奖的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都属于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类型</t>
    </r>
  </si>
  <si>
    <r>
      <rPr>
        <sz val="11"/>
        <color theme="1"/>
        <rFont val="Calibri"/>
        <family val="2"/>
        <charset val="1"/>
      </rPr>
      <t xml:space="preserve">Line Slots </t>
    </r>
    <r>
      <rPr>
        <sz val="11"/>
        <color theme="1"/>
        <rFont val="Noto Sans SC"/>
        <family val="2"/>
        <charset val="134"/>
      </rPr>
      <t xml:space="preserve">基础属性</t>
    </r>
  </si>
  <si>
    <t xml:space="preserve">卷轴尺寸：不定，依据卷轴尺寸设计中奖线数即可</t>
  </si>
  <si>
    <r>
      <rPr>
        <sz val="11"/>
        <color theme="1"/>
        <rFont val="Noto Sans SC"/>
        <family val="2"/>
        <charset val="134"/>
      </rPr>
      <t xml:space="preserve">中奖额计算公式：∑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  <charset val="134"/>
      </rPr>
      <t xml:space="preserve">下注额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中奖线数 </t>
    </r>
    <r>
      <rPr>
        <sz val="11"/>
        <color theme="1"/>
        <rFont val="Calibri"/>
        <family val="2"/>
        <charset val="1"/>
      </rPr>
      <t xml:space="preserve">* </t>
    </r>
    <r>
      <rPr>
        <sz val="11"/>
        <color theme="1"/>
        <rFont val="Noto Sans SC"/>
        <family val="2"/>
        <charset val="134"/>
      </rPr>
      <t xml:space="preserve">图标赔付倍数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</si>
  <si>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当一个图标存在多种赔付倍数时，分开计算后加总得到该图标的最终赔付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</si>
  <si>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当多个图标中奖时，分别计算各图标中奖额后加总得到总中奖额</t>
    </r>
  </si>
  <si>
    <t xml:space="preserve">Way Slots</t>
  </si>
  <si>
    <r>
      <rPr>
        <sz val="11"/>
        <color theme="1"/>
        <rFont val="Noto Sans SC"/>
        <family val="2"/>
        <charset val="134"/>
      </rPr>
      <t xml:space="preserve">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通过增加中奖线数量和对应倍数的下注额</t>
    </r>
  </si>
  <si>
    <r>
      <rPr>
        <sz val="11"/>
        <color theme="1"/>
        <rFont val="Noto Sans SC"/>
        <family val="2"/>
        <charset val="134"/>
      </rPr>
      <t xml:space="preserve">增加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的游戏效率</t>
    </r>
  </si>
  <si>
    <r>
      <rPr>
        <sz val="11"/>
        <color theme="1"/>
        <rFont val="Noto Sans SC"/>
        <family val="2"/>
        <charset val="134"/>
      </rPr>
      <t xml:space="preserve">但该不断向上累加的方法也限制了多线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的上限</t>
    </r>
  </si>
  <si>
    <t xml:space="preserve">当线数足够多时，下注额会变得非常巨大</t>
  </si>
  <si>
    <t xml:space="preserve">并且大量且复杂的下注线，属实不利于玩家的记忆</t>
  </si>
  <si>
    <r>
      <rPr>
        <sz val="11"/>
        <color theme="1"/>
        <rFont val="Noto Sans SC"/>
        <family val="2"/>
        <charset val="134"/>
      </rPr>
      <t xml:space="preserve">部分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产品使用不存在相同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连的中奖线来防止重复中奖</t>
    </r>
  </si>
  <si>
    <t xml:space="preserve">降低产品的理解成本，但这样又限制了中奖线数的提升</t>
  </si>
  <si>
    <r>
      <rPr>
        <sz val="11"/>
        <color theme="1"/>
        <rFont val="Noto Sans SC"/>
        <family val="2"/>
        <charset val="134"/>
      </rPr>
      <t xml:space="preserve">在这种困局面前，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应运而生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</si>
  <si>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623694441-05.jpg</t>
    </r>
  </si>
  <si>
    <r>
      <rPr>
        <sz val="11"/>
        <color theme="1"/>
        <rFont val="Calibri"/>
        <family val="2"/>
        <charset val="1"/>
      </rPr>
      <t xml:space="preserve">Way Slots </t>
    </r>
    <r>
      <rPr>
        <sz val="11"/>
        <color theme="1"/>
        <rFont val="Noto Sans SC"/>
        <family val="2"/>
        <charset val="134"/>
      </rPr>
      <t xml:space="preserve">不需要图标出现在指定位置才能获得奖励</t>
    </r>
  </si>
  <si>
    <t xml:space="preserve">只要从第一列开始图标连续出现，就能够获得该中奖组合对应的赔付倍数奖励</t>
  </si>
  <si>
    <t xml:space="preserve">当同一列出现多个相同图标并中奖时，在结算时乘上中奖列每列该图标出现的个数累乘乘积即可</t>
  </si>
  <si>
    <r>
      <rPr>
        <sz val="11"/>
        <color theme="1"/>
        <rFont val="Noto Sans SC"/>
        <family val="2"/>
        <charset val="134"/>
      </rPr>
      <t xml:space="preserve">突破中奖线数的要求，玩家不用再去记忆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复杂的中奖线</t>
    </r>
  </si>
  <si>
    <t xml:space="preserve">在计算时只需要考虑玩法连续出现的列数和每列的图标个数即可</t>
  </si>
  <si>
    <t xml:space="preserve">并且直接将每列重复出现的图标按照个数计算进赔付倍数中，也解决了重复中奖导致中奖线难以设置的问题</t>
  </si>
  <si>
    <r>
      <rPr>
        <sz val="11"/>
        <color theme="1"/>
        <rFont val="Calibri"/>
        <family val="2"/>
        <charset val="1"/>
      </rPr>
      <t xml:space="preserve">Way Slots </t>
    </r>
    <r>
      <rPr>
        <sz val="11"/>
        <color theme="1"/>
        <rFont val="Noto Sans SC"/>
        <family val="2"/>
        <charset val="134"/>
      </rPr>
      <t xml:space="preserve">基础属性</t>
    </r>
  </si>
  <si>
    <t xml:space="preserve">卷轴：不定</t>
  </si>
  <si>
    <r>
      <rPr>
        <sz val="11"/>
        <color theme="1"/>
        <rFont val="Noto Sans SC"/>
        <family val="2"/>
        <charset val="134"/>
      </rPr>
      <t xml:space="preserve">中奖额计算公式：∑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* </t>
    </r>
    <r>
      <rPr>
        <sz val="11"/>
        <color theme="1"/>
        <rFont val="Noto Sans SC"/>
        <family val="2"/>
        <charset val="134"/>
      </rPr>
      <t xml:space="preserve">图标赔付倍数 </t>
    </r>
    <r>
      <rPr>
        <sz val="11"/>
        <color theme="1"/>
        <rFont val="Calibri"/>
        <family val="2"/>
        <charset val="1"/>
      </rPr>
      <t xml:space="preserve">* </t>
    </r>
    <r>
      <rPr>
        <sz val="11"/>
        <color theme="1"/>
        <rFont val="Noto Sans SC"/>
        <family val="2"/>
        <charset val="134"/>
      </rPr>
      <t xml:space="preserve">中奖列每列该图标数出现的数量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</si>
  <si>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Ways Slots </t>
    </r>
    <r>
      <rPr>
        <sz val="11"/>
        <color theme="1"/>
        <rFont val="Noto Sans SC"/>
        <family val="2"/>
        <charset val="134"/>
      </rPr>
      <t xml:space="preserve">置灰触发各图标连续出现列数最多的那档赔付倍数，在计算时无需分开计算在加总，大大减少了玩家计算难度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</si>
  <si>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由于没有中奖线数，</t>
    </r>
    <r>
      <rPr>
        <sz val="11"/>
        <color theme="1"/>
        <rFont val="Calibri"/>
        <family val="2"/>
        <charset val="1"/>
      </rPr>
      <t xml:space="preserve">Ways Slots </t>
    </r>
    <r>
      <rPr>
        <sz val="11"/>
        <color theme="1"/>
        <rFont val="Noto Sans SC"/>
        <family val="2"/>
        <charset val="134"/>
      </rPr>
      <t xml:space="preserve">的下注基数不再是下注额除以中奖线数，而是人为规定的指定数值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</si>
  <si>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该数值可以是下注额除以指定常数，常用的常数为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</si>
  <si>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也可以是固定值。在调整下注额时改变图标赔付倍数即可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</si>
  <si>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除去多线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，其他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的计算基数都是人为规定的。多线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也有人为规定的，但是比较少，而且和多线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就是把多个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拼在一起的设计理念不符</t>
    </r>
  </si>
  <si>
    <t xml:space="preserve">Megaways Slots</t>
  </si>
  <si>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是在</t>
    </r>
    <r>
      <rPr>
        <sz val="11"/>
        <color theme="1"/>
        <rFont val="Calibri"/>
        <family val="2"/>
        <charset val="1"/>
      </rPr>
      <t xml:space="preserve">Way Slots </t>
    </r>
    <r>
      <rPr>
        <sz val="11"/>
        <color theme="1"/>
        <rFont val="Noto Sans SC"/>
        <family val="2"/>
        <charset val="134"/>
      </rPr>
      <t xml:space="preserve">上发展衍生出的新玩法</t>
    </r>
  </si>
  <si>
    <r>
      <rPr>
        <sz val="11"/>
        <color theme="1"/>
        <rFont val="Noto Sans SC"/>
        <family val="2"/>
        <charset val="134"/>
      </rPr>
      <t xml:space="preserve">其主要特征是在</t>
    </r>
    <r>
      <rPr>
        <sz val="11"/>
        <color theme="1"/>
        <rFont val="Calibri"/>
        <family val="2"/>
        <charset val="1"/>
      </rPr>
      <t xml:space="preserve">Way Slots </t>
    </r>
    <r>
      <rPr>
        <sz val="11"/>
        <color theme="1"/>
        <rFont val="Noto Sans SC"/>
        <family val="2"/>
        <charset val="134"/>
      </rPr>
      <t xml:space="preserve">的基础上添加了大小不一的图标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</si>
  <si>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623694441-06.jpg</t>
    </r>
  </si>
  <si>
    <t xml:space="preserve">大小不一的图标导致每列出现的图标个数并不固定</t>
  </si>
  <si>
    <t xml:space="preserve">因此中奖线数也会不断地变化</t>
  </si>
  <si>
    <r>
      <rPr>
        <sz val="11"/>
        <color theme="1"/>
        <rFont val="Calibri"/>
        <family val="2"/>
        <charset val="1"/>
      </rPr>
      <t xml:space="preserve">Megaways</t>
    </r>
    <r>
      <rPr>
        <sz val="11"/>
        <color theme="1"/>
        <rFont val="Noto Sans SC"/>
        <family val="2"/>
        <charset val="134"/>
      </rPr>
      <t xml:space="preserve">中的</t>
    </r>
    <r>
      <rPr>
        <sz val="11"/>
        <color theme="1"/>
        <rFont val="Calibri"/>
        <family val="2"/>
        <charset val="1"/>
      </rPr>
      <t xml:space="preserve">Mega</t>
    </r>
    <r>
      <rPr>
        <sz val="11"/>
        <color theme="1"/>
        <rFont val="Noto Sans SC"/>
        <family val="2"/>
        <charset val="134"/>
      </rPr>
      <t xml:space="preserve">也是用来形容该玩法线数可能性之多</t>
    </r>
  </si>
  <si>
    <r>
      <rPr>
        <sz val="11"/>
        <color theme="1"/>
        <rFont val="Noto Sans SC"/>
        <family val="2"/>
        <charset val="134"/>
      </rPr>
      <t xml:space="preserve">为了强调这一点，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都喜欢在摇奖过程中变动展示当前卷轴存在的线数</t>
    </r>
  </si>
  <si>
    <r>
      <rPr>
        <sz val="11"/>
        <color theme="1"/>
        <rFont val="Noto Sans SC"/>
        <family val="2"/>
        <charset val="134"/>
      </rPr>
      <t xml:space="preserve">例如上图右上角的</t>
    </r>
    <r>
      <rPr>
        <sz val="11"/>
        <color theme="1"/>
        <rFont val="Calibri"/>
        <family val="2"/>
        <charset val="1"/>
      </rPr>
      <t xml:space="preserve">1440</t>
    </r>
    <r>
      <rPr>
        <sz val="11"/>
        <color theme="1"/>
        <rFont val="Noto Sans SC"/>
        <family val="2"/>
        <charset val="134"/>
      </rPr>
      <t xml:space="preserve">线就是以当前场上各列图标数 </t>
    </r>
    <r>
      <rPr>
        <sz val="11"/>
        <color theme="1"/>
        <rFont val="Calibri"/>
        <family val="2"/>
        <charset val="1"/>
      </rPr>
      <t xml:space="preserve">5 * 3 * 3 * 4 * 4 * 2</t>
    </r>
    <r>
      <rPr>
        <sz val="11"/>
        <color theme="1"/>
        <rFont val="Noto Sans SC"/>
        <family val="2"/>
        <charset val="134"/>
      </rPr>
      <t xml:space="preserve">得到的</t>
    </r>
  </si>
  <si>
    <r>
      <rPr>
        <sz val="11"/>
        <color theme="1"/>
        <rFont val="Noto Sans SC"/>
        <family val="2"/>
        <charset val="134"/>
      </rPr>
      <t xml:space="preserve">（虽然和</t>
    </r>
    <r>
      <rPr>
        <sz val="11"/>
        <color theme="1"/>
        <rFont val="Calibri"/>
        <family val="2"/>
        <charset val="1"/>
      </rPr>
      <t xml:space="preserve">Ways</t>
    </r>
    <r>
      <rPr>
        <sz val="11"/>
        <color theme="1"/>
        <rFont val="Noto Sans SC"/>
        <family val="2"/>
        <charset val="134"/>
      </rPr>
      <t xml:space="preserve">一样，</t>
    </r>
    <r>
      <rPr>
        <sz val="11"/>
        <color theme="1"/>
        <rFont val="Calibri"/>
        <family val="2"/>
        <charset val="1"/>
      </rPr>
      <t xml:space="preserve">Megaways</t>
    </r>
    <r>
      <rPr>
        <sz val="11"/>
        <color theme="1"/>
        <rFont val="Noto Sans SC"/>
        <family val="2"/>
        <charset val="134"/>
      </rPr>
      <t xml:space="preserve">并不要连线</t>
    </r>
    <r>
      <rPr>
        <sz val="11"/>
        <color theme="1"/>
        <rFont val="Calibri"/>
        <family val="2"/>
        <charset val="1"/>
      </rPr>
      <t xml:space="preserve">-_-||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</si>
  <si>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Calibri"/>
        <family val="2"/>
        <charset val="1"/>
      </rPr>
      <t xml:space="preserve">Megaways</t>
    </r>
    <r>
      <rPr>
        <sz val="11"/>
        <color theme="1"/>
        <rFont val="Noto Sans SC"/>
        <family val="2"/>
        <charset val="134"/>
      </rPr>
      <t xml:space="preserve">的基础赔付规则和</t>
    </r>
    <r>
      <rPr>
        <sz val="11"/>
        <color theme="1"/>
        <rFont val="Calibri"/>
        <family val="2"/>
        <charset val="1"/>
      </rPr>
      <t xml:space="preserve">Ways</t>
    </r>
    <r>
      <rPr>
        <sz val="11"/>
        <color theme="1"/>
        <rFont val="Noto Sans SC"/>
        <family val="2"/>
        <charset val="134"/>
      </rPr>
      <t xml:space="preserve">一致</t>
    </r>
  </si>
  <si>
    <t xml:space="preserve">当该图标从第一列开始连续时，玩家即可获得中奖组合对应的赔付倍数</t>
  </si>
  <si>
    <t xml:space="preserve">但是也出现了一些变种</t>
  </si>
  <si>
    <r>
      <rPr>
        <sz val="11"/>
        <color theme="1"/>
        <rFont val="Noto Sans SC"/>
        <family val="2"/>
        <charset val="134"/>
      </rPr>
      <t xml:space="preserve">例如上图中能明显发现第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Noto Sans SC"/>
        <family val="2"/>
        <charset val="134"/>
      </rPr>
      <t xml:space="preserve">列比首列和末列多出了一行固定大小的区域</t>
    </r>
  </si>
  <si>
    <r>
      <rPr>
        <sz val="11"/>
        <color theme="1"/>
        <rFont val="Noto Sans SC"/>
        <family val="2"/>
        <charset val="134"/>
      </rPr>
      <t xml:space="preserve">这也是当前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最常见的形态</t>
    </r>
  </si>
  <si>
    <r>
      <rPr>
        <sz val="11"/>
        <color theme="1"/>
        <rFont val="Noto Sans SC"/>
        <family val="2"/>
        <charset val="134"/>
      </rPr>
      <t xml:space="preserve">增加了一行的目的是将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分为上下两个部分</t>
    </r>
  </si>
  <si>
    <r>
      <rPr>
        <sz val="11"/>
        <color theme="1"/>
        <rFont val="Noto Sans SC"/>
        <family val="2"/>
        <charset val="134"/>
      </rPr>
      <t xml:space="preserve">下方的图标顺应</t>
    </r>
    <r>
      <rPr>
        <sz val="11"/>
        <color theme="1"/>
        <rFont val="Calibri"/>
        <family val="2"/>
        <charset val="1"/>
      </rPr>
      <t xml:space="preserve">Megaways</t>
    </r>
    <r>
      <rPr>
        <sz val="11"/>
        <color theme="1"/>
        <rFont val="Noto Sans SC"/>
        <family val="2"/>
        <charset val="134"/>
      </rPr>
      <t xml:space="preserve">的规则存在多种尺寸</t>
    </r>
  </si>
  <si>
    <t xml:space="preserve">而上方的图标则固定大小</t>
  </si>
  <si>
    <t xml:space="preserve">无论下方区域出现多少个相同图标都只算一个</t>
  </si>
  <si>
    <r>
      <rPr>
        <sz val="11"/>
        <color theme="1"/>
        <rFont val="Noto Sans SC"/>
        <family val="2"/>
        <charset val="134"/>
      </rPr>
      <t xml:space="preserve">例如一个下方区域最多分成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SC"/>
        <family val="2"/>
        <charset val="134"/>
      </rPr>
      <t xml:space="preserve">个图标的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，在加上这一限制后，计算公式中的每列图标个数的乘积就限定在了 </t>
    </r>
    <r>
      <rPr>
        <sz val="11"/>
        <color theme="1"/>
        <rFont val="Calibri"/>
        <family val="2"/>
        <charset val="1"/>
      </rPr>
      <t xml:space="preserve">7 * 2 * 2 * 2 * 2 * 7</t>
    </r>
    <r>
      <rPr>
        <sz val="11"/>
        <color theme="1"/>
        <rFont val="Noto Sans SC"/>
        <family val="2"/>
        <charset val="134"/>
      </rPr>
      <t xml:space="preserve">以内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</si>
  <si>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623694441-07.jpg</t>
    </r>
  </si>
  <si>
    <r>
      <rPr>
        <sz val="11"/>
        <color theme="1"/>
        <rFont val="Noto Sans SC"/>
        <family val="2"/>
        <charset val="134"/>
      </rPr>
      <t xml:space="preserve">附上一张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Noto Sans SC"/>
        <family val="2"/>
        <charset val="134"/>
      </rPr>
      <t xml:space="preserve">列没有变形的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截图</t>
    </r>
  </si>
  <si>
    <r>
      <rPr>
        <sz val="11"/>
        <color theme="1"/>
        <rFont val="Noto Sans SC"/>
        <family val="2"/>
        <charset val="134"/>
      </rPr>
      <t xml:space="preserve">虽然现在变形的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要远多于这种只做了图标大小变化的类型，但基础版的</t>
    </r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也并不是不存在</t>
    </r>
  </si>
  <si>
    <r>
      <rPr>
        <sz val="11"/>
        <color theme="1"/>
        <rFont val="Calibri"/>
        <family val="2"/>
        <charset val="1"/>
      </rPr>
      <t xml:space="preserve">Megaways Slots </t>
    </r>
    <r>
      <rPr>
        <sz val="11"/>
        <color theme="1"/>
        <rFont val="Noto Sans SC"/>
        <family val="2"/>
        <charset val="134"/>
      </rPr>
      <t xml:space="preserve">基础属性</t>
    </r>
  </si>
  <si>
    <r>
      <rPr>
        <sz val="11"/>
        <color theme="1"/>
        <rFont val="Noto Sans SC"/>
        <family val="2"/>
        <charset val="134"/>
      </rPr>
      <t xml:space="preserve">卷轴：以六列的居多，下半区域分裂图标个数大多为</t>
    </r>
    <r>
      <rPr>
        <sz val="11"/>
        <color theme="1"/>
        <rFont val="Calibri"/>
        <family val="2"/>
        <charset val="1"/>
      </rPr>
      <t xml:space="preserve">2~7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Noto Sans SC"/>
        <family val="2"/>
        <charset val="134"/>
      </rPr>
      <t xml:space="preserve">两种</t>
    </r>
  </si>
  <si>
    <r>
      <rPr>
        <sz val="11"/>
        <color theme="1"/>
        <rFont val="Calibri"/>
        <family val="2"/>
        <charset val="1"/>
      </rPr>
      <t xml:space="preserve">- 2~7</t>
    </r>
    <r>
      <rPr>
        <sz val="11"/>
        <color theme="1"/>
        <rFont val="Noto Sans SC"/>
        <family val="2"/>
        <charset val="134"/>
      </rPr>
      <t xml:space="preserve">的话不同尺寸的图标之间大小不是整数比关系</t>
    </r>
  </si>
  <si>
    <r>
      <rPr>
        <sz val="11"/>
        <color theme="1"/>
        <rFont val="Calibri"/>
        <family val="2"/>
        <charset val="1"/>
      </rPr>
      <t xml:space="preserve">- 2~5</t>
    </r>
    <r>
      <rPr>
        <sz val="11"/>
        <color theme="1"/>
        <rFont val="Noto Sans SC"/>
        <family val="2"/>
        <charset val="134"/>
      </rPr>
      <t xml:space="preserve">列的话大图标一般都是几个小图标组合在一起大小</t>
    </r>
  </si>
  <si>
    <r>
      <rPr>
        <sz val="11"/>
        <color theme="1"/>
        <rFont val="Noto Sans SC"/>
        <family val="2"/>
        <charset val="134"/>
      </rPr>
      <t xml:space="preserve">计算公式：同</t>
    </r>
    <r>
      <rPr>
        <sz val="11"/>
        <color theme="1"/>
        <rFont val="Calibri"/>
        <family val="2"/>
        <charset val="1"/>
      </rPr>
      <t xml:space="preserve">Way Slots</t>
    </r>
  </si>
  <si>
    <r>
      <rPr>
        <sz val="11"/>
        <color theme="1"/>
        <rFont val="Noto Sans SC"/>
        <family val="2"/>
        <charset val="134"/>
      </rPr>
      <t xml:space="preserve">以上三款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和传统的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都还比较接近</t>
    </r>
  </si>
  <si>
    <t xml:space="preserve">从最初的单线变成多线，再突破中奖线和卷轴区域的限制</t>
  </si>
  <si>
    <t xml:space="preserve">但整体逻辑还是从第一列开始连续出现图标触发中奖</t>
  </si>
  <si>
    <r>
      <rPr>
        <sz val="11"/>
        <color theme="1"/>
        <rFont val="Noto Sans SC"/>
        <family val="2"/>
        <charset val="134"/>
      </rPr>
      <t xml:space="preserve">在后续的发展中，部分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融合了其他休闲玩法的特色，进一步突破了老虎机的基础框架</t>
    </r>
  </si>
  <si>
    <t xml:space="preserve">Cluster Slots</t>
  </si>
  <si>
    <r>
      <rPr>
        <sz val="11"/>
        <color theme="1"/>
        <rFont val="Calibri"/>
        <family val="2"/>
        <charset val="1"/>
      </rPr>
      <t xml:space="preserve"> Slots </t>
    </r>
    <r>
      <rPr>
        <sz val="11"/>
        <color theme="1"/>
        <rFont val="Noto Sans SC"/>
        <family val="2"/>
        <charset val="134"/>
      </rPr>
      <t xml:space="preserve">作为休闲游戏的一类，在进行调整时不难想到融合其他休闲玩法</t>
    </r>
  </si>
  <si>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就是受到消除类游戏影响后诞生的 </t>
    </r>
    <r>
      <rPr>
        <sz val="11"/>
        <color theme="1"/>
        <rFont val="Calibri"/>
        <family val="2"/>
        <charset val="1"/>
      </rPr>
      <t xml:space="preserve">Slots</t>
    </r>
  </si>
  <si>
    <r>
      <rPr>
        <sz val="11"/>
        <color theme="1"/>
        <rFont val="Noto Sans SC"/>
        <family val="2"/>
        <charset val="134"/>
      </rPr>
      <t xml:space="preserve">该类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经常有着非常大的卷轴区域</t>
    </r>
  </si>
  <si>
    <t xml:space="preserve">并且使用无边框的形式承载图标弱化卷轴内部的边界感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</si>
  <si>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623694441-08.jpg</t>
    </r>
  </si>
  <si>
    <r>
      <rPr>
        <sz val="11"/>
        <color theme="1"/>
        <rFont val="Noto Sans SC"/>
        <family val="2"/>
        <charset val="134"/>
      </rPr>
      <t xml:space="preserve">这样设计目的和该类型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的游戏机制相关</t>
    </r>
  </si>
  <si>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没有中奖线的概念，也不要求从图标从第一列开始出现才能获奖</t>
    </r>
  </si>
  <si>
    <t xml:space="preserve">只要图标 上下左右 方向存在同类型图标，即视为这些图标相连</t>
  </si>
  <si>
    <t xml:space="preserve">当相同图标相连时，即可获得中奖组合对应赔付倍数的奖励</t>
  </si>
  <si>
    <r>
      <rPr>
        <sz val="11"/>
        <color theme="1"/>
        <rFont val="Noto Sans SC"/>
        <family val="2"/>
        <charset val="134"/>
      </rPr>
      <t xml:space="preserve">基于消除类游戏设计出的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不少玩法也继承了消除玩法的图标消除功能</t>
    </r>
  </si>
  <si>
    <t xml:space="preserve">常表现为图标中奖后消除，剩余图标向下用移动并掉落新图标填补空缺</t>
  </si>
  <si>
    <t xml:space="preserve">图标填满屏幕后再次判定是否存在图标中奖</t>
  </si>
  <si>
    <t xml:space="preserve">有中奖图标则重复以上步骤，直至没有图标可以再中奖</t>
  </si>
  <si>
    <t xml:space="preserve">在重复中奖的过程中并不重复消耗玩家的下注额</t>
  </si>
  <si>
    <r>
      <rPr>
        <sz val="11"/>
        <color theme="1"/>
        <rFont val="Noto Sans SC"/>
        <family val="2"/>
        <charset val="134"/>
      </rPr>
      <t xml:space="preserve"> 把一次游戏拆解成多次中奖体验也是</t>
    </r>
    <r>
      <rPr>
        <sz val="11"/>
        <color theme="1"/>
        <rFont val="Calibri"/>
        <family val="2"/>
        <charset val="1"/>
      </rPr>
      <t xml:space="preserve">Cluster</t>
    </r>
    <r>
      <rPr>
        <sz val="11"/>
        <color theme="1"/>
        <rFont val="Noto Sans SC"/>
        <family val="2"/>
        <charset val="134"/>
      </rPr>
      <t xml:space="preserve">玩法的重要特征</t>
    </r>
  </si>
  <si>
    <r>
      <rPr>
        <sz val="11"/>
        <color theme="1"/>
        <rFont val="Noto Sans SC"/>
        <family val="2"/>
        <charset val="134"/>
      </rPr>
      <t xml:space="preserve">（多线和</t>
    </r>
    <r>
      <rPr>
        <sz val="11"/>
        <color theme="1"/>
        <rFont val="Calibri"/>
        <family val="2"/>
        <charset val="1"/>
      </rPr>
      <t xml:space="preserve">Ways Slots </t>
    </r>
    <r>
      <rPr>
        <sz val="11"/>
        <color theme="1"/>
        <rFont val="Noto Sans SC"/>
        <family val="2"/>
        <charset val="134"/>
      </rPr>
      <t xml:space="preserve">也有部分玩法设计了中奖消除或其他消除方式，但是整体数量较少。从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开始往后几个类型的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大量地使用了中奖消除功能）</t>
    </r>
  </si>
  <si>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基础属性</t>
    </r>
  </si>
  <si>
    <t xml:space="preserve">卷轴：卷轴区域较大</t>
  </si>
  <si>
    <r>
      <rPr>
        <sz val="11"/>
        <color theme="1"/>
        <rFont val="Noto Sans SC"/>
        <family val="2"/>
        <charset val="134"/>
      </rPr>
      <t xml:space="preserve">中奖额计算公式：∑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* </t>
    </r>
    <r>
      <rPr>
        <sz val="11"/>
        <color theme="1"/>
        <rFont val="Noto Sans SC"/>
        <family val="2"/>
        <charset val="134"/>
      </rPr>
      <t xml:space="preserve">赔付倍数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</si>
  <si>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Cluster Slots </t>
    </r>
    <r>
      <rPr>
        <sz val="11"/>
        <color theme="1"/>
        <rFont val="Noto Sans SC"/>
        <family val="2"/>
        <charset val="134"/>
      </rPr>
      <t xml:space="preserve">的求和是每一组相邻图标的赔付额之和</t>
    </r>
  </si>
  <si>
    <t xml:space="preserve">Grid Slots</t>
  </si>
  <si>
    <r>
      <rPr>
        <sz val="11"/>
        <color theme="1"/>
        <rFont val="Calibri"/>
        <family val="2"/>
        <charset val="1"/>
      </rPr>
      <t xml:space="preserve">Grid Slots </t>
    </r>
    <r>
      <rPr>
        <sz val="11"/>
        <color theme="1"/>
        <rFont val="Noto Sans SC"/>
        <family val="2"/>
        <charset val="134"/>
      </rPr>
      <t xml:space="preserve">在画面风格上和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比较类似，都增大了卷轴范围并弱化了图表之间的框线</t>
    </r>
  </si>
  <si>
    <r>
      <rPr>
        <sz val="11"/>
        <color theme="1"/>
        <rFont val="Noto Sans SC"/>
        <family val="2"/>
        <charset val="134"/>
      </rPr>
      <t xml:space="preserve">比起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Grid Slots </t>
    </r>
    <r>
      <rPr>
        <sz val="11"/>
        <color theme="1"/>
        <rFont val="Noto Sans SC"/>
        <family val="2"/>
        <charset val="134"/>
      </rPr>
      <t xml:space="preserve">在中奖规则上更加简单，图标甚至无需相互接触</t>
    </r>
  </si>
  <si>
    <t xml:space="preserve">只要场上该图标的出现个数大于等于目标个数，玩家即可中奖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</si>
  <si>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623694441-09.jpg</t>
    </r>
  </si>
  <si>
    <r>
      <rPr>
        <sz val="11"/>
        <color theme="1"/>
        <rFont val="Calibri"/>
        <family val="2"/>
        <charset val="1"/>
      </rPr>
      <t xml:space="preserve">Ways Slots </t>
    </r>
    <r>
      <rPr>
        <sz val="11"/>
        <color theme="1"/>
        <rFont val="Noto Sans SC"/>
        <family val="2"/>
        <charset val="134"/>
      </rPr>
      <t xml:space="preserve">是在多线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的基础上突破了中奖线的限制，</t>
    </r>
    <r>
      <rPr>
        <sz val="11"/>
        <color theme="1"/>
        <rFont val="Calibri"/>
        <family val="2"/>
        <charset val="1"/>
      </rPr>
      <t xml:space="preserve">Grid Slots </t>
    </r>
    <r>
      <rPr>
        <sz val="11"/>
        <color theme="1"/>
        <rFont val="Noto Sans SC"/>
        <family val="2"/>
        <charset val="134"/>
      </rPr>
      <t xml:space="preserve">就像是在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的基础上突破了相邻限制</t>
    </r>
  </si>
  <si>
    <r>
      <rPr>
        <sz val="11"/>
        <color theme="1"/>
        <rFont val="Noto Sans SC"/>
        <family val="2"/>
        <charset val="134"/>
      </rPr>
      <t xml:space="preserve">突破响铃限制后的</t>
    </r>
    <r>
      <rPr>
        <sz val="11"/>
        <color theme="1"/>
        <rFont val="Calibri"/>
        <family val="2"/>
        <charset val="1"/>
      </rPr>
      <t xml:space="preserve">Grid Slots </t>
    </r>
    <r>
      <rPr>
        <sz val="11"/>
        <color theme="1"/>
        <rFont val="Noto Sans SC"/>
        <family val="2"/>
        <charset val="134"/>
      </rPr>
      <t xml:space="preserve">不仅降低了理解成本，在结合中奖消除机制后，将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Near Win</t>
    </r>
    <r>
      <rPr>
        <sz val="11"/>
        <color theme="1"/>
        <rFont val="Noto Sans SC"/>
        <family val="2"/>
        <charset val="134"/>
      </rPr>
      <t xml:space="preserve">发挥到极致</t>
    </r>
  </si>
  <si>
    <r>
      <rPr>
        <sz val="11"/>
        <color theme="1"/>
        <rFont val="Calibri"/>
        <family val="2"/>
        <charset val="1"/>
      </rPr>
      <t xml:space="preserve">Grid Slots </t>
    </r>
    <r>
      <rPr>
        <sz val="11"/>
        <color theme="1"/>
        <rFont val="Noto Sans SC"/>
        <family val="2"/>
        <charset val="134"/>
      </rPr>
      <t xml:space="preserve">基础属性</t>
    </r>
  </si>
  <si>
    <t xml:space="preserve">卷轴：卷轴较大，依据卷轴包含的图表数量设置图标中奖门槛即可</t>
  </si>
  <si>
    <r>
      <rPr>
        <sz val="11"/>
        <color theme="1"/>
        <rFont val="Noto Sans SC"/>
        <family val="2"/>
        <charset val="134"/>
      </rPr>
      <t xml:space="preserve">计算公式：∑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* </t>
    </r>
    <r>
      <rPr>
        <sz val="11"/>
        <color theme="1"/>
        <rFont val="Noto Sans SC"/>
        <family val="2"/>
        <charset val="134"/>
      </rPr>
      <t xml:space="preserve">图标倍数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</si>
  <si>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Ways Slots </t>
    </r>
    <r>
      <rPr>
        <sz val="11"/>
        <color theme="1"/>
        <rFont val="Noto Sans SC"/>
        <family val="2"/>
        <charset val="134"/>
      </rPr>
      <t xml:space="preserve">一致，每种图标都只适用能满足的最高赔付倍数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</si>
  <si>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将不同图标的赔付额汇总即可得到总中奖额</t>
    </r>
  </si>
  <si>
    <t xml:space="preserve">MegaCluster Slots</t>
  </si>
  <si>
    <r>
      <rPr>
        <sz val="11"/>
        <color theme="1"/>
        <rFont val="Calibri"/>
        <family val="2"/>
        <charset val="1"/>
      </rPr>
      <t xml:space="preserve">Megacluster Slots </t>
    </r>
    <r>
      <rPr>
        <sz val="11"/>
        <color theme="1"/>
        <rFont val="Noto Sans SC"/>
        <family val="2"/>
        <charset val="134"/>
      </rPr>
      <t xml:space="preserve">是基于</t>
    </r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的进阶版本</t>
    </r>
  </si>
  <si>
    <r>
      <rPr>
        <sz val="11"/>
        <color theme="1"/>
        <rFont val="Noto Sans SC"/>
        <family val="2"/>
        <charset val="134"/>
      </rPr>
      <t xml:space="preserve">当前该类型的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数量相对较少</t>
    </r>
  </si>
  <si>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Cluster</t>
    </r>
    <r>
      <rPr>
        <sz val="11"/>
        <color theme="1"/>
        <rFont val="Noto Sans SC"/>
        <family val="2"/>
        <charset val="134"/>
      </rPr>
      <t xml:space="preserve">本身就没有</t>
    </r>
    <r>
      <rPr>
        <sz val="11"/>
        <color theme="1"/>
        <rFont val="Calibri"/>
        <family val="2"/>
        <charset val="1"/>
      </rPr>
      <t xml:space="preserve">Grid</t>
    </r>
    <r>
      <rPr>
        <sz val="11"/>
        <color theme="1"/>
        <rFont val="Noto Sans SC"/>
        <family val="2"/>
        <charset val="134"/>
      </rPr>
      <t xml:space="preserve">受欢迎，</t>
    </r>
    <r>
      <rPr>
        <sz val="11"/>
        <color theme="1"/>
        <rFont val="Calibri"/>
        <family val="2"/>
        <charset val="1"/>
      </rPr>
      <t xml:space="preserve">Megagird</t>
    </r>
    <r>
      <rPr>
        <sz val="11"/>
        <color theme="1"/>
        <rFont val="Noto Sans SC"/>
        <family val="2"/>
        <charset val="134"/>
      </rPr>
      <t xml:space="preserve">可能更有搞头</t>
    </r>
    <r>
      <rPr>
        <sz val="11"/>
        <color theme="1"/>
        <rFont val="Calibri"/>
        <family val="2"/>
        <charset val="1"/>
      </rPr>
      <t xml:space="preserve">(*</t>
    </r>
    <r>
      <rPr>
        <sz val="11"/>
        <color theme="1"/>
        <rFont val="Noto Sans SC"/>
        <family val="2"/>
        <charset val="134"/>
      </rPr>
      <t xml:space="preserve">￣︶￣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</si>
  <si>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623694441-10.jpg</t>
    </r>
  </si>
  <si>
    <r>
      <rPr>
        <sz val="11"/>
        <color theme="1"/>
        <rFont val="Calibri"/>
        <family val="2"/>
        <charset val="1"/>
      </rPr>
      <t xml:space="preserve">Cluster Slots </t>
    </r>
    <r>
      <rPr>
        <sz val="11"/>
        <color theme="1"/>
        <rFont val="Noto Sans SC"/>
        <family val="2"/>
        <charset val="134"/>
      </rPr>
      <t xml:space="preserve">是在</t>
    </r>
    <r>
      <rPr>
        <sz val="11"/>
        <color theme="1"/>
        <rFont val="Calibri"/>
        <family val="2"/>
        <charset val="1"/>
      </rPr>
      <t xml:space="preserve">Cluster</t>
    </r>
    <r>
      <rPr>
        <sz val="11"/>
        <color theme="1"/>
        <rFont val="Noto Sans SC"/>
        <family val="2"/>
        <charset val="134"/>
      </rPr>
      <t xml:space="preserve">中奖消除机制上进行的调整</t>
    </r>
  </si>
  <si>
    <r>
      <rPr>
        <sz val="11"/>
        <color theme="1"/>
        <rFont val="Noto Sans SC"/>
        <family val="2"/>
        <charset val="134"/>
      </rPr>
      <t xml:space="preserve">在图标中奖后，并不是立即消失，而是分裂成</t>
    </r>
    <r>
      <rPr>
        <sz val="11"/>
        <color theme="1"/>
        <rFont val="Calibri"/>
        <family val="2"/>
        <charset val="1"/>
      </rPr>
      <t xml:space="preserve">2*2</t>
    </r>
    <r>
      <rPr>
        <sz val="11"/>
        <color theme="1"/>
        <rFont val="Noto Sans SC"/>
        <family val="2"/>
        <charset val="134"/>
      </rPr>
      <t xml:space="preserve">的更多小图标</t>
    </r>
  </si>
  <si>
    <r>
      <rPr>
        <sz val="11"/>
        <color theme="1"/>
        <rFont val="Noto Sans SC"/>
        <family val="2"/>
        <charset val="134"/>
      </rPr>
      <t xml:space="preserve">小图标也适用</t>
    </r>
    <r>
      <rPr>
        <sz val="11"/>
        <color theme="1"/>
        <rFont val="Calibri"/>
        <family val="2"/>
        <charset val="1"/>
      </rPr>
      <t xml:space="preserve">Cluster</t>
    </r>
    <r>
      <rPr>
        <sz val="11"/>
        <color theme="1"/>
        <rFont val="Noto Sans SC"/>
        <family val="2"/>
        <charset val="134"/>
      </rPr>
      <t xml:space="preserve">的中奖方式（上下左右相邻）</t>
    </r>
  </si>
  <si>
    <r>
      <rPr>
        <sz val="11"/>
        <color theme="1"/>
        <rFont val="Noto Sans SC"/>
        <family val="2"/>
        <charset val="134"/>
      </rPr>
      <t xml:space="preserve">小图标中奖后如果上方是大图标，则有可能出现空隙。为了防止这种情况出现，</t>
    </r>
    <r>
      <rPr>
        <sz val="11"/>
        <color theme="1"/>
        <rFont val="Calibri"/>
        <family val="2"/>
        <charset val="1"/>
      </rPr>
      <t xml:space="preserve">Megacluster Slots </t>
    </r>
    <r>
      <rPr>
        <sz val="11"/>
        <color theme="1"/>
        <rFont val="Noto Sans SC"/>
        <family val="2"/>
        <charset val="134"/>
      </rPr>
      <t xml:space="preserve">取消了图标中奖后消除的特点，让能够连续中的次数大大减少，这也弱化了</t>
    </r>
    <r>
      <rPr>
        <sz val="11"/>
        <color theme="1"/>
        <rFont val="Calibri"/>
        <family val="2"/>
        <charset val="1"/>
      </rPr>
      <t xml:space="preserve">Cluster</t>
    </r>
    <r>
      <rPr>
        <sz val="11"/>
        <color theme="1"/>
        <rFont val="Noto Sans SC"/>
        <family val="2"/>
        <charset val="134"/>
      </rPr>
      <t xml:space="preserve">玩法将一次中奖拆成多次体验的优势</t>
    </r>
  </si>
  <si>
    <t xml:space="preserve">该玩法当前数量比较少也没有很受欢迎，不是很感兴趣的话可以先不用管</t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</si>
  <si>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</si>
  <si>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</si>
  <si>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623694441-02.png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</si>
  <si>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</si>
  <si>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</si>
  <si>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</si>
  <si>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</si>
  <si>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623694441-07.jpg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</si>
  <si>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623694441-08.jpg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</si>
  <si>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09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623694441-09.jpg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</si>
  <si>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623694441-10.jpg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</si>
  <si>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</si>
  <si>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</si>
  <si>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</si>
  <si>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</si>
  <si>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</si>
  <si>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</si>
  <si>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基础篇——玩法类型》</t>
    </r>
    <r>
      <rPr>
        <sz val="11"/>
        <color rgb="FF808080"/>
        <rFont val="Cambria"/>
        <family val="0"/>
        <charset val="1"/>
      </rPr>
      <t xml:space="preserve">, https://zhuanlan.zhihu.com/p/623694441</t>
    </r>
  </si>
  <si>
    <r>
      <rPr>
        <b val="true"/>
        <sz val="14"/>
        <color rgb="FF1F4E79"/>
        <rFont val="Noto Sans SC"/>
        <family val="2"/>
        <charset val="134"/>
      </rPr>
      <t xml:space="preserve">基础篇 </t>
    </r>
    <r>
      <rPr>
        <b val="true"/>
        <sz val="14"/>
        <color rgb="FF1F4E79"/>
        <rFont val="Cambria"/>
        <family val="0"/>
        <charset val="1"/>
      </rPr>
      <t xml:space="preserve">· </t>
    </r>
    <r>
      <rPr>
        <b val="true"/>
        <sz val="14"/>
        <color rgb="FF1F4E79"/>
        <rFont val="Noto Sans SC"/>
        <family val="2"/>
        <charset val="134"/>
      </rPr>
      <t xml:space="preserve">玩法类型 —— 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</si>
  <si>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】六大玩法对照（原文归纳）</t>
    </r>
  </si>
  <si>
    <t xml:space="preserve">玩法</t>
  </si>
  <si>
    <t xml:space="preserve">中奖判定</t>
  </si>
  <si>
    <t xml:space="preserve">中奖额公式</t>
  </si>
  <si>
    <r>
      <rPr>
        <b val="true"/>
        <sz val="11"/>
        <color rgb="FF1F4E79"/>
        <rFont val="Noto Sans SC"/>
        <family val="2"/>
        <charset val="134"/>
      </rPr>
      <t xml:space="preserve">卷轴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特点</t>
    </r>
  </si>
  <si>
    <t xml:space="preserve">图标出现在指定的中奖线上</t>
  </si>
  <si>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中奖线数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图标赔付倍数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</si>
  <si>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SC"/>
        <family val="2"/>
        <charset val="134"/>
      </rPr>
      <t xml:space="preserve">卷轴不定；</t>
    </r>
    <r>
      <rPr>
        <sz val="11"/>
        <color theme="1"/>
        <rFont val="Calibri"/>
        <family val="2"/>
        <charset val="1"/>
      </rPr>
      <t xml:space="preserve">1*3 → 3*3 → </t>
    </r>
    <r>
      <rPr>
        <sz val="11"/>
        <color theme="1"/>
        <rFont val="Noto Sans SC"/>
        <family val="2"/>
        <charset val="134"/>
      </rPr>
      <t xml:space="preserve">更多线；经典玩法</t>
    </r>
  </si>
  <si>
    <t xml:space="preserve">从第一列起连续出现即中奖（不限位置）</t>
  </si>
  <si>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中奖各列图标个数乘积</t>
    </r>
    <r>
      <rPr>
        <sz val="11"/>
        <color theme="1"/>
        <rFont val="Calibri"/>
        <family val="2"/>
        <charset val="1"/>
      </rPr>
      <t xml:space="preserve">)</t>
    </r>
  </si>
  <si>
    <t xml:space="preserve">卷轴不定；无需记忆中奖线，按列个数放大赔付</t>
  </si>
  <si>
    <t xml:space="preserve">Megaways</t>
  </si>
  <si>
    <r>
      <rPr>
        <sz val="11"/>
        <color theme="1"/>
        <rFont val="Noto Sans SC"/>
        <family val="2"/>
        <charset val="134"/>
      </rPr>
      <t xml:space="preserve">同 </t>
    </r>
    <r>
      <rPr>
        <sz val="11"/>
        <color theme="1"/>
        <rFont val="Calibri"/>
        <family val="2"/>
        <charset val="1"/>
      </rPr>
      <t xml:space="preserve">Way</t>
    </r>
    <r>
      <rPr>
        <sz val="11"/>
        <color theme="1"/>
        <rFont val="Noto Sans SC"/>
        <family val="2"/>
        <charset val="134"/>
      </rPr>
      <t xml:space="preserve">（图标大小不一）</t>
    </r>
  </si>
  <si>
    <r>
      <rPr>
        <sz val="11"/>
        <color theme="1"/>
        <rFont val="Noto Sans SC"/>
        <family val="2"/>
        <charset val="134"/>
      </rPr>
      <t xml:space="preserve">同 </t>
    </r>
    <r>
      <rPr>
        <sz val="11"/>
        <color theme="1"/>
        <rFont val="Calibri"/>
        <family val="2"/>
        <charset val="1"/>
      </rPr>
      <t xml:space="preserve">Way</t>
    </r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</si>
  <si>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  <charset val="134"/>
      </rPr>
      <t xml:space="preserve">列居多；每列个数不固定 → 线数每局变化</t>
    </r>
  </si>
  <si>
    <t xml:space="preserve">Cluster</t>
  </si>
  <si>
    <t xml:space="preserve">上下左右相邻的同图标相连成组</t>
  </si>
  <si>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SC"/>
        <family val="2"/>
        <charset val="134"/>
      </rPr>
      <t xml:space="preserve">（每组分别求和）</t>
    </r>
  </si>
  <si>
    <t xml:space="preserve">卷轴区域大、弱化框线；常带中奖消除</t>
  </si>
  <si>
    <t xml:space="preserve">Grid</t>
  </si>
  <si>
    <t xml:space="preserve">场上该图标个数 ≥ 门槛即中奖（不需相邻）</t>
  </si>
  <si>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计算基数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图标倍数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</si>
  <si>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SC"/>
        <family val="2"/>
        <charset val="134"/>
      </rPr>
      <t xml:space="preserve">卷轴大；只取满足的最高档；配消除时 </t>
    </r>
    <r>
      <rPr>
        <sz val="11"/>
        <color theme="1"/>
        <rFont val="Calibri"/>
        <family val="2"/>
        <charset val="1"/>
      </rPr>
      <t xml:space="preserve">Near Win </t>
    </r>
    <r>
      <rPr>
        <sz val="11"/>
        <color theme="1"/>
        <rFont val="Noto Sans SC"/>
        <family val="2"/>
        <charset val="134"/>
      </rPr>
      <t xml:space="preserve">感强</t>
    </r>
  </si>
  <si>
    <t xml:space="preserve">MegaCluster</t>
  </si>
  <si>
    <r>
      <rPr>
        <sz val="11"/>
        <color theme="1"/>
        <rFont val="Calibri"/>
        <family val="2"/>
        <charset val="1"/>
      </rPr>
      <t xml:space="preserve">Cluster </t>
    </r>
    <r>
      <rPr>
        <sz val="11"/>
        <color theme="1"/>
        <rFont val="Noto Sans SC"/>
        <family val="2"/>
        <charset val="134"/>
      </rPr>
      <t xml:space="preserve">的进阶：中奖后分裂成 </t>
    </r>
    <r>
      <rPr>
        <sz val="11"/>
        <color theme="1"/>
        <rFont val="Calibri"/>
        <family val="2"/>
        <charset val="1"/>
      </rPr>
      <t xml:space="preserve">2×2 </t>
    </r>
    <r>
      <rPr>
        <sz val="11"/>
        <color theme="1"/>
        <rFont val="Noto Sans SC"/>
        <family val="2"/>
        <charset val="134"/>
      </rPr>
      <t xml:space="preserve">小图标，小图标同样按相邻判定</t>
    </r>
  </si>
  <si>
    <r>
      <rPr>
        <sz val="11"/>
        <color theme="1"/>
        <rFont val="Noto Sans SC"/>
        <family val="2"/>
        <charset val="134"/>
      </rPr>
      <t xml:space="preserve">同 </t>
    </r>
    <r>
      <rPr>
        <sz val="11"/>
        <color theme="1"/>
        <rFont val="Calibri"/>
        <family val="2"/>
        <charset val="1"/>
      </rPr>
      <t xml:space="preserve">Cluster</t>
    </r>
  </si>
  <si>
    <t xml:space="preserve">取消中奖消除（避免大图标留空隙），连中次数变少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</si>
  <si>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】计算基数口径（这是各类玩法最容易记混的地方）</t>
    </r>
  </si>
  <si>
    <t xml:space="preserve">计算基数</t>
  </si>
  <si>
    <r>
      <rPr>
        <sz val="11"/>
        <color theme="1"/>
        <rFont val="Noto Sans SC"/>
        <family val="2"/>
        <charset val="134"/>
      </rPr>
      <t xml:space="preserve">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中奖线数</t>
    </r>
  </si>
  <si>
    <t xml:space="preserve">每条中奖线对应一份下注额，线数增加下注额也增加</t>
  </si>
  <si>
    <t xml:space="preserve">Way / Megaways</t>
  </si>
  <si>
    <r>
      <rPr>
        <sz val="11"/>
        <color theme="1"/>
        <rFont val="Noto Sans SC"/>
        <family val="2"/>
        <charset val="134"/>
      </rPr>
      <t xml:space="preserve">人为规定：下注额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常数（常用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SC"/>
        <family val="2"/>
        <charset val="134"/>
      </rPr>
      <t xml:space="preserve">）或固定值</t>
    </r>
  </si>
  <si>
    <t xml:space="preserve">固定值做法：调下注额时改图标赔付倍数</t>
  </si>
  <si>
    <t xml:space="preserve">Cluster / Grid</t>
  </si>
  <si>
    <t xml:space="preserve">人为规定</t>
  </si>
  <si>
    <r>
      <rPr>
        <sz val="11"/>
        <color theme="1"/>
        <rFont val="Noto Sans SC"/>
        <family val="2"/>
        <charset val="134"/>
      </rPr>
      <t xml:space="preserve">无中奖线，自然也没有「下注额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SC"/>
        <family val="2"/>
        <charset val="134"/>
      </rPr>
      <t xml:space="preserve">线数」的说法</t>
    </r>
  </si>
  <si>
    <t xml:space="preserve">通用结论</t>
  </si>
  <si>
    <r>
      <rPr>
        <sz val="11"/>
        <color theme="1"/>
        <rFont val="Noto Sans SC"/>
        <family val="2"/>
        <charset val="134"/>
      </rPr>
      <t xml:space="preserve">除多线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外，其余玩法的计算基数都是人为规定的</t>
    </r>
  </si>
  <si>
    <r>
      <rPr>
        <sz val="11"/>
        <color theme="1"/>
        <rFont val="Noto Sans SC"/>
        <family val="2"/>
        <charset val="134"/>
      </rPr>
      <t xml:space="preserve">多线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也有人为规定的，但较少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</si>
  <si>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】赔付档位取用规则</t>
    </r>
  </si>
  <si>
    <t xml:space="preserve">规则</t>
  </si>
  <si>
    <t xml:space="preserve">一个图标有多档赔付时分开计算再相加；多个图标中奖时分别计算再相加</t>
  </si>
  <si>
    <t xml:space="preserve">Way / Grid</t>
  </si>
  <si>
    <t xml:space="preserve">只取能满足的最高档赔付，不需要分开加总（大幅降低玩家理解成本）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</si>
  <si>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Ways </t>
    </r>
    <r>
      <rPr>
        <b val="true"/>
        <sz val="11"/>
        <color rgb="FF1F4E79"/>
        <rFont val="Noto Sans SC"/>
        <family val="2"/>
        <charset val="134"/>
      </rPr>
      <t xml:space="preserve">线数演示（原文例子：</t>
    </r>
    <r>
      <rPr>
        <b val="true"/>
        <sz val="11"/>
        <color rgb="FF1F4E79"/>
        <rFont val="Cambria"/>
        <family val="0"/>
        <charset val="1"/>
      </rPr>
      <t xml:space="preserve">5×3×3×4×4×2 </t>
    </r>
    <r>
      <rPr>
        <b val="true"/>
        <sz val="11"/>
        <color rgb="FF1F4E79"/>
        <rFont val="Noto Sans SC"/>
        <family val="2"/>
        <charset val="134"/>
      </rPr>
      <t xml:space="preserve">＝ </t>
    </r>
    <r>
      <rPr>
        <b val="true"/>
        <sz val="11"/>
        <color rgb="FF1F4E79"/>
        <rFont val="Cambria"/>
        <family val="0"/>
        <charset val="1"/>
      </rPr>
      <t xml:space="preserve">1440 </t>
    </r>
    <r>
      <rPr>
        <b val="true"/>
        <sz val="11"/>
        <color rgb="FF1F4E79"/>
        <rFont val="Noto Sans SC"/>
        <family val="2"/>
        <charset val="134"/>
      </rPr>
      <t xml:space="preserve">线）</t>
    </r>
  </si>
  <si>
    <t xml:space="preserve">项目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</si>
  <si>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</si>
  <si>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</si>
  <si>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</si>
  <si>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</si>
  <si>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</si>
  <si>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6</t>
    </r>
  </si>
  <si>
    <t xml:space="preserve">结果</t>
  </si>
  <si>
    <t xml:space="preserve">各列图标个数（原文例）</t>
  </si>
  <si>
    <r>
      <rPr>
        <sz val="11"/>
        <color theme="1"/>
        <rFont val="Calibri"/>
        <family val="2"/>
        <charset val="1"/>
      </rPr>
      <t xml:space="preserve">Megaways </t>
    </r>
    <r>
      <rPr>
        <sz val="11"/>
        <color theme="1"/>
        <rFont val="Noto Sans SC"/>
        <family val="2"/>
        <charset val="134"/>
      </rPr>
      <t xml:space="preserve">常见变体（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列上方多一行、下方只算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个）</t>
    </r>
  </si>
  <si>
    <r>
      <rPr>
        <sz val="11"/>
        <color rgb="FF808080"/>
        <rFont val="Noto Sans SC"/>
        <family val="2"/>
        <charset val="134"/>
      </rPr>
      <t xml:space="preserve">原文：右上角展示的线数就是各列图标个数的乘积；加了「下半区域只算一个」的限制后，每列图标个数的乘积被限定在 </t>
    </r>
    <r>
      <rPr>
        <sz val="11"/>
        <color rgb="FF808080"/>
        <rFont val="Cambria"/>
        <family val="0"/>
        <charset val="1"/>
      </rPr>
      <t xml:space="preserve">7×2×2×2×2×7 </t>
    </r>
    <r>
      <rPr>
        <sz val="11"/>
        <color rgb="FF808080"/>
        <rFont val="Noto Sans SC"/>
        <family val="2"/>
        <charset val="134"/>
      </rPr>
      <t xml:space="preserve">＝ </t>
    </r>
    <r>
      <rPr>
        <sz val="11"/>
        <color rgb="FF808080"/>
        <rFont val="Cambria"/>
        <family val="0"/>
        <charset val="1"/>
      </rPr>
      <t xml:space="preserve">784 </t>
    </r>
    <r>
      <rPr>
        <sz val="11"/>
        <color rgb="FF808080"/>
        <rFont val="Noto Sans SC"/>
        <family val="2"/>
        <charset val="134"/>
      </rPr>
      <t xml:space="preserve">以内。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</si>
  <si>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】同一组数据在各类玩法下的赔付差异（示意，蓝字可改）</t>
    </r>
  </si>
  <si>
    <t xml:space="preserve">数值</t>
  </si>
  <si>
    <t xml:space="preserve">计算基数（人为规定）</t>
  </si>
  <si>
    <r>
      <rPr>
        <sz val="11"/>
        <color theme="1"/>
        <rFont val="Calibri"/>
        <family val="2"/>
        <charset val="1"/>
      </rPr>
      <t xml:space="preserve">Way / Cluster / Grid </t>
    </r>
    <r>
      <rPr>
        <sz val="11"/>
        <color theme="1"/>
        <rFont val="Noto Sans SC"/>
        <family val="2"/>
        <charset val="134"/>
      </rPr>
      <t xml:space="preserve">的基数</t>
    </r>
  </si>
  <si>
    <t xml:space="preserve">图标赔付倍数（满足档位）</t>
  </si>
  <si>
    <t xml:space="preserve">只取满足的最高档</t>
  </si>
  <si>
    <r>
      <rPr>
        <sz val="11"/>
        <color theme="1"/>
        <rFont val="Noto Sans SC"/>
        <family val="2"/>
        <charset val="134"/>
      </rPr>
      <t xml:space="preserve">中奖各列图标个数乘积（</t>
    </r>
    <r>
      <rPr>
        <sz val="11"/>
        <color theme="1"/>
        <rFont val="Calibri"/>
        <family val="2"/>
        <charset val="1"/>
      </rPr>
      <t xml:space="preserve">Ways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</si>
  <si>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1440</t>
    </r>
  </si>
  <si>
    <r>
      <rPr>
        <b val="true"/>
        <sz val="11"/>
        <rFont val="Cambria"/>
        <family val="0"/>
        <charset val="1"/>
      </rPr>
      <t xml:space="preserve">Way Slots </t>
    </r>
    <r>
      <rPr>
        <b val="true"/>
        <sz val="11"/>
        <rFont val="Noto Sans SC"/>
        <family val="2"/>
        <charset val="134"/>
      </rPr>
      <t xml:space="preserve">中奖额</t>
    </r>
  </si>
  <si>
    <r>
      <rPr>
        <sz val="11"/>
        <color theme="1"/>
        <rFont val="Noto Sans SC"/>
        <family val="2"/>
        <charset val="134"/>
      </rPr>
      <t xml:space="preserve">＝ 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个数乘积</t>
    </r>
  </si>
  <si>
    <r>
      <rPr>
        <sz val="11"/>
        <color theme="1"/>
        <rFont val="Calibri"/>
        <family val="2"/>
        <charset val="1"/>
      </rPr>
      <t xml:space="preserve">Cluster </t>
    </r>
    <r>
      <rPr>
        <sz val="11"/>
        <color theme="1"/>
        <rFont val="Noto Sans SC"/>
        <family val="2"/>
        <charset val="134"/>
      </rPr>
      <t xml:space="preserve">中奖组数（示意）</t>
    </r>
  </si>
  <si>
    <r>
      <rPr>
        <sz val="11"/>
        <color theme="1"/>
        <rFont val="Noto Sans SC"/>
        <family val="2"/>
        <charset val="134"/>
      </rPr>
      <t xml:space="preserve">每组单独按 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 计算</t>
    </r>
  </si>
  <si>
    <r>
      <rPr>
        <b val="true"/>
        <sz val="11"/>
        <rFont val="Cambria"/>
        <family val="0"/>
        <charset val="1"/>
      </rPr>
      <t xml:space="preserve">Cluster Slots </t>
    </r>
    <r>
      <rPr>
        <b val="true"/>
        <sz val="11"/>
        <rFont val="Noto Sans SC"/>
        <family val="2"/>
        <charset val="134"/>
      </rPr>
      <t xml:space="preserve">中奖额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</si>
  <si>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</si>
  <si>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Grid </t>
    </r>
    <r>
      <rPr>
        <sz val="11"/>
        <color theme="1"/>
        <rFont val="Noto Sans SC"/>
        <family val="2"/>
        <charset val="134"/>
      </rPr>
      <t xml:space="preserve">场上该图标个数 ≥ 门槛（示意门槛）</t>
    </r>
  </si>
  <si>
    <t xml:space="preserve">只需个数达标，不要求相邻或连线</t>
  </si>
  <si>
    <r>
      <rPr>
        <b val="true"/>
        <sz val="11"/>
        <rFont val="Cambria"/>
        <family val="0"/>
        <charset val="1"/>
      </rPr>
      <t xml:space="preserve">Grid Slots </t>
    </r>
    <r>
      <rPr>
        <b val="true"/>
        <sz val="11"/>
        <rFont val="Noto Sans SC"/>
        <family val="2"/>
        <charset val="134"/>
      </rPr>
      <t xml:space="preserve">中奖额</t>
    </r>
  </si>
  <si>
    <r>
      <rPr>
        <sz val="11"/>
        <color theme="1"/>
        <rFont val="Noto Sans SC"/>
        <family val="2"/>
        <charset val="134"/>
      </rPr>
      <t xml:space="preserve">＝ 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图标倍数（达标才给）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</si>
  <si>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</si>
  <si>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</si>
  <si>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r>
      <rPr>
        <sz val="11"/>
        <color theme="1"/>
        <rFont val="Calibri"/>
        <family val="2"/>
        <charset val="1"/>
      </rPr>
      <t xml:space="preserve">Ways </t>
    </r>
    <r>
      <rPr>
        <sz val="11"/>
        <color theme="1"/>
        <rFont val="Noto Sans SC"/>
        <family val="2"/>
        <charset val="134"/>
      </rPr>
      <t xml:space="preserve">线数 ＝ </t>
    </r>
    <r>
      <rPr>
        <sz val="11"/>
        <color theme="1"/>
        <rFont val="Calibri"/>
        <family val="2"/>
        <charset val="1"/>
      </rPr>
      <t xml:space="preserve">1440</t>
    </r>
  </si>
  <si>
    <r>
      <rPr>
        <sz val="11"/>
        <color theme="1"/>
        <rFont val="Noto Sans SC"/>
        <family val="2"/>
        <charset val="134"/>
      </rPr>
      <t xml:space="preserve">原文例：</t>
    </r>
    <r>
      <rPr>
        <sz val="11"/>
        <color theme="1"/>
        <rFont val="Calibri"/>
        <family val="2"/>
        <charset val="1"/>
      </rPr>
      <t xml:space="preserve">5×3×3×4×4×2</t>
    </r>
  </si>
  <si>
    <r>
      <rPr>
        <sz val="11"/>
        <color theme="1"/>
        <rFont val="Noto Sans SC"/>
        <family val="2"/>
        <charset val="134"/>
      </rPr>
      <t xml:space="preserve">变体线数 ＝ </t>
    </r>
    <r>
      <rPr>
        <sz val="11"/>
        <color theme="1"/>
        <rFont val="Calibri"/>
        <family val="2"/>
        <charset val="1"/>
      </rPr>
      <t xml:space="preserve">784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2~5 </t>
    </r>
    <r>
      <rPr>
        <sz val="11"/>
        <color theme="1"/>
        <rFont val="Noto Sans SC"/>
        <family val="2"/>
        <charset val="134"/>
      </rPr>
      <t xml:space="preserve">列下方只算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个）</t>
    </r>
  </si>
  <si>
    <t xml:space="preserve">7×2×2×2×2×7</t>
  </si>
  <si>
    <r>
      <rPr>
        <sz val="11"/>
        <color theme="1"/>
        <rFont val="Calibri"/>
        <family val="2"/>
        <charset val="1"/>
      </rPr>
      <t xml:space="preserve">Grid </t>
    </r>
    <r>
      <rPr>
        <sz val="11"/>
        <color theme="1"/>
        <rFont val="Noto Sans SC"/>
        <family val="2"/>
        <charset val="134"/>
      </rPr>
      <t xml:space="preserve">达标判断生效</t>
    </r>
  </si>
  <si>
    <r>
      <rPr>
        <sz val="11"/>
        <color theme="1"/>
        <rFont val="Noto Sans SC"/>
        <family val="2"/>
        <charset val="134"/>
      </rPr>
      <t xml:space="preserve">个数 </t>
    </r>
    <r>
      <rPr>
        <sz val="11"/>
        <color theme="1"/>
        <rFont val="Calibri"/>
        <family val="2"/>
        <charset val="1"/>
      </rPr>
      <t xml:space="preserve">10 ≥ </t>
    </r>
    <r>
      <rPr>
        <sz val="11"/>
        <color theme="1"/>
        <rFont val="Noto Sans SC"/>
        <family val="2"/>
        <charset val="134"/>
      </rPr>
      <t xml:space="preserve">门槛 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</si>
  <si>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SC"/>
        <family val="2"/>
        <charset val="134"/>
      </rPr>
      <t xml:space="preserve">中奖额 ＝ 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个数乘积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</si>
  <si>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</si>
  <si>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Calibri"/>
        <family val="2"/>
        <charset val="1"/>
      </rPr>
      <t xml:space="preserve">Cluster </t>
    </r>
    <r>
      <rPr>
        <sz val="11"/>
        <color theme="1"/>
        <rFont val="Noto Sans SC"/>
        <family val="2"/>
        <charset val="134"/>
      </rPr>
      <t xml:space="preserve">中奖额 ＝ 组数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基数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</t>
    </r>
  </si>
  <si>
    <t xml:space="preserve">每组单独计算后加总</t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</si>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</sst>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" hidden="false" customHeight="false" outlineLevel="0" collapsed="false">
      <c r="A7" s="2" t="s">
        <v>5</v>
      </c>
    </row>
    <row r="8" customFormat="false" ht="15.5" hidden="false" customHeight="false" outlineLevel="0" collapsed="false">
      <c r="A8" s="3" t="s">
        <v>6</v>
      </c>
      <c r="B8" s="3"/>
      <c r="C8" s="3"/>
    </row>
    <row r="10" customFormat="false" ht="15" hidden="false" customHeight="false" outlineLevel="0" collapsed="false">
      <c r="A10" s="4" t="s">
        <v>7</v>
      </c>
    </row>
    <row r="11" customFormat="false" ht="29" hidden="false" customHeight="false" outlineLevel="0" collapsed="false">
      <c r="A11" s="25" t="s">
        <v>8</v>
      </c>
    </row>
    <row r="12" customFormat="false" ht="29" hidden="false" customHeight="false" outlineLevel="0" collapsed="false">
      <c r="A12" s="25" t="s">
        <v>9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4" t="s">
        <v>10</v>
      </c>
    </row>
    <row r="15" customFormat="false" ht="15" hidden="false" customHeight="1" outlineLevel="0" collapsed="false">
      <c r="A15" s="26" t="s">
        <v>11</v>
      </c>
      <c r="B15" s="6"/>
      <c r="C15" s="6"/>
    </row>
    <row r="16" customFormat="false" ht="42" hidden="false" customHeight="false" outlineLevel="0" collapsed="false">
      <c r="A16" s="25" t="s">
        <v>12</v>
      </c>
    </row>
    <row r="17" customFormat="false" ht="15" hidden="false" customHeight="1" outlineLevel="0" collapsed="false">
      <c r="A17" s="26" t="s">
        <v>13</v>
      </c>
      <c r="B17" s="6"/>
      <c r="C17" s="6"/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4" t="s">
        <v>14</v>
      </c>
    </row>
    <row r="20" customFormat="false" ht="30" hidden="false" customHeight="false" outlineLevel="0" collapsed="false">
      <c r="A20" s="25" t="s">
        <v>15</v>
      </c>
    </row>
    <row r="21" customFormat="false" ht="30" hidden="false" customHeight="false" outlineLevel="0" collapsed="false">
      <c r="A21" s="25" t="s">
        <v>16</v>
      </c>
    </row>
    <row r="22" customFormat="false" ht="28" hidden="false" customHeight="false" outlineLevel="0" collapsed="false">
      <c r="A22" s="27" t="s">
        <v>17</v>
      </c>
    </row>
    <row r="23" customFormat="false" ht="29" hidden="false" customHeight="false" outlineLevel="0" collapsed="false">
      <c r="A23" s="25" t="s">
        <v>18</v>
      </c>
    </row>
    <row r="24" customFormat="false" ht="29" hidden="false" customHeight="false" outlineLevel="0" collapsed="false">
      <c r="A24" s="27" t="s">
        <v>19</v>
      </c>
    </row>
    <row r="25" customFormat="false" ht="29" hidden="false" customHeight="false" outlineLevel="0" collapsed="false">
      <c r="A25" s="27" t="s">
        <v>20</v>
      </c>
    </row>
    <row r="26" customFormat="false" ht="29" hidden="false" customHeight="false" outlineLevel="0" collapsed="false">
      <c r="A26" s="27" t="s">
        <v>21</v>
      </c>
    </row>
    <row r="27" customFormat="false" ht="29" hidden="false" customHeight="false" outlineLevel="0" collapsed="false">
      <c r="A27" s="25" t="s">
        <v>22</v>
      </c>
    </row>
    <row r="28" customFormat="false" ht="30" hidden="false" customHeight="false" outlineLevel="0" collapsed="false">
      <c r="A28" s="27" t="s">
        <v>23</v>
      </c>
    </row>
    <row r="29" customFormat="false" ht="42" hidden="false" customHeight="false" outlineLevel="0" collapsed="false">
      <c r="A29" s="27" t="s">
        <v>24</v>
      </c>
    </row>
    <row r="30" customFormat="false" ht="29" hidden="false" customHeight="false" outlineLevel="0" collapsed="false">
      <c r="A30" s="25" t="s">
        <v>25</v>
      </c>
    </row>
    <row r="31" customFormat="false" ht="29" hidden="false" customHeight="false" outlineLevel="0" collapsed="false">
      <c r="A31" s="27" t="s">
        <v>26</v>
      </c>
    </row>
    <row r="32" customFormat="false" ht="15" hidden="false" customHeight="false" outlineLevel="0" collapsed="false">
      <c r="A32" s="7" t="s">
        <v>27</v>
      </c>
    </row>
    <row r="33" customFormat="false" ht="29" hidden="false" customHeight="false" outlineLevel="0" collapsed="false">
      <c r="A33" s="25" t="s">
        <v>28</v>
      </c>
    </row>
    <row r="34" customFormat="false" ht="29" hidden="false" customHeight="false" outlineLevel="0" collapsed="false">
      <c r="A34" s="27" t="s">
        <v>29</v>
      </c>
    </row>
    <row r="35" customFormat="false" ht="43" hidden="false" customHeight="false" outlineLevel="0" collapsed="false">
      <c r="A35" s="25" t="s">
        <v>30</v>
      </c>
    </row>
    <row r="36" customFormat="false" ht="28" hidden="false" customHeight="false" outlineLevel="0" collapsed="false">
      <c r="A36" s="27" t="s">
        <v>31</v>
      </c>
    </row>
    <row r="38" customFormat="false" ht="15" hidden="false" customHeight="false" outlineLevel="0" collapsed="false">
      <c r="A38" s="4" t="s">
        <v>32</v>
      </c>
    </row>
    <row r="39" customFormat="false" ht="15" hidden="false" customHeight="false" outlineLevel="0" collapsed="false">
      <c r="A39" s="7"/>
    </row>
    <row r="40" customFormat="false" ht="30" hidden="false" customHeight="false" outlineLevel="0" collapsed="false">
      <c r="A40" s="27" t="s">
        <v>33</v>
      </c>
    </row>
    <row r="41" customFormat="false" ht="16" hidden="false" customHeight="false" outlineLevel="0" collapsed="false">
      <c r="A41" s="7" t="s">
        <v>34</v>
      </c>
    </row>
    <row r="42" customFormat="false" ht="29" hidden="false" customHeight="false" outlineLevel="0" collapsed="false">
      <c r="A42" s="27" t="s">
        <v>35</v>
      </c>
    </row>
    <row r="43" customFormat="false" ht="30" hidden="false" customHeight="false" outlineLevel="0" collapsed="false">
      <c r="A43" s="27" t="s">
        <v>36</v>
      </c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8" t="s">
        <v>37</v>
      </c>
    </row>
    <row r="46" customFormat="false" ht="15" hidden="false" customHeight="false" outlineLevel="0" collapsed="false">
      <c r="A46" s="7"/>
    </row>
    <row r="47" customFormat="false" ht="16" hidden="false" customHeight="false" outlineLevel="0" collapsed="false">
      <c r="A47" s="7" t="s">
        <v>38</v>
      </c>
    </row>
    <row r="48" customFormat="false" ht="15" hidden="false" customHeight="false" outlineLevel="0" collapsed="false">
      <c r="A48" s="7"/>
    </row>
    <row r="49" customFormat="false" ht="30" hidden="false" customHeight="false" outlineLevel="0" collapsed="false">
      <c r="A49" s="27" t="s">
        <v>39</v>
      </c>
    </row>
    <row r="50" customFormat="false" ht="28" hidden="false" customHeight="false" outlineLevel="0" collapsed="false">
      <c r="A50" s="27" t="s">
        <v>40</v>
      </c>
    </row>
    <row r="51" customFormat="false" ht="29" hidden="false" customHeight="false" outlineLevel="0" collapsed="false">
      <c r="A51" s="27" t="s">
        <v>41</v>
      </c>
    </row>
    <row r="52" customFormat="false" ht="15" hidden="false" customHeight="false" outlineLevel="0" collapsed="false">
      <c r="A52" s="7"/>
    </row>
    <row r="53" customFormat="false" ht="16" hidden="false" customHeight="false" outlineLevel="0" collapsed="false">
      <c r="A53" s="7" t="s">
        <v>42</v>
      </c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 t="s">
        <v>43</v>
      </c>
    </row>
    <row r="56" customFormat="false" ht="15" hidden="false" customHeight="false" outlineLevel="0" collapsed="false">
      <c r="A56" s="7"/>
    </row>
    <row r="57" customFormat="false" ht="16" hidden="false" customHeight="false" outlineLevel="0" collapsed="false">
      <c r="A57" s="7" t="s">
        <v>44</v>
      </c>
    </row>
    <row r="58" customFormat="false" ht="28" hidden="false" customHeight="false" outlineLevel="0" collapsed="false">
      <c r="A58" s="27" t="s">
        <v>45</v>
      </c>
    </row>
    <row r="59" customFormat="false" ht="27.5" hidden="false" customHeight="false" outlineLevel="0" collapsed="false">
      <c r="A59" s="27" t="s">
        <v>46</v>
      </c>
    </row>
    <row r="60" customFormat="false" ht="15" hidden="false" customHeight="false" outlineLevel="0" collapsed="false">
      <c r="A60" s="7"/>
    </row>
    <row r="61" customFormat="false" ht="29" hidden="false" customHeight="false" outlineLevel="0" collapsed="false">
      <c r="A61" s="27" t="s">
        <v>47</v>
      </c>
    </row>
    <row r="62" customFormat="false" ht="15" hidden="false" customHeight="false" outlineLevel="0" collapsed="false">
      <c r="A62" s="7" t="s">
        <v>48</v>
      </c>
    </row>
    <row r="63" customFormat="false" ht="15" hidden="false" customHeight="false" outlineLevel="0" collapsed="false">
      <c r="A63" s="7"/>
    </row>
    <row r="64" customFormat="false" ht="16" hidden="false" customHeight="false" outlineLevel="0" collapsed="false">
      <c r="A64" s="7" t="s">
        <v>49</v>
      </c>
    </row>
    <row r="65" customFormat="false" ht="15" hidden="false" customHeight="false" outlineLevel="0" collapsed="false">
      <c r="A65" s="7"/>
    </row>
    <row r="66" customFormat="false" ht="28" hidden="false" customHeight="false" outlineLevel="0" collapsed="false">
      <c r="A66" s="27" t="s">
        <v>50</v>
      </c>
    </row>
    <row r="67" customFormat="false" ht="15" hidden="false" customHeight="false" outlineLevel="0" collapsed="false">
      <c r="A67" s="7"/>
    </row>
    <row r="68" customFormat="false" ht="16" hidden="false" customHeight="false" outlineLevel="0" collapsed="false">
      <c r="A68" s="7" t="s">
        <v>51</v>
      </c>
    </row>
    <row r="69" customFormat="false" ht="15" hidden="false" customHeight="false" outlineLevel="0" collapsed="false">
      <c r="A69" s="7"/>
    </row>
    <row r="70" customFormat="false" ht="29" hidden="false" customHeight="false" outlineLevel="0" collapsed="false">
      <c r="A70" s="27" t="s">
        <v>52</v>
      </c>
    </row>
    <row r="71" customFormat="false" ht="28" hidden="false" customHeight="false" outlineLevel="0" collapsed="false">
      <c r="A71" s="27" t="s">
        <v>53</v>
      </c>
    </row>
    <row r="72" customFormat="false" ht="15" hidden="false" customHeight="false" outlineLevel="0" collapsed="false">
      <c r="A72" s="7"/>
    </row>
    <row r="73" customFormat="false" ht="29" hidden="false" customHeight="false" outlineLevel="0" collapsed="false">
      <c r="A73" s="27" t="s">
        <v>54</v>
      </c>
    </row>
    <row r="74" customFormat="false" ht="15" hidden="false" customHeight="false" outlineLevel="0" collapsed="false">
      <c r="A74" s="7"/>
    </row>
    <row r="75" customFormat="false" ht="16" hidden="false" customHeight="false" outlineLevel="0" collapsed="false">
      <c r="A75" s="5" t="s">
        <v>55</v>
      </c>
    </row>
    <row r="76" customFormat="false" ht="15" hidden="false" customHeight="false" outlineLevel="0" collapsed="false">
      <c r="A76" s="27" t="s">
        <v>56</v>
      </c>
    </row>
    <row r="77" customFormat="false" ht="30" hidden="false" customHeight="false" outlineLevel="0" collapsed="false">
      <c r="A77" s="27" t="s">
        <v>57</v>
      </c>
    </row>
    <row r="78" customFormat="false" ht="15" hidden="false" customHeight="false" outlineLevel="0" collapsed="false">
      <c r="A78" s="7"/>
    </row>
    <row r="79" customFormat="false" ht="29" hidden="false" customHeight="false" outlineLevel="0" collapsed="false">
      <c r="A79" s="25" t="s">
        <v>58</v>
      </c>
    </row>
    <row r="80" customFormat="false" ht="15" hidden="false" customHeight="false" outlineLevel="0" collapsed="false">
      <c r="A80" s="7"/>
    </row>
    <row r="81" customFormat="false" ht="29" hidden="false" customHeight="false" outlineLevel="0" collapsed="false">
      <c r="A81" s="25" t="s">
        <v>59</v>
      </c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8" t="s">
        <v>60</v>
      </c>
    </row>
    <row r="84" customFormat="false" ht="16" hidden="false" customHeight="false" outlineLevel="0" collapsed="false">
      <c r="A84" s="27" t="s">
        <v>61</v>
      </c>
    </row>
    <row r="85" customFormat="false" ht="16" hidden="false" customHeight="false" outlineLevel="0" collapsed="false">
      <c r="A85" s="7" t="s">
        <v>62</v>
      </c>
    </row>
    <row r="86" customFormat="false" ht="16" hidden="false" customHeight="false" outlineLevel="0" collapsed="false">
      <c r="A86" s="27" t="s">
        <v>63</v>
      </c>
    </row>
    <row r="87" customFormat="false" ht="15" hidden="false" customHeight="false" outlineLevel="0" collapsed="false">
      <c r="A87" s="7" t="s">
        <v>64</v>
      </c>
    </row>
    <row r="88" customFormat="false" ht="15" hidden="false" customHeight="false" outlineLevel="0" collapsed="false">
      <c r="A88" s="27" t="s">
        <v>65</v>
      </c>
    </row>
    <row r="89" customFormat="false" ht="29" hidden="false" customHeight="false" outlineLevel="0" collapsed="false">
      <c r="A89" s="27" t="s">
        <v>66</v>
      </c>
    </row>
    <row r="90" customFormat="false" ht="28" hidden="false" customHeight="false" outlineLevel="0" collapsed="false">
      <c r="A90" s="27" t="s">
        <v>67</v>
      </c>
    </row>
    <row r="91" customFormat="false" ht="16" hidden="false" customHeight="false" outlineLevel="0" collapsed="false">
      <c r="A91" s="7" t="s">
        <v>68</v>
      </c>
    </row>
    <row r="92" customFormat="false" ht="15" hidden="false" customHeight="false" outlineLevel="0" collapsed="false">
      <c r="A92" s="7"/>
    </row>
    <row r="93" customFormat="false" ht="16" hidden="false" customHeight="false" outlineLevel="0" collapsed="false">
      <c r="A93" s="7" t="s">
        <v>69</v>
      </c>
    </row>
    <row r="94" customFormat="false" ht="15" hidden="false" customHeight="false" outlineLevel="0" collapsed="false">
      <c r="A94" s="7"/>
    </row>
    <row r="95" customFormat="false" ht="16" hidden="false" customHeight="false" outlineLevel="0" collapsed="false">
      <c r="A95" s="25" t="s">
        <v>70</v>
      </c>
    </row>
    <row r="96" customFormat="false" ht="28" hidden="false" customHeight="false" outlineLevel="0" collapsed="false">
      <c r="A96" s="27" t="s">
        <v>71</v>
      </c>
    </row>
    <row r="97" customFormat="false" ht="28" hidden="false" customHeight="false" outlineLevel="0" collapsed="false">
      <c r="A97" s="27" t="s">
        <v>72</v>
      </c>
    </row>
    <row r="98" customFormat="false" ht="15" hidden="false" customHeight="false" outlineLevel="0" collapsed="false">
      <c r="A98" s="7"/>
    </row>
    <row r="99" customFormat="false" ht="29" hidden="false" customHeight="false" outlineLevel="0" collapsed="false">
      <c r="A99" s="27" t="s">
        <v>73</v>
      </c>
    </row>
    <row r="100" customFormat="false" ht="28" hidden="false" customHeight="false" outlineLevel="0" collapsed="false">
      <c r="A100" s="27" t="s">
        <v>74</v>
      </c>
    </row>
    <row r="101" customFormat="false" ht="41" hidden="false" customHeight="false" outlineLevel="0" collapsed="false">
      <c r="A101" s="27" t="s">
        <v>75</v>
      </c>
    </row>
    <row r="102" customFormat="false" ht="15" hidden="false" customHeight="false" outlineLevel="0" collapsed="false">
      <c r="A102" s="7"/>
    </row>
    <row r="103" customFormat="false" ht="16" hidden="false" customHeight="false" outlineLevel="0" collapsed="false">
      <c r="A103" s="5" t="s">
        <v>76</v>
      </c>
    </row>
    <row r="104" customFormat="false" ht="15" hidden="false" customHeight="false" outlineLevel="0" collapsed="false">
      <c r="A104" s="7" t="s">
        <v>77</v>
      </c>
    </row>
    <row r="105" customFormat="false" ht="30" hidden="false" customHeight="false" outlineLevel="0" collapsed="false">
      <c r="A105" s="27" t="s">
        <v>78</v>
      </c>
    </row>
    <row r="106" customFormat="false" ht="15" hidden="false" customHeight="false" outlineLevel="0" collapsed="false">
      <c r="A106" s="7"/>
    </row>
    <row r="107" customFormat="false" ht="15" hidden="false" customHeight="1" outlineLevel="0" collapsed="false">
      <c r="A107" s="26" t="s">
        <v>79</v>
      </c>
      <c r="B107" s="6"/>
      <c r="C107" s="6"/>
    </row>
    <row r="108" customFormat="false" ht="15" hidden="false" customHeight="false" outlineLevel="0" collapsed="false">
      <c r="A108" s="7"/>
    </row>
    <row r="109" customFormat="false" ht="29" hidden="false" customHeight="false" outlineLevel="0" collapsed="false">
      <c r="A109" s="25" t="s">
        <v>80</v>
      </c>
    </row>
    <row r="110" customFormat="false" ht="15" hidden="false" customHeight="false" outlineLevel="0" collapsed="false">
      <c r="A110" s="7"/>
    </row>
    <row r="111" customFormat="false" ht="30" hidden="false" customHeight="false" outlineLevel="0" collapsed="false">
      <c r="A111" s="25" t="s">
        <v>81</v>
      </c>
    </row>
    <row r="112" customFormat="false" ht="15" hidden="false" customHeight="false" outlineLevel="0" collapsed="false">
      <c r="A112" s="7"/>
    </row>
    <row r="113" customFormat="false" ht="29" hidden="false" customHeight="false" outlineLevel="0" collapsed="false">
      <c r="A113" s="25" t="s">
        <v>82</v>
      </c>
    </row>
    <row r="114" customFormat="false" ht="15" hidden="false" customHeight="false" outlineLevel="0" collapsed="false">
      <c r="A114" s="7"/>
    </row>
    <row r="115" customFormat="false" ht="15" hidden="false" customHeight="1" outlineLevel="0" collapsed="false">
      <c r="A115" s="26" t="s">
        <v>83</v>
      </c>
      <c r="B115" s="6"/>
      <c r="C115" s="6"/>
      <c r="D115" s="6"/>
      <c r="E115" s="6"/>
      <c r="F115" s="6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8" t="s">
        <v>84</v>
      </c>
    </row>
    <row r="118" customFormat="false" ht="16" hidden="false" customHeight="false" outlineLevel="0" collapsed="false">
      <c r="A118" s="25" t="s">
        <v>85</v>
      </c>
    </row>
    <row r="119" customFormat="false" ht="29" hidden="false" customHeight="false" outlineLevel="0" collapsed="false">
      <c r="A119" s="27" t="s">
        <v>86</v>
      </c>
    </row>
    <row r="120" customFormat="false" ht="15" hidden="false" customHeight="false" outlineLevel="0" collapsed="false">
      <c r="A120" s="7"/>
    </row>
    <row r="121" customFormat="false" ht="16" hidden="false" customHeight="false" outlineLevel="0" collapsed="false">
      <c r="A121" s="7" t="s">
        <v>87</v>
      </c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27" t="s">
        <v>88</v>
      </c>
    </row>
    <row r="124" customFormat="false" ht="15" hidden="false" customHeight="false" outlineLevel="0" collapsed="false">
      <c r="A124" s="7" t="s">
        <v>89</v>
      </c>
    </row>
    <row r="125" customFormat="false" ht="29" hidden="false" customHeight="false" outlineLevel="0" collapsed="false">
      <c r="A125" s="25" t="s">
        <v>90</v>
      </c>
    </row>
    <row r="126" customFormat="false" ht="29" hidden="false" customHeight="false" outlineLevel="0" collapsed="false">
      <c r="A126" s="27" t="s">
        <v>91</v>
      </c>
    </row>
    <row r="127" customFormat="false" ht="30" hidden="false" customHeight="false" outlineLevel="0" collapsed="false">
      <c r="A127" s="27" t="s">
        <v>92</v>
      </c>
    </row>
    <row r="128" customFormat="false" ht="16" hidden="false" customHeight="false" outlineLevel="0" collapsed="false">
      <c r="A128" s="27" t="s">
        <v>93</v>
      </c>
    </row>
    <row r="129" customFormat="false" ht="15" hidden="false" customHeight="false" outlineLevel="0" collapsed="false">
      <c r="A129" s="7"/>
    </row>
    <row r="130" customFormat="false" ht="16" hidden="false" customHeight="false" outlineLevel="0" collapsed="false">
      <c r="A130" s="5" t="s">
        <v>94</v>
      </c>
    </row>
    <row r="131" customFormat="false" ht="28" hidden="false" customHeight="false" outlineLevel="0" collapsed="false">
      <c r="A131" s="27" t="s">
        <v>95</v>
      </c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 t="s">
        <v>96</v>
      </c>
    </row>
    <row r="134" customFormat="false" ht="29" hidden="false" customHeight="false" outlineLevel="0" collapsed="false">
      <c r="A134" s="27" t="s">
        <v>97</v>
      </c>
    </row>
    <row r="135" customFormat="false" ht="16" hidden="false" customHeight="false" outlineLevel="0" collapsed="false">
      <c r="A135" s="7" t="s">
        <v>98</v>
      </c>
    </row>
    <row r="136" customFormat="false" ht="16" hidden="false" customHeight="false" outlineLevel="0" collapsed="false">
      <c r="A136" s="27" t="s">
        <v>99</v>
      </c>
    </row>
    <row r="137" customFormat="false" ht="16" hidden="false" customHeight="false" outlineLevel="0" collapsed="false">
      <c r="A137" s="7" t="s">
        <v>100</v>
      </c>
    </row>
    <row r="138" customFormat="false" ht="15" hidden="false" customHeight="false" outlineLevel="0" collapsed="false">
      <c r="A138" s="7" t="s">
        <v>101</v>
      </c>
    </row>
    <row r="139" customFormat="false" ht="15" hidden="false" customHeight="false" outlineLevel="0" collapsed="false">
      <c r="A139" s="7" t="s">
        <v>102</v>
      </c>
    </row>
    <row r="140" customFormat="false" ht="15" hidden="false" customHeight="1" outlineLevel="0" collapsed="false">
      <c r="A140" s="28" t="s">
        <v>103</v>
      </c>
      <c r="B140" s="9"/>
      <c r="C140" s="9"/>
      <c r="D140" s="9"/>
      <c r="E140" s="9"/>
    </row>
    <row r="141" customFormat="false" ht="15" hidden="false" customHeight="false" outlineLevel="0" collapsed="false">
      <c r="A141" s="7"/>
    </row>
    <row r="142" customFormat="false" ht="16" hidden="false" customHeight="false" outlineLevel="0" collapsed="false">
      <c r="A142" s="7" t="s">
        <v>104</v>
      </c>
    </row>
    <row r="143" customFormat="false" ht="15" hidden="false" customHeight="false" outlineLevel="0" collapsed="false">
      <c r="A143" s="7"/>
    </row>
    <row r="144" customFormat="false" ht="16" hidden="false" customHeight="false" outlineLevel="0" collapsed="false">
      <c r="A144" s="27" t="s">
        <v>105</v>
      </c>
    </row>
    <row r="145" customFormat="false" ht="43" hidden="false" customHeight="false" outlineLevel="0" collapsed="false">
      <c r="A145" s="27" t="s">
        <v>106</v>
      </c>
    </row>
    <row r="146" customFormat="false" ht="15" hidden="false" customHeight="false" outlineLevel="0" collapsed="false">
      <c r="A146" s="7"/>
    </row>
    <row r="147" customFormat="false" ht="16" hidden="false" customHeight="false" outlineLevel="0" collapsed="false">
      <c r="A147" s="5" t="s">
        <v>107</v>
      </c>
    </row>
    <row r="148" customFormat="false" ht="29" hidden="false" customHeight="false" outlineLevel="0" collapsed="false">
      <c r="A148" s="27" t="s">
        <v>108</v>
      </c>
    </row>
    <row r="149" customFormat="false" ht="15" hidden="false" customHeight="false" outlineLevel="0" collapsed="false">
      <c r="A149" s="7"/>
    </row>
    <row r="150" customFormat="false" ht="16" hidden="false" customHeight="false" outlineLevel="0" collapsed="false">
      <c r="A150" s="25" t="s">
        <v>109</v>
      </c>
    </row>
    <row r="151" customFormat="false" ht="15" hidden="false" customHeight="false" outlineLevel="0" collapsed="false">
      <c r="A151" s="7"/>
    </row>
    <row r="152" customFormat="false" ht="29" hidden="false" customHeight="false" outlineLevel="0" collapsed="false">
      <c r="A152" s="25" t="s">
        <v>110</v>
      </c>
    </row>
    <row r="153" customFormat="false" ht="15" hidden="false" customHeight="false" outlineLevel="0" collapsed="false">
      <c r="A153" s="7"/>
    </row>
    <row r="154" customFormat="false" ht="16" hidden="false" customHeight="false" outlineLevel="0" collapsed="false">
      <c r="A154" s="7" t="s">
        <v>111</v>
      </c>
    </row>
    <row r="155" customFormat="false" ht="15" hidden="false" customHeight="false" outlineLevel="0" collapsed="false">
      <c r="A155" s="7"/>
    </row>
    <row r="156" customFormat="false" ht="16" hidden="false" customHeight="false" outlineLevel="0" collapsed="false">
      <c r="A156" s="27" t="s">
        <v>112</v>
      </c>
    </row>
    <row r="157" customFormat="false" ht="28" hidden="false" customHeight="false" outlineLevel="0" collapsed="false">
      <c r="A157" s="27" t="s">
        <v>113</v>
      </c>
    </row>
    <row r="158" customFormat="false" ht="28" hidden="false" customHeight="false" outlineLevel="0" collapsed="false">
      <c r="A158" s="27" t="s">
        <v>114</v>
      </c>
    </row>
    <row r="159" customFormat="false" ht="15" hidden="false" customHeight="false" outlineLevel="0" collapsed="false">
      <c r="A159" s="7"/>
    </row>
    <row r="160" customFormat="false" ht="29" hidden="false" customHeight="false" outlineLevel="0" collapsed="false">
      <c r="A160" s="27" t="s">
        <v>115</v>
      </c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8" t="s">
        <v>116</v>
      </c>
    </row>
    <row r="163" customFormat="false" ht="29" hidden="false" customHeight="false" outlineLevel="0" collapsed="false">
      <c r="A163" s="25" t="s">
        <v>117</v>
      </c>
    </row>
    <row r="164" customFormat="false" ht="16" hidden="false" customHeight="false" outlineLevel="0" collapsed="false">
      <c r="A164" s="25" t="s">
        <v>118</v>
      </c>
    </row>
    <row r="165" customFormat="false" ht="16" hidden="false" customHeight="false" outlineLevel="0" collapsed="false">
      <c r="A165" s="7" t="s">
        <v>119</v>
      </c>
    </row>
    <row r="166" customFormat="false" ht="28" hidden="false" customHeight="false" outlineLevel="0" collapsed="false">
      <c r="A166" s="27" t="s">
        <v>120</v>
      </c>
    </row>
    <row r="167" customFormat="false" ht="15" hidden="false" customHeight="false" outlineLevel="0" collapsed="false">
      <c r="A167" s="7"/>
    </row>
    <row r="168" customFormat="false" ht="16" hidden="false" customHeight="false" outlineLevel="0" collapsed="false">
      <c r="A168" s="7" t="s">
        <v>121</v>
      </c>
    </row>
    <row r="169" customFormat="false" ht="15" hidden="false" customHeight="false" outlineLevel="0" collapsed="false">
      <c r="A169" s="7"/>
    </row>
    <row r="170" customFormat="false" ht="16" hidden="false" customHeight="false" outlineLevel="0" collapsed="false">
      <c r="A170" s="7" t="s">
        <v>122</v>
      </c>
    </row>
    <row r="171" customFormat="false" ht="29" hidden="false" customHeight="false" outlineLevel="0" collapsed="false">
      <c r="A171" s="25" t="s">
        <v>123</v>
      </c>
    </row>
    <row r="172" customFormat="false" ht="28" hidden="false" customHeight="false" outlineLevel="0" collapsed="false">
      <c r="A172" s="27" t="s">
        <v>124</v>
      </c>
    </row>
    <row r="173" customFormat="false" ht="28" hidden="false" customHeight="false" outlineLevel="0" collapsed="false">
      <c r="A173" s="27" t="s">
        <v>125</v>
      </c>
    </row>
    <row r="174" customFormat="false" ht="15" hidden="false" customHeight="false" outlineLevel="0" collapsed="false">
      <c r="A174" s="7"/>
    </row>
    <row r="175" customFormat="false" ht="29" hidden="false" customHeight="false" outlineLevel="0" collapsed="false">
      <c r="A175" s="27" t="s">
        <v>126</v>
      </c>
    </row>
    <row r="176" customFormat="false" ht="28" hidden="false" customHeight="false" outlineLevel="0" collapsed="false">
      <c r="A176" s="27" t="s">
        <v>127</v>
      </c>
    </row>
    <row r="177" customFormat="false" ht="15" hidden="false" customHeight="false" outlineLevel="0" collapsed="false">
      <c r="A177" s="7" t="s">
        <v>128</v>
      </c>
    </row>
    <row r="178" customFormat="false" ht="28" hidden="false" customHeight="false" outlineLevel="0" collapsed="false">
      <c r="A178" s="27" t="s">
        <v>129</v>
      </c>
    </row>
    <row r="179" customFormat="false" ht="15" hidden="false" customHeight="false" outlineLevel="0" collapsed="false">
      <c r="A179" s="27" t="s">
        <v>130</v>
      </c>
    </row>
    <row r="180" customFormat="false" ht="29" hidden="false" customHeight="false" outlineLevel="0" collapsed="false">
      <c r="A180" s="27" t="s">
        <v>131</v>
      </c>
    </row>
    <row r="181" customFormat="false" ht="15" hidden="false" customHeight="1" outlineLevel="0" collapsed="false">
      <c r="A181" s="28" t="s">
        <v>132</v>
      </c>
      <c r="B181" s="9"/>
      <c r="C181" s="9"/>
      <c r="D181" s="9"/>
      <c r="E181" s="9"/>
    </row>
    <row r="182" customFormat="false" ht="15" hidden="false" customHeight="false" outlineLevel="0" collapsed="false">
      <c r="A182" s="7"/>
    </row>
    <row r="183" customFormat="false" ht="16" hidden="false" customHeight="false" outlineLevel="0" collapsed="false">
      <c r="A183" s="5" t="s">
        <v>133</v>
      </c>
    </row>
    <row r="184" customFormat="false" ht="15" hidden="false" customHeight="false" outlineLevel="0" collapsed="false">
      <c r="A184" s="7" t="s">
        <v>134</v>
      </c>
    </row>
    <row r="185" customFormat="false" ht="16" hidden="false" customHeight="false" outlineLevel="0" collapsed="false">
      <c r="A185" s="7" t="s">
        <v>135</v>
      </c>
    </row>
    <row r="186" customFormat="false" ht="15" hidden="false" customHeight="false" outlineLevel="0" collapsed="false">
      <c r="A186" s="7"/>
    </row>
    <row r="187" customFormat="false" ht="16" hidden="false" customHeight="false" outlineLevel="0" collapsed="false">
      <c r="A187" s="25" t="s">
        <v>136</v>
      </c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8" t="s">
        <v>137</v>
      </c>
    </row>
    <row r="190" customFormat="false" ht="29" hidden="false" customHeight="false" outlineLevel="0" collapsed="false">
      <c r="A190" s="25" t="s">
        <v>138</v>
      </c>
    </row>
    <row r="191" customFormat="false" ht="29" hidden="false" customHeight="false" outlineLevel="0" collapsed="false">
      <c r="A191" s="27" t="s">
        <v>139</v>
      </c>
    </row>
    <row r="192" customFormat="false" ht="28" hidden="false" customHeight="false" outlineLevel="0" collapsed="false">
      <c r="A192" s="27" t="s">
        <v>140</v>
      </c>
    </row>
    <row r="193" customFormat="false" ht="15" hidden="false" customHeight="false" outlineLevel="0" collapsed="false">
      <c r="A193" s="7"/>
    </row>
    <row r="194" customFormat="false" ht="16" hidden="false" customHeight="false" outlineLevel="0" collapsed="false">
      <c r="A194" s="7" t="s">
        <v>141</v>
      </c>
    </row>
    <row r="195" customFormat="false" ht="15" hidden="false" customHeight="false" outlineLevel="0" collapsed="false">
      <c r="A195" s="7"/>
    </row>
    <row r="196" customFormat="false" ht="15" hidden="false" customHeight="1" outlineLevel="0" collapsed="false">
      <c r="A196" s="26" t="s">
        <v>142</v>
      </c>
      <c r="B196" s="6"/>
      <c r="C196" s="6"/>
    </row>
    <row r="197" customFormat="false" ht="43" hidden="false" customHeight="false" outlineLevel="0" collapsed="false">
      <c r="A197" s="27" t="s">
        <v>143</v>
      </c>
    </row>
    <row r="198" customFormat="false" ht="15" hidden="false" customHeight="false" outlineLevel="0" collapsed="false">
      <c r="A198" s="7"/>
    </row>
    <row r="199" customFormat="false" ht="16" hidden="false" customHeight="false" outlineLevel="0" collapsed="false">
      <c r="A199" s="5" t="s">
        <v>144</v>
      </c>
    </row>
    <row r="200" customFormat="false" ht="28" hidden="false" customHeight="false" outlineLevel="0" collapsed="false">
      <c r="A200" s="27" t="s">
        <v>145</v>
      </c>
    </row>
    <row r="201" customFormat="false" ht="16" hidden="false" customHeight="false" outlineLevel="0" collapsed="false">
      <c r="A201" s="7" t="s">
        <v>146</v>
      </c>
    </row>
    <row r="202" customFormat="false" ht="15" hidden="false" customHeight="false" outlineLevel="0" collapsed="false">
      <c r="A202" s="7"/>
    </row>
    <row r="203" customFormat="false" ht="29" hidden="false" customHeight="false" outlineLevel="0" collapsed="false">
      <c r="A203" s="25" t="s">
        <v>147</v>
      </c>
    </row>
    <row r="204" customFormat="false" ht="15" hidden="false" customHeight="false" outlineLevel="0" collapsed="false">
      <c r="A204" s="7"/>
    </row>
    <row r="205" customFormat="false" ht="16" hidden="false" customHeight="false" outlineLevel="0" collapsed="false">
      <c r="A205" s="5" t="s">
        <v>148</v>
      </c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8" t="s">
        <v>149</v>
      </c>
    </row>
    <row r="208" customFormat="false" ht="16" hidden="false" customHeight="false" outlineLevel="0" collapsed="false">
      <c r="A208" s="25" t="s">
        <v>150</v>
      </c>
    </row>
    <row r="209" customFormat="false" ht="16" hidden="false" customHeight="false" outlineLevel="0" collapsed="false">
      <c r="A209" s="7" t="s">
        <v>151</v>
      </c>
    </row>
    <row r="210" customFormat="false" ht="30" hidden="false" customHeight="false" outlineLevel="0" collapsed="false">
      <c r="A210" s="27" t="s">
        <v>152</v>
      </c>
    </row>
    <row r="211" customFormat="false" ht="15" hidden="false" customHeight="false" outlineLevel="0" collapsed="false">
      <c r="A211" s="7"/>
    </row>
    <row r="212" customFormat="false" ht="16" hidden="false" customHeight="false" outlineLevel="0" collapsed="false">
      <c r="A212" s="7" t="s">
        <v>153</v>
      </c>
    </row>
    <row r="213" customFormat="false" ht="15" hidden="false" customHeight="false" outlineLevel="0" collapsed="false">
      <c r="A213" s="7"/>
    </row>
    <row r="214" customFormat="false" ht="16" hidden="false" customHeight="false" outlineLevel="0" collapsed="false">
      <c r="A214" s="25" t="s">
        <v>154</v>
      </c>
    </row>
    <row r="215" customFormat="false" ht="29" hidden="false" customHeight="false" outlineLevel="0" collapsed="false">
      <c r="A215" s="27" t="s">
        <v>155</v>
      </c>
    </row>
    <row r="216" customFormat="false" ht="16" hidden="false" customHeight="false" outlineLevel="0" collapsed="false">
      <c r="A216" s="27" t="s">
        <v>156</v>
      </c>
    </row>
    <row r="217" customFormat="false" ht="15" hidden="false" customHeight="1" outlineLevel="0" collapsed="false">
      <c r="A217" s="28" t="s">
        <v>157</v>
      </c>
      <c r="B217" s="9"/>
      <c r="C217" s="9"/>
      <c r="D217" s="9"/>
      <c r="E217" s="9"/>
      <c r="F217" s="9"/>
      <c r="G217" s="9"/>
      <c r="H217" s="9"/>
      <c r="I217" s="9"/>
    </row>
    <row r="218" customFormat="false" ht="28" hidden="false" customHeight="false" outlineLevel="0" collapsed="false">
      <c r="A218" s="27" t="s">
        <v>158</v>
      </c>
    </row>
    <row r="220" customFormat="false" ht="29" hidden="false" customHeight="false" outlineLevel="0" collapsed="false">
      <c r="A220" s="29" t="s">
        <v>159</v>
      </c>
    </row>
    <row r="221" customFormat="false" ht="15.5" hidden="false" customHeight="false" outlineLevel="0" collapsed="false">
      <c r="A221" s="2" t="s">
        <v>160</v>
      </c>
    </row>
    <row r="222" customFormat="false" ht="15.5" hidden="false" customHeight="false" outlineLevel="0" collapsed="false">
      <c r="A222" s="2" t="s">
        <v>161</v>
      </c>
    </row>
    <row r="223" customFormat="false" ht="15.5" hidden="false" customHeight="false" outlineLevel="0" collapsed="false">
      <c r="A223" s="2" t="s">
        <v>162</v>
      </c>
    </row>
    <row r="224" customFormat="false" ht="15.5" hidden="false" customHeight="false" outlineLevel="0" collapsed="false">
      <c r="A224" s="2" t="s">
        <v>163</v>
      </c>
    </row>
    <row r="225" customFormat="false" ht="15.5" hidden="false" customHeight="false" outlineLevel="0" collapsed="false">
      <c r="A225" s="2" t="s">
        <v>164</v>
      </c>
    </row>
    <row r="226" customFormat="false" ht="15.5" hidden="false" customHeight="false" outlineLevel="0" collapsed="false">
      <c r="A226" s="2" t="s">
        <v>165</v>
      </c>
    </row>
    <row r="227" customFormat="false" ht="15.5" hidden="false" customHeight="false" outlineLevel="0" collapsed="false">
      <c r="A227" s="2" t="s">
        <v>166</v>
      </c>
    </row>
    <row r="228" customFormat="false" ht="15.5" hidden="false" customHeight="false" outlineLevel="0" collapsed="false">
      <c r="A228" s="2" t="s">
        <v>167</v>
      </c>
    </row>
    <row r="229" customFormat="false" ht="15.5" hidden="false" customHeight="false" outlineLevel="0" collapsed="false">
      <c r="A229" s="2" t="s">
        <v>168</v>
      </c>
    </row>
    <row r="230" customFormat="false" ht="15.5" hidden="false" customHeight="false" outlineLevel="0" collapsed="false">
      <c r="A230" s="2" t="s">
        <v>169</v>
      </c>
    </row>
    <row r="232" customFormat="false" ht="15" hidden="false" customHeight="false" outlineLevel="0" collapsed="false">
      <c r="A232" s="4" t="s">
        <v>170</v>
      </c>
    </row>
    <row r="233" customFormat="false" ht="30" hidden="false" customHeight="false" outlineLevel="0" collapsed="false">
      <c r="A233" s="27" t="s">
        <v>171</v>
      </c>
    </row>
    <row r="234" customFormat="false" ht="28" hidden="false" customHeight="false" outlineLevel="0" collapsed="false">
      <c r="A234" s="27" t="s">
        <v>172</v>
      </c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4" t="s">
        <v>173</v>
      </c>
    </row>
    <row r="237" customFormat="false" ht="28" hidden="false" customHeight="false" outlineLevel="0" collapsed="false">
      <c r="A237" s="27" t="s">
        <v>174</v>
      </c>
    </row>
    <row r="238" customFormat="false" ht="29" hidden="false" customHeight="false" outlineLevel="0" collapsed="false">
      <c r="A238" s="27" t="s">
        <v>175</v>
      </c>
    </row>
    <row r="240" customFormat="false" ht="15.5" hidden="false" customHeight="false" outlineLevel="0" collapsed="false">
      <c r="A240" s="10" t="s">
        <v>176</v>
      </c>
    </row>
  </sheetData>
  <mergeCells count="11">
    <mergeCell ref="A5:L5"/>
    <mergeCell ref="A6:J6"/>
    <mergeCell ref="A8:O8"/>
    <mergeCell ref="A15:I15"/>
    <mergeCell ref="A17:J17"/>
    <mergeCell ref="A107:I107"/>
    <mergeCell ref="A115:N115"/>
    <mergeCell ref="A140:L140"/>
    <mergeCell ref="A181:N181"/>
    <mergeCell ref="A196:I196"/>
    <mergeCell ref="A217:S2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1" width="27.31"/>
    <col collapsed="false" customWidth="true" hidden="false" outlineLevel="0" max="7" min="2" style="11" width="14.56"/>
    <col collapsed="false" customWidth="true" hidden="false" outlineLevel="0" max="8" min="8" style="11" width="49.13"/>
  </cols>
  <sheetData>
    <row r="1" customFormat="false" ht="19" hidden="false" customHeight="false" outlineLevel="0" collapsed="false">
      <c r="A1" s="12" t="s">
        <v>177</v>
      </c>
      <c r="B1" s="12"/>
      <c r="C1" s="12"/>
      <c r="D1" s="12"/>
      <c r="E1" s="12"/>
      <c r="F1" s="12"/>
      <c r="G1" s="12"/>
      <c r="H1" s="12"/>
    </row>
    <row r="3" customFormat="false" ht="15.5" hidden="false" customHeight="false" outlineLevel="0" collapsed="false">
      <c r="A3" s="13" t="s">
        <v>178</v>
      </c>
      <c r="B3" s="13"/>
      <c r="C3" s="13"/>
      <c r="D3" s="13"/>
      <c r="E3" s="14"/>
      <c r="F3" s="14"/>
      <c r="G3" s="14"/>
      <c r="H3" s="14"/>
    </row>
    <row r="4" customFormat="false" ht="15.5" hidden="false" customHeight="false" outlineLevel="0" collapsed="false">
      <c r="A4" s="15" t="s">
        <v>179</v>
      </c>
      <c r="B4" s="15" t="s">
        <v>180</v>
      </c>
      <c r="C4" s="15" t="s">
        <v>181</v>
      </c>
      <c r="D4" s="15" t="s">
        <v>182</v>
      </c>
    </row>
    <row r="5" customFormat="false" ht="16" hidden="false" customHeight="false" outlineLevel="0" collapsed="false">
      <c r="A5" s="16" t="s">
        <v>37</v>
      </c>
      <c r="B5" s="11" t="s">
        <v>183</v>
      </c>
      <c r="C5" s="16" t="s">
        <v>184</v>
      </c>
      <c r="D5" s="17" t="s">
        <v>185</v>
      </c>
      <c r="E5" s="17"/>
      <c r="F5" s="17"/>
      <c r="G5" s="17"/>
    </row>
    <row r="6" customFormat="false" ht="16" hidden="false" customHeight="false" outlineLevel="0" collapsed="false">
      <c r="A6" s="16" t="s">
        <v>60</v>
      </c>
      <c r="B6" s="11" t="s">
        <v>186</v>
      </c>
      <c r="C6" s="16" t="s">
        <v>187</v>
      </c>
      <c r="D6" s="17" t="s">
        <v>188</v>
      </c>
      <c r="E6" s="17"/>
      <c r="F6" s="17"/>
      <c r="G6" s="17"/>
    </row>
    <row r="7" customFormat="false" ht="16" hidden="false" customHeight="false" outlineLevel="0" collapsed="false">
      <c r="A7" s="16" t="s">
        <v>189</v>
      </c>
      <c r="B7" s="11" t="s">
        <v>190</v>
      </c>
      <c r="C7" s="11" t="s">
        <v>191</v>
      </c>
      <c r="D7" s="18" t="s">
        <v>192</v>
      </c>
      <c r="E7" s="18"/>
      <c r="F7" s="18"/>
      <c r="G7" s="18"/>
    </row>
    <row r="8" customFormat="false" ht="16" hidden="false" customHeight="false" outlineLevel="0" collapsed="false">
      <c r="A8" s="16" t="s">
        <v>193</v>
      </c>
      <c r="B8" s="11" t="s">
        <v>194</v>
      </c>
      <c r="C8" s="16" t="s">
        <v>195</v>
      </c>
      <c r="D8" s="17" t="s">
        <v>196</v>
      </c>
      <c r="E8" s="17"/>
      <c r="F8" s="17"/>
      <c r="G8" s="17"/>
    </row>
    <row r="9" customFormat="false" ht="16" hidden="false" customHeight="false" outlineLevel="0" collapsed="false">
      <c r="A9" s="16" t="s">
        <v>197</v>
      </c>
      <c r="B9" s="11" t="s">
        <v>198</v>
      </c>
      <c r="C9" s="16" t="s">
        <v>199</v>
      </c>
      <c r="D9" s="17" t="s">
        <v>200</v>
      </c>
      <c r="E9" s="17"/>
      <c r="F9" s="17"/>
      <c r="G9" s="17"/>
      <c r="H9" s="17"/>
    </row>
    <row r="10" customFormat="false" ht="16" hidden="false" customHeight="false" outlineLevel="0" collapsed="false">
      <c r="A10" s="16" t="s">
        <v>201</v>
      </c>
      <c r="B10" s="16" t="s">
        <v>202</v>
      </c>
      <c r="C10" s="11" t="s">
        <v>203</v>
      </c>
      <c r="D10" s="17" t="s">
        <v>204</v>
      </c>
      <c r="E10" s="17"/>
      <c r="F10" s="17"/>
      <c r="G10" s="17"/>
      <c r="H10" s="17"/>
    </row>
    <row r="12" customFormat="false" ht="15.5" hidden="false" customHeight="false" outlineLevel="0" collapsed="false">
      <c r="A12" s="13" t="s">
        <v>205</v>
      </c>
      <c r="B12" s="13"/>
      <c r="C12" s="13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5" t="s">
        <v>179</v>
      </c>
      <c r="B13" s="15" t="s">
        <v>206</v>
      </c>
      <c r="C13" s="15" t="s">
        <v>173</v>
      </c>
      <c r="D13" s="15"/>
    </row>
    <row r="14" customFormat="false" ht="16" hidden="false" customHeight="false" outlineLevel="0" collapsed="false">
      <c r="A14" s="16" t="s">
        <v>37</v>
      </c>
      <c r="B14" s="11" t="s">
        <v>207</v>
      </c>
      <c r="C14" s="17" t="s">
        <v>208</v>
      </c>
      <c r="D14" s="17"/>
      <c r="E14" s="17"/>
      <c r="F14" s="17"/>
      <c r="G14" s="17"/>
    </row>
    <row r="15" customFormat="false" ht="16" hidden="false" customHeight="false" outlineLevel="0" collapsed="false">
      <c r="A15" s="16" t="s">
        <v>209</v>
      </c>
      <c r="B15" s="11" t="s">
        <v>210</v>
      </c>
      <c r="C15" s="17" t="s">
        <v>211</v>
      </c>
      <c r="D15" s="17"/>
      <c r="E15" s="17"/>
      <c r="F15" s="17"/>
    </row>
    <row r="16" customFormat="false" ht="16" hidden="false" customHeight="false" outlineLevel="0" collapsed="false">
      <c r="A16" s="16" t="s">
        <v>212</v>
      </c>
      <c r="B16" s="11" t="s">
        <v>213</v>
      </c>
      <c r="C16" s="17" t="s">
        <v>214</v>
      </c>
      <c r="D16" s="17"/>
      <c r="E16" s="17"/>
      <c r="F16" s="17"/>
    </row>
    <row r="17" customFormat="false" ht="16" hidden="false" customHeight="false" outlineLevel="0" collapsed="false">
      <c r="A17" s="11" t="s">
        <v>215</v>
      </c>
      <c r="B17" s="11" t="s">
        <v>216</v>
      </c>
      <c r="C17" s="17" t="s">
        <v>217</v>
      </c>
      <c r="D17" s="17"/>
      <c r="E17" s="17"/>
    </row>
    <row r="19" customFormat="false" ht="15.5" hidden="false" customHeight="false" outlineLevel="0" collapsed="false">
      <c r="A19" s="13" t="s">
        <v>218</v>
      </c>
      <c r="B19" s="13"/>
      <c r="C19" s="13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5" t="s">
        <v>179</v>
      </c>
      <c r="B20" s="15" t="s">
        <v>219</v>
      </c>
      <c r="C20" s="15"/>
    </row>
    <row r="21" customFormat="false" ht="15" hidden="false" customHeight="false" outlineLevel="0" collapsed="false">
      <c r="A21" s="16" t="s">
        <v>37</v>
      </c>
      <c r="B21" s="17" t="s">
        <v>220</v>
      </c>
      <c r="C21" s="17"/>
      <c r="D21" s="17"/>
      <c r="E21" s="17"/>
      <c r="F21" s="17"/>
      <c r="G21" s="17"/>
    </row>
    <row r="22" customFormat="false" ht="15" hidden="false" customHeight="false" outlineLevel="0" collapsed="false">
      <c r="A22" s="16" t="s">
        <v>221</v>
      </c>
      <c r="B22" s="17" t="s">
        <v>222</v>
      </c>
      <c r="C22" s="17"/>
      <c r="D22" s="17"/>
      <c r="E22" s="17"/>
      <c r="F22" s="17"/>
      <c r="G22" s="17"/>
    </row>
    <row r="24" customFormat="false" ht="15.5" hidden="false" customHeight="false" outlineLevel="0" collapsed="false">
      <c r="A24" s="13" t="s">
        <v>223</v>
      </c>
      <c r="B24" s="13"/>
      <c r="C24" s="13"/>
      <c r="D24" s="13"/>
      <c r="E24" s="13"/>
      <c r="F24" s="13"/>
      <c r="G24" s="14"/>
      <c r="H24" s="14"/>
    </row>
    <row r="25" customFormat="false" ht="15.5" hidden="false" customHeight="false" outlineLevel="0" collapsed="false">
      <c r="A25" s="15" t="s">
        <v>224</v>
      </c>
      <c r="B25" s="15" t="s">
        <v>225</v>
      </c>
      <c r="C25" s="15" t="s">
        <v>226</v>
      </c>
      <c r="D25" s="15" t="s">
        <v>227</v>
      </c>
      <c r="E25" s="15" t="s">
        <v>228</v>
      </c>
      <c r="F25" s="15" t="s">
        <v>229</v>
      </c>
      <c r="G25" s="15" t="s">
        <v>230</v>
      </c>
      <c r="H25" s="15" t="s">
        <v>231</v>
      </c>
    </row>
    <row r="26" customFormat="false" ht="15" hidden="false" customHeight="false" outlineLevel="0" collapsed="false">
      <c r="A26" s="11" t="s">
        <v>232</v>
      </c>
      <c r="B26" s="19" t="n">
        <v>5</v>
      </c>
      <c r="C26" s="19" t="n">
        <v>3</v>
      </c>
      <c r="D26" s="19" t="n">
        <v>3</v>
      </c>
      <c r="E26" s="19" t="n">
        <v>4</v>
      </c>
      <c r="F26" s="19" t="n">
        <v>4</v>
      </c>
      <c r="G26" s="19" t="n">
        <v>2</v>
      </c>
      <c r="H26" s="20" t="n">
        <f aca="false">PRODUCT(B26:G26)</f>
        <v>1440</v>
      </c>
    </row>
    <row r="27" customFormat="false" ht="16" hidden="false" customHeight="false" outlineLevel="0" collapsed="false">
      <c r="A27" s="16" t="s">
        <v>233</v>
      </c>
      <c r="B27" s="19" t="n">
        <v>7</v>
      </c>
      <c r="C27" s="19" t="n">
        <v>2</v>
      </c>
      <c r="D27" s="19" t="n">
        <v>2</v>
      </c>
      <c r="E27" s="19" t="n">
        <v>2</v>
      </c>
      <c r="F27" s="19" t="n">
        <v>2</v>
      </c>
      <c r="G27" s="19" t="n">
        <v>7</v>
      </c>
      <c r="H27" s="20" t="n">
        <f aca="false">PRODUCT(B27:G27)</f>
        <v>784</v>
      </c>
    </row>
    <row r="28" customFormat="false" ht="15.5" hidden="false" customHeight="true" outlineLevel="0" collapsed="false">
      <c r="A28" s="21" t="s">
        <v>234</v>
      </c>
      <c r="B28" s="21"/>
      <c r="C28" s="21"/>
      <c r="D28" s="21"/>
      <c r="E28" s="21"/>
      <c r="F28" s="21"/>
      <c r="G28" s="21"/>
      <c r="H28" s="21"/>
    </row>
    <row r="30" customFormat="false" ht="15.5" hidden="false" customHeight="false" outlineLevel="0" collapsed="false">
      <c r="A30" s="13" t="s">
        <v>235</v>
      </c>
      <c r="B30" s="13"/>
      <c r="C30" s="13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5" t="s">
        <v>224</v>
      </c>
      <c r="B31" s="15" t="s">
        <v>236</v>
      </c>
      <c r="C31" s="15" t="s">
        <v>173</v>
      </c>
      <c r="D31" s="15"/>
      <c r="E31" s="15"/>
      <c r="F31" s="15"/>
      <c r="G31" s="15"/>
      <c r="H31" s="15"/>
    </row>
    <row r="32" customFormat="false" ht="16" hidden="false" customHeight="false" outlineLevel="0" collapsed="false">
      <c r="A32" s="11" t="s">
        <v>237</v>
      </c>
      <c r="B32" s="19" t="n">
        <v>1</v>
      </c>
      <c r="C32" s="18" t="s">
        <v>238</v>
      </c>
      <c r="D32" s="18"/>
      <c r="E32" s="18"/>
    </row>
    <row r="33" customFormat="false" ht="15" hidden="false" customHeight="false" outlineLevel="0" collapsed="false">
      <c r="A33" s="11" t="s">
        <v>239</v>
      </c>
      <c r="B33" s="19" t="n">
        <v>20</v>
      </c>
      <c r="C33" s="17" t="s">
        <v>240</v>
      </c>
      <c r="D33" s="17"/>
    </row>
    <row r="34" customFormat="false" ht="16" hidden="false" customHeight="false" outlineLevel="0" collapsed="false">
      <c r="A34" s="11" t="s">
        <v>241</v>
      </c>
      <c r="B34" s="20" t="n">
        <f aca="false">PRODUCT(B26:G26)</f>
        <v>1440</v>
      </c>
      <c r="C34" s="11" t="s">
        <v>242</v>
      </c>
    </row>
    <row r="35" customFormat="false" ht="16" hidden="false" customHeight="false" outlineLevel="0" collapsed="false">
      <c r="A35" s="22" t="s">
        <v>243</v>
      </c>
      <c r="B35" s="23" t="n">
        <f aca="false">B32*B33*B34</f>
        <v>28800</v>
      </c>
      <c r="C35" s="17" t="s">
        <v>244</v>
      </c>
      <c r="D35" s="17"/>
      <c r="E35" s="17"/>
    </row>
    <row r="36" customFormat="false" ht="16" hidden="false" customHeight="false" outlineLevel="0" collapsed="false">
      <c r="A36" s="16" t="s">
        <v>245</v>
      </c>
      <c r="B36" s="19" t="n">
        <v>3</v>
      </c>
      <c r="C36" s="17" t="s">
        <v>246</v>
      </c>
      <c r="D36" s="17"/>
      <c r="E36" s="17"/>
    </row>
    <row r="37" customFormat="false" ht="16" hidden="false" customHeight="false" outlineLevel="0" collapsed="false">
      <c r="A37" s="22" t="s">
        <v>247</v>
      </c>
      <c r="B37" s="23" t="n">
        <f aca="false">B32*B33*B36</f>
        <v>60</v>
      </c>
      <c r="C37" s="17" t="s">
        <v>248</v>
      </c>
      <c r="D37" s="17"/>
    </row>
    <row r="38" customFormat="false" ht="16" hidden="false" customHeight="false" outlineLevel="0" collapsed="false">
      <c r="A38" s="16" t="s">
        <v>249</v>
      </c>
      <c r="B38" s="19" t="n">
        <v>8</v>
      </c>
      <c r="C38" s="17" t="s">
        <v>250</v>
      </c>
      <c r="D38" s="17"/>
      <c r="E38" s="17"/>
    </row>
    <row r="39" customFormat="false" ht="16" hidden="false" customHeight="false" outlineLevel="0" collapsed="false">
      <c r="A39" s="22" t="s">
        <v>251</v>
      </c>
      <c r="B39" s="23" t="n">
        <f aca="false">IF(B38&gt;=8,B32*B33,0)</f>
        <v>20</v>
      </c>
      <c r="C39" s="17" t="s">
        <v>252</v>
      </c>
      <c r="D39" s="17"/>
      <c r="E39" s="17"/>
    </row>
    <row r="41" customFormat="false" ht="15.5" hidden="false" customHeight="false" outlineLevel="0" collapsed="false">
      <c r="A41" s="13" t="s">
        <v>253</v>
      </c>
      <c r="B41" s="13"/>
      <c r="C41" s="13"/>
      <c r="D41" s="14"/>
      <c r="E41" s="14"/>
      <c r="F41" s="14"/>
      <c r="G41" s="14"/>
      <c r="H41" s="14"/>
    </row>
    <row r="42" customFormat="false" ht="15" hidden="false" customHeight="false" outlineLevel="0" collapsed="false">
      <c r="A42" s="15" t="s">
        <v>254</v>
      </c>
      <c r="B42" s="15" t="s">
        <v>231</v>
      </c>
      <c r="C42" s="15" t="s">
        <v>173</v>
      </c>
      <c r="D42" s="15"/>
      <c r="E42" s="15"/>
      <c r="F42" s="15"/>
      <c r="G42" s="15"/>
      <c r="H42" s="15"/>
    </row>
    <row r="43" customFormat="false" ht="16" hidden="false" customHeight="false" outlineLevel="0" collapsed="false">
      <c r="A43" s="16" t="s">
        <v>255</v>
      </c>
      <c r="B43" s="24" t="str">
        <f aca="false">IF(H26=1440,"✓","✗")</f>
        <v>✓</v>
      </c>
      <c r="C43" s="17" t="s">
        <v>256</v>
      </c>
      <c r="D43" s="17"/>
    </row>
    <row r="44" customFormat="false" ht="16" hidden="false" customHeight="false" outlineLevel="0" collapsed="false">
      <c r="A44" s="11" t="s">
        <v>257</v>
      </c>
      <c r="B44" s="24" t="str">
        <f aca="false">IF(H27=784,"✓","✗")</f>
        <v>✓</v>
      </c>
      <c r="C44" s="16" t="s">
        <v>258</v>
      </c>
    </row>
    <row r="45" customFormat="false" ht="16" hidden="false" customHeight="false" outlineLevel="0" collapsed="false">
      <c r="A45" s="16" t="s">
        <v>259</v>
      </c>
      <c r="B45" s="24" t="str">
        <f aca="false">IF(B39=B32*B33,"✓","✗")</f>
        <v>✓</v>
      </c>
      <c r="C45" s="17" t="s">
        <v>260</v>
      </c>
      <c r="D45" s="17"/>
    </row>
    <row r="46" customFormat="false" ht="16" hidden="false" customHeight="false" outlineLevel="0" collapsed="false">
      <c r="A46" s="16" t="s">
        <v>261</v>
      </c>
      <c r="B46" s="24" t="str">
        <f aca="false">IF(B35=B32*B33*B34,"✓","✗")</f>
        <v>✓</v>
      </c>
      <c r="C46" s="11" t="s">
        <v>262</v>
      </c>
    </row>
    <row r="47" customFormat="false" ht="16" hidden="false" customHeight="false" outlineLevel="0" collapsed="false">
      <c r="A47" s="16" t="s">
        <v>263</v>
      </c>
      <c r="B47" s="24" t="str">
        <f aca="false">IF(B37=B36*B32*B33,"✓","✗")</f>
        <v>✓</v>
      </c>
      <c r="C47" s="17" t="s">
        <v>264</v>
      </c>
      <c r="D47" s="17"/>
    </row>
    <row r="49" customFormat="false" ht="15" hidden="false" customHeight="true" outlineLevel="0" collapsed="false">
      <c r="A49" s="21" t="s">
        <v>265</v>
      </c>
      <c r="B49" s="21"/>
      <c r="C49" s="21"/>
      <c r="D49" s="21"/>
      <c r="E49" s="21"/>
      <c r="F49" s="21"/>
      <c r="G49" s="21"/>
      <c r="H49" s="21"/>
    </row>
  </sheetData>
  <mergeCells count="31">
    <mergeCell ref="A1:H1"/>
    <mergeCell ref="A3:D3"/>
    <mergeCell ref="D5:G5"/>
    <mergeCell ref="D6:G6"/>
    <mergeCell ref="D7:G7"/>
    <mergeCell ref="D8:G8"/>
    <mergeCell ref="D9:H9"/>
    <mergeCell ref="D10:H10"/>
    <mergeCell ref="A12:C12"/>
    <mergeCell ref="C14:G14"/>
    <mergeCell ref="C15:F15"/>
    <mergeCell ref="C16:F16"/>
    <mergeCell ref="C17:E17"/>
    <mergeCell ref="A19:C19"/>
    <mergeCell ref="B21:G21"/>
    <mergeCell ref="B22:G22"/>
    <mergeCell ref="A24:F24"/>
    <mergeCell ref="A28:H28"/>
    <mergeCell ref="A30:C30"/>
    <mergeCell ref="C32:E32"/>
    <mergeCell ref="C33:D33"/>
    <mergeCell ref="C35:E35"/>
    <mergeCell ref="C36:E36"/>
    <mergeCell ref="C37:D37"/>
    <mergeCell ref="C38:E38"/>
    <mergeCell ref="C39:E39"/>
    <mergeCell ref="A41:C41"/>
    <mergeCell ref="C43:D43"/>
    <mergeCell ref="C45:D45"/>
    <mergeCell ref="C47:D47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2026-09-29T15:06:25Z</dcterms:created>
  <dc:creator>openpyxl</dc:creator>
  <dc:description/>
  <dc:language>zh-CN</dc:language>
  <cp:lastModifiedBy/>
  <dcterms:modified xsi:type="dcterms:W3CDTF">2026-09-29T15:06:25Z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