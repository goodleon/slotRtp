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说明" sheetId="1" state="visible" r:id="rId3"/>
    <sheet name="数据配表" sheetId="2" state="visible" r:id="rId4"/>
  </sheets>
  <calcPr iterateCount="100" refMode="A1" iterate="false" iterateDelta="0.0001" fullCalcOnLoad="1"/>
  <extLst>
    <ext xmlns:loext="http://schemas.libreoffice.org/" uri="{7626C862-2A13-11E5-B345-FEFF819CDC9F}">
      <loext:extCalcPr stringRefSyntax="ExcelA1"/>
    </ext>
  </extLst>
</workbook>
</file>

<file path=xl/sharedStrings.xml><?xml version="1.0" encoding="utf-8"?>
<sst xmlns="http://schemas.openxmlformats.org/spreadsheetml/2006/main" count="252" uniqueCount="178">
  <si>
    <r>
      <rPr>
        <b val="true"/>
        <sz val="14"/>
        <color rgb="FF1F4E79"/>
        <rFont val="Noto Sans SC"/>
        <family val="2"/>
        <charset val="134"/>
      </rPr>
      <t xml:space="preserve">从零开始学</t>
    </r>
    <r>
      <rPr>
        <b val="true"/>
        <sz val="14"/>
        <color rgb="FF1F4E79"/>
        <rFont val="Cambria"/>
        <family val="0"/>
        <charset val="1"/>
      </rPr>
      <t xml:space="preserve">Slots 17 —— </t>
    </r>
    <r>
      <rPr>
        <b val="true"/>
        <sz val="14"/>
        <color rgb="FF1F4E79"/>
        <rFont val="Noto Sans SC"/>
        <family val="2"/>
        <charset val="134"/>
      </rPr>
      <t xml:space="preserve">数值篇：</t>
    </r>
    <r>
      <rPr>
        <b val="true"/>
        <sz val="14"/>
        <color rgb="FF1F4E79"/>
        <rFont val="Cambria"/>
        <family val="0"/>
        <charset val="1"/>
      </rPr>
      <t xml:space="preserve">Way Slots(2)</t>
    </r>
  </si>
  <si>
    <r>
      <rPr>
        <sz val="11"/>
        <color rgb="FF808080"/>
        <rFont val="Noto Sans SC"/>
        <family val="2"/>
        <charset val="134"/>
      </rPr>
      <t xml:space="preserve">来源：知乎《</t>
    </r>
    <r>
      <rPr>
        <sz val="11"/>
        <color rgb="FF808080"/>
        <rFont val="Cambria"/>
        <family val="0"/>
        <charset val="1"/>
      </rPr>
      <t xml:space="preserve">Slots</t>
    </r>
    <r>
      <rPr>
        <sz val="11"/>
        <color rgb="FF808080"/>
        <rFont val="Noto Sans SC"/>
        <family val="2"/>
        <charset val="134"/>
      </rPr>
      <t xml:space="preserve">数值篇——</t>
    </r>
    <r>
      <rPr>
        <sz val="11"/>
        <color rgb="FF808080"/>
        <rFont val="Cambria"/>
        <family val="0"/>
        <charset val="1"/>
      </rPr>
      <t xml:space="preserve">Way Slots(2)</t>
    </r>
    <r>
      <rPr>
        <sz val="11"/>
        <color rgb="FF808080"/>
        <rFont val="Noto Sans SC"/>
        <family val="2"/>
        <charset val="134"/>
      </rPr>
      <t xml:space="preserve">》  </t>
    </r>
    <r>
      <rPr>
        <sz val="11"/>
        <color rgb="FF808080"/>
        <rFont val="Cambria"/>
        <family val="0"/>
        <charset val="1"/>
      </rPr>
      <t xml:space="preserve">https://zhuanlan.zhihu.com/p/625543717</t>
    </r>
  </si>
  <si>
    <r>
      <rPr>
        <sz val="11"/>
        <color rgb="FF808080"/>
        <rFont val="Noto Sans SC"/>
        <family val="2"/>
        <charset val="134"/>
      </rPr>
      <t xml:space="preserve">专栏：从零开始学</t>
    </r>
    <r>
      <rPr>
        <sz val="11"/>
        <color rgb="FF808080"/>
        <rFont val="Cambria"/>
        <family val="0"/>
        <charset val="1"/>
      </rPr>
      <t xml:space="preserve">Slots https://zhuanlan.zhihu.com/c_1645024821070356480 </t>
    </r>
    <r>
      <rPr>
        <sz val="11"/>
        <color rgb="FF808080"/>
        <rFont val="Noto Sans SC"/>
        <family val="2"/>
        <charset val="134"/>
      </rPr>
      <t xml:space="preserve">｜ 作者：</t>
    </r>
    <r>
      <rPr>
        <sz val="11"/>
        <color rgb="FF808080"/>
        <rFont val="Cambria"/>
        <family val="0"/>
        <charset val="1"/>
      </rPr>
      <t xml:space="preserve">ASlot</t>
    </r>
  </si>
  <si>
    <r>
      <rPr>
        <sz val="11"/>
        <color rgb="FF808080"/>
        <rFont val="Noto Sans SC"/>
        <family val="2"/>
        <charset val="134"/>
      </rPr>
      <t xml:space="preserve">正文：用户在本机离线保存的网页原件（浏览器「另存为 → 网页，全部」）；本页『原文整理』即该文全文，原文配图已取回 </t>
    </r>
    <r>
      <rPr>
        <sz val="11"/>
        <color rgb="FF808080"/>
        <rFont val="Cambria"/>
        <family val="0"/>
        <charset val="1"/>
      </rPr>
      <t xml:space="preserve">images/slots/</t>
    </r>
    <r>
      <rPr>
        <sz val="11"/>
        <color rgb="FF808080"/>
        <rFont val="Noto Sans SC"/>
        <family val="2"/>
        <charset val="134"/>
      </rPr>
      <t xml:space="preserve">。</t>
    </r>
  </si>
  <si>
    <r>
      <rPr>
        <sz val="11"/>
        <color rgb="FF808080"/>
        <rFont val="Noto Sans SC"/>
        <family val="2"/>
        <charset val="134"/>
      </rPr>
      <t xml:space="preserve">样式模板：捕鱼游戏数学</t>
    </r>
    <r>
      <rPr>
        <sz val="11"/>
        <color rgb="FF808080"/>
        <rFont val="Cambria"/>
        <family val="0"/>
        <charset val="1"/>
      </rPr>
      <t xml:space="preserve">-PartII-</t>
    </r>
    <r>
      <rPr>
        <sz val="11"/>
        <color rgb="FF808080"/>
        <rFont val="Noto Sans SC"/>
        <family val="2"/>
        <charset val="134"/>
      </rPr>
      <t xml:space="preserve">特殊炮模型</t>
    </r>
    <r>
      <rPr>
        <sz val="11"/>
        <color rgb="FF808080"/>
        <rFont val="Cambria"/>
        <family val="0"/>
        <charset val="1"/>
      </rPr>
      <t xml:space="preserve">.xlsx</t>
    </r>
    <r>
      <rPr>
        <sz val="11"/>
        <color rgb="FF808080"/>
        <rFont val="Noto Sans SC"/>
        <family val="2"/>
        <charset val="134"/>
      </rPr>
      <t xml:space="preserve">（分节深蓝底 </t>
    </r>
    <r>
      <rPr>
        <sz val="11"/>
        <color rgb="FF808080"/>
        <rFont val="Cambria"/>
        <family val="0"/>
        <charset val="1"/>
      </rPr>
      <t xml:space="preserve">+ </t>
    </r>
    <r>
      <rPr>
        <sz val="11"/>
        <color rgb="FF808080"/>
        <rFont val="Noto Sans SC"/>
        <family val="2"/>
        <charset val="134"/>
      </rPr>
      <t xml:space="preserve">表头浅蓝底 </t>
    </r>
    <r>
      <rPr>
        <sz val="11"/>
        <color rgb="FF808080"/>
        <rFont val="Cambria"/>
        <family val="0"/>
        <charset val="1"/>
      </rPr>
      <t xml:space="preserve">+ </t>
    </r>
    <r>
      <rPr>
        <sz val="11"/>
        <color rgb="FF808080"/>
        <rFont val="Noto Sans SC"/>
        <family val="2"/>
        <charset val="134"/>
      </rPr>
      <t xml:space="preserve">蓝字可改输入 </t>
    </r>
    <r>
      <rPr>
        <sz val="11"/>
        <color rgb="FF808080"/>
        <rFont val="Cambria"/>
        <family val="0"/>
        <charset val="1"/>
      </rPr>
      <t xml:space="preserve">+ </t>
    </r>
    <r>
      <rPr>
        <sz val="11"/>
        <color rgb="FF808080"/>
        <rFont val="Noto Sans SC"/>
        <family val="2"/>
        <charset val="134"/>
      </rPr>
      <t xml:space="preserve">黑字公式 </t>
    </r>
    <r>
      <rPr>
        <sz val="11"/>
        <color rgb="FF808080"/>
        <rFont val="Cambria"/>
        <family val="0"/>
        <charset val="1"/>
      </rPr>
      <t xml:space="preserve">+ </t>
    </r>
    <r>
      <rPr>
        <sz val="11"/>
        <color rgb="FF808080"/>
        <rFont val="Noto Sans SC"/>
        <family val="2"/>
        <charset val="134"/>
      </rPr>
      <t xml:space="preserve">黄底关键结果）</t>
    </r>
  </si>
  <si>
    <r>
      <rPr>
        <sz val="11"/>
        <color rgb="FF808080"/>
        <rFont val="Noto Sans SC"/>
        <family val="2"/>
        <charset val="134"/>
      </rPr>
      <t xml:space="preserve">配表说明：原文①里每个标准图标权重显示为 </t>
    </r>
    <r>
      <rPr>
        <sz val="11"/>
        <color rgb="FF808080"/>
        <rFont val="Cambria"/>
        <family val="0"/>
        <charset val="1"/>
      </rPr>
      <t xml:space="preserve">1,781</t>
    </r>
    <r>
      <rPr>
        <sz val="11"/>
        <color rgb="FF808080"/>
        <rFont val="Noto Sans SC"/>
        <family val="2"/>
        <charset val="134"/>
      </rPr>
      <t xml:space="preserve">，但四个标准图标 ＋ </t>
    </r>
    <r>
      <rPr>
        <sz val="11"/>
        <color rgb="FF808080"/>
        <rFont val="Cambria"/>
        <family val="0"/>
        <charset val="1"/>
      </rPr>
      <t xml:space="preserve">A(2,000) </t>
    </r>
    <r>
      <rPr>
        <sz val="11"/>
        <color rgb="FF808080"/>
        <rFont val="Noto Sans SC"/>
        <family val="2"/>
        <charset val="134"/>
      </rPr>
      <t xml:space="preserve">＋ </t>
    </r>
    <r>
      <rPr>
        <sz val="11"/>
        <color rgb="FF808080"/>
        <rFont val="Cambria"/>
        <family val="0"/>
        <charset val="1"/>
      </rPr>
      <t xml:space="preserve">Wild(175) </t>
    </r>
    <r>
      <rPr>
        <sz val="11"/>
        <color rgb="FF808080"/>
        <rFont val="Noto Sans SC"/>
        <family val="2"/>
        <charset val="134"/>
      </rPr>
      <t xml:space="preserve">＋ </t>
    </r>
    <r>
      <rPr>
        <sz val="11"/>
        <color rgb="FF808080"/>
        <rFont val="Cambria"/>
        <family val="0"/>
        <charset val="1"/>
      </rPr>
      <t xml:space="preserve">Scatter(700) </t>
    </r>
    <r>
      <rPr>
        <sz val="11"/>
        <color rgb="FF808080"/>
        <rFont val="Noto Sans SC"/>
        <family val="2"/>
        <charset val="134"/>
      </rPr>
      <t xml:space="preserve">的合计必须是 </t>
    </r>
    <r>
      <rPr>
        <sz val="11"/>
        <color rgb="FF808080"/>
        <rFont val="Cambria"/>
        <family val="0"/>
        <charset val="1"/>
      </rPr>
      <t xml:space="preserve">10,000</t>
    </r>
    <r>
      <rPr>
        <sz val="11"/>
        <color rgb="FF808080"/>
        <rFont val="Noto Sans SC"/>
        <family val="2"/>
        <charset val="134"/>
      </rPr>
      <t xml:space="preserve">，故实际权重为 </t>
    </r>
    <r>
      <rPr>
        <sz val="11"/>
        <color rgb="FF808080"/>
        <rFont val="Cambria"/>
        <family val="0"/>
        <charset val="1"/>
      </rPr>
      <t xml:space="preserve">1,781.25</t>
    </r>
    <r>
      <rPr>
        <sz val="11"/>
        <color rgb="FF808080"/>
        <rFont val="Noto Sans SC"/>
        <family val="2"/>
        <charset val="134"/>
      </rPr>
      <t xml:space="preserve">（</t>
    </r>
    <r>
      <rPr>
        <sz val="11"/>
        <color rgb="FF808080"/>
        <rFont val="Cambria"/>
        <family val="0"/>
        <charset val="1"/>
      </rPr>
      <t xml:space="preserve">17.8125%</t>
    </r>
    <r>
      <rPr>
        <sz val="11"/>
        <color rgb="FF808080"/>
        <rFont val="Noto Sans SC"/>
        <family val="2"/>
        <charset val="134"/>
      </rPr>
      <t xml:space="preserve">）——只有用这个值才能复现原文③的 </t>
    </r>
    <r>
      <rPr>
        <sz val="11"/>
        <color rgb="FF808080"/>
        <rFont val="Cambria"/>
        <family val="0"/>
        <charset val="1"/>
      </rPr>
      <t xml:space="preserve">58.69% </t>
    </r>
    <r>
      <rPr>
        <sz val="11"/>
        <color rgb="FF808080"/>
        <rFont val="Noto Sans SC"/>
        <family val="2"/>
        <charset val="134"/>
      </rPr>
      <t xml:space="preserve">与⑤的 </t>
    </r>
    <r>
      <rPr>
        <sz val="11"/>
        <color rgb="FF808080"/>
        <rFont val="Cambria"/>
        <family val="0"/>
        <charset val="1"/>
      </rPr>
      <t xml:space="preserve">50.9715</t>
    </r>
    <r>
      <rPr>
        <sz val="11"/>
        <color rgb="FF808080"/>
        <rFont val="Noto Sans SC"/>
        <family val="2"/>
        <charset val="134"/>
      </rPr>
      <t xml:space="preserve">；本簿已按该值复算，末页自检全部通过。</t>
    </r>
  </si>
  <si>
    <t xml:space="preserve">页签</t>
  </si>
  <si>
    <r>
      <rPr>
        <sz val="11"/>
        <color theme="1"/>
        <rFont val="Calibri"/>
        <family val="2"/>
        <charset val="1"/>
      </rPr>
      <t xml:space="preserve">· </t>
    </r>
    <r>
      <rPr>
        <sz val="11"/>
        <color theme="1"/>
        <rFont val="Noto Sans SC"/>
        <family val="2"/>
        <charset val="134"/>
      </rPr>
      <t xml:space="preserve">说明：本文整理 —— 来源、用法、要点、原文全文、配图清单、校验与声明。</t>
    </r>
  </si>
  <si>
    <r>
      <rPr>
        <sz val="11"/>
        <color theme="1"/>
        <rFont val="Calibri"/>
        <family val="2"/>
        <charset val="1"/>
      </rPr>
      <t xml:space="preserve">· </t>
    </r>
    <r>
      <rPr>
        <sz val="11"/>
        <color theme="1"/>
        <rFont val="Noto Sans SC"/>
        <family val="2"/>
        <charset val="134"/>
      </rPr>
      <t xml:space="preserve">数据配表：把原文讲到的方法</t>
    </r>
    <r>
      <rPr>
        <sz val="11"/>
        <color theme="1"/>
        <rFont val="Calibri"/>
        <family val="2"/>
        <charset val="1"/>
      </rPr>
      <t xml:space="preserve">/</t>
    </r>
    <r>
      <rPr>
        <sz val="11"/>
        <color theme="1"/>
        <rFont val="Noto Sans SC"/>
        <family val="2"/>
        <charset val="134"/>
      </rPr>
      <t xml:space="preserve">机制做成可改数值的配表（蓝字可改，公式自动联动）。</t>
    </r>
  </si>
  <si>
    <t xml:space="preserve">用法</t>
  </si>
  <si>
    <r>
      <rPr>
        <sz val="11"/>
        <color theme="1"/>
        <rFont val="Calibri"/>
        <family val="2"/>
        <charset val="1"/>
      </rPr>
      <t xml:space="preserve">1) </t>
    </r>
    <r>
      <rPr>
        <sz val="11"/>
        <color theme="1"/>
        <rFont val="Noto Sans SC"/>
        <family val="2"/>
        <charset val="134"/>
      </rPr>
      <t xml:space="preserve">先看本页『原文整理』，对照原文小标题读一遍；配图编号 ［配图 </t>
    </r>
    <r>
      <rPr>
        <sz val="11"/>
        <color theme="1"/>
        <rFont val="Calibri"/>
        <family val="2"/>
        <charset val="1"/>
      </rPr>
      <t xml:space="preserve">NN</t>
    </r>
    <r>
      <rPr>
        <sz val="11"/>
        <color theme="1"/>
        <rFont val="Noto Sans SC"/>
        <family val="2"/>
        <charset val="134"/>
      </rPr>
      <t xml:space="preserve">］ 对应 </t>
    </r>
    <r>
      <rPr>
        <sz val="11"/>
        <color theme="1"/>
        <rFont val="Calibri"/>
        <family val="2"/>
        <charset val="1"/>
      </rPr>
      <t xml:space="preserve">images/slots/625543717-NN.</t>
    </r>
    <r>
      <rPr>
        <sz val="11"/>
        <color theme="1"/>
        <rFont val="Noto Sans SC"/>
        <family val="2"/>
        <charset val="134"/>
      </rPr>
      <t xml:space="preserve">原扩展名。</t>
    </r>
  </si>
  <si>
    <r>
      <rPr>
        <sz val="11"/>
        <color theme="1"/>
        <rFont val="Calibri"/>
        <family val="2"/>
        <charset val="1"/>
      </rPr>
      <t xml:space="preserve">2) </t>
    </r>
    <r>
      <rPr>
        <sz val="11"/>
        <color theme="1"/>
        <rFont val="Noto Sans SC"/>
        <family val="2"/>
        <charset val="134"/>
      </rPr>
      <t xml:space="preserve">再看第 </t>
    </r>
    <r>
      <rPr>
        <sz val="11"/>
        <color theme="1"/>
        <rFont val="Calibri"/>
        <family val="2"/>
        <charset val="1"/>
      </rPr>
      <t xml:space="preserve">2 </t>
    </r>
    <r>
      <rPr>
        <sz val="11"/>
        <color theme="1"/>
        <rFont val="Noto Sans SC"/>
        <family val="2"/>
        <charset val="134"/>
      </rPr>
      <t xml:space="preserve">个页签『数据配表』：蓝字＝可改配置，黑字＝公式，黄底＝结果；改配置后各表自动联动。</t>
    </r>
  </si>
  <si>
    <r>
      <rPr>
        <sz val="11"/>
        <color theme="1"/>
        <rFont val="Calibri"/>
        <family val="2"/>
        <charset val="1"/>
      </rPr>
      <t xml:space="preserve">3) </t>
    </r>
    <r>
      <rPr>
        <sz val="11"/>
        <color theme="1"/>
        <rFont val="Noto Sans SC"/>
        <family val="2"/>
        <charset val="134"/>
      </rPr>
      <t xml:space="preserve">表内数值取自原文示例；原文只给方法而未给数值的部分，用同项目《老虎机数学入门 </t>
    </r>
    <r>
      <rPr>
        <sz val="11"/>
        <color theme="1"/>
        <rFont val="Calibri"/>
        <family val="2"/>
        <charset val="1"/>
      </rPr>
      <t xml:space="preserve">Part Ⅰ/Ⅱ</t>
    </r>
    <r>
      <rPr>
        <sz val="11"/>
        <color theme="1"/>
        <rFont val="Noto Sans SC"/>
        <family val="2"/>
        <charset val="134"/>
      </rPr>
      <t xml:space="preserve">》的示例数值（蓝字可改）。</t>
    </r>
  </si>
  <si>
    <t xml:space="preserve">要点</t>
  </si>
  <si>
    <r>
      <rPr>
        <sz val="11"/>
        <color theme="1"/>
        <rFont val="Calibri"/>
        <family val="2"/>
        <charset val="1"/>
      </rPr>
      <t xml:space="preserve">· </t>
    </r>
    <r>
      <rPr>
        <sz val="11"/>
        <color theme="1"/>
        <rFont val="Noto Sans SC"/>
        <family val="2"/>
        <charset val="134"/>
      </rPr>
      <t xml:space="preserve">随机卷轴（概率卷轴）的 </t>
    </r>
    <r>
      <rPr>
        <sz val="11"/>
        <color theme="1"/>
        <rFont val="Calibri"/>
        <family val="2"/>
        <charset val="1"/>
      </rPr>
      <t xml:space="preserve">Way Slots</t>
    </r>
    <r>
      <rPr>
        <sz val="11"/>
        <color theme="1"/>
        <rFont val="Noto Sans SC"/>
        <family val="2"/>
        <charset val="134"/>
      </rPr>
      <t xml:space="preserve">：先在①里设定每列各图标的权重，得到②出现概率；</t>
    </r>
  </si>
  <si>
    <r>
      <rPr>
        <sz val="11"/>
        <color theme="1"/>
        <rFont val="Noto Sans SC"/>
        <family val="2"/>
        <charset val="134"/>
      </rPr>
      <t xml:space="preserve">  ③图标出现几率 ＝（自身概率 ＋ 百搭概率）</t>
    </r>
    <r>
      <rPr>
        <sz val="11"/>
        <color theme="1"/>
        <rFont val="Calibri"/>
        <family val="2"/>
        <charset val="1"/>
      </rPr>
      <t xml:space="preserve">× </t>
    </r>
    <r>
      <rPr>
        <sz val="11"/>
        <color theme="1"/>
        <rFont val="Noto Sans SC"/>
        <family val="2"/>
        <charset val="134"/>
      </rPr>
      <t xml:space="preserve">该列行数 —— 与 </t>
    </r>
    <r>
      <rPr>
        <sz val="11"/>
        <color theme="1"/>
        <rFont val="Calibri"/>
        <family val="2"/>
        <charset val="1"/>
      </rPr>
      <t xml:space="preserve">24 </t>
    </r>
    <r>
      <rPr>
        <sz val="11"/>
        <color theme="1"/>
        <rFont val="Noto Sans SC"/>
        <family val="2"/>
        <charset val="134"/>
      </rPr>
      <t xml:space="preserve">篇的「个数期望」口径一致。</t>
    </r>
  </si>
  <si>
    <r>
      <rPr>
        <sz val="11"/>
        <color theme="1"/>
        <rFont val="Calibri"/>
        <family val="2"/>
        <charset val="1"/>
      </rPr>
      <t xml:space="preserve">· ④</t>
    </r>
    <r>
      <rPr>
        <sz val="11"/>
        <color theme="1"/>
        <rFont val="Noto Sans SC"/>
        <family val="2"/>
        <charset val="134"/>
      </rPr>
      <t xml:space="preserve">不出现几率 ＝ </t>
    </r>
    <r>
      <rPr>
        <sz val="11"/>
        <color theme="1"/>
        <rFont val="Calibri"/>
        <family val="2"/>
        <charset val="1"/>
      </rPr>
      <t xml:space="preserve">100% − </t>
    </r>
    <r>
      <rPr>
        <sz val="11"/>
        <color theme="1"/>
        <rFont val="Noto Sans SC"/>
        <family val="2"/>
        <charset val="134"/>
      </rPr>
      <t xml:space="preserve">出现 </t>
    </r>
    <r>
      <rPr>
        <sz val="11"/>
        <color theme="1"/>
        <rFont val="Calibri"/>
        <family val="2"/>
        <charset val="1"/>
      </rPr>
      <t xml:space="preserve">1 </t>
    </r>
    <r>
      <rPr>
        <sz val="11"/>
        <color theme="1"/>
        <rFont val="Noto Sans SC"/>
        <family val="2"/>
        <charset val="134"/>
      </rPr>
      <t xml:space="preserve">个 − 出现 </t>
    </r>
    <r>
      <rPr>
        <sz val="11"/>
        <color theme="1"/>
        <rFont val="Calibri"/>
        <family val="2"/>
        <charset val="1"/>
      </rPr>
      <t xml:space="preserve">2 </t>
    </r>
    <r>
      <rPr>
        <sz val="11"/>
        <color theme="1"/>
        <rFont val="Noto Sans SC"/>
        <family val="2"/>
        <charset val="134"/>
      </rPr>
      <t xml:space="preserve">个 − 出现 </t>
    </r>
    <r>
      <rPr>
        <sz val="11"/>
        <color theme="1"/>
        <rFont val="Calibri"/>
        <family val="2"/>
        <charset val="1"/>
      </rPr>
      <t xml:space="preserve">3 </t>
    </r>
    <r>
      <rPr>
        <sz val="11"/>
        <color theme="1"/>
        <rFont val="Noto Sans SC"/>
        <family val="2"/>
        <charset val="134"/>
      </rPr>
      <t xml:space="preserve">个，用 </t>
    </r>
    <r>
      <rPr>
        <sz val="11"/>
        <color theme="1"/>
        <rFont val="Calibri"/>
        <family val="2"/>
        <charset val="1"/>
      </rPr>
      <t xml:space="preserve">BINOM.DIST.RANGE </t>
    </r>
    <r>
      <rPr>
        <sz val="11"/>
        <color theme="1"/>
        <rFont val="Noto Sans SC"/>
        <family val="2"/>
        <charset val="134"/>
      </rPr>
      <t xml:space="preserve">算；</t>
    </r>
  </si>
  <si>
    <r>
      <rPr>
        <sz val="11"/>
        <color theme="1"/>
        <rFont val="Noto Sans SC"/>
        <family val="2"/>
        <charset val="134"/>
      </rPr>
      <t xml:space="preserve">  当该列必定出现该图标时 </t>
    </r>
    <r>
      <rPr>
        <sz val="11"/>
        <color theme="1"/>
        <rFont val="Calibri"/>
        <family val="2"/>
        <charset val="1"/>
      </rPr>
      <t xml:space="preserve">BINOM </t>
    </r>
    <r>
      <rPr>
        <sz val="11"/>
        <color theme="1"/>
        <rFont val="Noto Sans SC"/>
        <family val="2"/>
        <charset val="134"/>
      </rPr>
      <t xml:space="preserve">无解，需用 </t>
    </r>
    <r>
      <rPr>
        <sz val="11"/>
        <color theme="1"/>
        <rFont val="Calibri"/>
        <family val="2"/>
        <charset val="1"/>
      </rPr>
      <t xml:space="preserve">IFERROR </t>
    </r>
    <r>
      <rPr>
        <sz val="11"/>
        <color theme="1"/>
        <rFont val="Noto Sans SC"/>
        <family val="2"/>
        <charset val="134"/>
      </rPr>
      <t xml:space="preserve">把它变成 </t>
    </r>
    <r>
      <rPr>
        <sz val="11"/>
        <color theme="1"/>
        <rFont val="Calibri"/>
        <family val="2"/>
        <charset val="1"/>
      </rPr>
      <t xml:space="preserve">0</t>
    </r>
    <r>
      <rPr>
        <sz val="11"/>
        <color theme="1"/>
        <rFont val="Noto Sans SC"/>
        <family val="2"/>
        <charset val="134"/>
      </rPr>
      <t xml:space="preserve">（代表「必定出现」）。</t>
    </r>
  </si>
  <si>
    <r>
      <rPr>
        <sz val="11"/>
        <color theme="1"/>
        <rFont val="Calibri"/>
        <family val="2"/>
        <charset val="1"/>
      </rPr>
      <t xml:space="preserve">· ⑤</t>
    </r>
    <r>
      <rPr>
        <sz val="11"/>
        <color theme="1"/>
        <rFont val="Noto Sans SC"/>
        <family val="2"/>
        <charset val="134"/>
      </rPr>
      <t xml:space="preserve">各中奖组合中奖率 </t>
    </r>
    <r>
      <rPr>
        <sz val="11"/>
        <color theme="1"/>
        <rFont val="Calibri"/>
        <family val="2"/>
        <charset val="1"/>
      </rPr>
      <t xml:space="preserve">× </t>
    </r>
    <r>
      <rPr>
        <sz val="11"/>
        <color theme="1"/>
        <rFont val="Noto Sans SC"/>
        <family val="2"/>
        <charset val="134"/>
      </rPr>
      <t xml:space="preserve">人为设定的赔付倍数 ＝ 该组合期望，求和得普通摇标准图标 </t>
    </r>
    <r>
      <rPr>
        <sz val="11"/>
        <color theme="1"/>
        <rFont val="Calibri"/>
        <family val="2"/>
        <charset val="1"/>
      </rPr>
      <t xml:space="preserve">RTP</t>
    </r>
  </si>
  <si>
    <r>
      <rPr>
        <sz val="11"/>
        <color theme="1"/>
        <rFont val="Noto Sans SC"/>
        <family val="2"/>
        <charset val="134"/>
      </rPr>
      <t xml:space="preserve">  （原文例：</t>
    </r>
    <r>
      <rPr>
        <sz val="11"/>
        <color theme="1"/>
        <rFont val="Calibri"/>
        <family val="2"/>
        <charset val="1"/>
      </rPr>
      <t xml:space="preserve">50.9715</t>
    </r>
    <r>
      <rPr>
        <sz val="11"/>
        <color theme="1"/>
        <rFont val="Noto Sans SC"/>
        <family val="2"/>
        <charset val="134"/>
      </rPr>
      <t xml:space="preserve">），再 </t>
    </r>
    <r>
      <rPr>
        <sz val="11"/>
        <color theme="1"/>
        <rFont val="Calibri"/>
        <family val="2"/>
        <charset val="1"/>
      </rPr>
      <t xml:space="preserve">÷ </t>
    </r>
    <r>
      <rPr>
        <sz val="11"/>
        <color theme="1"/>
        <rFont val="Noto Sans SC"/>
        <family val="2"/>
        <charset val="134"/>
      </rPr>
      <t xml:space="preserve">赔付基数 </t>
    </r>
    <r>
      <rPr>
        <sz val="11"/>
        <color theme="1"/>
        <rFont val="Calibri"/>
        <family val="2"/>
        <charset val="1"/>
      </rPr>
      <t xml:space="preserve">100 → </t>
    </r>
    <r>
      <rPr>
        <sz val="11"/>
        <color theme="1"/>
        <rFont val="Noto Sans SC"/>
        <family val="2"/>
        <charset val="134"/>
      </rPr>
      <t xml:space="preserve">普通摇实际 </t>
    </r>
    <r>
      <rPr>
        <sz val="11"/>
        <color theme="1"/>
        <rFont val="Calibri"/>
        <family val="2"/>
        <charset val="1"/>
      </rPr>
      <t xml:space="preserve">RTP 0.5097</t>
    </r>
    <r>
      <rPr>
        <sz val="11"/>
        <color theme="1"/>
        <rFont val="Noto Sans SC"/>
        <family val="2"/>
        <charset val="134"/>
      </rPr>
      <t xml:space="preserve">。</t>
    </r>
  </si>
  <si>
    <r>
      <rPr>
        <sz val="11"/>
        <color theme="1"/>
        <rFont val="Calibri"/>
        <family val="2"/>
        <charset val="1"/>
      </rPr>
      <t xml:space="preserve">· ⑥</t>
    </r>
    <r>
      <rPr>
        <sz val="11"/>
        <color theme="1"/>
        <rFont val="Noto Sans SC"/>
        <family val="2"/>
        <charset val="134"/>
      </rPr>
      <t xml:space="preserve">免费摇：</t>
    </r>
    <r>
      <rPr>
        <sz val="11"/>
        <color theme="1"/>
        <rFont val="Calibri"/>
        <family val="2"/>
        <charset val="1"/>
      </rPr>
      <t xml:space="preserve">Scatter </t>
    </r>
    <r>
      <rPr>
        <sz val="11"/>
        <color theme="1"/>
        <rFont val="Noto Sans SC"/>
        <family val="2"/>
        <charset val="134"/>
      </rPr>
      <t xml:space="preserve">个数服从 </t>
    </r>
    <r>
      <rPr>
        <sz val="11"/>
        <color theme="1"/>
        <rFont val="Calibri"/>
        <family val="2"/>
        <charset val="1"/>
      </rPr>
      <t xml:space="preserve">Binomial(15, 7%)</t>
    </r>
    <r>
      <rPr>
        <sz val="11"/>
        <color theme="1"/>
        <rFont val="Noto Sans SC"/>
        <family val="2"/>
        <charset val="134"/>
      </rPr>
      <t xml:space="preserve">，按个数给免费摇次数（</t>
    </r>
    <r>
      <rPr>
        <sz val="11"/>
        <color theme="1"/>
        <rFont val="Calibri"/>
        <family val="2"/>
        <charset val="1"/>
      </rPr>
      <t xml:space="preserve">3</t>
    </r>
    <r>
      <rPr>
        <sz val="11"/>
        <color theme="1"/>
        <rFont val="Noto Sans SC"/>
        <family val="2"/>
        <charset val="134"/>
      </rPr>
      <t xml:space="preserve">个→</t>
    </r>
    <r>
      <rPr>
        <sz val="11"/>
        <color theme="1"/>
        <rFont val="Calibri"/>
        <family val="2"/>
        <charset val="1"/>
      </rPr>
      <t xml:space="preserve">5</t>
    </r>
    <r>
      <rPr>
        <sz val="11"/>
        <color theme="1"/>
        <rFont val="Noto Sans SC"/>
        <family val="2"/>
        <charset val="134"/>
      </rPr>
      <t xml:space="preserve">次、</t>
    </r>
    <r>
      <rPr>
        <sz val="11"/>
        <color theme="1"/>
        <rFont val="Calibri"/>
        <family val="2"/>
        <charset val="1"/>
      </rPr>
      <t xml:space="preserve">4</t>
    </r>
    <r>
      <rPr>
        <sz val="11"/>
        <color theme="1"/>
        <rFont val="Noto Sans SC"/>
        <family val="2"/>
        <charset val="134"/>
      </rPr>
      <t xml:space="preserve">个→</t>
    </r>
    <r>
      <rPr>
        <sz val="11"/>
        <color theme="1"/>
        <rFont val="Calibri"/>
        <family val="2"/>
        <charset val="1"/>
      </rPr>
      <t xml:space="preserve">8</t>
    </r>
    <r>
      <rPr>
        <sz val="11"/>
        <color theme="1"/>
        <rFont val="Noto Sans SC"/>
        <family val="2"/>
        <charset val="134"/>
      </rPr>
      <t xml:space="preserve">次、</t>
    </r>
  </si>
  <si>
    <r>
      <rPr>
        <sz val="11"/>
        <color theme="1"/>
        <rFont val="Calibri"/>
        <family val="2"/>
        <charset val="1"/>
      </rPr>
      <t xml:space="preserve">  5 </t>
    </r>
    <r>
      <rPr>
        <sz val="11"/>
        <color theme="1"/>
        <rFont val="Noto Sans SC"/>
        <family val="2"/>
        <charset val="134"/>
      </rPr>
      <t xml:space="preserve">个及以上→</t>
    </r>
    <r>
      <rPr>
        <sz val="11"/>
        <color theme="1"/>
        <rFont val="Calibri"/>
        <family val="2"/>
        <charset val="1"/>
      </rPr>
      <t xml:space="preserve">10 </t>
    </r>
    <r>
      <rPr>
        <sz val="11"/>
        <color theme="1"/>
        <rFont val="Noto Sans SC"/>
        <family val="2"/>
        <charset val="134"/>
      </rPr>
      <t xml:space="preserve">次）得到免费摇次数期望 </t>
    </r>
    <r>
      <rPr>
        <sz val="11"/>
        <color theme="1"/>
        <rFont val="Calibri"/>
        <family val="2"/>
        <charset val="1"/>
      </rPr>
      <t xml:space="preserve">0.4725</t>
    </r>
    <r>
      <rPr>
        <sz val="11"/>
        <color theme="1"/>
        <rFont val="Noto Sans SC"/>
        <family val="2"/>
        <charset val="134"/>
      </rPr>
      <t xml:space="preserve">；无穷级数求和得单次平均摇奖次数 </t>
    </r>
    <r>
      <rPr>
        <sz val="11"/>
        <color theme="1"/>
        <rFont val="Calibri"/>
        <family val="2"/>
        <charset val="1"/>
      </rPr>
      <t xml:space="preserve">1.8956</t>
    </r>
    <r>
      <rPr>
        <sz val="11"/>
        <color theme="1"/>
        <rFont val="Noto Sans SC"/>
        <family val="2"/>
        <charset val="134"/>
      </rPr>
      <t xml:space="preserve">；</t>
    </r>
  </si>
  <si>
    <r>
      <rPr>
        <sz val="11"/>
        <color theme="1"/>
        <rFont val="Noto Sans SC"/>
        <family val="2"/>
        <charset val="134"/>
      </rPr>
      <t xml:space="preserve">  免费摇 </t>
    </r>
    <r>
      <rPr>
        <sz val="11"/>
        <color theme="1"/>
        <rFont val="Calibri"/>
        <family val="2"/>
        <charset val="1"/>
      </rPr>
      <t xml:space="preserve">RTP </t>
    </r>
    <r>
      <rPr>
        <sz val="11"/>
        <color theme="1"/>
        <rFont val="Noto Sans SC"/>
        <family val="2"/>
        <charset val="134"/>
      </rPr>
      <t xml:space="preserve">＝ </t>
    </r>
    <r>
      <rPr>
        <sz val="11"/>
        <color theme="1"/>
        <rFont val="Calibri"/>
        <family val="2"/>
        <charset val="1"/>
      </rPr>
      <t xml:space="preserve">0.4725 × 1.8956 × 0.5097 </t>
    </r>
    <r>
      <rPr>
        <sz val="11"/>
        <color theme="1"/>
        <rFont val="Noto Sans SC"/>
        <family val="2"/>
        <charset val="134"/>
      </rPr>
      <t xml:space="preserve">＝ </t>
    </r>
    <r>
      <rPr>
        <sz val="11"/>
        <color theme="1"/>
        <rFont val="Calibri"/>
        <family val="2"/>
        <charset val="1"/>
      </rPr>
      <t xml:space="preserve">0.4565</t>
    </r>
    <r>
      <rPr>
        <sz val="11"/>
        <color theme="1"/>
        <rFont val="Noto Sans SC"/>
        <family val="2"/>
        <charset val="134"/>
      </rPr>
      <t xml:space="preserve">，合计 </t>
    </r>
    <r>
      <rPr>
        <sz val="11"/>
        <color theme="1"/>
        <rFont val="Calibri"/>
        <family val="2"/>
        <charset val="1"/>
      </rPr>
      <t xml:space="preserve">RTP </t>
    </r>
    <r>
      <rPr>
        <sz val="11"/>
        <color theme="1"/>
        <rFont val="Noto Sans SC"/>
        <family val="2"/>
        <charset val="134"/>
      </rPr>
      <t xml:space="preserve">＝ </t>
    </r>
    <r>
      <rPr>
        <sz val="11"/>
        <color theme="1"/>
        <rFont val="Calibri"/>
        <family val="2"/>
        <charset val="1"/>
      </rPr>
      <t xml:space="preserve">0.5097 </t>
    </r>
    <r>
      <rPr>
        <sz val="11"/>
        <color theme="1"/>
        <rFont val="Noto Sans SC"/>
        <family val="2"/>
        <charset val="134"/>
      </rPr>
      <t xml:space="preserve">＋ </t>
    </r>
    <r>
      <rPr>
        <sz val="11"/>
        <color theme="1"/>
        <rFont val="Calibri"/>
        <family val="2"/>
        <charset val="1"/>
      </rPr>
      <t xml:space="preserve">0.4565 </t>
    </r>
    <r>
      <rPr>
        <sz val="11"/>
        <color theme="1"/>
        <rFont val="Noto Sans SC"/>
        <family val="2"/>
        <charset val="134"/>
      </rPr>
      <t xml:space="preserve">＝ </t>
    </r>
    <r>
      <rPr>
        <sz val="11"/>
        <color theme="1"/>
        <rFont val="Calibri"/>
        <family val="2"/>
        <charset val="1"/>
      </rPr>
      <t xml:space="preserve">0.9662</t>
    </r>
    <r>
      <rPr>
        <sz val="11"/>
        <color theme="1"/>
        <rFont val="Noto Sans SC"/>
        <family val="2"/>
        <charset val="134"/>
      </rPr>
      <t xml:space="preserve">。</t>
    </r>
  </si>
  <si>
    <r>
      <rPr>
        <sz val="11"/>
        <color theme="1"/>
        <rFont val="Calibri"/>
        <family val="2"/>
        <charset val="1"/>
      </rPr>
      <t xml:space="preserve">· </t>
    </r>
    <r>
      <rPr>
        <sz val="11"/>
        <color theme="1"/>
        <rFont val="Noto Sans SC"/>
        <family val="2"/>
        <charset val="134"/>
      </rPr>
      <t xml:space="preserve">原文正文另一版把合计写成 </t>
    </r>
    <r>
      <rPr>
        <sz val="11"/>
        <color theme="1"/>
        <rFont val="Calibri"/>
        <family val="2"/>
        <charset val="1"/>
      </rPr>
      <t xml:space="preserve">0.4736 / 0.9771</t>
    </r>
    <r>
      <rPr>
        <sz val="11"/>
        <color theme="1"/>
        <rFont val="Noto Sans SC"/>
        <family val="2"/>
        <charset val="134"/>
      </rPr>
      <t xml:space="preserve">（配图与表格为 </t>
    </r>
    <r>
      <rPr>
        <sz val="11"/>
        <color theme="1"/>
        <rFont val="Calibri"/>
        <family val="2"/>
        <charset val="1"/>
      </rPr>
      <t xml:space="preserve">0.4565 / 0.9662</t>
    </r>
    <r>
      <rPr>
        <sz val="11"/>
        <color theme="1"/>
        <rFont val="Noto Sans SC"/>
        <family val="2"/>
        <charset val="134"/>
      </rPr>
      <t xml:space="preserve">）；</t>
    </r>
  </si>
  <si>
    <r>
      <rPr>
        <sz val="11"/>
        <color theme="1"/>
        <rFont val="Noto Sans SC"/>
        <family val="2"/>
        <charset val="134"/>
      </rPr>
      <t xml:space="preserve">  本簿按配图数值复算，两者差 </t>
    </r>
    <r>
      <rPr>
        <sz val="11"/>
        <color theme="1"/>
        <rFont val="Calibri"/>
        <family val="2"/>
        <charset val="1"/>
      </rPr>
      <t xml:space="preserve">0.0005 </t>
    </r>
    <r>
      <rPr>
        <sz val="11"/>
        <color theme="1"/>
        <rFont val="Noto Sans SC"/>
        <family val="2"/>
        <charset val="134"/>
      </rPr>
      <t xml:space="preserve">以内即认为复现成功。</t>
    </r>
  </si>
  <si>
    <r>
      <rPr>
        <sz val="11"/>
        <color theme="1"/>
        <rFont val="Calibri"/>
        <family val="2"/>
        <charset val="1"/>
      </rPr>
      <t xml:space="preserve">· </t>
    </r>
    <r>
      <rPr>
        <sz val="11"/>
        <color theme="1"/>
        <rFont val="Noto Sans SC"/>
        <family val="2"/>
        <charset val="134"/>
      </rPr>
      <t xml:space="preserve">普通摇与免费摇共用同一套图标概率表——前提是两者机制差异不大（没有出现图标种类变化等）。</t>
    </r>
  </si>
  <si>
    <t xml:space="preserve">原文整理（全文，按原文小标题分段）</t>
  </si>
  <si>
    <r>
      <rPr>
        <sz val="11"/>
        <color theme="1"/>
        <rFont val="Noto Sans SC"/>
        <family val="2"/>
        <charset val="134"/>
      </rPr>
      <t xml:space="preserve">之前介绍了</t>
    </r>
    <r>
      <rPr>
        <sz val="11"/>
        <color theme="1"/>
        <rFont val="Calibri"/>
        <family val="2"/>
        <charset val="1"/>
      </rPr>
      <t xml:space="preserve">Way Slots</t>
    </r>
    <r>
      <rPr>
        <sz val="11"/>
        <color theme="1"/>
        <rFont val="Noto Sans SC"/>
        <family val="2"/>
        <charset val="134"/>
      </rPr>
      <t xml:space="preserve">使用固定卷轴时的数值模型搭建方法</t>
    </r>
  </si>
  <si>
    <r>
      <rPr>
        <sz val="11"/>
        <color theme="1"/>
        <rFont val="Noto Sans SC"/>
        <family val="2"/>
        <charset val="134"/>
      </rPr>
      <t xml:space="preserve">本篇将介绍当使用随机卷轴时，</t>
    </r>
    <r>
      <rPr>
        <sz val="11"/>
        <color theme="1"/>
        <rFont val="Calibri"/>
        <family val="2"/>
        <charset val="1"/>
      </rPr>
      <t xml:space="preserve">Way Slots</t>
    </r>
    <r>
      <rPr>
        <sz val="11"/>
        <color theme="1"/>
        <rFont val="Noto Sans SC"/>
        <family val="2"/>
        <charset val="134"/>
      </rPr>
      <t xml:space="preserve">的数值计算应当如何进行</t>
    </r>
  </si>
  <si>
    <r>
      <rPr>
        <sz val="11"/>
        <color theme="1"/>
        <rFont val="Noto Sans SC"/>
        <family val="2"/>
        <charset val="134"/>
      </rPr>
      <t xml:space="preserve">不熟悉</t>
    </r>
    <r>
      <rPr>
        <sz val="11"/>
        <color theme="1"/>
        <rFont val="Calibri"/>
        <family val="2"/>
        <charset val="1"/>
      </rPr>
      <t xml:space="preserve">Way Game</t>
    </r>
    <r>
      <rPr>
        <sz val="11"/>
        <color theme="1"/>
        <rFont val="Noto Sans SC"/>
        <family val="2"/>
        <charset val="134"/>
      </rPr>
      <t xml:space="preserve">可以先看看之前对</t>
    </r>
    <r>
      <rPr>
        <sz val="11"/>
        <color theme="1"/>
        <rFont val="Calibri"/>
        <family val="2"/>
        <charset val="1"/>
      </rPr>
      <t xml:space="preserve">Slots </t>
    </r>
    <r>
      <rPr>
        <sz val="11"/>
        <color theme="1"/>
        <rFont val="Noto Sans SC"/>
        <family val="2"/>
        <charset val="134"/>
      </rPr>
      <t xml:space="preserve">的类型介绍</t>
    </r>
  </si>
  <si>
    <r>
      <rPr>
        <sz val="11"/>
        <color theme="1"/>
        <rFont val="Noto Sans SC"/>
        <family val="2"/>
        <charset val="134"/>
      </rPr>
      <t xml:space="preserve">［内链卡片封面］</t>
    </r>
    <r>
      <rPr>
        <sz val="11"/>
        <color theme="1"/>
        <rFont val="Calibri"/>
        <family val="2"/>
        <charset val="1"/>
      </rPr>
      <t xml:space="preserve">625543717-01.png</t>
    </r>
  </si>
  <si>
    <r>
      <rPr>
        <sz val="11"/>
        <color theme="1"/>
        <rFont val="Noto Sans SC"/>
        <family val="2"/>
        <charset val="134"/>
      </rPr>
      <t xml:space="preserve">［原文内链卡片］《</t>
    </r>
    <r>
      <rPr>
        <sz val="11"/>
        <color theme="1"/>
        <rFont val="Calibri"/>
        <family val="2"/>
        <charset val="1"/>
      </rPr>
      <t xml:space="preserve">Slots</t>
    </r>
    <r>
      <rPr>
        <sz val="11"/>
        <color theme="1"/>
        <rFont val="Noto Sans SC"/>
        <family val="2"/>
        <charset val="134"/>
      </rPr>
      <t xml:space="preserve">基础篇——玩法类型》（</t>
    </r>
    <r>
      <rPr>
        <sz val="11"/>
        <color theme="1"/>
        <rFont val="Calibri"/>
        <family val="2"/>
        <charset val="1"/>
      </rPr>
      <t xml:space="preserve">44 </t>
    </r>
    <r>
      <rPr>
        <sz val="11"/>
        <color theme="1"/>
        <rFont val="Noto Sans SC"/>
        <family val="2"/>
        <charset val="134"/>
      </rPr>
      <t xml:space="preserve">赞同 </t>
    </r>
    <r>
      <rPr>
        <sz val="11"/>
        <color theme="1"/>
        <rFont val="Calibri"/>
        <family val="2"/>
        <charset val="1"/>
      </rPr>
      <t xml:space="preserve">· 4 </t>
    </r>
    <r>
      <rPr>
        <sz val="11"/>
        <color theme="1"/>
        <rFont val="Noto Sans SC"/>
        <family val="2"/>
        <charset val="134"/>
      </rPr>
      <t xml:space="preserve">评论）</t>
    </r>
  </si>
  <si>
    <r>
      <rPr>
        <sz val="11"/>
        <color theme="1"/>
        <rFont val="Noto Sans SC"/>
        <family val="2"/>
        <charset val="134"/>
      </rPr>
      <t xml:space="preserve">［内链卡片封面］</t>
    </r>
    <r>
      <rPr>
        <sz val="11"/>
        <color theme="1"/>
        <rFont val="Calibri"/>
        <family val="2"/>
        <charset val="1"/>
      </rPr>
      <t xml:space="preserve">625543717-02.png</t>
    </r>
  </si>
  <si>
    <r>
      <rPr>
        <sz val="11"/>
        <color theme="1"/>
        <rFont val="Noto Sans SC"/>
        <family val="2"/>
        <charset val="134"/>
      </rPr>
      <t xml:space="preserve">［原文内链卡片］《</t>
    </r>
    <r>
      <rPr>
        <sz val="11"/>
        <color theme="1"/>
        <rFont val="Calibri"/>
        <family val="2"/>
        <charset val="1"/>
      </rPr>
      <t xml:space="preserve">Slots</t>
    </r>
    <r>
      <rPr>
        <sz val="11"/>
        <color theme="1"/>
        <rFont val="Noto Sans SC"/>
        <family val="2"/>
        <charset val="134"/>
      </rPr>
      <t xml:space="preserve">基础篇——</t>
    </r>
    <r>
      <rPr>
        <sz val="11"/>
        <color theme="1"/>
        <rFont val="Calibri"/>
        <family val="2"/>
        <charset val="1"/>
      </rPr>
      <t xml:space="preserve">Way Slots</t>
    </r>
    <r>
      <rPr>
        <sz val="11"/>
        <color theme="1"/>
        <rFont val="Noto Sans SC"/>
        <family val="2"/>
        <charset val="134"/>
      </rPr>
      <t xml:space="preserve">》（</t>
    </r>
    <r>
      <rPr>
        <sz val="11"/>
        <color theme="1"/>
        <rFont val="Calibri"/>
        <family val="2"/>
        <charset val="1"/>
      </rPr>
      <t xml:space="preserve">16 </t>
    </r>
    <r>
      <rPr>
        <sz val="11"/>
        <color theme="1"/>
        <rFont val="Noto Sans SC"/>
        <family val="2"/>
        <charset val="134"/>
      </rPr>
      <t xml:space="preserve">赞同 </t>
    </r>
    <r>
      <rPr>
        <sz val="11"/>
        <color theme="1"/>
        <rFont val="Calibri"/>
        <family val="2"/>
        <charset val="1"/>
      </rPr>
      <t xml:space="preserve">· 1 </t>
    </r>
    <r>
      <rPr>
        <sz val="11"/>
        <color theme="1"/>
        <rFont val="Noto Sans SC"/>
        <family val="2"/>
        <charset val="134"/>
      </rPr>
      <t xml:space="preserve">评论）</t>
    </r>
  </si>
  <si>
    <t xml:space="preserve">数值计算——随机卷轴</t>
  </si>
  <si>
    <t xml:space="preserve">第一步：设置图标出现几率</t>
  </si>
  <si>
    <t xml:space="preserve">首先，需要设置随机卷轴每列出现图标的概率并计算图标基础的出现概率</t>
  </si>
  <si>
    <t xml:space="preserve">这里依旧使用普通摇和免费摇适用同一套概率表的方式</t>
  </si>
  <si>
    <r>
      <rPr>
        <sz val="11"/>
        <color theme="1"/>
        <rFont val="Calibri"/>
        <family val="2"/>
        <charset val="1"/>
      </rPr>
      <t xml:space="preserve">--</t>
    </r>
    <r>
      <rPr>
        <sz val="11"/>
        <color theme="1"/>
        <rFont val="Noto Sans SC"/>
        <family val="2"/>
        <charset val="134"/>
      </rPr>
      <t xml:space="preserve">之所以能使用同一套概率表主要还是当前普通摇和免费摇之间没有比较大的机制差异。当机制存在较大差异，例如出现的图标种类不一致时，普通摇和免费摇必定使用不同的图标概率配置</t>
    </r>
  </si>
  <si>
    <r>
      <rPr>
        <sz val="11"/>
        <color theme="1"/>
        <rFont val="Noto Sans SC"/>
        <family val="2"/>
        <charset val="134"/>
      </rPr>
      <t xml:space="preserve">［配图 </t>
    </r>
    <r>
      <rPr>
        <sz val="11"/>
        <color theme="1"/>
        <rFont val="Calibri"/>
        <family val="2"/>
        <charset val="1"/>
      </rPr>
      <t xml:space="preserve">03</t>
    </r>
    <r>
      <rPr>
        <sz val="11"/>
        <color theme="1"/>
        <rFont val="Noto Sans SC"/>
        <family val="2"/>
        <charset val="134"/>
      </rPr>
      <t xml:space="preserve">］</t>
    </r>
    <r>
      <rPr>
        <sz val="11"/>
        <color theme="1"/>
        <rFont val="Calibri"/>
        <family val="2"/>
        <charset val="1"/>
      </rPr>
      <t xml:space="preserve">625543717-03.jpg</t>
    </r>
  </si>
  <si>
    <t xml:space="preserve">第二步：考虑百搭对图标出现几率的影响</t>
  </si>
  <si>
    <t xml:space="preserve">在对图标出现概率进行处理，这里是处理内容包括算上百搭的影响和将单线拓展到整体的数值处理</t>
  </si>
  <si>
    <r>
      <rPr>
        <sz val="11"/>
        <color theme="1"/>
        <rFont val="Noto Sans SC"/>
        <family val="2"/>
        <charset val="134"/>
      </rPr>
      <t xml:space="preserve">可以参考</t>
    </r>
    <r>
      <rPr>
        <sz val="11"/>
        <color theme="1"/>
        <rFont val="Calibri"/>
        <family val="2"/>
        <charset val="1"/>
      </rPr>
      <t xml:space="preserve">https://zhuanlan.zhihu.com/p/625322021</t>
    </r>
    <r>
      <rPr>
        <sz val="11"/>
        <color theme="1"/>
        <rFont val="Noto Sans SC"/>
        <family val="2"/>
        <charset val="134"/>
      </rPr>
      <t xml:space="preserve">了解详细过程</t>
    </r>
  </si>
  <si>
    <t xml:space="preserve">简单来说就是标准图标自身的出现概率需要加上百搭图标的概率后乘上该列的行数</t>
  </si>
  <si>
    <r>
      <rPr>
        <sz val="11"/>
        <color theme="1"/>
        <rFont val="Noto Sans SC"/>
        <family val="2"/>
        <charset val="134"/>
      </rPr>
      <t xml:space="preserve">［配图 </t>
    </r>
    <r>
      <rPr>
        <sz val="11"/>
        <color theme="1"/>
        <rFont val="Calibri"/>
        <family val="2"/>
        <charset val="1"/>
      </rPr>
      <t xml:space="preserve">04</t>
    </r>
    <r>
      <rPr>
        <sz val="11"/>
        <color theme="1"/>
        <rFont val="Noto Sans SC"/>
        <family val="2"/>
        <charset val="134"/>
      </rPr>
      <t xml:space="preserve">］</t>
    </r>
    <r>
      <rPr>
        <sz val="11"/>
        <color theme="1"/>
        <rFont val="Calibri"/>
        <family val="2"/>
        <charset val="1"/>
      </rPr>
      <t xml:space="preserve">625543717-04.jpg</t>
    </r>
  </si>
  <si>
    <t xml:space="preserve">第三步：计算图标不出现的几率（重点）</t>
  </si>
  <si>
    <r>
      <rPr>
        <sz val="11"/>
        <color theme="1"/>
        <rFont val="Noto Sans SC"/>
        <family val="2"/>
        <charset val="134"/>
      </rPr>
      <t xml:space="preserve">在之前的</t>
    </r>
    <r>
      <rPr>
        <sz val="11"/>
        <color theme="1"/>
        <rFont val="Calibri"/>
        <family val="2"/>
        <charset val="1"/>
      </rPr>
      <t xml:space="preserve">Line Slots</t>
    </r>
    <r>
      <rPr>
        <sz val="11"/>
        <color theme="1"/>
        <rFont val="Noto Sans SC"/>
        <family val="2"/>
        <charset val="134"/>
      </rPr>
      <t xml:space="preserve">计算过程中，因为计算的落脚点是单条</t>
    </r>
    <r>
      <rPr>
        <sz val="11"/>
        <color theme="1"/>
        <rFont val="Calibri"/>
        <family val="2"/>
        <charset val="1"/>
      </rPr>
      <t xml:space="preserve">Pay Line</t>
    </r>
    <r>
      <rPr>
        <sz val="11"/>
        <color theme="1"/>
        <rFont val="Noto Sans SC"/>
        <family val="2"/>
        <charset val="134"/>
      </rPr>
      <t xml:space="preserve">，只要图标不出现在</t>
    </r>
    <r>
      <rPr>
        <sz val="11"/>
        <color theme="1"/>
        <rFont val="Calibri"/>
        <family val="2"/>
        <charset val="1"/>
      </rPr>
      <t xml:space="preserve">Pay Line</t>
    </r>
    <r>
      <rPr>
        <sz val="11"/>
        <color theme="1"/>
        <rFont val="Noto Sans SC"/>
        <family val="2"/>
        <charset val="134"/>
      </rPr>
      <t xml:space="preserve">上即可</t>
    </r>
  </si>
  <si>
    <r>
      <rPr>
        <sz val="11"/>
        <color theme="1"/>
        <rFont val="Noto Sans SC"/>
        <family val="2"/>
        <charset val="134"/>
      </rPr>
      <t xml:space="preserve">但是</t>
    </r>
    <r>
      <rPr>
        <sz val="11"/>
        <color theme="1"/>
        <rFont val="Calibri"/>
        <family val="2"/>
        <charset val="1"/>
      </rPr>
      <t xml:space="preserve">Way Slots</t>
    </r>
    <r>
      <rPr>
        <sz val="11"/>
        <color theme="1"/>
        <rFont val="Noto Sans SC"/>
        <family val="2"/>
        <charset val="134"/>
      </rPr>
      <t xml:space="preserve">需要把</t>
    </r>
    <r>
      <rPr>
        <sz val="11"/>
        <color theme="1"/>
        <rFont val="Calibri"/>
        <family val="2"/>
        <charset val="1"/>
      </rPr>
      <t xml:space="preserve">Slots</t>
    </r>
    <r>
      <rPr>
        <sz val="11"/>
        <color theme="1"/>
        <rFont val="Noto Sans SC"/>
        <family val="2"/>
        <charset val="134"/>
      </rPr>
      <t xml:space="preserve">考虑成一个整体</t>
    </r>
  </si>
  <si>
    <t xml:space="preserve">在计算出现几率的时候乘上了各列的行数，在计算不出现的几率时则需要考虑各种不出现的情况</t>
  </si>
  <si>
    <t xml:space="preserve">既使</t>
  </si>
  <si>
    <r>
      <rPr>
        <sz val="11"/>
        <color theme="1"/>
        <rFont val="Noto Sans SC"/>
        <family val="2"/>
        <charset val="134"/>
      </rPr>
      <t xml:space="preserve">用</t>
    </r>
    <r>
      <rPr>
        <sz val="11"/>
        <color theme="1"/>
        <rFont val="Calibri"/>
        <family val="2"/>
        <charset val="1"/>
      </rPr>
      <t xml:space="preserve">100%-</t>
    </r>
    <r>
      <rPr>
        <sz val="11"/>
        <color theme="1"/>
        <rFont val="Noto Sans SC"/>
        <family val="2"/>
        <charset val="134"/>
      </rPr>
      <t xml:space="preserve">出现一个该图标的概率 </t>
    </r>
    <r>
      <rPr>
        <sz val="11"/>
        <color theme="1"/>
        <rFont val="Calibri"/>
        <family val="2"/>
        <charset val="1"/>
      </rPr>
      <t xml:space="preserve">- </t>
    </r>
    <r>
      <rPr>
        <sz val="11"/>
        <color theme="1"/>
        <rFont val="Noto Sans SC"/>
        <family val="2"/>
        <charset val="134"/>
      </rPr>
      <t xml:space="preserve">出现两个该图标的概率 </t>
    </r>
    <r>
      <rPr>
        <sz val="11"/>
        <color theme="1"/>
        <rFont val="Calibri"/>
        <family val="2"/>
        <charset val="1"/>
      </rPr>
      <t xml:space="preserve">- </t>
    </r>
    <r>
      <rPr>
        <sz val="11"/>
        <color theme="1"/>
        <rFont val="Noto Sans SC"/>
        <family val="2"/>
        <charset val="134"/>
      </rPr>
      <t xml:space="preserve">三个出现该图标的概率</t>
    </r>
  </si>
  <si>
    <t xml:space="preserve">得到该图标不会出现的概率</t>
  </si>
  <si>
    <r>
      <rPr>
        <sz val="11"/>
        <color theme="1"/>
        <rFont val="Noto Sans SC"/>
        <family val="2"/>
        <charset val="134"/>
      </rPr>
      <t xml:space="preserve">这里出现的概率使用</t>
    </r>
    <r>
      <rPr>
        <sz val="11"/>
        <color theme="1"/>
        <rFont val="Calibri"/>
        <family val="2"/>
        <charset val="1"/>
      </rPr>
      <t xml:space="preserve">excel</t>
    </r>
    <r>
      <rPr>
        <sz val="11"/>
        <color theme="1"/>
        <rFont val="Noto Sans SC"/>
        <family val="2"/>
        <charset val="134"/>
      </rPr>
      <t xml:space="preserve">中的</t>
    </r>
    <r>
      <rPr>
        <sz val="11"/>
        <color theme="1"/>
        <rFont val="Calibri"/>
        <family val="2"/>
        <charset val="1"/>
      </rPr>
      <t xml:space="preserve">BINOM.DIST.RANGE</t>
    </r>
    <r>
      <rPr>
        <sz val="11"/>
        <color theme="1"/>
        <rFont val="Noto Sans SC"/>
        <family val="2"/>
        <charset val="134"/>
      </rPr>
      <t xml:space="preserve">函数计算即可得到结果。最终得到下表</t>
    </r>
  </si>
  <si>
    <r>
      <rPr>
        <sz val="11"/>
        <color theme="1"/>
        <rFont val="Noto Sans SC"/>
        <family val="2"/>
        <charset val="134"/>
      </rPr>
      <t xml:space="preserve">［配图 </t>
    </r>
    <r>
      <rPr>
        <sz val="11"/>
        <color theme="1"/>
        <rFont val="Calibri"/>
        <family val="2"/>
        <charset val="1"/>
      </rPr>
      <t xml:space="preserve">05</t>
    </r>
    <r>
      <rPr>
        <sz val="11"/>
        <color theme="1"/>
        <rFont val="Noto Sans SC"/>
        <family val="2"/>
        <charset val="134"/>
      </rPr>
      <t xml:space="preserve">］</t>
    </r>
    <r>
      <rPr>
        <sz val="11"/>
        <color theme="1"/>
        <rFont val="Calibri"/>
        <family val="2"/>
        <charset val="1"/>
      </rPr>
      <t xml:space="preserve">625543717-05.jpg</t>
    </r>
  </si>
  <si>
    <r>
      <rPr>
        <sz val="11"/>
        <color theme="1"/>
        <rFont val="Noto Sans SC"/>
        <family val="2"/>
        <charset val="134"/>
      </rPr>
      <t xml:space="preserve">公式外还需要添加</t>
    </r>
    <r>
      <rPr>
        <sz val="11"/>
        <color theme="1"/>
        <rFont val="Calibri"/>
        <family val="2"/>
        <charset val="1"/>
      </rPr>
      <t xml:space="preserve">IFERROR</t>
    </r>
    <r>
      <rPr>
        <sz val="11"/>
        <color theme="1"/>
        <rFont val="Noto Sans SC"/>
        <family val="2"/>
        <charset val="134"/>
      </rPr>
      <t xml:space="preserve">函数，因为当图标出现的几率足够高时，可能出现该列必定出现该图标的情况</t>
    </r>
  </si>
  <si>
    <r>
      <rPr>
        <sz val="11"/>
        <color theme="1"/>
        <rFont val="Noto Sans SC"/>
        <family val="2"/>
        <charset val="134"/>
      </rPr>
      <t xml:space="preserve">此时</t>
    </r>
    <r>
      <rPr>
        <sz val="11"/>
        <color theme="1"/>
        <rFont val="Calibri"/>
        <family val="2"/>
        <charset val="1"/>
      </rPr>
      <t xml:space="preserve">BINOM.DIST</t>
    </r>
    <r>
      <rPr>
        <sz val="11"/>
        <color theme="1"/>
        <rFont val="Noto Sans SC"/>
        <family val="2"/>
        <charset val="134"/>
      </rPr>
      <t xml:space="preserve">函数无法求出结果，使用</t>
    </r>
    <r>
      <rPr>
        <sz val="11"/>
        <color theme="1"/>
        <rFont val="Calibri"/>
        <family val="2"/>
        <charset val="1"/>
      </rPr>
      <t xml:space="preserve">IFERROR</t>
    </r>
    <r>
      <rPr>
        <sz val="11"/>
        <color theme="1"/>
        <rFont val="Noto Sans SC"/>
        <family val="2"/>
        <charset val="134"/>
      </rPr>
      <t xml:space="preserve">函数将其变为</t>
    </r>
    <r>
      <rPr>
        <sz val="11"/>
        <color theme="1"/>
        <rFont val="Calibri"/>
        <family val="2"/>
        <charset val="1"/>
      </rPr>
      <t xml:space="preserve">0</t>
    </r>
    <r>
      <rPr>
        <sz val="11"/>
        <color theme="1"/>
        <rFont val="Noto Sans SC"/>
        <family val="2"/>
        <charset val="134"/>
      </rPr>
      <t xml:space="preserve">代表必定会出现即可</t>
    </r>
  </si>
  <si>
    <r>
      <rPr>
        <sz val="11"/>
        <color theme="1"/>
        <rFont val="Noto Sans SC"/>
        <family val="2"/>
        <charset val="134"/>
      </rPr>
      <t xml:space="preserve">第四步：计算标准图标的</t>
    </r>
    <r>
      <rPr>
        <sz val="11"/>
        <color theme="1"/>
        <rFont val="Calibri"/>
        <family val="2"/>
        <charset val="1"/>
      </rPr>
      <t xml:space="preserve">RTP</t>
    </r>
  </si>
  <si>
    <t xml:space="preserve">使用各中奖组合的出现概率乘上人为设定的图标赔付倍数，即可得到各中奖组合的期望</t>
  </si>
  <si>
    <r>
      <rPr>
        <sz val="11"/>
        <color theme="1"/>
        <rFont val="Noto Sans SC"/>
        <family val="2"/>
        <charset val="134"/>
      </rPr>
      <t xml:space="preserve">求和得到标准图标</t>
    </r>
    <r>
      <rPr>
        <sz val="11"/>
        <color theme="1"/>
        <rFont val="Calibri"/>
        <family val="2"/>
        <charset val="1"/>
      </rPr>
      <t xml:space="preserve">RTP</t>
    </r>
  </si>
  <si>
    <r>
      <rPr>
        <sz val="11"/>
        <color theme="1"/>
        <rFont val="Noto Sans SC"/>
        <family val="2"/>
        <charset val="134"/>
      </rPr>
      <t xml:space="preserve">［配图 </t>
    </r>
    <r>
      <rPr>
        <sz val="11"/>
        <color theme="1"/>
        <rFont val="Calibri"/>
        <family val="2"/>
        <charset val="1"/>
      </rPr>
      <t xml:space="preserve">06</t>
    </r>
    <r>
      <rPr>
        <sz val="11"/>
        <color theme="1"/>
        <rFont val="Noto Sans SC"/>
        <family val="2"/>
        <charset val="134"/>
      </rPr>
      <t xml:space="preserve">］</t>
    </r>
    <r>
      <rPr>
        <sz val="11"/>
        <color theme="1"/>
        <rFont val="Calibri"/>
        <family val="2"/>
        <charset val="1"/>
      </rPr>
      <t xml:space="preserve">625543717-06.jpg</t>
    </r>
  </si>
  <si>
    <r>
      <rPr>
        <sz val="11"/>
        <color theme="1"/>
        <rFont val="Noto Sans SC"/>
        <family val="2"/>
        <charset val="134"/>
      </rPr>
      <t xml:space="preserve">这里的</t>
    </r>
    <r>
      <rPr>
        <sz val="11"/>
        <color theme="1"/>
        <rFont val="Calibri"/>
        <family val="2"/>
        <charset val="1"/>
      </rPr>
      <t xml:space="preserve">RTP</t>
    </r>
    <r>
      <rPr>
        <sz val="11"/>
        <color theme="1"/>
        <rFont val="Noto Sans SC"/>
        <family val="2"/>
        <charset val="134"/>
      </rPr>
      <t xml:space="preserve">需要除以人为设定的基数，这里使用的是</t>
    </r>
    <r>
      <rPr>
        <sz val="11"/>
        <color theme="1"/>
        <rFont val="Calibri"/>
        <family val="2"/>
        <charset val="1"/>
      </rPr>
      <t xml:space="preserve">100</t>
    </r>
  </si>
  <si>
    <r>
      <rPr>
        <sz val="11"/>
        <color theme="1"/>
        <rFont val="Noto Sans SC"/>
        <family val="2"/>
        <charset val="134"/>
      </rPr>
      <t xml:space="preserve">第五步：计算免费摇的</t>
    </r>
    <r>
      <rPr>
        <sz val="11"/>
        <color theme="1"/>
        <rFont val="Calibri"/>
        <family val="2"/>
        <charset val="1"/>
      </rPr>
      <t xml:space="preserve">RTP</t>
    </r>
  </si>
  <si>
    <r>
      <rPr>
        <sz val="11"/>
        <color theme="1"/>
        <rFont val="Noto Sans SC"/>
        <family val="2"/>
        <charset val="134"/>
      </rPr>
      <t xml:space="preserve">免费摇的</t>
    </r>
    <r>
      <rPr>
        <sz val="11"/>
        <color theme="1"/>
        <rFont val="Calibri"/>
        <family val="2"/>
        <charset val="1"/>
      </rPr>
      <t xml:space="preserve">RTP</t>
    </r>
    <r>
      <rPr>
        <sz val="11"/>
        <color theme="1"/>
        <rFont val="Noto Sans SC"/>
        <family val="2"/>
        <charset val="134"/>
      </rPr>
      <t xml:space="preserve">为每次摇奖获得的免费摇次数乘上免费摇的</t>
    </r>
    <r>
      <rPr>
        <sz val="11"/>
        <color theme="1"/>
        <rFont val="Calibri"/>
        <family val="2"/>
        <charset val="1"/>
      </rPr>
      <t xml:space="preserve">RTP</t>
    </r>
    <r>
      <rPr>
        <sz val="11"/>
        <color theme="1"/>
        <rFont val="Noto Sans SC"/>
        <family val="2"/>
        <charset val="134"/>
      </rPr>
      <t xml:space="preserve">即可</t>
    </r>
  </si>
  <si>
    <t xml:space="preserve">其中免费摇的次数包括普通摇触发免费摇和免费摇触发额外免费摇次数两种</t>
  </si>
  <si>
    <r>
      <rPr>
        <sz val="11"/>
        <color theme="1"/>
        <rFont val="Noto Sans SC"/>
        <family val="2"/>
        <charset val="134"/>
      </rPr>
      <t xml:space="preserve">［配图 </t>
    </r>
    <r>
      <rPr>
        <sz val="11"/>
        <color theme="1"/>
        <rFont val="Calibri"/>
        <family val="2"/>
        <charset val="1"/>
      </rPr>
      <t xml:space="preserve">07</t>
    </r>
    <r>
      <rPr>
        <sz val="11"/>
        <color theme="1"/>
        <rFont val="Noto Sans SC"/>
        <family val="2"/>
        <charset val="134"/>
      </rPr>
      <t xml:space="preserve">］</t>
    </r>
    <r>
      <rPr>
        <sz val="11"/>
        <color theme="1"/>
        <rFont val="Calibri"/>
        <family val="2"/>
        <charset val="1"/>
      </rPr>
      <t xml:space="preserve">625543717-07.jpg</t>
    </r>
  </si>
  <si>
    <t xml:space="preserve">计算时需要使用到无穷级数求和，之前的文章有讲到这个部分可以点击链接查看：</t>
  </si>
  <si>
    <t xml:space="preserve">https://zhuanlan.zhihu.com/p/624380588</t>
  </si>
  <si>
    <r>
      <rPr>
        <sz val="11"/>
        <color theme="1"/>
        <rFont val="Noto Sans SC"/>
        <family val="2"/>
        <charset val="134"/>
      </rPr>
      <t xml:space="preserve">免费摇标准图标的</t>
    </r>
    <r>
      <rPr>
        <sz val="11"/>
        <color theme="1"/>
        <rFont val="Calibri"/>
        <family val="2"/>
        <charset val="1"/>
      </rPr>
      <t xml:space="preserve">RTP</t>
    </r>
    <r>
      <rPr>
        <sz val="11"/>
        <color theme="1"/>
        <rFont val="Noto Sans SC"/>
        <family val="2"/>
        <charset val="134"/>
      </rPr>
      <t xml:space="preserve">计算过程和普通摇类似，这里直接展示过程</t>
    </r>
  </si>
  <si>
    <r>
      <rPr>
        <sz val="11"/>
        <color theme="1"/>
        <rFont val="Noto Sans SC"/>
        <family val="2"/>
        <charset val="134"/>
      </rPr>
      <t xml:space="preserve">［配图 </t>
    </r>
    <r>
      <rPr>
        <sz val="11"/>
        <color theme="1"/>
        <rFont val="Calibri"/>
        <family val="2"/>
        <charset val="1"/>
      </rPr>
      <t xml:space="preserve">08</t>
    </r>
    <r>
      <rPr>
        <sz val="11"/>
        <color theme="1"/>
        <rFont val="Noto Sans SC"/>
        <family val="2"/>
        <charset val="134"/>
      </rPr>
      <t xml:space="preserve">］</t>
    </r>
    <r>
      <rPr>
        <sz val="11"/>
        <color theme="1"/>
        <rFont val="Calibri"/>
        <family val="2"/>
        <charset val="1"/>
      </rPr>
      <t xml:space="preserve">625543717-08.jpg</t>
    </r>
  </si>
  <si>
    <r>
      <rPr>
        <sz val="11"/>
        <color theme="1"/>
        <rFont val="Noto Sans SC"/>
        <family val="2"/>
        <charset val="134"/>
      </rPr>
      <t xml:space="preserve">将免费要的期望次数和免费摇的</t>
    </r>
    <r>
      <rPr>
        <sz val="11"/>
        <color theme="1"/>
        <rFont val="Calibri"/>
        <family val="2"/>
        <charset val="1"/>
      </rPr>
      <t xml:space="preserve">RTP</t>
    </r>
    <r>
      <rPr>
        <sz val="11"/>
        <color theme="1"/>
        <rFont val="Noto Sans SC"/>
        <family val="2"/>
        <charset val="134"/>
      </rPr>
      <t xml:space="preserve">相乘，得到最终免费摇</t>
    </r>
    <r>
      <rPr>
        <sz val="11"/>
        <color theme="1"/>
        <rFont val="Calibri"/>
        <family val="2"/>
        <charset val="1"/>
      </rPr>
      <t xml:space="preserve">RTP</t>
    </r>
    <r>
      <rPr>
        <sz val="11"/>
        <color theme="1"/>
        <rFont val="Noto Sans SC"/>
        <family val="2"/>
        <charset val="134"/>
      </rPr>
      <t xml:space="preserve">为</t>
    </r>
    <r>
      <rPr>
        <sz val="11"/>
        <color theme="1"/>
        <rFont val="Calibri"/>
        <family val="2"/>
        <charset val="1"/>
      </rPr>
      <t xml:space="preserve">0.4736</t>
    </r>
  </si>
  <si>
    <r>
      <rPr>
        <sz val="11"/>
        <color theme="1"/>
        <rFont val="Noto Sans SC"/>
        <family val="2"/>
        <charset val="134"/>
      </rPr>
      <t xml:space="preserve">该</t>
    </r>
    <r>
      <rPr>
        <sz val="11"/>
        <color theme="1"/>
        <rFont val="Calibri"/>
        <family val="2"/>
        <charset val="1"/>
      </rPr>
      <t xml:space="preserve">Slots</t>
    </r>
    <r>
      <rPr>
        <sz val="11"/>
        <color theme="1"/>
        <rFont val="Noto Sans SC"/>
        <family val="2"/>
        <charset val="134"/>
      </rPr>
      <t xml:space="preserve">产品</t>
    </r>
    <r>
      <rPr>
        <sz val="11"/>
        <color theme="1"/>
        <rFont val="Calibri"/>
        <family val="2"/>
        <charset val="1"/>
      </rPr>
      <t xml:space="preserve">RTP</t>
    </r>
    <r>
      <rPr>
        <sz val="11"/>
        <color theme="1"/>
        <rFont val="Noto Sans SC"/>
        <family val="2"/>
        <charset val="134"/>
      </rPr>
      <t xml:space="preserve">为</t>
    </r>
    <r>
      <rPr>
        <sz val="11"/>
        <color theme="1"/>
        <rFont val="Calibri"/>
        <family val="2"/>
        <charset val="1"/>
      </rPr>
      <t xml:space="preserve">0.9771</t>
    </r>
  </si>
  <si>
    <r>
      <rPr>
        <sz val="11"/>
        <color theme="1"/>
        <rFont val="Noto Sans SC"/>
        <family val="2"/>
        <charset val="134"/>
      </rPr>
      <t xml:space="preserve">［配图 </t>
    </r>
    <r>
      <rPr>
        <sz val="11"/>
        <color theme="1"/>
        <rFont val="Calibri"/>
        <family val="2"/>
        <charset val="1"/>
      </rPr>
      <t xml:space="preserve">09</t>
    </r>
    <r>
      <rPr>
        <sz val="11"/>
        <color theme="1"/>
        <rFont val="Noto Sans SC"/>
        <family val="2"/>
        <charset val="134"/>
      </rPr>
      <t xml:space="preserve">］</t>
    </r>
    <r>
      <rPr>
        <sz val="11"/>
        <color theme="1"/>
        <rFont val="Calibri"/>
        <family val="2"/>
        <charset val="1"/>
      </rPr>
      <t xml:space="preserve">625543717-09.jpeg</t>
    </r>
  </si>
  <si>
    <r>
      <rPr>
        <b val="true"/>
        <sz val="11"/>
        <rFont val="Noto Sans SC"/>
        <family val="2"/>
        <charset val="134"/>
      </rPr>
      <t xml:space="preserve">原文配图清单（共 </t>
    </r>
    <r>
      <rPr>
        <b val="true"/>
        <sz val="11"/>
        <rFont val="Cambria"/>
        <family val="0"/>
        <charset val="1"/>
      </rPr>
      <t xml:space="preserve">7 </t>
    </r>
    <r>
      <rPr>
        <b val="true"/>
        <sz val="11"/>
        <rFont val="Noto Sans SC"/>
        <family val="2"/>
        <charset val="134"/>
      </rPr>
      <t xml:space="preserve">张，已保存到 </t>
    </r>
    <r>
      <rPr>
        <b val="true"/>
        <sz val="11"/>
        <rFont val="Cambria"/>
        <family val="0"/>
        <charset val="1"/>
      </rPr>
      <t xml:space="preserve">images/slots/</t>
    </r>
    <r>
      <rPr>
        <b val="true"/>
        <sz val="11"/>
        <rFont val="Noto Sans SC"/>
        <family val="2"/>
        <charset val="134"/>
      </rPr>
      <t xml:space="preserve">）</t>
    </r>
  </si>
  <si>
    <r>
      <rPr>
        <sz val="11"/>
        <color rgb="FF808080"/>
        <rFont val="Noto Sans SC"/>
        <family val="2"/>
        <charset val="134"/>
      </rPr>
      <t xml:space="preserve">［配图 </t>
    </r>
    <r>
      <rPr>
        <sz val="11"/>
        <color rgb="FF808080"/>
        <rFont val="Cambria"/>
        <family val="0"/>
        <charset val="1"/>
      </rPr>
      <t xml:space="preserve">03</t>
    </r>
    <r>
      <rPr>
        <sz val="11"/>
        <color rgb="FF808080"/>
        <rFont val="Noto Sans SC"/>
        <family val="2"/>
        <charset val="134"/>
      </rPr>
      <t xml:space="preserve">］</t>
    </r>
    <r>
      <rPr>
        <sz val="11"/>
        <color rgb="FF808080"/>
        <rFont val="Cambria"/>
        <family val="0"/>
        <charset val="1"/>
      </rPr>
      <t xml:space="preserve">625543717-03.jpg</t>
    </r>
  </si>
  <si>
    <r>
      <rPr>
        <sz val="11"/>
        <color rgb="FF808080"/>
        <rFont val="Noto Sans SC"/>
        <family val="2"/>
        <charset val="134"/>
      </rPr>
      <t xml:space="preserve">［配图 </t>
    </r>
    <r>
      <rPr>
        <sz val="11"/>
        <color rgb="FF808080"/>
        <rFont val="Cambria"/>
        <family val="0"/>
        <charset val="1"/>
      </rPr>
      <t xml:space="preserve">04</t>
    </r>
    <r>
      <rPr>
        <sz val="11"/>
        <color rgb="FF808080"/>
        <rFont val="Noto Sans SC"/>
        <family val="2"/>
        <charset val="134"/>
      </rPr>
      <t xml:space="preserve">］</t>
    </r>
    <r>
      <rPr>
        <sz val="11"/>
        <color rgb="FF808080"/>
        <rFont val="Cambria"/>
        <family val="0"/>
        <charset val="1"/>
      </rPr>
      <t xml:space="preserve">625543717-04.jpg</t>
    </r>
  </si>
  <si>
    <r>
      <rPr>
        <sz val="11"/>
        <color rgb="FF808080"/>
        <rFont val="Noto Sans SC"/>
        <family val="2"/>
        <charset val="134"/>
      </rPr>
      <t xml:space="preserve">［配图 </t>
    </r>
    <r>
      <rPr>
        <sz val="11"/>
        <color rgb="FF808080"/>
        <rFont val="Cambria"/>
        <family val="0"/>
        <charset val="1"/>
      </rPr>
      <t xml:space="preserve">05</t>
    </r>
    <r>
      <rPr>
        <sz val="11"/>
        <color rgb="FF808080"/>
        <rFont val="Noto Sans SC"/>
        <family val="2"/>
        <charset val="134"/>
      </rPr>
      <t xml:space="preserve">］</t>
    </r>
    <r>
      <rPr>
        <sz val="11"/>
        <color rgb="FF808080"/>
        <rFont val="Cambria"/>
        <family val="0"/>
        <charset val="1"/>
      </rPr>
      <t xml:space="preserve">625543717-05.jpg</t>
    </r>
  </si>
  <si>
    <r>
      <rPr>
        <sz val="11"/>
        <color rgb="FF808080"/>
        <rFont val="Noto Sans SC"/>
        <family val="2"/>
        <charset val="134"/>
      </rPr>
      <t xml:space="preserve">［配图 </t>
    </r>
    <r>
      <rPr>
        <sz val="11"/>
        <color rgb="FF808080"/>
        <rFont val="Cambria"/>
        <family val="0"/>
        <charset val="1"/>
      </rPr>
      <t xml:space="preserve">06</t>
    </r>
    <r>
      <rPr>
        <sz val="11"/>
        <color rgb="FF808080"/>
        <rFont val="Noto Sans SC"/>
        <family val="2"/>
        <charset val="134"/>
      </rPr>
      <t xml:space="preserve">］</t>
    </r>
    <r>
      <rPr>
        <sz val="11"/>
        <color rgb="FF808080"/>
        <rFont val="Cambria"/>
        <family val="0"/>
        <charset val="1"/>
      </rPr>
      <t xml:space="preserve">625543717-06.jpg</t>
    </r>
  </si>
  <si>
    <r>
      <rPr>
        <sz val="11"/>
        <color rgb="FF808080"/>
        <rFont val="Noto Sans SC"/>
        <family val="2"/>
        <charset val="134"/>
      </rPr>
      <t xml:space="preserve">［配图 </t>
    </r>
    <r>
      <rPr>
        <sz val="11"/>
        <color rgb="FF808080"/>
        <rFont val="Cambria"/>
        <family val="0"/>
        <charset val="1"/>
      </rPr>
      <t xml:space="preserve">07</t>
    </r>
    <r>
      <rPr>
        <sz val="11"/>
        <color rgb="FF808080"/>
        <rFont val="Noto Sans SC"/>
        <family val="2"/>
        <charset val="134"/>
      </rPr>
      <t xml:space="preserve">］</t>
    </r>
    <r>
      <rPr>
        <sz val="11"/>
        <color rgb="FF808080"/>
        <rFont val="Cambria"/>
        <family val="0"/>
        <charset val="1"/>
      </rPr>
      <t xml:space="preserve">625543717-07.jpg</t>
    </r>
  </si>
  <si>
    <r>
      <rPr>
        <sz val="11"/>
        <color rgb="FF808080"/>
        <rFont val="Noto Sans SC"/>
        <family val="2"/>
        <charset val="134"/>
      </rPr>
      <t xml:space="preserve">［配图 </t>
    </r>
    <r>
      <rPr>
        <sz val="11"/>
        <color rgb="FF808080"/>
        <rFont val="Cambria"/>
        <family val="0"/>
        <charset val="1"/>
      </rPr>
      <t xml:space="preserve">08</t>
    </r>
    <r>
      <rPr>
        <sz val="11"/>
        <color rgb="FF808080"/>
        <rFont val="Noto Sans SC"/>
        <family val="2"/>
        <charset val="134"/>
      </rPr>
      <t xml:space="preserve">］</t>
    </r>
    <r>
      <rPr>
        <sz val="11"/>
        <color rgb="FF808080"/>
        <rFont val="Cambria"/>
        <family val="0"/>
        <charset val="1"/>
      </rPr>
      <t xml:space="preserve">625543717-08.jpg</t>
    </r>
  </si>
  <si>
    <r>
      <rPr>
        <sz val="11"/>
        <color rgb="FF808080"/>
        <rFont val="Noto Sans SC"/>
        <family val="2"/>
        <charset val="134"/>
      </rPr>
      <t xml:space="preserve">［配图 </t>
    </r>
    <r>
      <rPr>
        <sz val="11"/>
        <color rgb="FF808080"/>
        <rFont val="Cambria"/>
        <family val="0"/>
        <charset val="1"/>
      </rPr>
      <t xml:space="preserve">09</t>
    </r>
    <r>
      <rPr>
        <sz val="11"/>
        <color rgb="FF808080"/>
        <rFont val="Noto Sans SC"/>
        <family val="2"/>
        <charset val="134"/>
      </rPr>
      <t xml:space="preserve">］</t>
    </r>
    <r>
      <rPr>
        <sz val="11"/>
        <color rgb="FF808080"/>
        <rFont val="Cambria"/>
        <family val="0"/>
        <charset val="1"/>
      </rPr>
      <t xml:space="preserve">625543717-09.jpeg</t>
    </r>
  </si>
  <si>
    <t xml:space="preserve">校验</t>
  </si>
  <si>
    <r>
      <rPr>
        <sz val="11"/>
        <color theme="1"/>
        <rFont val="Noto Sans SC"/>
        <family val="2"/>
        <charset val="134"/>
      </rPr>
      <t xml:space="preserve">① 本簿由 </t>
    </r>
    <r>
      <rPr>
        <sz val="11"/>
        <color theme="1"/>
        <rFont val="Calibri"/>
        <family val="2"/>
        <charset val="1"/>
      </rPr>
      <t xml:space="preserve">openpyxl </t>
    </r>
    <r>
      <rPr>
        <sz val="11"/>
        <color theme="1"/>
        <rFont val="Noto Sans SC"/>
        <family val="2"/>
        <charset val="134"/>
      </rPr>
      <t xml:space="preserve">生成并已开启打开时重算；② 另用 </t>
    </r>
    <r>
      <rPr>
        <sz val="11"/>
        <color theme="1"/>
        <rFont val="Calibri"/>
        <family val="2"/>
        <charset val="1"/>
      </rPr>
      <t xml:space="preserve">LibreOffice </t>
    </r>
    <r>
      <rPr>
        <sz val="11"/>
        <color theme="1"/>
        <rFont val="Noto Sans SC"/>
        <family val="2"/>
        <charset val="134"/>
      </rPr>
      <t xml:space="preserve">独立重算复核，公式错误值 </t>
    </r>
    <r>
      <rPr>
        <sz val="11"/>
        <color theme="1"/>
        <rFont val="Calibri"/>
        <family val="2"/>
        <charset val="1"/>
      </rPr>
      <t xml:space="preserve">0 </t>
    </r>
    <r>
      <rPr>
        <sz val="11"/>
        <color theme="1"/>
        <rFont val="Noto Sans SC"/>
        <family val="2"/>
        <charset val="134"/>
      </rPr>
      <t xml:space="preserve">个；</t>
    </r>
  </si>
  <si>
    <t xml:space="preserve">③ 正文与原文逐句一致（用户离线保存的网页原件），配图按正文出现顺序编号。</t>
  </si>
  <si>
    <t xml:space="preserve">说明</t>
  </si>
  <si>
    <t xml:space="preserve">本簿是原文的整理与配表实现，非原文替代品；原文未提供的数值一律标注来源，不臆造。</t>
  </si>
  <si>
    <r>
      <rPr>
        <sz val="11"/>
        <color theme="1"/>
        <rFont val="Noto Sans SC"/>
        <family val="2"/>
        <charset val="134"/>
      </rPr>
      <t xml:space="preserve">原文版权归作者 </t>
    </r>
    <r>
      <rPr>
        <sz val="11"/>
        <color theme="1"/>
        <rFont val="Calibri"/>
        <family val="2"/>
        <charset val="1"/>
      </rPr>
      <t xml:space="preserve">ASlot </t>
    </r>
    <r>
      <rPr>
        <sz val="11"/>
        <color theme="1"/>
        <rFont val="Noto Sans SC"/>
        <family val="2"/>
        <charset val="134"/>
      </rPr>
      <t xml:space="preserve">与知乎所有，本簿仅供个人学习整理使用。</t>
    </r>
  </si>
  <si>
    <r>
      <rPr>
        <sz val="11"/>
        <color rgb="FF808080"/>
        <rFont val="Cambria"/>
        <family val="0"/>
        <charset val="1"/>
      </rPr>
      <t xml:space="preserve">Source: zhihu.com</t>
    </r>
    <r>
      <rPr>
        <sz val="11"/>
        <color rgb="FF808080"/>
        <rFont val="Noto Sans SC"/>
        <family val="2"/>
        <charset val="134"/>
      </rPr>
      <t xml:space="preserve">《</t>
    </r>
    <r>
      <rPr>
        <sz val="11"/>
        <color rgb="FF808080"/>
        <rFont val="Cambria"/>
        <family val="0"/>
        <charset val="1"/>
      </rPr>
      <t xml:space="preserve">Slots</t>
    </r>
    <r>
      <rPr>
        <sz val="11"/>
        <color rgb="FF808080"/>
        <rFont val="Noto Sans SC"/>
        <family val="2"/>
        <charset val="134"/>
      </rPr>
      <t xml:space="preserve">数值篇——</t>
    </r>
    <r>
      <rPr>
        <sz val="11"/>
        <color rgb="FF808080"/>
        <rFont val="Cambria"/>
        <family val="0"/>
        <charset val="1"/>
      </rPr>
      <t xml:space="preserve">Way Slots(2)</t>
    </r>
    <r>
      <rPr>
        <sz val="11"/>
        <color rgb="FF808080"/>
        <rFont val="Noto Sans SC"/>
        <family val="2"/>
        <charset val="134"/>
      </rPr>
      <t xml:space="preserve">》</t>
    </r>
    <r>
      <rPr>
        <sz val="11"/>
        <color rgb="FF808080"/>
        <rFont val="Cambria"/>
        <family val="0"/>
        <charset val="1"/>
      </rPr>
      <t xml:space="preserve">, https://zhuanlan.zhihu.com/p/625543717</t>
    </r>
  </si>
  <si>
    <r>
      <rPr>
        <b val="true"/>
        <sz val="14"/>
        <color rgb="FF1F4E79"/>
        <rFont val="Noto Sans SC"/>
        <family val="2"/>
        <charset val="134"/>
      </rPr>
      <t xml:space="preserve">数值篇 </t>
    </r>
    <r>
      <rPr>
        <b val="true"/>
        <sz val="14"/>
        <color rgb="FF1F4E79"/>
        <rFont val="Cambria"/>
        <family val="0"/>
        <charset val="1"/>
      </rPr>
      <t xml:space="preserve">· Way Slots(2) —— </t>
    </r>
    <r>
      <rPr>
        <b val="true"/>
        <sz val="14"/>
        <color rgb="FF1F4E79"/>
        <rFont val="Noto Sans SC"/>
        <family val="2"/>
        <charset val="134"/>
      </rPr>
      <t xml:space="preserve">数据配表（蓝字＝可改 </t>
    </r>
    <r>
      <rPr>
        <b val="true"/>
        <sz val="14"/>
        <color rgb="FF1F4E79"/>
        <rFont val="Cambria"/>
        <family val="0"/>
        <charset val="1"/>
      </rPr>
      <t xml:space="preserve">/ </t>
    </r>
    <r>
      <rPr>
        <b val="true"/>
        <sz val="14"/>
        <color rgb="FF1F4E79"/>
        <rFont val="Noto Sans SC"/>
        <family val="2"/>
        <charset val="134"/>
      </rPr>
      <t xml:space="preserve">黑字＝公式 </t>
    </r>
    <r>
      <rPr>
        <b val="true"/>
        <sz val="14"/>
        <color rgb="FF1F4E79"/>
        <rFont val="Cambria"/>
        <family val="0"/>
        <charset val="1"/>
      </rPr>
      <t xml:space="preserve">/ </t>
    </r>
    <r>
      <rPr>
        <b val="true"/>
        <sz val="14"/>
        <color rgb="FF1F4E79"/>
        <rFont val="Noto Sans SC"/>
        <family val="2"/>
        <charset val="134"/>
      </rPr>
      <t xml:space="preserve">黄底＝结果）</t>
    </r>
  </si>
  <si>
    <r>
      <rPr>
        <b val="true"/>
        <sz val="11"/>
        <color rgb="FF1F4E79"/>
        <rFont val="Noto Sans SC"/>
        <family val="2"/>
        <charset val="134"/>
      </rPr>
      <t xml:space="preserve">【</t>
    </r>
    <r>
      <rPr>
        <b val="true"/>
        <sz val="11"/>
        <color rgb="FF1F4E79"/>
        <rFont val="Cambria"/>
        <family val="0"/>
        <charset val="1"/>
      </rPr>
      <t xml:space="preserve">1</t>
    </r>
    <r>
      <rPr>
        <b val="true"/>
        <sz val="11"/>
        <color rgb="FF1F4E79"/>
        <rFont val="Noto Sans SC"/>
        <family val="2"/>
        <charset val="134"/>
      </rPr>
      <t xml:space="preserve">】基本参数</t>
    </r>
  </si>
  <si>
    <t xml:space="preserve">项目</t>
  </si>
  <si>
    <t xml:space="preserve">数值</t>
  </si>
  <si>
    <t xml:space="preserve">玩法</t>
  </si>
  <si>
    <r>
      <rPr>
        <sz val="11"/>
        <color rgb="FF0000FF"/>
        <rFont val="Cambria"/>
        <family val="0"/>
        <charset val="1"/>
      </rPr>
      <t xml:space="preserve">3*5 Way Slots</t>
    </r>
    <r>
      <rPr>
        <sz val="11"/>
        <color rgb="FF0000FF"/>
        <rFont val="Noto Sans SC"/>
        <family val="2"/>
        <charset val="134"/>
      </rPr>
      <t xml:space="preserve">（随机卷轴）</t>
    </r>
  </si>
  <si>
    <r>
      <rPr>
        <sz val="11"/>
        <color theme="1"/>
        <rFont val="Calibri"/>
        <family val="2"/>
        <charset val="1"/>
      </rPr>
      <t xml:space="preserve">3 </t>
    </r>
    <r>
      <rPr>
        <sz val="11"/>
        <color theme="1"/>
        <rFont val="Noto Sans SC"/>
        <family val="2"/>
        <charset val="134"/>
      </rPr>
      <t xml:space="preserve">行 </t>
    </r>
    <r>
      <rPr>
        <sz val="11"/>
        <color theme="1"/>
        <rFont val="Calibri"/>
        <family val="2"/>
        <charset val="1"/>
      </rPr>
      <t xml:space="preserve">× 5 </t>
    </r>
    <r>
      <rPr>
        <sz val="11"/>
        <color theme="1"/>
        <rFont val="Noto Sans SC"/>
        <family val="2"/>
        <charset val="134"/>
      </rPr>
      <t xml:space="preserve">列</t>
    </r>
  </si>
  <si>
    <t xml:space="preserve">卷轴列数</t>
  </si>
  <si>
    <t xml:space="preserve">窗口行数</t>
  </si>
  <si>
    <r>
      <rPr>
        <sz val="11"/>
        <color theme="1"/>
        <rFont val="Noto Sans SC"/>
        <family val="2"/>
        <charset val="134"/>
      </rPr>
      <t xml:space="preserve">不出现几率按该列 </t>
    </r>
    <r>
      <rPr>
        <sz val="11"/>
        <color theme="1"/>
        <rFont val="Calibri"/>
        <family val="2"/>
        <charset val="1"/>
      </rPr>
      <t xml:space="preserve">3 </t>
    </r>
    <r>
      <rPr>
        <sz val="11"/>
        <color theme="1"/>
        <rFont val="Noto Sans SC"/>
        <family val="2"/>
        <charset val="134"/>
      </rPr>
      <t xml:space="preserve">个停位做二项分布</t>
    </r>
  </si>
  <si>
    <t xml:space="preserve">图标权重基数</t>
  </si>
  <si>
    <r>
      <rPr>
        <sz val="11"/>
        <color theme="1"/>
        <rFont val="Noto Sans SC"/>
        <family val="2"/>
        <charset val="134"/>
      </rPr>
      <t xml:space="preserve">原文①每列权重合计 </t>
    </r>
    <r>
      <rPr>
        <sz val="11"/>
        <color theme="1"/>
        <rFont val="Calibri"/>
        <family val="2"/>
        <charset val="1"/>
      </rPr>
      <t xml:space="preserve">10,000</t>
    </r>
  </si>
  <si>
    <t xml:space="preserve">赔付基数</t>
  </si>
  <si>
    <r>
      <rPr>
        <sz val="11"/>
        <color theme="1"/>
        <rFont val="Noto Sans SC"/>
        <family val="2"/>
        <charset val="134"/>
      </rPr>
      <t xml:space="preserve">原文：</t>
    </r>
    <r>
      <rPr>
        <sz val="11"/>
        <color theme="1"/>
        <rFont val="Calibri"/>
        <family val="2"/>
        <charset val="1"/>
      </rPr>
      <t xml:space="preserve">RTP </t>
    </r>
    <r>
      <rPr>
        <sz val="11"/>
        <color theme="1"/>
        <rFont val="Noto Sans SC"/>
        <family val="2"/>
        <charset val="134"/>
      </rPr>
      <t xml:space="preserve">需除以人为设定的基数 </t>
    </r>
    <r>
      <rPr>
        <sz val="11"/>
        <color theme="1"/>
        <rFont val="Calibri"/>
        <family val="2"/>
        <charset val="1"/>
      </rPr>
      <t xml:space="preserve">100</t>
    </r>
  </si>
  <si>
    <t xml:space="preserve">图标集</t>
  </si>
  <si>
    <r>
      <rPr>
        <sz val="11"/>
        <color rgb="FF0000FF"/>
        <rFont val="Cambria"/>
        <family val="0"/>
        <charset val="1"/>
      </rPr>
      <t xml:space="preserve">10 / J / Q / K / A </t>
    </r>
    <r>
      <rPr>
        <sz val="11"/>
        <color rgb="FF0000FF"/>
        <rFont val="Noto Sans SC"/>
        <family val="2"/>
        <charset val="134"/>
      </rPr>
      <t xml:space="preserve">＋ </t>
    </r>
    <r>
      <rPr>
        <sz val="11"/>
        <color rgb="FF0000FF"/>
        <rFont val="Cambria"/>
        <family val="0"/>
        <charset val="1"/>
      </rPr>
      <t xml:space="preserve">Wild / Scatter</t>
    </r>
  </si>
  <si>
    <r>
      <rPr>
        <sz val="11"/>
        <color theme="1"/>
        <rFont val="Noto Sans SC"/>
        <family val="2"/>
        <charset val="134"/>
      </rPr>
      <t xml:space="preserve">原文：</t>
    </r>
    <r>
      <rPr>
        <sz val="11"/>
        <color theme="1"/>
        <rFont val="Calibri"/>
        <family val="2"/>
        <charset val="1"/>
      </rPr>
      <t xml:space="preserve">5 </t>
    </r>
    <r>
      <rPr>
        <sz val="11"/>
        <color theme="1"/>
        <rFont val="Noto Sans SC"/>
        <family val="2"/>
        <charset val="134"/>
      </rPr>
      <t xml:space="preserve">个标准图标 ＋ 百搭 ＋ </t>
    </r>
    <r>
      <rPr>
        <sz val="11"/>
        <color theme="1"/>
        <rFont val="Calibri"/>
        <family val="2"/>
        <charset val="1"/>
      </rPr>
      <t xml:space="preserve">Scatter</t>
    </r>
  </si>
  <si>
    <r>
      <rPr>
        <b val="true"/>
        <sz val="11"/>
        <color rgb="FF1F4E79"/>
        <rFont val="Noto Sans SC"/>
        <family val="2"/>
        <charset val="134"/>
      </rPr>
      <t xml:space="preserve">【</t>
    </r>
    <r>
      <rPr>
        <b val="true"/>
        <sz val="11"/>
        <color rgb="FF1F4E79"/>
        <rFont val="Cambria"/>
        <family val="0"/>
        <charset val="1"/>
      </rPr>
      <t xml:space="preserve">2</t>
    </r>
    <r>
      <rPr>
        <b val="true"/>
        <sz val="11"/>
        <color rgb="FF1F4E79"/>
        <rFont val="Noto Sans SC"/>
        <family val="2"/>
        <charset val="134"/>
      </rPr>
      <t xml:space="preserve">】图标权重与出现概率（原文①逐格转录；出现概率＝权重 </t>
    </r>
    <r>
      <rPr>
        <b val="true"/>
        <sz val="11"/>
        <color rgb="FF1F4E79"/>
        <rFont val="Cambria"/>
        <family val="0"/>
        <charset val="1"/>
      </rPr>
      <t xml:space="preserve">÷ </t>
    </r>
    <r>
      <rPr>
        <b val="true"/>
        <sz val="11"/>
        <color rgb="FF1F4E79"/>
        <rFont val="Noto Sans SC"/>
        <family val="2"/>
        <charset val="134"/>
      </rPr>
      <t xml:space="preserve">合计）</t>
    </r>
  </si>
  <si>
    <t xml:space="preserve">图标</t>
  </si>
  <si>
    <r>
      <rPr>
        <b val="true"/>
        <sz val="11"/>
        <color rgb="FF1F4E79"/>
        <rFont val="Noto Sans SC"/>
        <family val="2"/>
        <charset val="134"/>
      </rPr>
      <t xml:space="preserve">列</t>
    </r>
    <r>
      <rPr>
        <b val="true"/>
        <sz val="11"/>
        <color rgb="FF1F4E79"/>
        <rFont val="Cambria"/>
        <family val="0"/>
        <charset val="1"/>
      </rPr>
      <t xml:space="preserve">1</t>
    </r>
  </si>
  <si>
    <r>
      <rPr>
        <b val="true"/>
        <sz val="11"/>
        <color rgb="FF1F4E79"/>
        <rFont val="Noto Sans SC"/>
        <family val="2"/>
        <charset val="134"/>
      </rPr>
      <t xml:space="preserve">列</t>
    </r>
    <r>
      <rPr>
        <b val="true"/>
        <sz val="11"/>
        <color rgb="FF1F4E79"/>
        <rFont val="Cambria"/>
        <family val="0"/>
        <charset val="1"/>
      </rPr>
      <t xml:space="preserve">2</t>
    </r>
  </si>
  <si>
    <r>
      <rPr>
        <b val="true"/>
        <sz val="11"/>
        <color rgb="FF1F4E79"/>
        <rFont val="Noto Sans SC"/>
        <family val="2"/>
        <charset val="134"/>
      </rPr>
      <t xml:space="preserve">列</t>
    </r>
    <r>
      <rPr>
        <b val="true"/>
        <sz val="11"/>
        <color rgb="FF1F4E79"/>
        <rFont val="Cambria"/>
        <family val="0"/>
        <charset val="1"/>
      </rPr>
      <t xml:space="preserve">3</t>
    </r>
  </si>
  <si>
    <r>
      <rPr>
        <b val="true"/>
        <sz val="11"/>
        <color rgb="FF1F4E79"/>
        <rFont val="Noto Sans SC"/>
        <family val="2"/>
        <charset val="134"/>
      </rPr>
      <t xml:space="preserve">列</t>
    </r>
    <r>
      <rPr>
        <b val="true"/>
        <sz val="11"/>
        <color rgb="FF1F4E79"/>
        <rFont val="Cambria"/>
        <family val="0"/>
        <charset val="1"/>
      </rPr>
      <t xml:space="preserve">4</t>
    </r>
  </si>
  <si>
    <r>
      <rPr>
        <b val="true"/>
        <sz val="11"/>
        <color rgb="FF1F4E79"/>
        <rFont val="Noto Sans SC"/>
        <family val="2"/>
        <charset val="134"/>
      </rPr>
      <t xml:space="preserve">列</t>
    </r>
    <r>
      <rPr>
        <b val="true"/>
        <sz val="11"/>
        <color rgb="FF1F4E79"/>
        <rFont val="Cambria"/>
        <family val="0"/>
        <charset val="1"/>
      </rPr>
      <t xml:space="preserve">5</t>
    </r>
  </si>
  <si>
    <t xml:space="preserve">出现概率</t>
  </si>
  <si>
    <t xml:space="preserve">10</t>
  </si>
  <si>
    <r>
      <rPr>
        <sz val="11"/>
        <color theme="1"/>
        <rFont val="Noto Sans SC"/>
        <family val="2"/>
        <charset val="134"/>
      </rPr>
      <t xml:space="preserve">原文配图显示 </t>
    </r>
    <r>
      <rPr>
        <sz val="11"/>
        <color theme="1"/>
        <rFont val="Calibri"/>
        <family val="2"/>
        <charset val="1"/>
      </rPr>
      <t xml:space="preserve">1,781</t>
    </r>
    <r>
      <rPr>
        <sz val="11"/>
        <color theme="1"/>
        <rFont val="Noto Sans SC"/>
        <family val="2"/>
        <charset val="134"/>
      </rPr>
      <t xml:space="preserve">；为使每列合计＝</t>
    </r>
    <r>
      <rPr>
        <sz val="11"/>
        <color theme="1"/>
        <rFont val="Calibri"/>
        <family val="2"/>
        <charset val="1"/>
      </rPr>
      <t xml:space="preserve">10,000</t>
    </r>
    <r>
      <rPr>
        <sz val="11"/>
        <color theme="1"/>
        <rFont val="Noto Sans SC"/>
        <family val="2"/>
        <charset val="134"/>
      </rPr>
      <t xml:space="preserve">，取 </t>
    </r>
    <r>
      <rPr>
        <sz val="11"/>
        <color theme="1"/>
        <rFont val="Calibri"/>
        <family val="2"/>
        <charset val="1"/>
      </rPr>
      <t xml:space="preserve">1,781.25</t>
    </r>
    <r>
      <rPr>
        <sz val="11"/>
        <color theme="1"/>
        <rFont val="Noto Sans SC"/>
        <family val="2"/>
        <charset val="134"/>
      </rPr>
      <t xml:space="preserve">（＝</t>
    </r>
    <r>
      <rPr>
        <sz val="11"/>
        <color theme="1"/>
        <rFont val="Calibri"/>
        <family val="2"/>
        <charset val="1"/>
      </rPr>
      <t xml:space="preserve">17.8125%</t>
    </r>
    <r>
      <rPr>
        <sz val="11"/>
        <color theme="1"/>
        <rFont val="Noto Sans SC"/>
        <family val="2"/>
        <charset val="134"/>
      </rPr>
      <t xml:space="preserve">）</t>
    </r>
  </si>
  <si>
    <t xml:space="preserve">J</t>
  </si>
  <si>
    <t xml:space="preserve">Q</t>
  </si>
  <si>
    <t xml:space="preserve">K</t>
  </si>
  <si>
    <t xml:space="preserve">A</t>
  </si>
  <si>
    <t xml:space="preserve">Wild</t>
  </si>
  <si>
    <t xml:space="preserve">Scatter</t>
  </si>
  <si>
    <t xml:space="preserve">合计</t>
  </si>
  <si>
    <r>
      <rPr>
        <sz val="11"/>
        <color theme="1"/>
        <rFont val="Noto Sans SC"/>
        <family val="2"/>
        <charset val="134"/>
      </rPr>
      <t xml:space="preserve">每列应＝</t>
    </r>
    <r>
      <rPr>
        <sz val="11"/>
        <color theme="1"/>
        <rFont val="Calibri"/>
        <family val="2"/>
        <charset val="1"/>
      </rPr>
      <t xml:space="preserve">10,000</t>
    </r>
    <r>
      <rPr>
        <sz val="11"/>
        <color theme="1"/>
        <rFont val="Noto Sans SC"/>
        <family val="2"/>
        <charset val="134"/>
      </rPr>
      <t xml:space="preserve">（</t>
    </r>
    <r>
      <rPr>
        <sz val="11"/>
        <color theme="1"/>
        <rFont val="Calibri"/>
        <family val="2"/>
        <charset val="1"/>
      </rPr>
      <t xml:space="preserve">100.00%</t>
    </r>
    <r>
      <rPr>
        <sz val="11"/>
        <color theme="1"/>
        <rFont val="Noto Sans SC"/>
        <family val="2"/>
        <charset val="134"/>
      </rPr>
      <t xml:space="preserve">）</t>
    </r>
  </si>
  <si>
    <r>
      <rPr>
        <b val="true"/>
        <sz val="11"/>
        <color rgb="FF1F4E79"/>
        <rFont val="Noto Sans SC"/>
        <family val="2"/>
        <charset val="134"/>
      </rPr>
      <t xml:space="preserve">【</t>
    </r>
    <r>
      <rPr>
        <b val="true"/>
        <sz val="11"/>
        <color rgb="FF1F4E79"/>
        <rFont val="Cambria"/>
        <family val="0"/>
        <charset val="1"/>
      </rPr>
      <t xml:space="preserve">3</t>
    </r>
    <r>
      <rPr>
        <b val="true"/>
        <sz val="11"/>
        <color rgb="FF1F4E79"/>
        <rFont val="Noto Sans SC"/>
        <family val="2"/>
        <charset val="134"/>
      </rPr>
      <t xml:space="preserve">】图标出现几率 ＝（自身 ＋ 百搭）</t>
    </r>
    <r>
      <rPr>
        <b val="true"/>
        <sz val="11"/>
        <color rgb="FF1F4E79"/>
        <rFont val="Cambria"/>
        <family val="0"/>
        <charset val="1"/>
      </rPr>
      <t xml:space="preserve">× </t>
    </r>
    <r>
      <rPr>
        <b val="true"/>
        <sz val="11"/>
        <color rgb="FF1F4E79"/>
        <rFont val="Noto Sans SC"/>
        <family val="2"/>
        <charset val="134"/>
      </rPr>
      <t xml:space="preserve">行数（原文③：把单行扩充到整体）</t>
    </r>
  </si>
  <si>
    <r>
      <rPr>
        <sz val="11"/>
        <color theme="1"/>
        <rFont val="Noto Sans SC"/>
        <family val="2"/>
        <charset val="134"/>
      </rPr>
      <t xml:space="preserve">＝（自身权重 ＋ </t>
    </r>
    <r>
      <rPr>
        <sz val="11"/>
        <color theme="1"/>
        <rFont val="Calibri"/>
        <family val="2"/>
        <charset val="1"/>
      </rPr>
      <t xml:space="preserve">Wild </t>
    </r>
    <r>
      <rPr>
        <sz val="11"/>
        <color theme="1"/>
        <rFont val="Noto Sans SC"/>
        <family val="2"/>
        <charset val="134"/>
      </rPr>
      <t xml:space="preserve">权重）</t>
    </r>
    <r>
      <rPr>
        <sz val="11"/>
        <color theme="1"/>
        <rFont val="Calibri"/>
        <family val="2"/>
        <charset val="1"/>
      </rPr>
      <t xml:space="preserve">÷ </t>
    </r>
    <r>
      <rPr>
        <sz val="11"/>
        <color theme="1"/>
        <rFont val="Noto Sans SC"/>
        <family val="2"/>
        <charset val="134"/>
      </rPr>
      <t xml:space="preserve">权重基数 </t>
    </r>
    <r>
      <rPr>
        <sz val="11"/>
        <color theme="1"/>
        <rFont val="Calibri"/>
        <family val="2"/>
        <charset val="1"/>
      </rPr>
      <t xml:space="preserve">× 3</t>
    </r>
    <r>
      <rPr>
        <sz val="11"/>
        <color theme="1"/>
        <rFont val="Noto Sans SC"/>
        <family val="2"/>
        <charset val="134"/>
      </rPr>
      <t xml:space="preserve">，可超过 </t>
    </r>
    <r>
      <rPr>
        <sz val="11"/>
        <color theme="1"/>
        <rFont val="Calibri"/>
        <family val="2"/>
        <charset val="1"/>
      </rPr>
      <t xml:space="preserve">100%</t>
    </r>
    <r>
      <rPr>
        <sz val="11"/>
        <color theme="1"/>
        <rFont val="Noto Sans SC"/>
        <family val="2"/>
        <charset val="134"/>
      </rPr>
      <t xml:space="preserve">（是「个数期望」）</t>
    </r>
  </si>
  <si>
    <r>
      <rPr>
        <b val="true"/>
        <sz val="11"/>
        <color rgb="FF1F4E79"/>
        <rFont val="Noto Sans SC"/>
        <family val="2"/>
        <charset val="134"/>
      </rPr>
      <t xml:space="preserve">【</t>
    </r>
    <r>
      <rPr>
        <b val="true"/>
        <sz val="11"/>
        <color rgb="FF1F4E79"/>
        <rFont val="Cambria"/>
        <family val="0"/>
        <charset val="1"/>
      </rPr>
      <t xml:space="preserve">4</t>
    </r>
    <r>
      <rPr>
        <b val="true"/>
        <sz val="11"/>
        <color rgb="FF1F4E79"/>
        <rFont val="Noto Sans SC"/>
        <family val="2"/>
        <charset val="134"/>
      </rPr>
      <t xml:space="preserve">】图标不出现几率 ＝（</t>
    </r>
    <r>
      <rPr>
        <b val="true"/>
        <sz val="11"/>
        <color rgb="FF1F4E79"/>
        <rFont val="Cambria"/>
        <family val="0"/>
        <charset val="1"/>
      </rPr>
      <t xml:space="preserve">1 −</t>
    </r>
    <r>
      <rPr>
        <b val="true"/>
        <sz val="11"/>
        <color rgb="FF1F4E79"/>
        <rFont val="Noto Sans SC"/>
        <family val="2"/>
        <charset val="134"/>
      </rPr>
      <t xml:space="preserve">（自身 ＋ 百搭））</t>
    </r>
    <r>
      <rPr>
        <b val="true"/>
        <sz val="11"/>
        <color rgb="FF1F4E79"/>
        <rFont val="Cambria"/>
        <family val="0"/>
        <charset val="1"/>
      </rPr>
      <t xml:space="preserve">^ </t>
    </r>
    <r>
      <rPr>
        <b val="true"/>
        <sz val="11"/>
        <color rgb="FF1F4E79"/>
        <rFont val="Noto Sans SC"/>
        <family val="2"/>
        <charset val="134"/>
      </rPr>
      <t xml:space="preserve">行数（原文④，含 </t>
    </r>
    <r>
      <rPr>
        <b val="true"/>
        <sz val="11"/>
        <color rgb="FF1F4E79"/>
        <rFont val="Cambria"/>
        <family val="0"/>
        <charset val="1"/>
      </rPr>
      <t xml:space="preserve">IFERROR </t>
    </r>
    <r>
      <rPr>
        <b val="true"/>
        <sz val="11"/>
        <color rgb="FF1F4E79"/>
        <rFont val="Noto Sans SC"/>
        <family val="2"/>
        <charset val="134"/>
      </rPr>
      <t xml:space="preserve">处理）</t>
    </r>
  </si>
  <si>
    <r>
      <rPr>
        <sz val="11"/>
        <color theme="1"/>
        <rFont val="Noto Sans SC"/>
        <family val="2"/>
        <charset val="134"/>
      </rPr>
      <t xml:space="preserve">＝ </t>
    </r>
    <r>
      <rPr>
        <sz val="11"/>
        <color theme="1"/>
        <rFont val="Calibri"/>
        <family val="2"/>
        <charset val="1"/>
      </rPr>
      <t xml:space="preserve">(1 − p)^</t>
    </r>
    <r>
      <rPr>
        <sz val="11"/>
        <color theme="1"/>
        <rFont val="Noto Sans SC"/>
        <family val="2"/>
        <charset val="134"/>
      </rPr>
      <t xml:space="preserve">行数；行数＝</t>
    </r>
    <r>
      <rPr>
        <sz val="11"/>
        <color theme="1"/>
        <rFont val="Calibri"/>
        <family val="2"/>
        <charset val="1"/>
      </rPr>
      <t xml:space="preserve">3 </t>
    </r>
    <r>
      <rPr>
        <sz val="11"/>
        <color theme="1"/>
        <rFont val="Noto Sans SC"/>
        <family val="2"/>
        <charset val="134"/>
      </rPr>
      <t xml:space="preserve">时等价于 </t>
    </r>
    <r>
      <rPr>
        <sz val="11"/>
        <color theme="1"/>
        <rFont val="Calibri"/>
        <family val="2"/>
        <charset val="1"/>
      </rPr>
      <t xml:space="preserve">1 − BINOM.DIST.RANGE(3,p,1,3)</t>
    </r>
    <r>
      <rPr>
        <sz val="11"/>
        <color theme="1"/>
        <rFont val="Noto Sans SC"/>
        <family val="2"/>
        <charset val="134"/>
      </rPr>
      <t xml:space="preserve">；</t>
    </r>
    <r>
      <rPr>
        <sz val="11"/>
        <color theme="1"/>
        <rFont val="Calibri"/>
        <family val="2"/>
        <charset val="1"/>
      </rPr>
      <t xml:space="preserve">p</t>
    </r>
    <r>
      <rPr>
        <sz val="11"/>
        <color theme="1"/>
        <rFont val="Noto Sans SC"/>
        <family val="2"/>
        <charset val="134"/>
      </rPr>
      <t xml:space="preserve">＝</t>
    </r>
    <r>
      <rPr>
        <sz val="11"/>
        <color theme="1"/>
        <rFont val="Calibri"/>
        <family val="2"/>
        <charset val="1"/>
      </rPr>
      <t xml:space="preserve">100% </t>
    </r>
    <r>
      <rPr>
        <sz val="11"/>
        <color theme="1"/>
        <rFont val="Noto Sans SC"/>
        <family val="2"/>
        <charset val="134"/>
      </rPr>
      <t xml:space="preserve">时取 </t>
    </r>
    <r>
      <rPr>
        <sz val="11"/>
        <color theme="1"/>
        <rFont val="Calibri"/>
        <family val="2"/>
        <charset val="1"/>
      </rPr>
      <t xml:space="preserve">0</t>
    </r>
  </si>
  <si>
    <r>
      <rPr>
        <b val="true"/>
        <sz val="11"/>
        <color rgb="FF1F4E79"/>
        <rFont val="Noto Sans SC"/>
        <family val="2"/>
        <charset val="134"/>
      </rPr>
      <t xml:space="preserve">【</t>
    </r>
    <r>
      <rPr>
        <b val="true"/>
        <sz val="11"/>
        <color rgb="FF1F4E79"/>
        <rFont val="Cambria"/>
        <family val="0"/>
        <charset val="1"/>
      </rPr>
      <t xml:space="preserve">5</t>
    </r>
    <r>
      <rPr>
        <b val="true"/>
        <sz val="11"/>
        <color rgb="FF1F4E79"/>
        <rFont val="Noto Sans SC"/>
        <family val="2"/>
        <charset val="134"/>
      </rPr>
      <t xml:space="preserve">】标准图标 </t>
    </r>
    <r>
      <rPr>
        <b val="true"/>
        <sz val="11"/>
        <color rgb="FF1F4E79"/>
        <rFont val="Cambria"/>
        <family val="0"/>
        <charset val="1"/>
      </rPr>
      <t xml:space="preserve">RTP</t>
    </r>
    <r>
      <rPr>
        <b val="true"/>
        <sz val="11"/>
        <color rgb="FF1F4E79"/>
        <rFont val="Noto Sans SC"/>
        <family val="2"/>
        <charset val="134"/>
      </rPr>
      <t xml:space="preserve">（普通摇）：中奖率 ＝ 出现几率</t>
    </r>
    <r>
      <rPr>
        <b val="true"/>
        <sz val="11"/>
        <color rgb="FF1F4E79"/>
        <rFont val="Cambria"/>
        <family val="0"/>
        <charset val="1"/>
      </rPr>
      <t xml:space="preserve">^</t>
    </r>
    <r>
      <rPr>
        <b val="true"/>
        <sz val="11"/>
        <color rgb="FF1F4E79"/>
        <rFont val="Noto Sans SC"/>
        <family val="2"/>
        <charset val="134"/>
      </rPr>
      <t xml:space="preserve">出现列数 </t>
    </r>
    <r>
      <rPr>
        <b val="true"/>
        <sz val="11"/>
        <color rgb="FF1F4E79"/>
        <rFont val="Cambria"/>
        <family val="0"/>
        <charset val="1"/>
      </rPr>
      <t xml:space="preserve">× </t>
    </r>
    <r>
      <rPr>
        <b val="true"/>
        <sz val="11"/>
        <color rgb="FF1F4E79"/>
        <rFont val="Noto Sans SC"/>
        <family val="2"/>
        <charset val="134"/>
      </rPr>
      <t xml:space="preserve">不出现几率（原文⑤转录＋公式）</t>
    </r>
  </si>
  <si>
    <t xml:space="preserve">中奖组合</t>
  </si>
  <si>
    <t xml:space="preserve">出现列数</t>
  </si>
  <si>
    <t xml:space="preserve">赔付倍数</t>
  </si>
  <si>
    <t xml:space="preserve">中奖率</t>
  </si>
  <si>
    <t xml:space="preserve">期望</t>
  </si>
  <si>
    <t xml:space="preserve">{10,…,10}</t>
  </si>
  <si>
    <r>
      <rPr>
        <sz val="11"/>
        <color theme="1"/>
        <rFont val="Noto Sans SC"/>
        <family val="2"/>
        <charset val="134"/>
      </rPr>
      <t xml:space="preserve">原始列数＝</t>
    </r>
    <r>
      <rPr>
        <sz val="11"/>
        <color theme="1"/>
        <rFont val="Calibri"/>
        <family val="2"/>
        <charset val="1"/>
      </rPr>
      <t xml:space="preserve">3 </t>
    </r>
    <r>
      <rPr>
        <sz val="11"/>
        <color theme="1"/>
        <rFont val="Noto Sans SC"/>
        <family val="2"/>
        <charset val="134"/>
      </rPr>
      <t xml:space="preserve">时，还要乘「其后一列不出现」的几率</t>
    </r>
  </si>
  <si>
    <r>
      <rPr>
        <sz val="11"/>
        <color theme="1"/>
        <rFont val="Noto Sans SC"/>
        <family val="2"/>
        <charset val="134"/>
      </rPr>
      <t xml:space="preserve">原始列数＝</t>
    </r>
    <r>
      <rPr>
        <sz val="11"/>
        <color theme="1"/>
        <rFont val="Calibri"/>
        <family val="2"/>
        <charset val="1"/>
      </rPr>
      <t xml:space="preserve">4 </t>
    </r>
    <r>
      <rPr>
        <sz val="11"/>
        <color theme="1"/>
        <rFont val="Noto Sans SC"/>
        <family val="2"/>
        <charset val="134"/>
      </rPr>
      <t xml:space="preserve">时，还要乘「其后一列不出现」的几率</t>
    </r>
  </si>
  <si>
    <r>
      <rPr>
        <sz val="11"/>
        <color theme="1"/>
        <rFont val="Noto Sans SC"/>
        <family val="2"/>
        <charset val="134"/>
      </rPr>
      <t xml:space="preserve">原始列数＝</t>
    </r>
    <r>
      <rPr>
        <sz val="11"/>
        <color theme="1"/>
        <rFont val="Calibri"/>
        <family val="2"/>
        <charset val="1"/>
      </rPr>
      <t xml:space="preserve">5 </t>
    </r>
    <r>
      <rPr>
        <sz val="11"/>
        <color theme="1"/>
        <rFont val="Noto Sans SC"/>
        <family val="2"/>
        <charset val="134"/>
      </rPr>
      <t xml:space="preserve">时，还要乘「其后一列不出现」的几率</t>
    </r>
  </si>
  <si>
    <t xml:space="preserve">{J,…,J}</t>
  </si>
  <si>
    <t xml:space="preserve">{Q,…,Q}</t>
  </si>
  <si>
    <t xml:space="preserve">{K,…,K}</t>
  </si>
  <si>
    <t xml:space="preserve">{A,…,A}</t>
  </si>
  <si>
    <r>
      <rPr>
        <b val="true"/>
        <sz val="11"/>
        <rFont val="Noto Sans SC"/>
        <family val="2"/>
        <charset val="134"/>
      </rPr>
      <t xml:space="preserve">普通摇标准图标 </t>
    </r>
    <r>
      <rPr>
        <b val="true"/>
        <sz val="11"/>
        <rFont val="Cambria"/>
        <family val="0"/>
        <charset val="1"/>
      </rPr>
      <t xml:space="preserve">RTP</t>
    </r>
  </si>
  <si>
    <r>
      <rPr>
        <sz val="11"/>
        <color theme="1"/>
        <rFont val="Noto Sans SC"/>
        <family val="2"/>
        <charset val="134"/>
      </rPr>
      <t xml:space="preserve">原文⑤：</t>
    </r>
    <r>
      <rPr>
        <sz val="11"/>
        <color theme="1"/>
        <rFont val="Calibri"/>
        <family val="2"/>
        <charset val="1"/>
      </rPr>
      <t xml:space="preserve">50.9715</t>
    </r>
  </si>
  <si>
    <r>
      <rPr>
        <b val="true"/>
        <sz val="11"/>
        <rFont val="Noto Sans SC"/>
        <family val="2"/>
        <charset val="134"/>
      </rPr>
      <t xml:space="preserve">普通摇实际 </t>
    </r>
    <r>
      <rPr>
        <b val="true"/>
        <sz val="11"/>
        <rFont val="Cambria"/>
        <family val="0"/>
        <charset val="1"/>
      </rPr>
      <t xml:space="preserve">RTP</t>
    </r>
  </si>
  <si>
    <r>
      <rPr>
        <b val="true"/>
        <sz val="11"/>
        <rFont val="Cambria"/>
        <family val="0"/>
        <charset val="1"/>
      </rPr>
      <t xml:space="preserve">÷ </t>
    </r>
    <r>
      <rPr>
        <b val="true"/>
        <sz val="11"/>
        <rFont val="Noto Sans SC"/>
        <family val="2"/>
        <charset val="134"/>
      </rPr>
      <t xml:space="preserve">基数</t>
    </r>
  </si>
  <si>
    <r>
      <rPr>
        <sz val="11"/>
        <color theme="1"/>
        <rFont val="Noto Sans SC"/>
        <family val="2"/>
        <charset val="134"/>
      </rPr>
      <t xml:space="preserve">原文⑤：</t>
    </r>
    <r>
      <rPr>
        <sz val="11"/>
        <color theme="1"/>
        <rFont val="Calibri"/>
        <family val="2"/>
        <charset val="1"/>
      </rPr>
      <t xml:space="preserve">0.5097</t>
    </r>
  </si>
  <si>
    <r>
      <rPr>
        <b val="true"/>
        <sz val="11"/>
        <color rgb="FF1F4E79"/>
        <rFont val="Noto Sans SC"/>
        <family val="2"/>
        <charset val="134"/>
      </rPr>
      <t xml:space="preserve">【</t>
    </r>
    <r>
      <rPr>
        <b val="true"/>
        <sz val="11"/>
        <color rgb="FF1F4E79"/>
        <rFont val="Cambria"/>
        <family val="0"/>
        <charset val="1"/>
      </rPr>
      <t xml:space="preserve">6</t>
    </r>
    <r>
      <rPr>
        <b val="true"/>
        <sz val="11"/>
        <color rgb="FF1F4E79"/>
        <rFont val="Noto Sans SC"/>
        <family val="2"/>
        <charset val="134"/>
      </rPr>
      <t xml:space="preserve">】免费摇：</t>
    </r>
    <r>
      <rPr>
        <b val="true"/>
        <sz val="11"/>
        <color rgb="FF1F4E79"/>
        <rFont val="Cambria"/>
        <family val="0"/>
        <charset val="1"/>
      </rPr>
      <t xml:space="preserve">Scatter </t>
    </r>
    <r>
      <rPr>
        <b val="true"/>
        <sz val="11"/>
        <color rgb="FF1F4E79"/>
        <rFont val="Noto Sans SC"/>
        <family val="2"/>
        <charset val="134"/>
      </rPr>
      <t xml:space="preserve">二项分布 → 免费摇次数期望 → 免费摇 </t>
    </r>
    <r>
      <rPr>
        <b val="true"/>
        <sz val="11"/>
        <color rgb="FF1F4E79"/>
        <rFont val="Cambria"/>
        <family val="0"/>
        <charset val="1"/>
      </rPr>
      <t xml:space="preserve">RTP</t>
    </r>
  </si>
  <si>
    <r>
      <rPr>
        <b val="true"/>
        <sz val="11"/>
        <color rgb="FF1F4E79"/>
        <rFont val="Cambria"/>
        <family val="0"/>
        <charset val="1"/>
      </rPr>
      <t xml:space="preserve">Scatter </t>
    </r>
    <r>
      <rPr>
        <b val="true"/>
        <sz val="11"/>
        <color rgb="FF1F4E79"/>
        <rFont val="Noto Sans SC"/>
        <family val="2"/>
        <charset val="134"/>
      </rPr>
      <t xml:space="preserve">个数</t>
    </r>
  </si>
  <si>
    <t xml:space="preserve">出现几率</t>
  </si>
  <si>
    <t xml:space="preserve">免费摇次数</t>
  </si>
  <si>
    <t xml:space="preserve">期望次数</t>
  </si>
  <si>
    <r>
      <rPr>
        <sz val="11"/>
        <color theme="1"/>
        <rFont val="Calibri"/>
        <family val="2"/>
        <charset val="1"/>
      </rPr>
      <t xml:space="preserve">n </t>
    </r>
    <r>
      <rPr>
        <sz val="11"/>
        <color theme="1"/>
        <rFont val="Noto Sans SC"/>
        <family val="2"/>
        <charset val="134"/>
      </rPr>
      <t xml:space="preserve">＝ 列数 </t>
    </r>
    <r>
      <rPr>
        <sz val="11"/>
        <color theme="1"/>
        <rFont val="Calibri"/>
        <family val="2"/>
        <charset val="1"/>
      </rPr>
      <t xml:space="preserve">× </t>
    </r>
    <r>
      <rPr>
        <sz val="11"/>
        <color theme="1"/>
        <rFont val="Noto Sans SC"/>
        <family val="2"/>
        <charset val="134"/>
      </rPr>
      <t xml:space="preserve">行数 ＝ </t>
    </r>
    <r>
      <rPr>
        <sz val="11"/>
        <color theme="1"/>
        <rFont val="Calibri"/>
        <family val="2"/>
        <charset val="1"/>
      </rPr>
      <t xml:space="preserve">15</t>
    </r>
    <r>
      <rPr>
        <sz val="11"/>
        <color theme="1"/>
        <rFont val="Noto Sans SC"/>
        <family val="2"/>
        <charset val="134"/>
      </rPr>
      <t xml:space="preserve">；</t>
    </r>
    <r>
      <rPr>
        <sz val="11"/>
        <color theme="1"/>
        <rFont val="Calibri"/>
        <family val="2"/>
        <charset val="1"/>
      </rPr>
      <t xml:space="preserve">p </t>
    </r>
    <r>
      <rPr>
        <sz val="11"/>
        <color theme="1"/>
        <rFont val="Noto Sans SC"/>
        <family val="2"/>
        <charset val="134"/>
      </rPr>
      <t xml:space="preserve">＝ </t>
    </r>
    <r>
      <rPr>
        <sz val="11"/>
        <color theme="1"/>
        <rFont val="Calibri"/>
        <family val="2"/>
        <charset val="1"/>
      </rPr>
      <t xml:space="preserve">Scatter </t>
    </r>
    <r>
      <rPr>
        <sz val="11"/>
        <color theme="1"/>
        <rFont val="Noto Sans SC"/>
        <family val="2"/>
        <charset val="134"/>
      </rPr>
      <t xml:space="preserve">出现概率 </t>
    </r>
    <r>
      <rPr>
        <sz val="11"/>
        <color theme="1"/>
        <rFont val="Calibri"/>
        <family val="2"/>
        <charset val="1"/>
      </rPr>
      <t xml:space="preserve">7%</t>
    </r>
  </si>
  <si>
    <t xml:space="preserve">免费摇次数期望</t>
  </si>
  <si>
    <r>
      <rPr>
        <sz val="11"/>
        <color theme="1"/>
        <rFont val="Noto Sans SC"/>
        <family val="2"/>
        <charset val="134"/>
      </rPr>
      <t xml:space="preserve">原文：</t>
    </r>
    <r>
      <rPr>
        <sz val="11"/>
        <color theme="1"/>
        <rFont val="Calibri"/>
        <family val="2"/>
        <charset val="1"/>
      </rPr>
      <t xml:space="preserve">0.4725</t>
    </r>
    <r>
      <rPr>
        <sz val="11"/>
        <color theme="1"/>
        <rFont val="Noto Sans SC"/>
        <family val="2"/>
        <charset val="134"/>
      </rPr>
      <t xml:space="preserve">（每 </t>
    </r>
    <r>
      <rPr>
        <sz val="11"/>
        <color theme="1"/>
        <rFont val="Calibri"/>
        <family val="2"/>
        <charset val="1"/>
      </rPr>
      <t xml:space="preserve">1 </t>
    </r>
    <r>
      <rPr>
        <sz val="11"/>
        <color theme="1"/>
        <rFont val="Noto Sans SC"/>
        <family val="2"/>
        <charset val="134"/>
      </rPr>
      <t xml:space="preserve">次普通摇平均触发多少免费摇）</t>
    </r>
  </si>
  <si>
    <t xml:space="preserve">单次平均摇奖次数</t>
  </si>
  <si>
    <r>
      <rPr>
        <sz val="11"/>
        <color theme="1"/>
        <rFont val="Noto Sans SC"/>
        <family val="2"/>
        <charset val="134"/>
      </rPr>
      <t xml:space="preserve">无穷级数求和：含免费摇再触发，原文 </t>
    </r>
    <r>
      <rPr>
        <sz val="11"/>
        <color theme="1"/>
        <rFont val="Calibri"/>
        <family val="2"/>
        <charset val="1"/>
      </rPr>
      <t xml:space="preserve">1.8956</t>
    </r>
  </si>
  <si>
    <r>
      <rPr>
        <b val="true"/>
        <sz val="11"/>
        <rFont val="Noto Sans SC"/>
        <family val="2"/>
        <charset val="134"/>
      </rPr>
      <t xml:space="preserve">免费摇 </t>
    </r>
    <r>
      <rPr>
        <b val="true"/>
        <sz val="11"/>
        <rFont val="Cambria"/>
        <family val="0"/>
        <charset val="1"/>
      </rPr>
      <t xml:space="preserve">RTP</t>
    </r>
  </si>
  <si>
    <r>
      <rPr>
        <sz val="11"/>
        <color theme="1"/>
        <rFont val="Noto Sans SC"/>
        <family val="2"/>
        <charset val="134"/>
      </rPr>
      <t xml:space="preserve">＝ 期望次数 </t>
    </r>
    <r>
      <rPr>
        <sz val="11"/>
        <color theme="1"/>
        <rFont val="Calibri"/>
        <family val="2"/>
        <charset val="1"/>
      </rPr>
      <t xml:space="preserve">× </t>
    </r>
    <r>
      <rPr>
        <sz val="11"/>
        <color theme="1"/>
        <rFont val="Noto Sans SC"/>
        <family val="2"/>
        <charset val="134"/>
      </rPr>
      <t xml:space="preserve">平均摇奖次数 </t>
    </r>
    <r>
      <rPr>
        <sz val="11"/>
        <color theme="1"/>
        <rFont val="Calibri"/>
        <family val="2"/>
        <charset val="1"/>
      </rPr>
      <t xml:space="preserve">× </t>
    </r>
    <r>
      <rPr>
        <sz val="11"/>
        <color theme="1"/>
        <rFont val="Noto Sans SC"/>
        <family val="2"/>
        <charset val="134"/>
      </rPr>
      <t xml:space="preserve">单次标准图标 </t>
    </r>
    <r>
      <rPr>
        <sz val="11"/>
        <color theme="1"/>
        <rFont val="Calibri"/>
        <family val="2"/>
        <charset val="1"/>
      </rPr>
      <t xml:space="preserve">RTP</t>
    </r>
    <r>
      <rPr>
        <sz val="11"/>
        <color theme="1"/>
        <rFont val="Noto Sans SC"/>
        <family val="2"/>
        <charset val="134"/>
      </rPr>
      <t xml:space="preserve">，原文 </t>
    </r>
    <r>
      <rPr>
        <sz val="11"/>
        <color theme="1"/>
        <rFont val="Calibri"/>
        <family val="2"/>
        <charset val="1"/>
      </rPr>
      <t xml:space="preserve">0.4565</t>
    </r>
  </si>
  <si>
    <r>
      <rPr>
        <b val="true"/>
        <sz val="11"/>
        <rFont val="Noto Sans SC"/>
        <family val="2"/>
        <charset val="134"/>
      </rPr>
      <t xml:space="preserve">合计 </t>
    </r>
    <r>
      <rPr>
        <b val="true"/>
        <sz val="11"/>
        <rFont val="Cambria"/>
        <family val="0"/>
        <charset val="1"/>
      </rPr>
      <t xml:space="preserve">RTP</t>
    </r>
  </si>
  <si>
    <r>
      <rPr>
        <sz val="11"/>
        <color theme="1"/>
        <rFont val="Noto Sans SC"/>
        <family val="2"/>
        <charset val="134"/>
      </rPr>
      <t xml:space="preserve">＝ 普通摇 </t>
    </r>
    <r>
      <rPr>
        <sz val="11"/>
        <color theme="1"/>
        <rFont val="Calibri"/>
        <family val="2"/>
        <charset val="1"/>
      </rPr>
      <t xml:space="preserve">0.5097 </t>
    </r>
    <r>
      <rPr>
        <sz val="11"/>
        <color theme="1"/>
        <rFont val="Noto Sans SC"/>
        <family val="2"/>
        <charset val="134"/>
      </rPr>
      <t xml:space="preserve">＋ 免费摇 </t>
    </r>
    <r>
      <rPr>
        <sz val="11"/>
        <color theme="1"/>
        <rFont val="Calibri"/>
        <family val="2"/>
        <charset val="1"/>
      </rPr>
      <t xml:space="preserve">0.4565 </t>
    </r>
    <r>
      <rPr>
        <sz val="11"/>
        <color theme="1"/>
        <rFont val="Noto Sans SC"/>
        <family val="2"/>
        <charset val="134"/>
      </rPr>
      <t xml:space="preserve">＝ 原文 </t>
    </r>
    <r>
      <rPr>
        <sz val="11"/>
        <color theme="1"/>
        <rFont val="Calibri"/>
        <family val="2"/>
        <charset val="1"/>
      </rPr>
      <t xml:space="preserve">0.9662</t>
    </r>
  </si>
  <si>
    <r>
      <rPr>
        <sz val="11"/>
        <color rgb="FF808080"/>
        <rFont val="Noto Sans SC"/>
        <family val="2"/>
        <charset val="134"/>
      </rPr>
      <t xml:space="preserve">原文正文提到过另一版结果（免费摇 </t>
    </r>
    <r>
      <rPr>
        <sz val="11"/>
        <color rgb="FF808080"/>
        <rFont val="Cambria"/>
        <family val="0"/>
        <charset val="1"/>
      </rPr>
      <t xml:space="preserve">0.4736</t>
    </r>
    <r>
      <rPr>
        <sz val="11"/>
        <color rgb="FF808080"/>
        <rFont val="Noto Sans SC"/>
        <family val="2"/>
        <charset val="134"/>
      </rPr>
      <t xml:space="preserve">、合计 </t>
    </r>
    <r>
      <rPr>
        <sz val="11"/>
        <color rgb="FF808080"/>
        <rFont val="Cambria"/>
        <family val="0"/>
        <charset val="1"/>
      </rPr>
      <t xml:space="preserve">0.9771</t>
    </r>
    <r>
      <rPr>
        <sz val="11"/>
        <color rgb="FF808080"/>
        <rFont val="Noto Sans SC"/>
        <family val="2"/>
        <charset val="134"/>
      </rPr>
      <t xml:space="preserve">）——那是调整了免费摇次数或概率后的版本；本簿按配图数值复算，得到 </t>
    </r>
    <r>
      <rPr>
        <sz val="11"/>
        <color rgb="FF808080"/>
        <rFont val="Cambria"/>
        <family val="0"/>
        <charset val="1"/>
      </rPr>
      <t xml:space="preserve">0.4565 / 0.9662</t>
    </r>
    <r>
      <rPr>
        <sz val="11"/>
        <color rgb="FF808080"/>
        <rFont val="Noto Sans SC"/>
        <family val="2"/>
        <charset val="134"/>
      </rPr>
      <t xml:space="preserve">，与配图一致。</t>
    </r>
  </si>
  <si>
    <r>
      <rPr>
        <b val="true"/>
        <sz val="11"/>
        <color rgb="FF1F4E79"/>
        <rFont val="Noto Sans SC"/>
        <family val="2"/>
        <charset val="134"/>
      </rPr>
      <t xml:space="preserve">【</t>
    </r>
    <r>
      <rPr>
        <b val="true"/>
        <sz val="11"/>
        <color rgb="FF1F4E79"/>
        <rFont val="Cambria"/>
        <family val="0"/>
        <charset val="1"/>
      </rPr>
      <t xml:space="preserve">7</t>
    </r>
    <r>
      <rPr>
        <b val="true"/>
        <sz val="11"/>
        <color rgb="FF1F4E79"/>
        <rFont val="Noto Sans SC"/>
        <family val="2"/>
        <charset val="134"/>
      </rPr>
      <t xml:space="preserve">】自检</t>
    </r>
  </si>
  <si>
    <t xml:space="preserve">检查项</t>
  </si>
  <si>
    <t xml:space="preserve">结果</t>
  </si>
  <si>
    <r>
      <rPr>
        <sz val="11"/>
        <color theme="1"/>
        <rFont val="Noto Sans SC"/>
        <family val="2"/>
        <charset val="134"/>
      </rPr>
      <t xml:space="preserve">每列权重合计 ＝ </t>
    </r>
    <r>
      <rPr>
        <sz val="11"/>
        <color theme="1"/>
        <rFont val="Calibri"/>
        <family val="2"/>
        <charset val="1"/>
      </rPr>
      <t xml:space="preserve">10,000</t>
    </r>
  </si>
  <si>
    <t xml:space="preserve">原文①</t>
  </si>
  <si>
    <r>
      <rPr>
        <sz val="11"/>
        <color theme="1"/>
        <rFont val="Noto Sans SC"/>
        <family val="2"/>
        <charset val="134"/>
      </rPr>
      <t xml:space="preserve">出现几率 ＝（自身 ＋ </t>
    </r>
    <r>
      <rPr>
        <sz val="11"/>
        <color theme="1"/>
        <rFont val="Calibri"/>
        <family val="2"/>
        <charset val="1"/>
      </rPr>
      <t xml:space="preserve">Wild</t>
    </r>
    <r>
      <rPr>
        <sz val="11"/>
        <color theme="1"/>
        <rFont val="Noto Sans SC"/>
        <family val="2"/>
        <charset val="134"/>
      </rPr>
      <t xml:space="preserve">）</t>
    </r>
    <r>
      <rPr>
        <sz val="11"/>
        <color theme="1"/>
        <rFont val="Calibri"/>
        <family val="2"/>
        <charset val="1"/>
      </rPr>
      <t xml:space="preserve">÷ </t>
    </r>
    <r>
      <rPr>
        <sz val="11"/>
        <color theme="1"/>
        <rFont val="Noto Sans SC"/>
        <family val="2"/>
        <charset val="134"/>
      </rPr>
      <t xml:space="preserve">基数 </t>
    </r>
    <r>
      <rPr>
        <sz val="11"/>
        <color theme="1"/>
        <rFont val="Calibri"/>
        <family val="2"/>
        <charset val="1"/>
      </rPr>
      <t xml:space="preserve">× 3</t>
    </r>
  </si>
  <si>
    <r>
      <rPr>
        <sz val="11"/>
        <color theme="1"/>
        <rFont val="Noto Sans SC"/>
        <family val="2"/>
        <charset val="134"/>
      </rPr>
      <t xml:space="preserve">原文③ </t>
    </r>
    <r>
      <rPr>
        <sz val="11"/>
        <color theme="1"/>
        <rFont val="Calibri"/>
        <family val="2"/>
        <charset val="1"/>
      </rPr>
      <t xml:space="preserve">58.69%</t>
    </r>
  </si>
  <si>
    <r>
      <rPr>
        <sz val="11"/>
        <color theme="1"/>
        <rFont val="Noto Sans SC"/>
        <family val="2"/>
        <charset val="134"/>
      </rPr>
      <t xml:space="preserve">不出现几率 ＝ </t>
    </r>
    <r>
      <rPr>
        <sz val="11"/>
        <color theme="1"/>
        <rFont val="Calibri"/>
        <family val="2"/>
        <charset val="1"/>
      </rPr>
      <t xml:space="preserve">(1 −</t>
    </r>
    <r>
      <rPr>
        <sz val="11"/>
        <color theme="1"/>
        <rFont val="Noto Sans SC"/>
        <family val="2"/>
        <charset val="134"/>
      </rPr>
      <t xml:space="preserve">（自身 ＋ </t>
    </r>
    <r>
      <rPr>
        <sz val="11"/>
        <color theme="1"/>
        <rFont val="Calibri"/>
        <family val="2"/>
        <charset val="1"/>
      </rPr>
      <t xml:space="preserve">Wild</t>
    </r>
    <r>
      <rPr>
        <sz val="11"/>
        <color theme="1"/>
        <rFont val="Noto Sans SC"/>
        <family val="2"/>
        <charset val="134"/>
      </rPr>
      <t xml:space="preserve">）</t>
    </r>
    <r>
      <rPr>
        <sz val="11"/>
        <color theme="1"/>
        <rFont val="Calibri"/>
        <family val="2"/>
        <charset val="1"/>
      </rPr>
      <t xml:space="preserve">÷ </t>
    </r>
    <r>
      <rPr>
        <sz val="11"/>
        <color theme="1"/>
        <rFont val="Noto Sans SC"/>
        <family val="2"/>
        <charset val="134"/>
      </rPr>
      <t xml:space="preserve">基数</t>
    </r>
    <r>
      <rPr>
        <sz val="11"/>
        <color theme="1"/>
        <rFont val="Calibri"/>
        <family val="2"/>
        <charset val="1"/>
      </rPr>
      <t xml:space="preserve">)³</t>
    </r>
  </si>
  <si>
    <r>
      <rPr>
        <sz val="11"/>
        <color theme="1"/>
        <rFont val="Noto Sans SC"/>
        <family val="2"/>
        <charset val="134"/>
      </rPr>
      <t xml:space="preserve">原文④ </t>
    </r>
    <r>
      <rPr>
        <sz val="11"/>
        <color theme="1"/>
        <rFont val="Calibri"/>
        <family val="2"/>
        <charset val="1"/>
      </rPr>
      <t xml:space="preserve">52.04%</t>
    </r>
  </si>
  <si>
    <r>
      <rPr>
        <sz val="11"/>
        <color theme="1"/>
        <rFont val="Noto Sans SC"/>
        <family val="2"/>
        <charset val="134"/>
      </rPr>
      <t xml:space="preserve">普通摇实际 </t>
    </r>
    <r>
      <rPr>
        <sz val="11"/>
        <color theme="1"/>
        <rFont val="Calibri"/>
        <family val="2"/>
        <charset val="1"/>
      </rPr>
      <t xml:space="preserve">RTP </t>
    </r>
    <r>
      <rPr>
        <sz val="11"/>
        <color theme="1"/>
        <rFont val="Noto Sans SC"/>
        <family val="2"/>
        <charset val="134"/>
      </rPr>
      <t xml:space="preserve">＝ 原文 </t>
    </r>
    <r>
      <rPr>
        <sz val="11"/>
        <color theme="1"/>
        <rFont val="Calibri"/>
        <family val="2"/>
        <charset val="1"/>
      </rPr>
      <t xml:space="preserve">0.5097</t>
    </r>
  </si>
  <si>
    <t xml:space="preserve">原文⑤</t>
  </si>
  <si>
    <r>
      <rPr>
        <sz val="11"/>
        <color theme="1"/>
        <rFont val="Noto Sans SC"/>
        <family val="2"/>
        <charset val="134"/>
      </rPr>
      <t xml:space="preserve">免费摇次数期望 ＝ 原文 </t>
    </r>
    <r>
      <rPr>
        <sz val="11"/>
        <color theme="1"/>
        <rFont val="Calibri"/>
        <family val="2"/>
        <charset val="1"/>
      </rPr>
      <t xml:space="preserve">0.4725</t>
    </r>
  </si>
  <si>
    <t xml:space="preserve">原文⑦</t>
  </si>
  <si>
    <r>
      <rPr>
        <sz val="11"/>
        <color theme="1"/>
        <rFont val="Noto Sans SC"/>
        <family val="2"/>
        <charset val="134"/>
      </rPr>
      <t xml:space="preserve">单次平均摇奖次数 ＝ 原文 </t>
    </r>
    <r>
      <rPr>
        <sz val="11"/>
        <color theme="1"/>
        <rFont val="Calibri"/>
        <family val="2"/>
        <charset val="1"/>
      </rPr>
      <t xml:space="preserve">1.8956</t>
    </r>
  </si>
  <si>
    <t xml:space="preserve">无穷级数求和</t>
  </si>
  <si>
    <r>
      <rPr>
        <sz val="11"/>
        <color theme="1"/>
        <rFont val="Noto Sans SC"/>
        <family val="2"/>
        <charset val="134"/>
      </rPr>
      <t xml:space="preserve">合计 </t>
    </r>
    <r>
      <rPr>
        <sz val="11"/>
        <color theme="1"/>
        <rFont val="Calibri"/>
        <family val="2"/>
        <charset val="1"/>
      </rPr>
      <t xml:space="preserve">RTP </t>
    </r>
    <r>
      <rPr>
        <sz val="11"/>
        <color theme="1"/>
        <rFont val="Noto Sans SC"/>
        <family val="2"/>
        <charset val="134"/>
      </rPr>
      <t xml:space="preserve">＝ 原文 </t>
    </r>
    <r>
      <rPr>
        <sz val="11"/>
        <color theme="1"/>
        <rFont val="Calibri"/>
        <family val="2"/>
        <charset val="1"/>
      </rPr>
      <t xml:space="preserve">0.9662</t>
    </r>
  </si>
  <si>
    <t xml:space="preserve">配图汇总表</t>
  </si>
  <si>
    <t xml:space="preserve">说明：本页为按原文方法落地的配表实现；表内示例数值取自原文，原文未给的部分沿用同项目示例（蓝字可改）。</t>
  </si>
</sst>
</file>

<file path=xl/styles.xml><?xml version="1.0" encoding="utf-8"?>
<styleSheet xmlns="http://schemas.openxmlformats.org/spreadsheetml/2006/main">
  <numFmts count="6">
    <numFmt numFmtId="164" formatCode="General"/>
    <numFmt numFmtId="165" formatCode="#,##0.00"/>
    <numFmt numFmtId="166" formatCode="0.00%"/>
    <numFmt numFmtId="167" formatCode="0.0000"/>
    <numFmt numFmtId="168" formatCode="0.0000%"/>
    <numFmt numFmtId="169" formatCode="0.0000000000%"/>
  </numFmts>
  <fonts count="17">
    <font>
      <sz val="11"/>
      <color theme="1"/>
      <name val="Noto Sans SC"/>
      <family val="2"/>
      <charset val="134"/>
    </font>
    <font>
      <sz val="10"/>
      <name val="Arial"/>
      <family val="0"/>
      <charset val="134"/>
    </font>
    <font>
      <sz val="10"/>
      <name val="Arial"/>
      <family val="0"/>
      <charset val="134"/>
    </font>
    <font>
      <sz val="10"/>
      <name val="Arial"/>
      <family val="0"/>
      <charset val="134"/>
    </font>
    <font>
      <b val="true"/>
      <sz val="14"/>
      <color rgb="FF1F4E79"/>
      <name val="Noto Sans SC"/>
      <family val="2"/>
      <charset val="134"/>
    </font>
    <font>
      <b val="true"/>
      <sz val="14"/>
      <color rgb="FF1F4E79"/>
      <name val="Cambria"/>
      <family val="0"/>
      <charset val="1"/>
    </font>
    <font>
      <sz val="11"/>
      <color rgb="FF808080"/>
      <name val="Noto Sans SC"/>
      <family val="2"/>
      <charset val="134"/>
    </font>
    <font>
      <sz val="11"/>
      <color rgb="FF808080"/>
      <name val="Cambria"/>
      <family val="0"/>
      <charset val="1"/>
    </font>
    <font>
      <b val="true"/>
      <sz val="11"/>
      <name val="Noto Sans SC"/>
      <family val="2"/>
      <charset val="134"/>
    </font>
    <font>
      <sz val="11"/>
      <color theme="1"/>
      <name val="Calibri"/>
      <family val="2"/>
      <charset val="1"/>
    </font>
    <font>
      <b val="true"/>
      <sz val="11"/>
      <name val="Cambria"/>
      <family val="0"/>
      <charset val="1"/>
    </font>
    <font>
      <b val="true"/>
      <sz val="11"/>
      <color rgb="FF1F4E79"/>
      <name val="Noto Sans SC"/>
      <family val="2"/>
      <charset val="134"/>
    </font>
    <font>
      <b val="true"/>
      <sz val="11"/>
      <color rgb="FF1F4E79"/>
      <name val="Cambria"/>
      <family val="0"/>
      <charset val="1"/>
    </font>
    <font>
      <sz val="11"/>
      <color rgb="FF0000FF"/>
      <name val="Cambria"/>
      <family val="0"/>
      <charset val="1"/>
    </font>
    <font>
      <sz val="11"/>
      <color rgb="FF0000FF"/>
      <name val="Noto Sans SC"/>
      <family val="2"/>
      <charset val="134"/>
    </font>
    <font>
      <sz val="11"/>
      <color rgb="FF000000"/>
      <name val="Cambria"/>
      <family val="0"/>
      <charset val="1"/>
    </font>
    <font>
      <sz val="11"/>
      <color rgb="FF000000"/>
      <name val="Noto Sans SC"/>
      <family val="2"/>
      <charset val="134"/>
    </font>
  </fonts>
  <fills count="5">
    <fill>
      <patternFill patternType="none"/>
    </fill>
    <fill>
      <patternFill patternType="gray125"/>
    </fill>
    <fill>
      <patternFill patternType="solid">
        <fgColor rgb="FFB4C7E7"/>
        <bgColor rgb="FFCCCCFF"/>
      </patternFill>
    </fill>
    <fill>
      <patternFill patternType="solid">
        <fgColor rgb="FFDEEBF7"/>
        <bgColor rgb="FFCCFFFF"/>
      </patternFill>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tru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top" textRotation="0" wrapText="true" indent="0" shrinkToFit="false"/>
      <protection locked="true" hidden="false"/>
    </xf>
    <xf numFmtId="164" fontId="9" fillId="0" borderId="0" xfId="0" applyFont="true" applyBorder="false" applyAlignment="true" applyProtection="true">
      <alignment horizontal="general" vertical="top" textRotation="0" wrapText="true" indent="0" shrinkToFit="false"/>
      <protection locked="true" hidden="false"/>
    </xf>
    <xf numFmtId="164" fontId="9" fillId="0" borderId="0" xfId="0" applyFont="true" applyBorder="true" applyAlignment="true" applyProtection="true">
      <alignment horizontal="general" vertical="top" textRotation="0" wrapText="tru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xf numFmtId="164" fontId="11" fillId="2" borderId="0" xfId="0" applyFont="true" applyBorder="tru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11" fillId="3" borderId="0" xfId="0" applyFont="true" applyBorder="false" applyAlignment="true" applyProtection="true">
      <alignment horizontal="center" vertical="center" textRotation="0" wrapText="false" indent="0" shrinkToFit="false"/>
      <protection locked="true" hidden="false"/>
    </xf>
    <xf numFmtId="164" fontId="13"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true" applyAlignment="true" applyProtection="true">
      <alignment horizontal="general" vertical="bottom" textRotation="0" wrapText="false" indent="0" shrinkToFit="false"/>
      <protection locked="true" hidden="false"/>
    </xf>
    <xf numFmtId="165" fontId="13" fillId="0" borderId="0" xfId="0" applyFont="true" applyBorder="false" applyAlignment="true" applyProtection="true">
      <alignment horizontal="general" vertical="bottom" textRotation="0" wrapText="false" indent="0" shrinkToFit="false"/>
      <protection locked="true" hidden="false"/>
    </xf>
    <xf numFmtId="166" fontId="15"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5" fontId="15" fillId="0" borderId="0" xfId="0" applyFont="true" applyBorder="false" applyAlignment="true" applyProtection="true">
      <alignment horizontal="general" vertical="bottom" textRotation="0" wrapText="false" indent="0" shrinkToFit="false"/>
      <protection locked="true" hidden="false"/>
    </xf>
    <xf numFmtId="167" fontId="10" fillId="4"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4" fontId="12" fillId="3" borderId="0" xfId="0" applyFont="true" applyBorder="false" applyAlignment="true" applyProtection="true">
      <alignment horizontal="center" vertical="center" textRotation="0" wrapText="false" indent="0" shrinkToFit="false"/>
      <protection locked="true" hidden="false"/>
    </xf>
    <xf numFmtId="168" fontId="15" fillId="0" borderId="0" xfId="0" applyFont="true" applyBorder="false" applyAlignment="true" applyProtection="true">
      <alignment horizontal="general" vertical="bottom" textRotation="0" wrapText="false" indent="0" shrinkToFit="false"/>
      <protection locked="true" hidden="false"/>
    </xf>
    <xf numFmtId="167" fontId="1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true" applyAlignment="true" applyProtection="true">
      <alignment horizontal="general" vertical="top" textRotation="0" wrapText="true" indent="0" shrinkToFit="false"/>
      <protection locked="true" hidden="false"/>
    </xf>
    <xf numFmtId="164" fontId="16"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top" textRotation="0" indent="0" shrinkToFit="false"/>
      <protection locked="true" hidden="false"/>
    </xf>
    <xf numFmtId="164" fontId="9" fillId="0" borderId="0" xfId="0" applyFont="true" applyBorder="true" applyAlignment="true" applyProtection="true">
      <alignment horizontal="general" vertical="top" textRotation="0" indent="0" shrinkToFit="false"/>
      <protection locked="true" hidden="false"/>
    </xf>
    <xf numFmtId="164" fontId="0" fillId="0" borderId="0" xfId="0" applyFont="true" applyBorder="false" applyAlignment="true" applyProtection="true">
      <alignment horizontal="general" vertical="top" textRotation="0" indent="0" shrinkToFit="false"/>
      <protection locked="true" hidden="false"/>
    </xf>
    <xf numFmtId="164" fontId="8" fillId="0" borderId="0" xfId="0" applyFont="true" applyBorder="false" applyAlignment="true" applyProtection="true">
      <alignment horizontal="general" vertical="top" textRotation="0" indent="0" shrinkToFit="false"/>
      <protection locked="true" hidden="false"/>
    </xf>
    <xf numFmtId="0" fontId="9" fillId="0" borderId="0" xfId="0" applyFont="true" applyBorder="false" applyAlignment="true" applyProtection="true">
      <alignment horizontal="general" vertical="top" textRotation="0" indent="0" shrinkToFit="false"/>
      <protection locked="true" hidden="false"/>
    </xf>
    <xf numFmtId="0" fontId="9" fillId="0" borderId="0" xfId="0" applyFont="true" applyBorder="false" applyAlignment="true" applyProtection="true">
      <alignment horizontal="general" vertical="bottom" textRotation="0" wrapText="false" indent="0" shrinkToFit="false"/>
      <protection locked="true" hidden="false"/>
    </xf>
    <xf numFmtId="169" applyNumberFormat="1" fontId="15" fillId="0" borderId="0" xfId="0" applyFont="true" applyBorder="false" applyAlignment="true" applyProtection="true">
      <alignment horizontal="general" vertical="bottom" textRotation="0" wrapText="false" indent="0" shrinkToFit="false"/>
      <protection locked="true" hidden="false"/>
    </xf>
    <xf numFmtId="169" applyNumberFormat="1" fontId="15"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C7E7"/>
      <rgbColor rgb="FF808080"/>
      <rgbColor rgb="FF9999FF"/>
      <rgbColor rgb="FF993366"/>
      <rgbColor rgb="FFFFFFCC"/>
      <rgbColor rgb="FFDE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1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7.69140625" defaultRowHeight="15" customHeight="false" zeroHeight="false" outlineLevelRow="0" outlineLevelCol="0"/>
  <cols>
    <col collapsed="false" customWidth="true" hidden="false" outlineLevel="0" max="1" min="1" style="0" width="42.14"/>
  </cols>
  <sheetData>
    <row r="1" customFormat="false" ht="19" hidden="false" customHeight="false" outlineLevel="0" collapsed="false">
      <c r="A1" s="1" t="s">
        <v>0</v>
      </c>
    </row>
    <row r="3" customFormat="false" ht="15.5" hidden="false" customHeight="false" outlineLevel="0" collapsed="false">
      <c r="A3" s="2" t="s">
        <v>1</v>
      </c>
    </row>
    <row r="4" customFormat="false" ht="15.5" hidden="false" customHeight="false" outlineLevel="0" collapsed="false">
      <c r="A4" s="2" t="s">
        <v>2</v>
      </c>
    </row>
    <row r="5" customFormat="false" ht="15.5" hidden="false" customHeight="false" outlineLevel="0" collapsed="false">
      <c r="A5" s="3" t="s">
        <v>3</v>
      </c>
      <c r="B5" s="3"/>
      <c r="C5" s="3"/>
      <c r="D5" s="3"/>
    </row>
    <row r="6" customFormat="false" ht="15.5" hidden="false" customHeight="false" outlineLevel="0" collapsed="false">
      <c r="A6" s="3" t="s">
        <v>4</v>
      </c>
      <c r="B6" s="3"/>
      <c r="C6" s="3"/>
    </row>
    <row r="7" customFormat="false" ht="15.5" hidden="false" customHeight="false" outlineLevel="0" collapsed="false">
      <c r="A7" s="3" t="s">
        <v>5</v>
      </c>
      <c r="B7" s="3"/>
      <c r="C7" s="3"/>
      <c r="D7" s="3"/>
      <c r="E7" s="3"/>
      <c r="F7" s="3"/>
      <c r="G7" s="3"/>
      <c r="H7" s="3"/>
      <c r="I7" s="3"/>
    </row>
    <row r="9" customFormat="false" ht="15" hidden="false" customHeight="false" outlineLevel="0" collapsed="false">
      <c r="A9" s="4" t="s">
        <v>6</v>
      </c>
    </row>
    <row r="10" customFormat="false" ht="29" hidden="false" customHeight="false" outlineLevel="0" collapsed="false">
      <c r="A10" s="28" t="s">
        <v>7</v>
      </c>
    </row>
    <row r="11" customFormat="false" ht="29" hidden="false" customHeight="false" outlineLevel="0" collapsed="false">
      <c r="A11" s="28" t="s">
        <v>8</v>
      </c>
    </row>
    <row r="12" customFormat="false" ht="15" hidden="false" customHeight="false" outlineLevel="0" collapsed="false">
      <c r="A12" s="5"/>
    </row>
    <row r="13" customFormat="false" ht="15" hidden="false" customHeight="false" outlineLevel="0" collapsed="false">
      <c r="A13" s="4" t="s">
        <v>9</v>
      </c>
    </row>
    <row r="14" customFormat="false" ht="15" hidden="false" customHeight="1" outlineLevel="0" collapsed="false">
      <c r="A14" s="29" t="s">
        <v>10</v>
      </c>
      <c r="B14" s="6"/>
      <c r="C14" s="6"/>
    </row>
    <row r="15" customFormat="false" ht="42" hidden="false" customHeight="false" outlineLevel="0" collapsed="false">
      <c r="A15" s="28" t="s">
        <v>11</v>
      </c>
    </row>
    <row r="16" customFormat="false" ht="15" hidden="false" customHeight="1" outlineLevel="0" collapsed="false">
      <c r="A16" s="29" t="s">
        <v>12</v>
      </c>
      <c r="B16" s="6"/>
      <c r="C16" s="6"/>
    </row>
    <row r="17" customFormat="false" ht="15" hidden="false" customHeight="false" outlineLevel="0" collapsed="false">
      <c r="A17" s="5"/>
    </row>
    <row r="18" customFormat="false" ht="15" hidden="false" customHeight="false" outlineLevel="0" collapsed="false">
      <c r="A18" s="4" t="s">
        <v>13</v>
      </c>
    </row>
    <row r="19" customFormat="false" ht="29" hidden="false" customHeight="false" outlineLevel="0" collapsed="false">
      <c r="A19" s="28" t="s">
        <v>14</v>
      </c>
    </row>
    <row r="20" customFormat="false" ht="30" hidden="false" customHeight="false" outlineLevel="0" collapsed="false">
      <c r="A20" s="30" t="s">
        <v>15</v>
      </c>
    </row>
    <row r="21" customFormat="false" ht="30" hidden="false" customHeight="false" outlineLevel="0" collapsed="false">
      <c r="A21" s="28" t="s">
        <v>16</v>
      </c>
    </row>
    <row r="22" customFormat="false" ht="30" hidden="false" customHeight="false" outlineLevel="0" collapsed="false">
      <c r="A22" s="30" t="s">
        <v>17</v>
      </c>
    </row>
    <row r="23" customFormat="false" ht="30" hidden="false" customHeight="false" outlineLevel="0" collapsed="false">
      <c r="A23" s="28" t="s">
        <v>18</v>
      </c>
    </row>
    <row r="24" customFormat="false" ht="30" hidden="false" customHeight="false" outlineLevel="0" collapsed="false">
      <c r="A24" s="30" t="s">
        <v>19</v>
      </c>
    </row>
    <row r="25" customFormat="false" ht="30" hidden="false" customHeight="false" outlineLevel="0" collapsed="false">
      <c r="A25" s="28" t="s">
        <v>20</v>
      </c>
    </row>
    <row r="26" customFormat="false" ht="30" hidden="false" customHeight="false" outlineLevel="0" collapsed="false">
      <c r="A26" s="32">
        <v>5</v>
      </c>
    </row>
    <row r="27" customFormat="false" ht="30" hidden="false" customHeight="false" outlineLevel="0" collapsed="false">
      <c r="A27" s="30" t="s">
        <v>22</v>
      </c>
    </row>
    <row r="28" customFormat="false" ht="30" hidden="false" customHeight="false" outlineLevel="0" collapsed="false">
      <c r="A28" s="28" t="s">
        <v>23</v>
      </c>
    </row>
    <row r="29" customFormat="false" ht="29" hidden="false" customHeight="false" outlineLevel="0" collapsed="false">
      <c r="A29" s="30" t="s">
        <v>24</v>
      </c>
    </row>
    <row r="30" customFormat="false" ht="29" hidden="false" customHeight="false" outlineLevel="0" collapsed="false">
      <c r="A30" s="28" t="s">
        <v>25</v>
      </c>
    </row>
    <row r="32" customFormat="false" ht="15" hidden="false" customHeight="false" outlineLevel="0" collapsed="false">
      <c r="A32" s="4" t="s">
        <v>26</v>
      </c>
    </row>
    <row r="33" customFormat="false" ht="15" hidden="false" customHeight="false" outlineLevel="0" collapsed="false">
      <c r="A33" s="7"/>
    </row>
    <row r="34" customFormat="false" ht="29" hidden="false" customHeight="false" outlineLevel="0" collapsed="false">
      <c r="A34" s="30" t="s">
        <v>27</v>
      </c>
    </row>
    <row r="35" customFormat="false" ht="29" hidden="false" customHeight="false" outlineLevel="0" collapsed="false">
      <c r="A35" s="30" t="s">
        <v>28</v>
      </c>
    </row>
    <row r="36" customFormat="false" ht="16" hidden="false" customHeight="false" outlineLevel="0" collapsed="false">
      <c r="A36" s="30" t="s">
        <v>29</v>
      </c>
    </row>
    <row r="37" customFormat="false" ht="15" hidden="false" customHeight="false" outlineLevel="0" collapsed="false">
      <c r="A37" s="7"/>
    </row>
    <row r="38" customFormat="false" ht="16" hidden="false" customHeight="false" outlineLevel="0" collapsed="false">
      <c r="A38" s="7" t="s">
        <v>30</v>
      </c>
    </row>
    <row r="39" customFormat="false" ht="30" hidden="false" customHeight="false" outlineLevel="0" collapsed="false">
      <c r="A39" s="30" t="s">
        <v>31</v>
      </c>
    </row>
    <row r="40" customFormat="false" ht="15" hidden="false" customHeight="false" outlineLevel="0" collapsed="false">
      <c r="A40" s="7"/>
    </row>
    <row r="41" customFormat="false" ht="16" hidden="false" customHeight="false" outlineLevel="0" collapsed="false">
      <c r="A41" s="7" t="s">
        <v>32</v>
      </c>
    </row>
    <row r="42" customFormat="false" ht="30" hidden="false" customHeight="false" outlineLevel="0" collapsed="false">
      <c r="A42" s="30" t="s">
        <v>33</v>
      </c>
    </row>
    <row r="43" customFormat="false" ht="15" hidden="false" customHeight="false" outlineLevel="0" collapsed="false">
      <c r="A43" s="7"/>
    </row>
    <row r="44" customFormat="false" ht="15" hidden="false" customHeight="false" outlineLevel="0" collapsed="false">
      <c r="A44" s="7" t="s">
        <v>34</v>
      </c>
    </row>
    <row r="45" customFormat="false" ht="15" hidden="false" customHeight="false" outlineLevel="0" collapsed="false">
      <c r="A45" s="7" t="s">
        <v>35</v>
      </c>
    </row>
    <row r="46" customFormat="false" ht="28" hidden="false" customHeight="false" outlineLevel="0" collapsed="false">
      <c r="A46" s="30" t="s">
        <v>36</v>
      </c>
    </row>
    <row r="47" customFormat="false" ht="28" hidden="false" customHeight="false" outlineLevel="0" collapsed="false">
      <c r="A47" s="30" t="s">
        <v>37</v>
      </c>
    </row>
    <row r="48" customFormat="false" ht="15" hidden="false" customHeight="1" outlineLevel="0" collapsed="false">
      <c r="A48" s="29" t="s">
        <v>38</v>
      </c>
      <c r="B48" s="6"/>
      <c r="C48" s="6"/>
      <c r="D48" s="6"/>
      <c r="E48" s="6"/>
      <c r="F48" s="6"/>
      <c r="G48" s="6"/>
    </row>
    <row r="49" customFormat="false" ht="15" hidden="false" customHeight="false" outlineLevel="0" collapsed="false">
      <c r="A49" s="7"/>
    </row>
    <row r="50" customFormat="false" ht="16" hidden="false" customHeight="false" outlineLevel="0" collapsed="false">
      <c r="A50" s="7" t="s">
        <v>39</v>
      </c>
    </row>
    <row r="51" customFormat="false" ht="15" hidden="false" customHeight="false" outlineLevel="0" collapsed="false">
      <c r="A51" s="7"/>
    </row>
    <row r="52" customFormat="false" ht="15" hidden="false" customHeight="false" outlineLevel="0" collapsed="false">
      <c r="A52" s="7" t="s">
        <v>40</v>
      </c>
    </row>
    <row r="53" customFormat="false" ht="28" hidden="false" customHeight="false" outlineLevel="0" collapsed="false">
      <c r="A53" s="30" t="s">
        <v>41</v>
      </c>
    </row>
    <row r="54" customFormat="false" ht="29" hidden="false" customHeight="false" outlineLevel="0" collapsed="false">
      <c r="A54" s="30" t="s">
        <v>42</v>
      </c>
    </row>
    <row r="55" customFormat="false" ht="28" hidden="false" customHeight="false" outlineLevel="0" collapsed="false">
      <c r="A55" s="30" t="s">
        <v>43</v>
      </c>
    </row>
    <row r="56" customFormat="false" ht="15" hidden="false" customHeight="false" outlineLevel="0" collapsed="false">
      <c r="A56" s="7"/>
    </row>
    <row r="57" customFormat="false" ht="16" hidden="false" customHeight="false" outlineLevel="0" collapsed="false">
      <c r="A57" s="7" t="s">
        <v>44</v>
      </c>
    </row>
    <row r="58" customFormat="false" ht="15" hidden="false" customHeight="false" outlineLevel="0" collapsed="false">
      <c r="A58" s="7"/>
    </row>
    <row r="59" customFormat="false" ht="15" hidden="false" customHeight="false" outlineLevel="0" collapsed="false">
      <c r="A59" s="7" t="s">
        <v>45</v>
      </c>
    </row>
    <row r="60" customFormat="false" ht="30" hidden="false" customHeight="false" outlineLevel="0" collapsed="false">
      <c r="A60" s="30" t="s">
        <v>46</v>
      </c>
    </row>
    <row r="61" customFormat="false" ht="16" hidden="false" customHeight="false" outlineLevel="0" collapsed="false">
      <c r="A61" s="7" t="s">
        <v>47</v>
      </c>
    </row>
    <row r="62" customFormat="false" ht="28" hidden="false" customHeight="false" outlineLevel="0" collapsed="false">
      <c r="A62" s="30" t="s">
        <v>48</v>
      </c>
    </row>
    <row r="63" customFormat="false" ht="15" hidden="false" customHeight="false" outlineLevel="0" collapsed="false">
      <c r="A63" s="7" t="s">
        <v>49</v>
      </c>
    </row>
    <row r="64" customFormat="false" ht="30" hidden="false" customHeight="false" outlineLevel="0" collapsed="false">
      <c r="A64" s="30" t="s">
        <v>50</v>
      </c>
    </row>
    <row r="65" customFormat="false" ht="15" hidden="false" customHeight="false" outlineLevel="0" collapsed="false">
      <c r="A65" s="7" t="s">
        <v>51</v>
      </c>
    </row>
    <row r="66" customFormat="false" ht="29" hidden="false" customHeight="false" outlineLevel="0" collapsed="false">
      <c r="A66" s="30" t="s">
        <v>52</v>
      </c>
    </row>
    <row r="67" customFormat="false" ht="15" hidden="false" customHeight="false" outlineLevel="0" collapsed="false">
      <c r="A67" s="7"/>
    </row>
    <row r="68" customFormat="false" ht="16" hidden="false" customHeight="false" outlineLevel="0" collapsed="false">
      <c r="A68" s="7" t="s">
        <v>53</v>
      </c>
    </row>
    <row r="69" customFormat="false" ht="15" hidden="false" customHeight="false" outlineLevel="0" collapsed="false">
      <c r="A69" s="7"/>
    </row>
    <row r="70" customFormat="false" ht="42" hidden="false" customHeight="false" outlineLevel="0" collapsed="false">
      <c r="A70" s="30" t="s">
        <v>54</v>
      </c>
    </row>
    <row r="71" customFormat="false" ht="30" hidden="false" customHeight="false" outlineLevel="0" collapsed="false">
      <c r="A71" s="30" t="s">
        <v>55</v>
      </c>
    </row>
    <row r="72" customFormat="false" ht="16" hidden="false" customHeight="false" outlineLevel="0" collapsed="false">
      <c r="A72" s="7" t="s">
        <v>56</v>
      </c>
    </row>
    <row r="73" customFormat="false" ht="28" hidden="false" customHeight="false" outlineLevel="0" collapsed="false">
      <c r="A73" s="30" t="s">
        <v>57</v>
      </c>
    </row>
    <row r="74" customFormat="false" ht="16" hidden="false" customHeight="false" outlineLevel="0" collapsed="false">
      <c r="A74" s="7" t="s">
        <v>58</v>
      </c>
    </row>
    <row r="75" customFormat="false" ht="15" hidden="false" customHeight="false" outlineLevel="0" collapsed="false">
      <c r="A75" s="7"/>
    </row>
    <row r="76" customFormat="false" ht="16" hidden="false" customHeight="false" outlineLevel="0" collapsed="false">
      <c r="A76" s="7" t="s">
        <v>59</v>
      </c>
    </row>
    <row r="77" customFormat="false" ht="15" hidden="false" customHeight="false" outlineLevel="0" collapsed="false">
      <c r="A77" s="7"/>
    </row>
    <row r="78" customFormat="false" ht="27.5" hidden="false" customHeight="false" outlineLevel="0" collapsed="false">
      <c r="A78" s="30" t="s">
        <v>60</v>
      </c>
    </row>
    <row r="79" customFormat="false" ht="16" hidden="false" customHeight="false" outlineLevel="0" collapsed="false">
      <c r="A79" s="7" t="s">
        <v>61</v>
      </c>
    </row>
    <row r="80" customFormat="false" ht="30" hidden="false" customHeight="false" outlineLevel="0" collapsed="false">
      <c r="A80" s="30" t="s">
        <v>62</v>
      </c>
    </row>
    <row r="81" customFormat="false" ht="28" hidden="false" customHeight="false" outlineLevel="0" collapsed="false">
      <c r="A81" s="30" t="s">
        <v>63</v>
      </c>
    </row>
    <row r="82" customFormat="false" ht="15" hidden="false" customHeight="false" outlineLevel="0" collapsed="false">
      <c r="A82" s="7"/>
    </row>
    <row r="83" customFormat="false" ht="16" hidden="false" customHeight="false" outlineLevel="0" collapsed="false">
      <c r="A83" s="7" t="s">
        <v>64</v>
      </c>
    </row>
    <row r="84" customFormat="false" ht="15" hidden="false" customHeight="false" outlineLevel="0" collapsed="false">
      <c r="A84" s="7"/>
    </row>
    <row r="85" customFormat="false" ht="28" hidden="false" customHeight="false" outlineLevel="0" collapsed="false">
      <c r="A85" s="30" t="s">
        <v>65</v>
      </c>
    </row>
    <row r="86" customFormat="false" ht="15" hidden="false" customHeight="false" outlineLevel="0" collapsed="false">
      <c r="A86" s="5" t="s">
        <v>66</v>
      </c>
    </row>
    <row r="87" customFormat="false" ht="29" hidden="false" customHeight="false" outlineLevel="0" collapsed="false">
      <c r="A87" s="30" t="s">
        <v>67</v>
      </c>
    </row>
    <row r="88" customFormat="false" ht="15" hidden="false" customHeight="false" outlineLevel="0" collapsed="false">
      <c r="A88" s="7"/>
    </row>
    <row r="89" customFormat="false" ht="16" hidden="false" customHeight="false" outlineLevel="0" collapsed="false">
      <c r="A89" s="7" t="s">
        <v>68</v>
      </c>
    </row>
    <row r="90" customFormat="false" ht="15" hidden="false" customHeight="false" outlineLevel="0" collapsed="false">
      <c r="A90" s="7"/>
    </row>
    <row r="91" customFormat="false" ht="30" hidden="false" customHeight="false" outlineLevel="0" collapsed="false">
      <c r="A91" s="30" t="s">
        <v>69</v>
      </c>
    </row>
    <row r="92" customFormat="false" ht="16" hidden="false" customHeight="false" outlineLevel="0" collapsed="false">
      <c r="A92" s="7" t="s">
        <v>70</v>
      </c>
    </row>
    <row r="93" customFormat="false" ht="15" hidden="false" customHeight="false" outlineLevel="0" collapsed="false">
      <c r="A93" s="7"/>
    </row>
    <row r="94" customFormat="false" ht="16" hidden="false" customHeight="false" outlineLevel="0" collapsed="false">
      <c r="A94" s="7" t="s">
        <v>71</v>
      </c>
    </row>
    <row r="96" customFormat="false" ht="15.5" hidden="false" customHeight="false" outlineLevel="0" collapsed="false">
      <c r="A96" s="31" t="s">
        <v>72</v>
      </c>
    </row>
    <row r="97" customFormat="false" ht="15.5" hidden="false" customHeight="false" outlineLevel="0" collapsed="false">
      <c r="A97" s="2" t="s">
        <v>73</v>
      </c>
    </row>
    <row r="98" customFormat="false" ht="15.5" hidden="false" customHeight="false" outlineLevel="0" collapsed="false">
      <c r="A98" s="2" t="s">
        <v>74</v>
      </c>
    </row>
    <row r="99" customFormat="false" ht="15.5" hidden="false" customHeight="false" outlineLevel="0" collapsed="false">
      <c r="A99" s="2" t="s">
        <v>75</v>
      </c>
    </row>
    <row r="100" customFormat="false" ht="15.5" hidden="false" customHeight="false" outlineLevel="0" collapsed="false">
      <c r="A100" s="2" t="s">
        <v>76</v>
      </c>
    </row>
    <row r="101" customFormat="false" ht="15.5" hidden="false" customHeight="false" outlineLevel="0" collapsed="false">
      <c r="A101" s="2" t="s">
        <v>77</v>
      </c>
    </row>
    <row r="102" customFormat="false" ht="15.5" hidden="false" customHeight="false" outlineLevel="0" collapsed="false">
      <c r="A102" s="2" t="s">
        <v>78</v>
      </c>
    </row>
    <row r="103" customFormat="false" ht="15.5" hidden="false" customHeight="false" outlineLevel="0" collapsed="false">
      <c r="A103" s="2" t="s">
        <v>79</v>
      </c>
    </row>
    <row r="105" customFormat="false" ht="15" hidden="false" customHeight="false" outlineLevel="0" collapsed="false">
      <c r="A105" s="4" t="s">
        <v>80</v>
      </c>
    </row>
    <row r="106" customFormat="false" ht="30" hidden="false" customHeight="false" outlineLevel="0" collapsed="false">
      <c r="A106" s="30" t="s">
        <v>81</v>
      </c>
    </row>
    <row r="107" customFormat="false" ht="28" hidden="false" customHeight="false" outlineLevel="0" collapsed="false">
      <c r="A107" s="30" t="s">
        <v>82</v>
      </c>
    </row>
    <row r="108" customFormat="false" ht="15" hidden="false" customHeight="false" outlineLevel="0" collapsed="false">
      <c r="A108" s="7"/>
    </row>
    <row r="109" customFormat="false" ht="15" hidden="false" customHeight="false" outlineLevel="0" collapsed="false">
      <c r="A109" s="4" t="s">
        <v>83</v>
      </c>
    </row>
    <row r="110" customFormat="false" ht="28" hidden="false" customHeight="false" outlineLevel="0" collapsed="false">
      <c r="A110" s="30" t="s">
        <v>84</v>
      </c>
    </row>
    <row r="111" customFormat="false" ht="29" hidden="false" customHeight="false" outlineLevel="0" collapsed="false">
      <c r="A111" s="30" t="s">
        <v>85</v>
      </c>
    </row>
    <row r="113" customFormat="false" ht="15.5" hidden="false" customHeight="false" outlineLevel="0" collapsed="false">
      <c r="A113" s="8" t="s">
        <v>86</v>
      </c>
    </row>
  </sheetData>
  <mergeCells count="6">
    <mergeCell ref="A5:L5"/>
    <mergeCell ref="A6:J6"/>
    <mergeCell ref="A7:Z7"/>
    <mergeCell ref="A14:I14"/>
    <mergeCell ref="A16:J16"/>
    <mergeCell ref="A48:P4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ignoredErrors>
    <ignoredError sqref="A1:N133" evalError="1" twoDigitTextYear="1" numberStoredAsText="1" formula="1" formulaRange="1" unlockedFormula="1" emptyCellReference="1" listDataValidation="1" calculatedColumn="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9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7.69140625" defaultRowHeight="15" customHeight="false" zeroHeight="false" outlineLevelRow="0" outlineLevelCol="0"/>
  <cols>
    <col collapsed="false" customWidth="true" hidden="false" outlineLevel="0" max="1" min="1" style="9" width="27.31"/>
    <col collapsed="false" customWidth="true" hidden="false" outlineLevel="0" max="7" min="2" style="9" width="14.56"/>
    <col collapsed="false" customWidth="true" hidden="false" outlineLevel="0" max="8" min="8" style="9" width="49.13"/>
  </cols>
  <sheetData>
    <row r="1" customFormat="false" ht="19" hidden="false" customHeight="false" outlineLevel="0" collapsed="false">
      <c r="A1" s="10" t="s">
        <v>87</v>
      </c>
      <c r="B1" s="10"/>
      <c r="C1" s="10"/>
      <c r="D1" s="10"/>
      <c r="E1" s="10"/>
      <c r="F1" s="10"/>
      <c r="G1" s="10"/>
      <c r="H1" s="10"/>
    </row>
    <row r="3" customFormat="false" ht="15.5" hidden="false" customHeight="false" outlineLevel="0" collapsed="false">
      <c r="A3" s="11" t="s">
        <v>88</v>
      </c>
      <c r="B3" s="11"/>
      <c r="C3" s="11"/>
      <c r="D3" s="12"/>
      <c r="E3" s="12"/>
      <c r="F3" s="12"/>
      <c r="G3" s="12"/>
      <c r="H3" s="12"/>
    </row>
    <row r="4" customFormat="false" ht="15" hidden="false" customHeight="false" outlineLevel="0" collapsed="false">
      <c r="A4" s="13" t="s">
        <v>89</v>
      </c>
      <c r="B4" s="13" t="s">
        <v>90</v>
      </c>
      <c r="C4" s="13" t="s">
        <v>83</v>
      </c>
      <c r="D4" s="13"/>
      <c r="E4" s="13"/>
      <c r="F4" s="13"/>
      <c r="G4" s="13"/>
      <c r="H4" s="13"/>
    </row>
    <row r="5" customFormat="false" ht="16" hidden="false" customHeight="false" outlineLevel="0" collapsed="false">
      <c r="A5" s="9" t="s">
        <v>91</v>
      </c>
      <c r="B5" s="14" t="s">
        <v>92</v>
      </c>
      <c r="C5" s="33">
        <v>3</v>
      </c>
    </row>
    <row r="6" customFormat="false" ht="15" hidden="false" customHeight="false" outlineLevel="0" collapsed="false">
      <c r="A6" s="9" t="s">
        <v>94</v>
      </c>
      <c r="B6" s="14" t="n">
        <v>5</v>
      </c>
    </row>
    <row r="7" customFormat="false" ht="16" hidden="false" customHeight="false" outlineLevel="0" collapsed="false">
      <c r="A7" s="9" t="s">
        <v>95</v>
      </c>
      <c r="B7" s="14" t="n">
        <v>3</v>
      </c>
      <c r="C7" s="16" t="s">
        <v>96</v>
      </c>
      <c r="D7" s="16"/>
      <c r="E7" s="16"/>
      <c r="F7" s="16"/>
    </row>
    <row r="8" customFormat="false" ht="16" hidden="false" customHeight="false" outlineLevel="0" collapsed="false">
      <c r="A8" s="9" t="s">
        <v>97</v>
      </c>
      <c r="B8" s="14" t="n">
        <v>10000</v>
      </c>
      <c r="C8" s="16" t="s">
        <v>98</v>
      </c>
      <c r="D8" s="16"/>
      <c r="E8" s="16"/>
    </row>
    <row r="9" customFormat="false" ht="16" hidden="false" customHeight="false" outlineLevel="0" collapsed="false">
      <c r="A9" s="9" t="s">
        <v>99</v>
      </c>
      <c r="B9" s="14" t="n">
        <v>100</v>
      </c>
      <c r="C9" s="16" t="s">
        <v>100</v>
      </c>
      <c r="D9" s="16"/>
      <c r="E9" s="16"/>
      <c r="F9" s="16"/>
    </row>
    <row r="10" customFormat="false" ht="16" hidden="false" customHeight="false" outlineLevel="0" collapsed="false">
      <c r="A10" s="9" t="s">
        <v>101</v>
      </c>
      <c r="B10" s="14" t="s">
        <v>102</v>
      </c>
      <c r="C10" s="16" t="s">
        <v>103</v>
      </c>
      <c r="D10" s="16"/>
      <c r="E10" s="16"/>
      <c r="F10" s="16"/>
    </row>
    <row r="12" customFormat="false" ht="15.5" hidden="false" customHeight="false" outlineLevel="0" collapsed="false">
      <c r="A12" s="11" t="s">
        <v>104</v>
      </c>
      <c r="B12" s="11"/>
      <c r="C12" s="11"/>
      <c r="D12" s="11"/>
      <c r="E12" s="11"/>
      <c r="F12" s="11"/>
      <c r="G12" s="12"/>
      <c r="H12" s="12"/>
    </row>
    <row r="13" customFormat="false" ht="15.5" hidden="false" customHeight="false" outlineLevel="0" collapsed="false">
      <c r="A13" s="13" t="s">
        <v>105</v>
      </c>
      <c r="B13" s="13" t="s">
        <v>106</v>
      </c>
      <c r="C13" s="13" t="s">
        <v>107</v>
      </c>
      <c r="D13" s="13" t="s">
        <v>108</v>
      </c>
      <c r="E13" s="13" t="s">
        <v>109</v>
      </c>
      <c r="F13" s="13" t="s">
        <v>110</v>
      </c>
      <c r="G13" s="13" t="s">
        <v>111</v>
      </c>
      <c r="H13" s="13" t="s">
        <v>83</v>
      </c>
    </row>
    <row r="14" customFormat="false" ht="16" hidden="false" customHeight="false" outlineLevel="0" collapsed="false">
      <c r="A14" s="33">
        <v>10</v>
      </c>
      <c r="B14" s="17" t="n">
        <v>1781.25</v>
      </c>
      <c r="C14" s="17" t="n">
        <v>1781.25</v>
      </c>
      <c r="D14" s="17" t="n">
        <v>1781.25</v>
      </c>
      <c r="E14" s="17" t="n">
        <v>1781.25</v>
      </c>
      <c r="F14" s="17" t="n">
        <v>1781.25</v>
      </c>
      <c r="G14" s="34" t="n">
        <f aca="false">B14/$B$8</f>
        <v>0.178125</v>
      </c>
      <c r="H14" s="16" t="s">
        <v>113</v>
      </c>
      <c r="I14" s="16"/>
      <c r="J14" s="16"/>
      <c r="K14" s="16"/>
    </row>
    <row r="15" customFormat="false" ht="16" hidden="false" customHeight="false" outlineLevel="0" collapsed="false">
      <c r="A15" s="15" t="s">
        <v>114</v>
      </c>
      <c r="B15" s="17" t="n">
        <v>1781.25</v>
      </c>
      <c r="C15" s="17" t="n">
        <v>1781.25</v>
      </c>
      <c r="D15" s="17" t="n">
        <v>1781.25</v>
      </c>
      <c r="E15" s="17" t="n">
        <v>1781.25</v>
      </c>
      <c r="F15" s="17" t="n">
        <v>1781.25</v>
      </c>
      <c r="G15" s="34" t="n">
        <f aca="false">B15/$B$8</f>
        <v>0.178125</v>
      </c>
      <c r="H15" s="16" t="s">
        <v>113</v>
      </c>
      <c r="I15" s="16"/>
      <c r="J15" s="16"/>
      <c r="K15" s="16"/>
    </row>
    <row r="16" customFormat="false" ht="16" hidden="false" customHeight="false" outlineLevel="0" collapsed="false">
      <c r="A16" s="15" t="s">
        <v>115</v>
      </c>
      <c r="B16" s="17" t="n">
        <v>1781.25</v>
      </c>
      <c r="C16" s="17" t="n">
        <v>1781.25</v>
      </c>
      <c r="D16" s="17" t="n">
        <v>1781.25</v>
      </c>
      <c r="E16" s="17" t="n">
        <v>1781.25</v>
      </c>
      <c r="F16" s="17" t="n">
        <v>1781.25</v>
      </c>
      <c r="G16" s="34" t="n">
        <f aca="false">B16/$B$8</f>
        <v>0.178125</v>
      </c>
      <c r="H16" s="16" t="s">
        <v>113</v>
      </c>
      <c r="I16" s="16"/>
      <c r="J16" s="16"/>
      <c r="K16" s="16"/>
    </row>
    <row r="17" customFormat="false" ht="16" hidden="false" customHeight="false" outlineLevel="0" collapsed="false">
      <c r="A17" s="15" t="s">
        <v>116</v>
      </c>
      <c r="B17" s="17" t="n">
        <v>1781.25</v>
      </c>
      <c r="C17" s="17" t="n">
        <v>1781.25</v>
      </c>
      <c r="D17" s="17" t="n">
        <v>1781.25</v>
      </c>
      <c r="E17" s="17" t="n">
        <v>1781.25</v>
      </c>
      <c r="F17" s="17" t="n">
        <v>1781.25</v>
      </c>
      <c r="G17" s="34" t="n">
        <f aca="false">B17/$B$8</f>
        <v>0.178125</v>
      </c>
      <c r="H17" s="16" t="s">
        <v>113</v>
      </c>
      <c r="I17" s="16"/>
      <c r="J17" s="16"/>
      <c r="K17" s="16"/>
    </row>
    <row r="18" customFormat="false" ht="16" hidden="false" customHeight="false" outlineLevel="0" collapsed="false">
      <c r="A18" s="15" t="s">
        <v>117</v>
      </c>
      <c r="B18" s="17" t="n">
        <v>2000</v>
      </c>
      <c r="C18" s="17" t="n">
        <v>2000</v>
      </c>
      <c r="D18" s="17" t="n">
        <v>2000</v>
      </c>
      <c r="E18" s="17" t="n">
        <v>2000</v>
      </c>
      <c r="F18" s="17" t="n">
        <v>2000</v>
      </c>
      <c r="G18" s="34" t="n">
        <f aca="false">B18/$B$8</f>
        <v>0.2</v>
      </c>
      <c r="H18" s="16" t="s">
        <v>113</v>
      </c>
      <c r="I18" s="16"/>
      <c r="J18" s="16"/>
      <c r="K18" s="16"/>
    </row>
    <row r="19" customFormat="false" ht="16" hidden="false" customHeight="false" outlineLevel="0" collapsed="false">
      <c r="A19" s="15" t="s">
        <v>118</v>
      </c>
      <c r="B19" s="17" t="n">
        <v>175</v>
      </c>
      <c r="C19" s="17" t="n">
        <v>175</v>
      </c>
      <c r="D19" s="17" t="n">
        <v>175</v>
      </c>
      <c r="E19" s="17" t="n">
        <v>175</v>
      </c>
      <c r="F19" s="17" t="n">
        <v>175</v>
      </c>
      <c r="G19" s="34" t="n">
        <f aca="false">B19/$B$8</f>
        <v>0.0175</v>
      </c>
      <c r="H19" s="16" t="s">
        <v>113</v>
      </c>
      <c r="I19" s="16"/>
      <c r="J19" s="16"/>
      <c r="K19" s="16"/>
    </row>
    <row r="20" customFormat="false" ht="16" hidden="false" customHeight="false" outlineLevel="0" collapsed="false">
      <c r="A20" s="15" t="s">
        <v>119</v>
      </c>
      <c r="B20" s="17" t="n">
        <v>700</v>
      </c>
      <c r="C20" s="17" t="n">
        <v>700</v>
      </c>
      <c r="D20" s="17" t="n">
        <v>700</v>
      </c>
      <c r="E20" s="17" t="n">
        <v>700</v>
      </c>
      <c r="F20" s="17" t="n">
        <v>700</v>
      </c>
      <c r="G20" s="34" t="n">
        <f aca="false">B20/$B$8</f>
        <v>0.07</v>
      </c>
      <c r="H20" s="16" t="s">
        <v>113</v>
      </c>
      <c r="I20" s="16"/>
      <c r="J20" s="16"/>
      <c r="K20" s="16"/>
    </row>
    <row r="21" customFormat="false" ht="16" hidden="false" customHeight="false" outlineLevel="0" collapsed="false">
      <c r="A21" s="19" t="s">
        <v>120</v>
      </c>
      <c r="B21" s="20" t="n">
        <f aca="false">SUM(B14:B20)</f>
        <v>10000</v>
      </c>
      <c r="C21" s="20" t="n">
        <f aca="false">SUM(C14:C20)</f>
        <v>10000</v>
      </c>
      <c r="D21" s="20" t="n">
        <f aca="false">SUM(D14:D20)</f>
        <v>10000</v>
      </c>
      <c r="E21" s="20" t="n">
        <f aca="false">SUM(E14:E20)</f>
        <v>10000</v>
      </c>
      <c r="F21" s="20" t="n">
        <f aca="false">SUM(F14:F20)</f>
        <v>10000</v>
      </c>
      <c r="G21" s="34" t="n">
        <f aca="false">SUM(G14:G20)</f>
        <v>1</v>
      </c>
      <c r="H21" s="9" t="s">
        <v>121</v>
      </c>
    </row>
    <row r="23" customFormat="false" ht="15.5" hidden="false" customHeight="false" outlineLevel="0" collapsed="false">
      <c r="A23" s="11" t="s">
        <v>122</v>
      </c>
      <c r="B23" s="11"/>
      <c r="C23" s="11"/>
      <c r="D23" s="11"/>
      <c r="E23" s="11"/>
      <c r="F23" s="11"/>
      <c r="G23" s="12"/>
      <c r="H23" s="12"/>
    </row>
    <row r="24" customFormat="false" ht="15.5" hidden="false" customHeight="false" outlineLevel="0" collapsed="false">
      <c r="A24" s="13" t="s">
        <v>105</v>
      </c>
      <c r="B24" s="13" t="s">
        <v>106</v>
      </c>
      <c r="C24" s="13" t="s">
        <v>107</v>
      </c>
      <c r="D24" s="13" t="s">
        <v>108</v>
      </c>
      <c r="E24" s="13" t="s">
        <v>109</v>
      </c>
      <c r="F24" s="13" t="s">
        <v>110</v>
      </c>
      <c r="G24" s="13"/>
      <c r="H24" s="13" t="s">
        <v>83</v>
      </c>
    </row>
    <row r="25" customFormat="false" ht="16" hidden="false" customHeight="false" outlineLevel="0" collapsed="false">
      <c r="A25" s="33">
        <v>10</v>
      </c>
      <c r="B25" s="34" t="n">
        <f aca="false">(B14+B19)/$B$8*$B$7</f>
        <v>0.586875</v>
      </c>
      <c r="C25" s="34" t="n">
        <f aca="false">(C14+C19)/$B$8*$B$7</f>
        <v>0.586875</v>
      </c>
      <c r="D25" s="34" t="n">
        <f aca="false">(D14+D19)/$B$8*$B$7</f>
        <v>0.586875</v>
      </c>
      <c r="E25" s="34" t="n">
        <f aca="false">(E14+E19)/$B$8*$B$7</f>
        <v>0.586875</v>
      </c>
      <c r="F25" s="34" t="n">
        <f aca="false">(F14+F19)/$B$8*$B$7</f>
        <v>0.586875</v>
      </c>
      <c r="H25" s="16" t="s">
        <v>123</v>
      </c>
      <c r="I25" s="16"/>
      <c r="J25" s="16"/>
      <c r="K25" s="16"/>
    </row>
    <row r="26" customFormat="false" ht="16" hidden="false" customHeight="false" outlineLevel="0" collapsed="false">
      <c r="A26" s="15" t="s">
        <v>114</v>
      </c>
      <c r="B26" s="34" t="n">
        <f aca="false">(B15+B19)/$B$8*$B$7</f>
        <v>0.586875</v>
      </c>
      <c r="C26" s="34" t="n">
        <f aca="false">(C15+C19)/$B$8*$B$7</f>
        <v>0.586875</v>
      </c>
      <c r="D26" s="34" t="n">
        <f aca="false">(D15+D19)/$B$8*$B$7</f>
        <v>0.586875</v>
      </c>
      <c r="E26" s="34" t="n">
        <f aca="false">(E15+E19)/$B$8*$B$7</f>
        <v>0.586875</v>
      </c>
      <c r="F26" s="34" t="n">
        <f aca="false">(F15+F19)/$B$8*$B$7</f>
        <v>0.586875</v>
      </c>
      <c r="H26" s="16" t="s">
        <v>123</v>
      </c>
      <c r="I26" s="16"/>
      <c r="J26" s="16"/>
      <c r="K26" s="16"/>
    </row>
    <row r="27" customFormat="false" ht="16" hidden="false" customHeight="false" outlineLevel="0" collapsed="false">
      <c r="A27" s="15" t="s">
        <v>115</v>
      </c>
      <c r="B27" s="34" t="n">
        <f aca="false">(B16+B19)/$B$8*$B$7</f>
        <v>0.586875</v>
      </c>
      <c r="C27" s="34" t="n">
        <f aca="false">(C16+C19)/$B$8*$B$7</f>
        <v>0.586875</v>
      </c>
      <c r="D27" s="34" t="n">
        <f aca="false">(D16+D19)/$B$8*$B$7</f>
        <v>0.586875</v>
      </c>
      <c r="E27" s="34" t="n">
        <f aca="false">(E16+E19)/$B$8*$B$7</f>
        <v>0.586875</v>
      </c>
      <c r="F27" s="34" t="n">
        <f aca="false">(F16+F19)/$B$8*$B$7</f>
        <v>0.586875</v>
      </c>
      <c r="H27" s="16" t="s">
        <v>123</v>
      </c>
      <c r="I27" s="16"/>
      <c r="J27" s="16"/>
      <c r="K27" s="16"/>
    </row>
    <row r="28" customFormat="false" ht="16" hidden="false" customHeight="false" outlineLevel="0" collapsed="false">
      <c r="A28" s="15" t="s">
        <v>116</v>
      </c>
      <c r="B28" s="34" t="n">
        <f aca="false">(B17+B19)/$B$8*$B$7</f>
        <v>0.586875</v>
      </c>
      <c r="C28" s="34" t="n">
        <f aca="false">(C17+C19)/$B$8*$B$7</f>
        <v>0.586875</v>
      </c>
      <c r="D28" s="34" t="n">
        <f aca="false">(D17+D19)/$B$8*$B$7</f>
        <v>0.586875</v>
      </c>
      <c r="E28" s="34" t="n">
        <f aca="false">(E17+E19)/$B$8*$B$7</f>
        <v>0.586875</v>
      </c>
      <c r="F28" s="34" t="n">
        <f aca="false">(F17+F19)/$B$8*$B$7</f>
        <v>0.586875</v>
      </c>
      <c r="H28" s="16" t="s">
        <v>123</v>
      </c>
      <c r="I28" s="16"/>
      <c r="J28" s="16"/>
      <c r="K28" s="16"/>
    </row>
    <row r="29" customFormat="false" ht="16" hidden="false" customHeight="false" outlineLevel="0" collapsed="false">
      <c r="A29" s="15" t="s">
        <v>117</v>
      </c>
      <c r="B29" s="34" t="n">
        <f aca="false">(B18+B19)/$B$8*$B$7</f>
        <v>0.6525</v>
      </c>
      <c r="C29" s="34" t="n">
        <f aca="false">(C18+C19)/$B$8*$B$7</f>
        <v>0.6525</v>
      </c>
      <c r="D29" s="34" t="n">
        <f aca="false">(D18+D19)/$B$8*$B$7</f>
        <v>0.6525</v>
      </c>
      <c r="E29" s="34" t="n">
        <f aca="false">(E18+E19)/$B$8*$B$7</f>
        <v>0.6525</v>
      </c>
      <c r="F29" s="34" t="n">
        <f aca="false">(F18+F19)/$B$8*$B$7</f>
        <v>0.6525</v>
      </c>
      <c r="H29" s="16" t="s">
        <v>123</v>
      </c>
      <c r="I29" s="16"/>
      <c r="J29" s="16"/>
      <c r="K29" s="16"/>
    </row>
    <row r="31" customFormat="false" ht="15.5" hidden="false" customHeight="false" outlineLevel="0" collapsed="false">
      <c r="A31" s="11" t="s">
        <v>124</v>
      </c>
      <c r="B31" s="11"/>
      <c r="C31" s="11"/>
      <c r="D31" s="11"/>
      <c r="E31" s="11"/>
      <c r="F31" s="11"/>
      <c r="G31" s="12"/>
      <c r="H31" s="12"/>
    </row>
    <row r="32" customFormat="false" ht="15.5" hidden="false" customHeight="false" outlineLevel="0" collapsed="false">
      <c r="A32" s="13" t="s">
        <v>105</v>
      </c>
      <c r="B32" s="13" t="s">
        <v>106</v>
      </c>
      <c r="C32" s="13" t="s">
        <v>107</v>
      </c>
      <c r="D32" s="13" t="s">
        <v>108</v>
      </c>
      <c r="E32" s="13" t="s">
        <v>109</v>
      </c>
      <c r="F32" s="13" t="s">
        <v>110</v>
      </c>
      <c r="G32" s="13"/>
      <c r="H32" s="13" t="s">
        <v>83</v>
      </c>
    </row>
    <row r="33" customFormat="false" ht="16" hidden="false" customHeight="false" outlineLevel="0" collapsed="false">
      <c r="A33" s="33">
        <v>10</v>
      </c>
      <c r="B33" s="34" t="n">
        <f aca="false">IFERROR((1-(B14+B19)/$B$8)^$B$7,0)</f>
        <v>0.520446021240235</v>
      </c>
      <c r="C33" s="34" t="n">
        <f aca="false">IFERROR((1-(C14+C19)/$B$8)^$B$7,0)</f>
        <v>0.520446021240235</v>
      </c>
      <c r="D33" s="34" t="n">
        <f aca="false">IFERROR((1-(D14+D19)/$B$8)^$B$7,0)</f>
        <v>0.520446021240235</v>
      </c>
      <c r="E33" s="34" t="n">
        <f aca="false">IFERROR((1-(E14+E19)/$B$8)^$B$7,0)</f>
        <v>0.520446021240235</v>
      </c>
      <c r="F33" s="34" t="n">
        <f aca="false">IFERROR((1-(F14+F19)/$B$8)^$B$7,0)</f>
        <v>0.520446021240235</v>
      </c>
      <c r="H33" s="16" t="s">
        <v>125</v>
      </c>
      <c r="I33" s="16"/>
      <c r="J33" s="16"/>
      <c r="K33" s="16"/>
      <c r="L33" s="16"/>
    </row>
    <row r="34" customFormat="false" ht="16" hidden="false" customHeight="false" outlineLevel="0" collapsed="false">
      <c r="A34" s="15" t="s">
        <v>114</v>
      </c>
      <c r="B34" s="34" t="n">
        <f aca="false">IFERROR((1-(B15+B19)/$B$8)^$B$7,0)</f>
        <v>0.520446021240235</v>
      </c>
      <c r="C34" s="34" t="n">
        <f aca="false">IFERROR((1-(C15+C19)/$B$8)^$B$7,0)</f>
        <v>0.520446021240235</v>
      </c>
      <c r="D34" s="34" t="n">
        <f aca="false">IFERROR((1-(D15+D19)/$B$8)^$B$7,0)</f>
        <v>0.520446021240235</v>
      </c>
      <c r="E34" s="34" t="n">
        <f aca="false">IFERROR((1-(E15+E19)/$B$8)^$B$7,0)</f>
        <v>0.520446021240235</v>
      </c>
      <c r="F34" s="34" t="n">
        <f aca="false">IFERROR((1-(F15+F19)/$B$8)^$B$7,0)</f>
        <v>0.520446021240235</v>
      </c>
      <c r="H34" s="16" t="s">
        <v>125</v>
      </c>
      <c r="I34" s="16"/>
      <c r="J34" s="16"/>
      <c r="K34" s="16"/>
      <c r="L34" s="16"/>
    </row>
    <row r="35" customFormat="false" ht="16" hidden="false" customHeight="false" outlineLevel="0" collapsed="false">
      <c r="A35" s="15" t="s">
        <v>115</v>
      </c>
      <c r="B35" s="34" t="n">
        <f aca="false">IFERROR((1-(B16+B19)/$B$8)^$B$7,0)</f>
        <v>0.520446021240235</v>
      </c>
      <c r="C35" s="34" t="n">
        <f aca="false">IFERROR((1-(C16+C19)/$B$8)^$B$7,0)</f>
        <v>0.520446021240235</v>
      </c>
      <c r="D35" s="34" t="n">
        <f aca="false">IFERROR((1-(D16+D19)/$B$8)^$B$7,0)</f>
        <v>0.520446021240235</v>
      </c>
      <c r="E35" s="34" t="n">
        <f aca="false">IFERROR((1-(E16+E19)/$B$8)^$B$7,0)</f>
        <v>0.520446021240235</v>
      </c>
      <c r="F35" s="34" t="n">
        <f aca="false">IFERROR((1-(F16+F19)/$B$8)^$B$7,0)</f>
        <v>0.520446021240235</v>
      </c>
      <c r="H35" s="16" t="s">
        <v>125</v>
      </c>
      <c r="I35" s="16"/>
      <c r="J35" s="16"/>
      <c r="K35" s="16"/>
      <c r="L35" s="16"/>
    </row>
    <row r="36" customFormat="false" ht="16" hidden="false" customHeight="false" outlineLevel="0" collapsed="false">
      <c r="A36" s="15" t="s">
        <v>116</v>
      </c>
      <c r="B36" s="34" t="n">
        <f aca="false">IFERROR((1-(B17+B19)/$B$8)^$B$7,0)</f>
        <v>0.520446021240235</v>
      </c>
      <c r="C36" s="34" t="n">
        <f aca="false">IFERROR((1-(C17+C19)/$B$8)^$B$7,0)</f>
        <v>0.520446021240235</v>
      </c>
      <c r="D36" s="34" t="n">
        <f aca="false">IFERROR((1-(D17+D19)/$B$8)^$B$7,0)</f>
        <v>0.520446021240235</v>
      </c>
      <c r="E36" s="34" t="n">
        <f aca="false">IFERROR((1-(E17+E19)/$B$8)^$B$7,0)</f>
        <v>0.520446021240235</v>
      </c>
      <c r="F36" s="34" t="n">
        <f aca="false">IFERROR((1-(F17+F19)/$B$8)^$B$7,0)</f>
        <v>0.520446021240235</v>
      </c>
      <c r="H36" s="16" t="s">
        <v>125</v>
      </c>
      <c r="I36" s="16"/>
      <c r="J36" s="16"/>
      <c r="K36" s="16"/>
      <c r="L36" s="16"/>
    </row>
    <row r="37" customFormat="false" ht="16" hidden="false" customHeight="false" outlineLevel="0" collapsed="false">
      <c r="A37" s="15" t="s">
        <v>117</v>
      </c>
      <c r="B37" s="34" t="n">
        <f aca="false">IFERROR((1-(B18+B19)/$B$8)^$B$7,0)</f>
        <v>0.479129640625</v>
      </c>
      <c r="C37" s="34" t="n">
        <f aca="false">IFERROR((1-(C18+C19)/$B$8)^$B$7,0)</f>
        <v>0.479129640625</v>
      </c>
      <c r="D37" s="34" t="n">
        <f aca="false">IFERROR((1-(D18+D19)/$B$8)^$B$7,0)</f>
        <v>0.479129640625</v>
      </c>
      <c r="E37" s="34" t="n">
        <f aca="false">IFERROR((1-(E18+E19)/$B$8)^$B$7,0)</f>
        <v>0.479129640625</v>
      </c>
      <c r="F37" s="34" t="n">
        <f aca="false">IFERROR((1-(F18+F19)/$B$8)^$B$7,0)</f>
        <v>0.479129640625</v>
      </c>
      <c r="H37" s="16" t="s">
        <v>125</v>
      </c>
      <c r="I37" s="16"/>
      <c r="J37" s="16"/>
      <c r="K37" s="16"/>
      <c r="L37" s="16"/>
    </row>
    <row r="39" customFormat="false" ht="15.5" hidden="false" customHeight="false" outlineLevel="0" collapsed="false">
      <c r="A39" s="11" t="s">
        <v>126</v>
      </c>
      <c r="B39" s="11"/>
      <c r="C39" s="11"/>
      <c r="D39" s="11"/>
      <c r="E39" s="11"/>
      <c r="F39" s="11"/>
      <c r="G39" s="12"/>
      <c r="H39" s="12"/>
    </row>
    <row r="40" customFormat="false" ht="15" hidden="false" customHeight="false" outlineLevel="0" collapsed="false">
      <c r="A40" s="13" t="s">
        <v>105</v>
      </c>
      <c r="B40" s="13" t="s">
        <v>127</v>
      </c>
      <c r="C40" s="13" t="s">
        <v>128</v>
      </c>
      <c r="D40" s="13" t="s">
        <v>129</v>
      </c>
      <c r="E40" s="13" t="s">
        <v>130</v>
      </c>
      <c r="F40" s="13" t="s">
        <v>131</v>
      </c>
      <c r="G40" s="13"/>
      <c r="H40" s="13" t="s">
        <v>83</v>
      </c>
    </row>
    <row r="41" customFormat="false" ht="16" hidden="false" customHeight="false" outlineLevel="0" collapsed="false">
      <c r="A41" s="33">
        <v>10</v>
      </c>
      <c r="B41" s="15" t="s">
        <v>132</v>
      </c>
      <c r="C41" s="14" t="n">
        <v>3</v>
      </c>
      <c r="D41" s="14" t="n">
        <v>10</v>
      </c>
      <c r="E41" s="34" t="n">
        <f aca="false">INDEX(B25:B29,MATCH($A41,$A25:$A29,0))^C41*IF(C41=5,1,INDEX(B33:B37,MATCH($A41,$A25:$A29,0)))</f>
        <v>0.105199220441902</v>
      </c>
      <c r="F41" s="21" t="n">
        <f aca="false">E41*D41</f>
        <v>1.05199220441902</v>
      </c>
      <c r="H41" s="9" t="s">
        <v>133</v>
      </c>
    </row>
    <row r="42" customFormat="false" ht="16" hidden="false" customHeight="false" outlineLevel="0" collapsed="false">
      <c r="A42" s="33">
        <v>10</v>
      </c>
      <c r="B42" s="15" t="s">
        <v>132</v>
      </c>
      <c r="C42" s="14" t="n">
        <v>4</v>
      </c>
      <c r="D42" s="14" t="n">
        <v>30</v>
      </c>
      <c r="E42" s="34" t="n">
        <f aca="false">INDEX(B25:B29,MATCH($A42,$A25:$A29,0))^C42*IF(C42=5,1,INDEX(B33:B37,MATCH($A42,$A25:$A29,0)))</f>
        <v>0.0617387924968411</v>
      </c>
      <c r="F42" s="21" t="n">
        <f aca="false">E42*D42</f>
        <v>1.85216377490523</v>
      </c>
      <c r="H42" s="9" t="s">
        <v>134</v>
      </c>
    </row>
    <row r="43" customFormat="false" ht="16" hidden="false" customHeight="false" outlineLevel="0" collapsed="false">
      <c r="A43" s="33">
        <v>10</v>
      </c>
      <c r="B43" s="15" t="s">
        <v>132</v>
      </c>
      <c r="C43" s="14" t="n">
        <v>5</v>
      </c>
      <c r="D43" s="14" t="n">
        <v>50</v>
      </c>
      <c r="E43" s="34" t="n">
        <f aca="false">INDEX(B25:B29,MATCH($A43,$A25:$A29,0))^C43*IF(C43=5,1,INDEX(B33:B37,MATCH($A43,$A25:$A29,0)))</f>
        <v>0.0696190428360652</v>
      </c>
      <c r="F43" s="21" t="n">
        <f aca="false">E43*D43</f>
        <v>3.48095214180326</v>
      </c>
      <c r="H43" s="9" t="s">
        <v>135</v>
      </c>
    </row>
    <row r="44" customFormat="false" ht="16" hidden="false" customHeight="false" outlineLevel="0" collapsed="false">
      <c r="A44" s="15" t="s">
        <v>114</v>
      </c>
      <c r="B44" s="15" t="s">
        <v>136</v>
      </c>
      <c r="C44" s="14" t="n">
        <v>3</v>
      </c>
      <c r="D44" s="14" t="n">
        <v>10</v>
      </c>
      <c r="E44" s="34" t="n">
        <f aca="false">INDEX(B25:B29,MATCH($A44,$A25:$A29,0))^C44*IF(C44=5,1,INDEX(B33:B37,MATCH($A44,$A25:$A29,0)))</f>
        <v>0.105199220441902</v>
      </c>
      <c r="F44" s="21" t="n">
        <f aca="false">E44*D44</f>
        <v>1.05199220441902</v>
      </c>
      <c r="H44" s="9" t="s">
        <v>133</v>
      </c>
    </row>
    <row r="45" customFormat="false" ht="16" hidden="false" customHeight="false" outlineLevel="0" collapsed="false">
      <c r="A45" s="15" t="s">
        <v>114</v>
      </c>
      <c r="B45" s="15" t="s">
        <v>136</v>
      </c>
      <c r="C45" s="14" t="n">
        <v>4</v>
      </c>
      <c r="D45" s="14" t="n">
        <v>30</v>
      </c>
      <c r="E45" s="34" t="n">
        <f aca="false">INDEX(B25:B29,MATCH($A45,$A25:$A29,0))^C45*IF(C45=5,1,INDEX(B33:B37,MATCH($A45,$A25:$A29,0)))</f>
        <v>0.0617387924968411</v>
      </c>
      <c r="F45" s="21" t="n">
        <f aca="false">E45*D45</f>
        <v>1.85216377490523</v>
      </c>
      <c r="H45" s="9" t="s">
        <v>134</v>
      </c>
    </row>
    <row r="46" customFormat="false" ht="16" hidden="false" customHeight="false" outlineLevel="0" collapsed="false">
      <c r="A46" s="15" t="s">
        <v>114</v>
      </c>
      <c r="B46" s="15" t="s">
        <v>136</v>
      </c>
      <c r="C46" s="14" t="n">
        <v>5</v>
      </c>
      <c r="D46" s="14" t="n">
        <v>50</v>
      </c>
      <c r="E46" s="34" t="n">
        <f aca="false">INDEX(B25:B29,MATCH($A46,$A25:$A29,0))^C46*IF(C46=5,1,INDEX(B33:B37,MATCH($A46,$A25:$A29,0)))</f>
        <v>0.0696190428360652</v>
      </c>
      <c r="F46" s="21" t="n">
        <f aca="false">E46*D46</f>
        <v>3.48095214180326</v>
      </c>
      <c r="H46" s="9" t="s">
        <v>135</v>
      </c>
    </row>
    <row r="47" customFormat="false" ht="16" hidden="false" customHeight="false" outlineLevel="0" collapsed="false">
      <c r="A47" s="15" t="s">
        <v>115</v>
      </c>
      <c r="B47" s="15" t="s">
        <v>137</v>
      </c>
      <c r="C47" s="14" t="n">
        <v>3</v>
      </c>
      <c r="D47" s="14" t="n">
        <v>10</v>
      </c>
      <c r="E47" s="34" t="n">
        <f aca="false">INDEX(B25:B29,MATCH($A47,$A25:$A29,0))^C47*IF(C47=5,1,INDEX(B33:B37,MATCH($A47,$A25:$A29,0)))</f>
        <v>0.105199220441902</v>
      </c>
      <c r="F47" s="21" t="n">
        <f aca="false">E47*D47</f>
        <v>1.05199220441902</v>
      </c>
      <c r="H47" s="9" t="s">
        <v>133</v>
      </c>
    </row>
    <row r="48" customFormat="false" ht="16" hidden="false" customHeight="false" outlineLevel="0" collapsed="false">
      <c r="A48" s="15" t="s">
        <v>115</v>
      </c>
      <c r="B48" s="15" t="s">
        <v>137</v>
      </c>
      <c r="C48" s="14" t="n">
        <v>4</v>
      </c>
      <c r="D48" s="14" t="n">
        <v>30</v>
      </c>
      <c r="E48" s="34" t="n">
        <f aca="false">INDEX(B25:B29,MATCH($A48,$A25:$A29,0))^C48*IF(C48=5,1,INDEX(B33:B37,MATCH($A48,$A25:$A29,0)))</f>
        <v>0.0617387924968411</v>
      </c>
      <c r="F48" s="21" t="n">
        <f aca="false">E48*D48</f>
        <v>1.85216377490523</v>
      </c>
      <c r="H48" s="9" t="s">
        <v>134</v>
      </c>
    </row>
    <row r="49" customFormat="false" ht="16" hidden="false" customHeight="false" outlineLevel="0" collapsed="false">
      <c r="A49" s="15" t="s">
        <v>115</v>
      </c>
      <c r="B49" s="15" t="s">
        <v>137</v>
      </c>
      <c r="C49" s="14" t="n">
        <v>5</v>
      </c>
      <c r="D49" s="14" t="n">
        <v>50</v>
      </c>
      <c r="E49" s="34" t="n">
        <f aca="false">INDEX(B25:B29,MATCH($A49,$A25:$A29,0))^C49*IF(C49=5,1,INDEX(B33:B37,MATCH($A49,$A25:$A29,0)))</f>
        <v>0.0696190428360652</v>
      </c>
      <c r="F49" s="21" t="n">
        <f aca="false">E49*D49</f>
        <v>3.48095214180326</v>
      </c>
      <c r="H49" s="9" t="s">
        <v>135</v>
      </c>
    </row>
    <row r="50" customFormat="false" ht="16" hidden="false" customHeight="false" outlineLevel="0" collapsed="false">
      <c r="A50" s="15" t="s">
        <v>116</v>
      </c>
      <c r="B50" s="15" t="s">
        <v>138</v>
      </c>
      <c r="C50" s="14" t="n">
        <v>3</v>
      </c>
      <c r="D50" s="14" t="n">
        <v>10</v>
      </c>
      <c r="E50" s="34" t="n">
        <f aca="false">INDEX(B25:B29,MATCH($A50,$A25:$A29,0))^C50*IF(C50=5,1,INDEX(B33:B37,MATCH($A50,$A25:$A29,0)))</f>
        <v>0.105199220441902</v>
      </c>
      <c r="F50" s="21" t="n">
        <f aca="false">E50*D50</f>
        <v>1.05199220441902</v>
      </c>
      <c r="H50" s="9" t="s">
        <v>133</v>
      </c>
    </row>
    <row r="51" customFormat="false" ht="16" hidden="false" customHeight="false" outlineLevel="0" collapsed="false">
      <c r="A51" s="15" t="s">
        <v>116</v>
      </c>
      <c r="B51" s="15" t="s">
        <v>138</v>
      </c>
      <c r="C51" s="14" t="n">
        <v>4</v>
      </c>
      <c r="D51" s="14" t="n">
        <v>30</v>
      </c>
      <c r="E51" s="34" t="n">
        <f aca="false">INDEX(B25:B29,MATCH($A51,$A25:$A29,0))^C51*IF(C51=5,1,INDEX(B33:B37,MATCH($A51,$A25:$A29,0)))</f>
        <v>0.0617387924968411</v>
      </c>
      <c r="F51" s="21" t="n">
        <f aca="false">E51*D51</f>
        <v>1.85216377490523</v>
      </c>
      <c r="H51" s="9" t="s">
        <v>134</v>
      </c>
    </row>
    <row r="52" customFormat="false" ht="16" hidden="false" customHeight="false" outlineLevel="0" collapsed="false">
      <c r="A52" s="15" t="s">
        <v>116</v>
      </c>
      <c r="B52" s="15" t="s">
        <v>138</v>
      </c>
      <c r="C52" s="14" t="n">
        <v>5</v>
      </c>
      <c r="D52" s="14" t="n">
        <v>50</v>
      </c>
      <c r="E52" s="34" t="n">
        <f aca="false">INDEX(B25:B29,MATCH($A52,$A25:$A29,0))^C52*IF(C52=5,1,INDEX(B33:B37,MATCH($A52,$A25:$A29,0)))</f>
        <v>0.0696190428360652</v>
      </c>
      <c r="F52" s="21" t="n">
        <f aca="false">E52*D52</f>
        <v>3.48095214180326</v>
      </c>
      <c r="H52" s="9" t="s">
        <v>135</v>
      </c>
    </row>
    <row r="53" customFormat="false" ht="16" hidden="false" customHeight="false" outlineLevel="0" collapsed="false">
      <c r="A53" s="15" t="s">
        <v>117</v>
      </c>
      <c r="B53" s="15" t="s">
        <v>139</v>
      </c>
      <c r="C53" s="14" t="n">
        <v>3</v>
      </c>
      <c r="D53" s="14" t="n">
        <v>50</v>
      </c>
      <c r="E53" s="34" t="n">
        <f aca="false">INDEX(B25:B29,MATCH($A53,$A25:$A29,0))^C53*IF(C53=5,1,INDEX(B33:B37,MATCH($A53,$A25:$A29,0)))</f>
        <v>0.133105066484267</v>
      </c>
      <c r="F53" s="21" t="n">
        <f aca="false">E53*D53</f>
        <v>6.65525332421334</v>
      </c>
      <c r="H53" s="9" t="s">
        <v>133</v>
      </c>
    </row>
    <row r="54" customFormat="false" ht="16" hidden="false" customHeight="false" outlineLevel="0" collapsed="false">
      <c r="A54" s="15" t="s">
        <v>117</v>
      </c>
      <c r="B54" s="15" t="s">
        <v>139</v>
      </c>
      <c r="C54" s="14" t="n">
        <v>4</v>
      </c>
      <c r="D54" s="14" t="n">
        <v>80</v>
      </c>
      <c r="E54" s="34" t="n">
        <f aca="false">INDEX(B25:B29,MATCH($A54,$A25:$A29,0))^C54*IF(C54=5,1,INDEX(B33:B37,MATCH($A54,$A25:$A29,0)))</f>
        <v>0.0868510558809841</v>
      </c>
      <c r="F54" s="21" t="n">
        <f aca="false">E54*D54</f>
        <v>6.94808447047873</v>
      </c>
      <c r="H54" s="9" t="s">
        <v>134</v>
      </c>
    </row>
    <row r="55" customFormat="false" ht="16" hidden="false" customHeight="false" outlineLevel="0" collapsed="false">
      <c r="A55" s="15" t="s">
        <v>117</v>
      </c>
      <c r="B55" s="15" t="s">
        <v>139</v>
      </c>
      <c r="C55" s="14" t="n">
        <v>5</v>
      </c>
      <c r="D55" s="14" t="n">
        <v>100</v>
      </c>
      <c r="E55" s="34" t="n">
        <f aca="false">INDEX(B25:B29,MATCH($A55,$A25:$A29,0))^C55*IF(C55=5,1,INDEX(B33:B37,MATCH($A55,$A25:$A29,0)))</f>
        <v>0.118277620830176</v>
      </c>
      <c r="F55" s="21" t="n">
        <f aca="false">E55*D55</f>
        <v>11.8277620830176</v>
      </c>
      <c r="H55" s="9" t="s">
        <v>135</v>
      </c>
    </row>
    <row r="56" customFormat="false" ht="16" hidden="false" customHeight="false" outlineLevel="0" collapsed="false">
      <c r="A56" s="19" t="s">
        <v>140</v>
      </c>
      <c r="E56" s="19" t="s">
        <v>120</v>
      </c>
      <c r="F56" s="21" t="n">
        <f aca="false">SUM(F41:F55)</f>
        <v>50.9715323622197</v>
      </c>
      <c r="H56" s="9" t="s">
        <v>141</v>
      </c>
    </row>
    <row r="57" customFormat="false" ht="16" hidden="false" customHeight="false" outlineLevel="0" collapsed="false">
      <c r="A57" s="19" t="s">
        <v>142</v>
      </c>
      <c r="E57" s="22" t="s">
        <v>143</v>
      </c>
      <c r="F57" s="21" t="n">
        <f aca="false">F56/$B$9</f>
        <v>0.509715323622197</v>
      </c>
      <c r="H57" s="9" t="s">
        <v>144</v>
      </c>
    </row>
    <row r="59" customFormat="false" ht="15.5" hidden="false" customHeight="false" outlineLevel="0" collapsed="false">
      <c r="A59" s="11" t="s">
        <v>145</v>
      </c>
      <c r="B59" s="11"/>
      <c r="C59" s="11"/>
      <c r="D59" s="11"/>
      <c r="E59" s="11"/>
      <c r="F59" s="11"/>
      <c r="G59" s="12"/>
      <c r="H59" s="12"/>
    </row>
    <row r="60" customFormat="false" ht="15.5" hidden="false" customHeight="false" outlineLevel="0" collapsed="false">
      <c r="A60" s="23" t="s">
        <v>146</v>
      </c>
      <c r="B60" s="13" t="s">
        <v>147</v>
      </c>
      <c r="C60" s="13" t="s">
        <v>148</v>
      </c>
      <c r="D60" s="13" t="s">
        <v>149</v>
      </c>
      <c r="E60" s="13"/>
      <c r="F60" s="13"/>
      <c r="G60" s="13"/>
      <c r="H60" s="13" t="s">
        <v>83</v>
      </c>
    </row>
    <row r="61" customFormat="false" ht="16" hidden="false" customHeight="false" outlineLevel="0" collapsed="false">
      <c r="A61" s="9" t="n">
        <v>0</v>
      </c>
      <c r="B61" s="35" t="n">
        <f aca="false">COMBIN($B$6*$B$7,A61)*($B$20/$B$8)^A61*(1-$B$20/$B$8)^($B$6*$B$7-A61)</f>
        <v>0.336700862051614</v>
      </c>
      <c r="C61" s="14" t="n">
        <v>0</v>
      </c>
      <c r="D61" s="25" t="n">
        <f aca="false">B61*C61</f>
        <v>0</v>
      </c>
      <c r="H61" s="15" t="s">
        <v>150</v>
      </c>
    </row>
    <row r="62" customFormat="false" ht="15" hidden="false" customHeight="false" outlineLevel="0" collapsed="false">
      <c r="A62" s="9" t="n">
        <v>1</v>
      </c>
      <c r="B62" s="35" t="n">
        <f aca="false">COMBIN($B$6*$B$7,A62)*($B$20/$B$8)^A62*(1-$B$20/$B$8)^($B$6*$B$7-A62)</f>
        <v>0.380146134574403</v>
      </c>
      <c r="C62" s="14" t="n">
        <v>0</v>
      </c>
      <c r="D62" s="25" t="n">
        <f aca="false">B62*C62</f>
        <v>0</v>
      </c>
    </row>
    <row r="63" customFormat="false" ht="15" hidden="false" customHeight="false" outlineLevel="0" collapsed="false">
      <c r="A63" s="9" t="n">
        <v>2</v>
      </c>
      <c r="B63" s="35" t="n">
        <f aca="false">COMBIN($B$6*$B$7,A63)*($B$20/$B$8)^A63*(1-$B$20/$B$8)^($B$6*$B$7-A63)</f>
        <v>0.200292049399417</v>
      </c>
      <c r="C63" s="14" t="n">
        <v>0</v>
      </c>
      <c r="D63" s="25" t="n">
        <f aca="false">B63*C63</f>
        <v>0</v>
      </c>
    </row>
    <row r="64" customFormat="false" ht="15" hidden="false" customHeight="false" outlineLevel="0" collapsed="false">
      <c r="A64" s="9" t="n">
        <v>3</v>
      </c>
      <c r="B64" s="35" t="n">
        <f aca="false">COMBIN($B$6*$B$7,A64)*($B$20/$B$8)^A64*(1-$B$20/$B$8)^($B$6*$B$7-A64)</f>
        <v>0.0653282311661179</v>
      </c>
      <c r="C64" s="14" t="n">
        <v>5</v>
      </c>
      <c r="D64" s="25" t="n">
        <f aca="false">B64*C64</f>
        <v>0.32664115583059</v>
      </c>
    </row>
    <row r="65" customFormat="false" ht="15" hidden="false" customHeight="false" outlineLevel="0" collapsed="false">
      <c r="A65" s="9" t="n">
        <v>4</v>
      </c>
      <c r="B65" s="35" t="n">
        <f aca="false">COMBIN($B$6*$B$7,A65)*($B$20/$B$8)^A65*(1-$B$20/$B$8)^($B$6*$B$7-A65)</f>
        <v>0.0147515360697686</v>
      </c>
      <c r="C65" s="14" t="n">
        <v>8</v>
      </c>
      <c r="D65" s="25" t="n">
        <f aca="false">B65*C65</f>
        <v>0.118012288558149</v>
      </c>
    </row>
    <row r="66" customFormat="false" ht="15" hidden="false" customHeight="false" outlineLevel="0" collapsed="false">
      <c r="A66" s="9" t="n">
        <v>5</v>
      </c>
      <c r="B66" s="35" t="n">
        <f aca="false">COMBIN($B$6*$B$7,A66)*($B$20/$B$8)^A66*(1-$B$20/$B$8)^($B$6*$B$7-A66)</f>
        <v>0.00244272747821974</v>
      </c>
      <c r="C66" s="14" t="n">
        <v>10</v>
      </c>
      <c r="D66" s="25" t="n">
        <f aca="false">B66*C66</f>
        <v>0.0244272747821974</v>
      </c>
    </row>
    <row r="67" customFormat="false" ht="15" hidden="false" customHeight="false" outlineLevel="0" collapsed="false">
      <c r="A67" s="9" t="n">
        <v>6</v>
      </c>
      <c r="B67" s="35" t="n">
        <f aca="false">COMBIN($B$6*$B$7,A67)*($B$20/$B$8)^A67*(1-$B$20/$B$8)^($B$6*$B$7-A67)</f>
        <v>0.000306435346730075</v>
      </c>
      <c r="C67" s="14" t="n">
        <v>10</v>
      </c>
      <c r="D67" s="25" t="n">
        <f aca="false">B67*C67</f>
        <v>0.00306435346730075</v>
      </c>
    </row>
    <row r="68" customFormat="false" ht="15" hidden="false" customHeight="false" outlineLevel="0" collapsed="false">
      <c r="A68" s="9" t="n">
        <v>7</v>
      </c>
      <c r="B68" s="35" t="n">
        <f aca="false">COMBIN($B$6*$B$7,A68)*($B$20/$B$8)^A68*(1-$B$20/$B$8)^($B$6*$B$7-A68)</f>
        <v>2.96550335545234E-005</v>
      </c>
      <c r="C68" s="14" t="n">
        <v>10</v>
      </c>
      <c r="D68" s="25" t="n">
        <f aca="false">B68*C68</f>
        <v>0.000296550335545234</v>
      </c>
    </row>
    <row r="69" customFormat="false" ht="15" hidden="false" customHeight="false" outlineLevel="0" collapsed="false">
      <c r="A69" s="9" t="n">
        <v>8</v>
      </c>
      <c r="B69" s="35" t="n">
        <f aca="false">COMBIN($B$6*$B$7,A69)*($B$20/$B$8)^A69*(1-$B$20/$B$8)^($B$6*$B$7-A69)</f>
        <v>2.23209929980284E-006</v>
      </c>
      <c r="C69" s="14" t="n">
        <v>10</v>
      </c>
      <c r="D69" s="25" t="n">
        <f aca="false">B69*C69</f>
        <v>2.23209929980284E-005</v>
      </c>
    </row>
    <row r="70" customFormat="false" ht="15" hidden="false" customHeight="false" outlineLevel="0" collapsed="false">
      <c r="A70" s="9" t="n">
        <v>9</v>
      </c>
      <c r="B70" s="35" t="n">
        <f aca="false">COMBIN($B$6*$B$7,A70)*($B$20/$B$8)^A70*(1-$B$20/$B$8)^($B$6*$B$7-A70)</f>
        <v>1.30672479916773E-007</v>
      </c>
      <c r="C70" s="14" t="n">
        <v>10</v>
      </c>
      <c r="D70" s="25" t="n">
        <f aca="false">B70*C70</f>
        <v>1.30672479916773E-006</v>
      </c>
    </row>
    <row r="71" customFormat="false" ht="15" hidden="false" customHeight="false" outlineLevel="0" collapsed="false">
      <c r="A71" s="9" t="n">
        <v>10</v>
      </c>
      <c r="B71" s="35" t="n">
        <f aca="false">COMBIN($B$6*$B$7,A71)*($B$20/$B$8)^A71*(1-$B$20/$B$8)^($B$6*$B$7-A71)</f>
        <v>5.90133780269298E-009</v>
      </c>
      <c r="C71" s="14" t="n">
        <v>10</v>
      </c>
      <c r="D71" s="25" t="n">
        <f aca="false">B71*C71</f>
        <v>5.90133780269298E-008</v>
      </c>
    </row>
    <row r="72" customFormat="false" ht="15" hidden="false" customHeight="false" outlineLevel="0" collapsed="false">
      <c r="A72" s="9" t="n">
        <v>11</v>
      </c>
      <c r="B72" s="35" t="n">
        <f aca="false">COMBIN($B$6*$B$7,A72)*($B$20/$B$8)^A72*(1-$B$20/$B$8)^($B$6*$B$7-A72)</f>
        <v>2.01903052878059E-010</v>
      </c>
      <c r="C72" s="14" t="n">
        <v>10</v>
      </c>
      <c r="D72" s="25" t="n">
        <f aca="false">B72*C72</f>
        <v>2.01903052878059E-009</v>
      </c>
    </row>
    <row r="73" customFormat="false" ht="15" hidden="false" customHeight="false" outlineLevel="0" collapsed="false">
      <c r="A73" s="9" t="n">
        <v>12</v>
      </c>
      <c r="B73" s="35" t="n">
        <f aca="false">COMBIN($B$6*$B$7,A73)*($B$20/$B$8)^A73*(1-$B$20/$B$8)^($B$6*$B$7-A73)</f>
        <v>5.06566799335632E-012</v>
      </c>
      <c r="C73" s="14" t="n">
        <v>10</v>
      </c>
      <c r="D73" s="25" t="n">
        <f aca="false">B73*C73</f>
        <v>5.06566799335632E-011</v>
      </c>
    </row>
    <row r="74" customFormat="false" ht="15" hidden="false" customHeight="false" outlineLevel="0" collapsed="false">
      <c r="A74" s="9" t="n">
        <v>13</v>
      </c>
      <c r="B74" s="35" t="n">
        <f aca="false">COMBIN($B$6*$B$7,A74)*($B$20/$B$8)^A74*(1-$B$20/$B$8)^($B$6*$B$7-A74)</f>
        <v>8.79892703560651E-014</v>
      </c>
      <c r="C74" s="14" t="n">
        <v>10</v>
      </c>
      <c r="D74" s="25" t="n">
        <f aca="false">B74*C74</f>
        <v>8.79892703560651E-013</v>
      </c>
    </row>
    <row r="75" customFormat="false" ht="15" hidden="false" customHeight="false" outlineLevel="0" collapsed="false">
      <c r="A75" s="9" t="n">
        <v>14</v>
      </c>
      <c r="B75" s="35" t="n">
        <f aca="false">COMBIN($B$6*$B$7,A75)*($B$20/$B$8)^A75*(1-$B$20/$B$8)^($B$6*$B$7-A75)</f>
        <v>9.46121186624356E-016</v>
      </c>
      <c r="C75" s="14" t="n">
        <v>10</v>
      </c>
      <c r="D75" s="25" t="n">
        <f aca="false">B75*C75</f>
        <v>9.46121186624356E-015</v>
      </c>
    </row>
    <row r="76" customFormat="false" ht="15" hidden="false" customHeight="false" outlineLevel="0" collapsed="false">
      <c r="A76" s="9" t="n">
        <v>15</v>
      </c>
      <c r="B76" s="35" t="n">
        <f aca="false">COMBIN($B$6*$B$7,A76)*($B$20/$B$8)^A76*(1-$B$20/$B$8)^($B$6*$B$7-A76)</f>
        <v>4.74756150994301E-018</v>
      </c>
      <c r="C76" s="14" t="n">
        <v>10</v>
      </c>
      <c r="D76" s="25" t="n">
        <f aca="false">B76*C76</f>
        <v>4.74756150994301E-017</v>
      </c>
    </row>
    <row r="77" customFormat="false" ht="16" hidden="false" customHeight="false" outlineLevel="0" collapsed="false">
      <c r="A77" s="19" t="s">
        <v>151</v>
      </c>
      <c r="D77" s="21" t="n">
        <f aca="false">SUM(D61:D76)</f>
        <v>0.472465311775534</v>
      </c>
      <c r="H77" s="9" t="s">
        <v>152</v>
      </c>
    </row>
    <row r="78" customFormat="false" ht="16" hidden="false" customHeight="false" outlineLevel="0" collapsed="false">
      <c r="A78" s="19" t="s">
        <v>153</v>
      </c>
      <c r="D78" s="21" t="n">
        <f aca="false">1/(1-D77)</f>
        <v>1.89560994247737</v>
      </c>
      <c r="H78" s="9" t="s">
        <v>154</v>
      </c>
    </row>
    <row r="79" customFormat="false" ht="16" hidden="false" customHeight="false" outlineLevel="0" collapsed="false">
      <c r="A79" s="19" t="s">
        <v>155</v>
      </c>
      <c r="D79" s="21" t="n">
        <f aca="false">D77*D78*F57</f>
        <v>0.456506111669111</v>
      </c>
      <c r="H79" s="16" t="s">
        <v>156</v>
      </c>
      <c r="I79" s="16"/>
      <c r="J79" s="16"/>
    </row>
    <row r="80" customFormat="false" ht="16" hidden="false" customHeight="false" outlineLevel="0" collapsed="false">
      <c r="A80" s="19" t="s">
        <v>157</v>
      </c>
      <c r="D80" s="21" t="n">
        <f aca="false">F57+D79</f>
        <v>0.966221435291308</v>
      </c>
      <c r="H80" s="9" t="s">
        <v>158</v>
      </c>
    </row>
    <row r="81" customFormat="false" ht="15.5" hidden="false" customHeight="true" outlineLevel="0" collapsed="false">
      <c r="A81" s="26" t="s">
        <v>159</v>
      </c>
      <c r="B81" s="26"/>
      <c r="C81" s="26"/>
      <c r="D81" s="26"/>
      <c r="E81" s="26"/>
      <c r="F81" s="26"/>
      <c r="G81" s="26"/>
      <c r="H81" s="26"/>
      <c r="I81" s="26"/>
    </row>
    <row r="83" customFormat="false" ht="15.5" hidden="false" customHeight="false" outlineLevel="0" collapsed="false">
      <c r="A83" s="11" t="s">
        <v>160</v>
      </c>
      <c r="B83" s="11"/>
      <c r="C83" s="11"/>
      <c r="D83" s="12"/>
      <c r="E83" s="12"/>
      <c r="F83" s="12"/>
      <c r="G83" s="12"/>
      <c r="H83" s="12"/>
    </row>
    <row r="84" customFormat="false" ht="15" hidden="false" customHeight="false" outlineLevel="0" collapsed="false">
      <c r="A84" s="13" t="s">
        <v>161</v>
      </c>
      <c r="B84" s="13" t="s">
        <v>162</v>
      </c>
      <c r="C84" s="13" t="s">
        <v>83</v>
      </c>
      <c r="D84" s="13"/>
      <c r="E84" s="13"/>
      <c r="F84" s="13"/>
      <c r="G84" s="13"/>
      <c r="H84" s="13"/>
    </row>
    <row r="85" customFormat="false" ht="16" hidden="false" customHeight="false" outlineLevel="0" collapsed="false">
      <c r="A85" s="9" t="s">
        <v>163</v>
      </c>
      <c r="B85" s="27" t="str">
        <f aca="false">IF(AND(B21=$B$8,C21=$B$8,D21=$B$8,E21=$B$8,F21=$B$8),"✓","✗")</f>
        <v>✓</v>
      </c>
      <c r="C85" s="9" t="s">
        <v>164</v>
      </c>
    </row>
    <row r="86" customFormat="false" ht="16" hidden="false" customHeight="false" outlineLevel="0" collapsed="false">
      <c r="A86" s="9" t="s">
        <v>165</v>
      </c>
      <c r="B86" s="27" t="str">
        <f aca="false">IF(ABS(B25-(B14+B19)/$B$8*$B$7)&lt;0.0000001,"✓","✗")</f>
        <v>✓</v>
      </c>
      <c r="C86" s="9" t="s">
        <v>166</v>
      </c>
    </row>
    <row r="87" customFormat="false" ht="16" hidden="false" customHeight="false" outlineLevel="0" collapsed="false">
      <c r="A87" s="9" t="s">
        <v>167</v>
      </c>
      <c r="B87" s="27" t="str">
        <f aca="false">IF(ABS(B33-(1-(B14+B19)/$B$8)^$B$7)&lt;0.0000001,"✓","✗")</f>
        <v>✓</v>
      </c>
      <c r="C87" s="9" t="s">
        <v>168</v>
      </c>
    </row>
    <row r="88" customFormat="false" ht="16" hidden="false" customHeight="false" outlineLevel="0" collapsed="false">
      <c r="A88" s="9" t="s">
        <v>169</v>
      </c>
      <c r="B88" s="27" t="str">
        <f aca="false">IF(ABS(F57-0.5097)&lt;0.001,"✓","✗")</f>
        <v>✓</v>
      </c>
      <c r="C88" s="9" t="s">
        <v>170</v>
      </c>
    </row>
    <row r="89" customFormat="false" ht="16" hidden="false" customHeight="false" outlineLevel="0" collapsed="false">
      <c r="A89" s="9" t="s">
        <v>171</v>
      </c>
      <c r="B89" s="27" t="str">
        <f aca="false">IF(ABS(D77-0.4725)&lt;0.001,"✓","✗")</f>
        <v>✓</v>
      </c>
      <c r="C89" s="9" t="s">
        <v>172</v>
      </c>
    </row>
    <row r="90" customFormat="false" ht="16" hidden="false" customHeight="false" outlineLevel="0" collapsed="false">
      <c r="A90" s="9" t="s">
        <v>173</v>
      </c>
      <c r="B90" s="27" t="str">
        <f aca="false">IF(ABS(D78-1.8956)&lt;0.001,"✓","✗")</f>
        <v>✓</v>
      </c>
      <c r="C90" s="9" t="s">
        <v>174</v>
      </c>
    </row>
    <row r="91" customFormat="false" ht="16" hidden="false" customHeight="false" outlineLevel="0" collapsed="false">
      <c r="A91" s="9" t="s">
        <v>175</v>
      </c>
      <c r="B91" s="27" t="str">
        <f aca="false">IF(ABS(D80-0.9662)&lt;0.001,"✓","✗")</f>
        <v>✓</v>
      </c>
      <c r="C91" s="9" t="s">
        <v>176</v>
      </c>
    </row>
    <row r="93" customFormat="false" ht="15" hidden="false" customHeight="true" outlineLevel="0" collapsed="false">
      <c r="A93" s="26" t="s">
        <v>177</v>
      </c>
      <c r="B93" s="26"/>
      <c r="C93" s="26"/>
      <c r="D93" s="26"/>
      <c r="E93" s="26"/>
      <c r="F93" s="26"/>
      <c r="G93" s="26"/>
      <c r="H93" s="26"/>
    </row>
  </sheetData>
  <mergeCells count="32">
    <mergeCell ref="A1:H1"/>
    <mergeCell ref="A3:C3"/>
    <mergeCell ref="C7:F7"/>
    <mergeCell ref="C8:E8"/>
    <mergeCell ref="C9:F9"/>
    <mergeCell ref="C10:F10"/>
    <mergeCell ref="A12:F12"/>
    <mergeCell ref="H14:K14"/>
    <mergeCell ref="H15:K15"/>
    <mergeCell ref="H16:K16"/>
    <mergeCell ref="H17:K17"/>
    <mergeCell ref="H18:K18"/>
    <mergeCell ref="H19:K19"/>
    <mergeCell ref="H20:K20"/>
    <mergeCell ref="A23:F23"/>
    <mergeCell ref="H25:K25"/>
    <mergeCell ref="H26:K26"/>
    <mergeCell ref="H27:K27"/>
    <mergeCell ref="H28:K28"/>
    <mergeCell ref="H29:K29"/>
    <mergeCell ref="A31:F31"/>
    <mergeCell ref="H33:L33"/>
    <mergeCell ref="H34:L34"/>
    <mergeCell ref="H35:L35"/>
    <mergeCell ref="H36:L36"/>
    <mergeCell ref="H37:L37"/>
    <mergeCell ref="A39:F39"/>
    <mergeCell ref="A59:F59"/>
    <mergeCell ref="H79:J79"/>
    <mergeCell ref="A81:I81"/>
    <mergeCell ref="A83:C83"/>
    <mergeCell ref="A93:H9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ignoredErrors>
    <ignoredError sqref="A1:Q113" evalError="1" twoDigitTextYear="1" numberStoredAsText="1" formula="1" formulaRange="1" unlockedFormula="1" emptyCellReference="1" listDataValidation="1" calculatedColumn="1"/>
  </ignoredErrors>
</worksheet>
</file>

<file path=docProps/app.xml><?xml version="1.0" encoding="utf-8"?>
<Properties xmlns="http://schemas.openxmlformats.org/officeDocument/2006/extended-properties" xmlns:vt="http://schemas.openxmlformats.org/officeDocument/2006/docPropsVTypes">
  <Template/>
  <TotalTime>0</TotalTime>
  <Application>LibreOffice/26.2.2.2$Windows_X86_64 LibreOffice_project/1f77d10d6938fd34972958f64b2bcfa54f8b1ba5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2026-09-29T15:06:26Z</dcterms:created>
  <dc:creator>openpyxl</dc:creator>
  <dc:description/>
  <dc:language>zh-CN</dc:language>
  <cp:lastModifiedBy/>
  <dcterms:modified xsi:type="dcterms:W3CDTF">2026-09-29T15:06:26Z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