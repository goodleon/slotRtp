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的实现"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<sst xmlns="http://schemas.openxmlformats.org/spreadsheetml/2006/main" count="193" uniqueCount="177">
  <si>
    <r>
      <rPr>
        <b val="true"/>
        <sz val="14"/>
        <color rgb="FF1F4E79"/>
        <rFont val="Noto Sans SC"/>
        <family val="2"/>
        <charset val="134"/>
      </rPr>
      <t xml:space="preserve">从零开始学</t>
    </r>
    <r>
      <rPr>
        <b val="true"/>
        <sz val="14"/>
        <color rgb="FF1F4E79"/>
        <rFont val="Cambria"/>
        <family val="0"/>
        <charset val="1"/>
      </rPr>
      <t xml:space="preserve">Slots 40 —— </t>
    </r>
    <r>
      <rPr>
        <b val="true"/>
        <sz val="14"/>
        <color rgb="FF1F4E79"/>
        <rFont val="Noto Sans SC"/>
        <family val="2"/>
        <charset val="134"/>
      </rPr>
      <t xml:space="preserve">基础篇：</t>
    </r>
    <r>
      <rPr>
        <b val="true"/>
        <sz val="14"/>
        <color rgb="FF1F4E79"/>
        <rFont val="Cambria"/>
        <family val="0"/>
        <charset val="1"/>
      </rPr>
      <t xml:space="preserve">Random Wild</t>
    </r>
    <r>
      <rPr>
        <b val="true"/>
        <sz val="14"/>
        <color rgb="FF1F4E79"/>
        <rFont val="Noto Sans SC"/>
        <family val="2"/>
        <charset val="134"/>
      </rPr>
      <t xml:space="preserve">（随机百搭）</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</si>
  <si>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Random Wild</t>
    </r>
    <r>
      <rPr>
        <sz val="11"/>
        <color rgb="FF808080"/>
        <rFont val="Noto Sans SC"/>
        <family val="2"/>
        <charset val="134"/>
      </rPr>
      <t xml:space="preserve">》 </t>
    </r>
    <r>
      <rPr>
        <sz val="11"/>
        <color rgb="FF808080"/>
        <rFont val="Cambria"/>
        <family val="0"/>
        <charset val="1"/>
      </rPr>
      <t xml:space="preserve">https://zhuanlan.zhihu.com/p/637469752</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</si>
  <si>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 </t>
    </r>
    <r>
      <rPr>
        <sz val="11"/>
        <color rgb="FF808080"/>
        <rFont val="Noto Sans SC"/>
        <family val="2"/>
        <charset val="134"/>
      </rPr>
      <t xml:space="preserve">｜ 发布 </t>
    </r>
    <r>
      <rPr>
        <sz val="11"/>
        <color rgb="FF808080"/>
        <rFont val="Cambria"/>
        <family val="0"/>
        <charset val="1"/>
      </rPr>
      <t xml:space="preserve">2023-06-16</t>
    </r>
  </si>
  <si>
    <t xml:space="preserve">页签</t>
  </si>
  <si>
    <r>
      <rPr>
        <sz val="11"/>
        <color theme="1"/>
        <rFont val="Calibri"/>
        <family val="2"/>
        <charset val="1"/>
      </rPr>
      <t xml:space="preserve">· </t>
    </r>
    <r>
      <rPr>
        <sz val="11"/>
        <color theme="1"/>
        <rFont val="Noto Sans SC"/>
        <family val="2"/>
        <charset val="134"/>
      </rPr>
      <t xml:space="preserve">数据配表的实现：</t>
    </r>
    <r>
      <rPr>
        <sz val="11"/>
        <color theme="1"/>
        <rFont val="Calibri"/>
        <family val="2"/>
        <charset val="1"/>
      </rPr>
      <t xml:space="preserve">Random Wild </t>
    </r>
    <r>
      <rPr>
        <sz val="11"/>
        <color theme="1"/>
        <rFont val="Noto Sans SC"/>
        <family val="2"/>
        <charset val="134"/>
      </rPr>
      <t xml:space="preserve">的机制配表、覆盖数量分布表、以及「</t>
    </r>
    <r>
      <rPr>
        <sz val="11"/>
        <color theme="1"/>
        <rFont val="Calibri"/>
        <family val="2"/>
        <charset val="1"/>
      </rPr>
      <t xml:space="preserve">2^15 → 512 </t>
    </r>
    <r>
      <rPr>
        <sz val="11"/>
        <color theme="1"/>
        <rFont val="Noto Sans SC"/>
        <family val="2"/>
        <charset val="134"/>
      </rPr>
      <t xml:space="preserve">组」的降维分组表</t>
    </r>
  </si>
  <si>
    <t xml:space="preserve">一、它是什么</t>
  </si>
  <si>
    <r>
      <rPr>
        <sz val="11"/>
        <color theme="1"/>
        <rFont val="Calibri"/>
        <family val="2"/>
        <charset val="1"/>
      </rPr>
      <t xml:space="preserve">Wild </t>
    </r>
    <r>
      <rPr>
        <sz val="11"/>
        <color theme="1"/>
        <rFont val="Noto Sans SC"/>
        <family val="2"/>
        <charset val="134"/>
      </rPr>
      <t xml:space="preserve">是最常见的 </t>
    </r>
    <r>
      <rPr>
        <sz val="11"/>
        <color theme="1"/>
        <rFont val="Calibri"/>
        <family val="2"/>
        <charset val="1"/>
      </rPr>
      <t xml:space="preserve">Feature</t>
    </r>
    <r>
      <rPr>
        <sz val="11"/>
        <color theme="1"/>
        <rFont val="Noto Sans SC"/>
        <family val="2"/>
        <charset val="134"/>
      </rPr>
      <t xml:space="preserve">，调整方向通常是「增加 </t>
    </r>
    <r>
      <rPr>
        <sz val="11"/>
        <color theme="1"/>
        <rFont val="Calibri"/>
        <family val="2"/>
        <charset val="1"/>
      </rPr>
      <t xml:space="preserve">Wild </t>
    </r>
    <r>
      <rPr>
        <sz val="11"/>
        <color theme="1"/>
        <rFont val="Noto Sans SC"/>
        <family val="2"/>
        <charset val="134"/>
      </rPr>
      <t xml:space="preserve">出现几率」：</t>
    </r>
  </si>
  <si>
    <r>
      <rPr>
        <sz val="11"/>
        <color theme="1"/>
        <rFont val="Calibri"/>
        <family val="2"/>
        <charset val="1"/>
      </rPr>
      <t xml:space="preserve">· </t>
    </r>
    <r>
      <rPr>
        <sz val="11"/>
        <color theme="1"/>
        <rFont val="Noto Sans SC"/>
        <family val="2"/>
        <charset val="134"/>
      </rPr>
      <t xml:space="preserve">简单做法：增加 </t>
    </r>
    <r>
      <rPr>
        <sz val="11"/>
        <color theme="1"/>
        <rFont val="Calibri"/>
        <family val="2"/>
        <charset val="1"/>
      </rPr>
      <t xml:space="preserve">Wild </t>
    </r>
    <r>
      <rPr>
        <sz val="11"/>
        <color theme="1"/>
        <rFont val="Noto Sans SC"/>
        <family val="2"/>
        <charset val="134"/>
      </rPr>
      <t xml:space="preserve">在卷轴上的数量；</t>
    </r>
  </si>
  <si>
    <r>
      <rPr>
        <sz val="11"/>
        <color theme="1"/>
        <rFont val="Calibri"/>
        <family val="2"/>
        <charset val="1"/>
      </rPr>
      <t xml:space="preserve">· </t>
    </r>
    <r>
      <rPr>
        <sz val="11"/>
        <color theme="1"/>
        <rFont val="Noto Sans SC"/>
        <family val="2"/>
        <charset val="134"/>
      </rPr>
      <t xml:space="preserve">进阶做法：让 </t>
    </r>
    <r>
      <rPr>
        <sz val="11"/>
        <color theme="1"/>
        <rFont val="Calibri"/>
        <family val="2"/>
        <charset val="1"/>
      </rPr>
      <t xml:space="preserve">Wild </t>
    </r>
    <r>
      <rPr>
        <sz val="11"/>
        <color theme="1"/>
        <rFont val="Noto Sans SC"/>
        <family val="2"/>
        <charset val="134"/>
      </rPr>
      <t xml:space="preserve">停留更久或覆盖更大（→ 粘性百搭 </t>
    </r>
    <r>
      <rPr>
        <sz val="11"/>
        <color theme="1"/>
        <rFont val="Calibri"/>
        <family val="2"/>
        <charset val="1"/>
      </rPr>
      <t xml:space="preserve">/ </t>
    </r>
    <r>
      <rPr>
        <sz val="11"/>
        <color theme="1"/>
        <rFont val="Noto Sans SC"/>
        <family val="2"/>
        <charset val="134"/>
      </rPr>
      <t xml:space="preserve">拓展百搭）；</t>
    </r>
  </si>
  <si>
    <r>
      <rPr>
        <sz val="11"/>
        <color theme="1"/>
        <rFont val="Calibri"/>
        <family val="2"/>
        <charset val="1"/>
      </rPr>
      <t xml:space="preserve">· Random Wild</t>
    </r>
    <r>
      <rPr>
        <sz val="11"/>
        <color theme="1"/>
        <rFont val="Noto Sans SC"/>
        <family val="2"/>
        <charset val="134"/>
      </rPr>
      <t xml:space="preserve">（又称 </t>
    </r>
    <r>
      <rPr>
        <sz val="11"/>
        <color theme="1"/>
        <rFont val="Calibri"/>
        <family val="2"/>
        <charset val="1"/>
      </rPr>
      <t xml:space="preserve">Additional Wild</t>
    </r>
    <r>
      <rPr>
        <sz val="11"/>
        <color theme="1"/>
        <rFont val="Noto Sans SC"/>
        <family val="2"/>
        <charset val="134"/>
      </rPr>
      <t xml:space="preserve">）：跳出图标抽取概率，在摇奖过程之外把百搭随机生成到卷轴任意位置并覆盖原有图标。</t>
    </r>
  </si>
  <si>
    <t xml:space="preserve">覆盖的位置与数量随机生成、与图标基础生成概率无关 —— 因此叫「随机百搭」。</t>
  </si>
  <si>
    <t xml:space="preserve">二、触发方式与展示</t>
  </si>
  <si>
    <r>
      <rPr>
        <sz val="11"/>
        <color theme="1"/>
        <rFont val="Calibri"/>
        <family val="2"/>
        <charset val="1"/>
      </rPr>
      <t xml:space="preserve">· </t>
    </r>
    <r>
      <rPr>
        <sz val="11"/>
        <color theme="1"/>
        <rFont val="Noto Sans SC"/>
        <family val="2"/>
        <charset val="134"/>
      </rPr>
      <t xml:space="preserve">最初是纯随机触发：普通摇或免费摇开始后把百搭投射到随机位置，本轮该位置无论出现什么都被覆盖。</t>
    </r>
  </si>
  <si>
    <r>
      <rPr>
        <sz val="11"/>
        <color theme="1"/>
        <rFont val="Calibri"/>
        <family val="2"/>
        <charset val="1"/>
      </rPr>
      <t xml:space="preserve">· </t>
    </r>
    <r>
      <rPr>
        <sz val="11"/>
        <color theme="1"/>
        <rFont val="Noto Sans SC"/>
        <family val="2"/>
        <charset val="134"/>
      </rPr>
      <t xml:space="preserve">早期产品缺少引导，百搭出现显得突然；后来厂商在卷轴旁加「抽特殊模式的小卷轴」提示，并在加载页写规则。</t>
    </r>
  </si>
  <si>
    <r>
      <rPr>
        <sz val="11"/>
        <color theme="1"/>
        <rFont val="Calibri"/>
        <family val="2"/>
        <charset val="1"/>
      </rPr>
      <t xml:space="preserve">· Play’n Go </t>
    </r>
    <r>
      <rPr>
        <sz val="11"/>
        <color theme="1"/>
        <rFont val="Noto Sans SC"/>
        <family val="2"/>
        <charset val="134"/>
      </rPr>
      <t xml:space="preserve">在 </t>
    </r>
    <r>
      <rPr>
        <sz val="11"/>
        <color theme="1"/>
        <rFont val="Calibri"/>
        <family val="2"/>
        <charset val="1"/>
      </rPr>
      <t xml:space="preserve">Cluster </t>
    </r>
    <r>
      <rPr>
        <sz val="11"/>
        <color theme="1"/>
        <rFont val="Noto Sans SC"/>
        <family val="2"/>
        <charset val="134"/>
      </rPr>
      <t xml:space="preserve">产品里用「角色技能」表现随机百搭（卷轴两侧空隙放角色，触发时角色发动能力），</t>
    </r>
  </si>
  <si>
    <r>
      <rPr>
        <sz val="11"/>
        <color theme="1"/>
        <rFont val="Noto Sans SC"/>
        <family val="2"/>
        <charset val="134"/>
      </rPr>
      <t xml:space="preserve">　不同角色配不同背景色强化引导；该方法后来也用到非 </t>
    </r>
    <r>
      <rPr>
        <sz val="11"/>
        <color theme="1"/>
        <rFont val="Calibri"/>
        <family val="2"/>
        <charset val="1"/>
      </rPr>
      <t xml:space="preserve">Cluster </t>
    </r>
    <r>
      <rPr>
        <sz val="11"/>
        <color theme="1"/>
        <rFont val="Noto Sans SC"/>
        <family val="2"/>
        <charset val="134"/>
      </rPr>
      <t xml:space="preserve">产品（如 </t>
    </r>
    <r>
      <rPr>
        <sz val="11"/>
        <color theme="1"/>
        <rFont val="Calibri"/>
        <family val="2"/>
        <charset val="1"/>
      </rPr>
      <t xml:space="preserve">Ternion Slot</t>
    </r>
    <r>
      <rPr>
        <sz val="11"/>
        <color theme="1"/>
        <rFont val="Noto Sans SC"/>
        <family val="2"/>
        <charset val="134"/>
      </rPr>
      <t xml:space="preserve">，两位角色的能力与 </t>
    </r>
    <r>
      <rPr>
        <sz val="11"/>
        <color theme="1"/>
        <rFont val="Calibri"/>
        <family val="2"/>
        <charset val="1"/>
      </rPr>
      <t xml:space="preserve">Random Wild </t>
    </r>
    <r>
      <rPr>
        <sz val="11"/>
        <color theme="1"/>
        <rFont val="Noto Sans SC"/>
        <family val="2"/>
        <charset val="134"/>
      </rPr>
      <t xml:space="preserve">相关）。</t>
    </r>
  </si>
  <si>
    <t xml:space="preserve">三、变种</t>
  </si>
  <si>
    <r>
      <rPr>
        <sz val="11"/>
        <color theme="1"/>
        <rFont val="Calibri"/>
        <family val="2"/>
        <charset val="1"/>
      </rPr>
      <t xml:space="preserve">· </t>
    </r>
    <r>
      <rPr>
        <sz val="11"/>
        <color theme="1"/>
        <rFont val="Noto Sans SC"/>
        <family val="2"/>
        <charset val="134"/>
      </rPr>
      <t xml:space="preserve">基础型：摇奖前</t>
    </r>
    <r>
      <rPr>
        <sz val="11"/>
        <color theme="1"/>
        <rFont val="Calibri"/>
        <family val="2"/>
        <charset val="1"/>
      </rPr>
      <t xml:space="preserve">/</t>
    </r>
    <r>
      <rPr>
        <sz val="11"/>
        <color theme="1"/>
        <rFont val="Noto Sans SC"/>
        <family val="2"/>
        <charset val="134"/>
      </rPr>
      <t xml:space="preserve">后把百搭覆盖到指定位置（最常见）。</t>
    </r>
  </si>
  <si>
    <r>
      <rPr>
        <sz val="11"/>
        <color theme="1"/>
        <rFont val="Calibri"/>
        <family val="2"/>
        <charset val="1"/>
      </rPr>
      <t xml:space="preserve">· </t>
    </r>
    <r>
      <rPr>
        <sz val="11"/>
        <color theme="1"/>
        <rFont val="Noto Sans SC"/>
        <family val="2"/>
        <charset val="134"/>
      </rPr>
      <t xml:space="preserve">叠加型：随机百搭再附上拓展百搭或粘性百搭性质。</t>
    </r>
  </si>
  <si>
    <r>
      <rPr>
        <sz val="11"/>
        <color theme="1"/>
        <rFont val="Noto Sans SC"/>
        <family val="2"/>
        <charset val="134"/>
      </rPr>
      <t xml:space="preserve">　例：</t>
    </r>
    <r>
      <rPr>
        <sz val="11"/>
        <color theme="1"/>
        <rFont val="Calibri"/>
        <family val="2"/>
        <charset val="1"/>
      </rPr>
      <t xml:space="preserve">Wild Desire </t>
    </r>
    <r>
      <rPr>
        <sz val="11"/>
        <color theme="1"/>
        <rFont val="Noto Sans SC"/>
        <family val="2"/>
        <charset val="134"/>
      </rPr>
      <t xml:space="preserve">会从 </t>
    </r>
    <r>
      <rPr>
        <sz val="11"/>
        <color theme="1"/>
        <rFont val="Calibri"/>
        <family val="2"/>
        <charset val="1"/>
      </rPr>
      <t xml:space="preserve">1~5 </t>
    </r>
    <r>
      <rPr>
        <sz val="11"/>
        <color theme="1"/>
        <rFont val="Noto Sans SC"/>
        <family val="2"/>
        <charset val="134"/>
      </rPr>
      <t xml:space="preserve">列中随机抽取任意列，把该列图标全变为百搭；</t>
    </r>
  </si>
  <si>
    <r>
      <rPr>
        <sz val="11"/>
        <color theme="1"/>
        <rFont val="Noto Sans SC"/>
        <family val="2"/>
        <charset val="134"/>
      </rPr>
      <t xml:space="preserve">　例：</t>
    </r>
    <r>
      <rPr>
        <sz val="11"/>
        <color theme="1"/>
        <rFont val="Calibri"/>
        <family val="2"/>
        <charset val="1"/>
      </rPr>
      <t xml:space="preserve">Helios Fury </t>
    </r>
    <r>
      <rPr>
        <sz val="11"/>
        <color theme="1"/>
        <rFont val="Noto Sans SC"/>
        <family val="2"/>
        <charset val="134"/>
      </rPr>
      <t xml:space="preserve">的百搭随机出现后不消失，每次中奖后向右移动，移入红色区域后获得粘性百搭特性并给额外免费摇次数，</t>
    </r>
  </si>
  <si>
    <t xml:space="preserve">　　　同时红色区域向左延伸，降低下一个百搭变成粘性的难度。</t>
  </si>
  <si>
    <r>
      <rPr>
        <sz val="11"/>
        <color theme="1"/>
        <rFont val="Calibri"/>
        <family val="2"/>
        <charset val="1"/>
      </rPr>
      <t xml:space="preserve">· </t>
    </r>
    <r>
      <rPr>
        <sz val="11"/>
        <color theme="1"/>
        <rFont val="Noto Sans SC"/>
        <family val="2"/>
        <charset val="134"/>
      </rPr>
      <t xml:space="preserve">提醒：随机百搭在摇奖外展示，若不能充分发挥作用，会被玩家视为「降低摇奖效率」的负面机制 —— 设计时要特别注意收益感。</t>
    </r>
  </si>
  <si>
    <t xml:space="preserve">四、数值：为什么不能硬算</t>
  </si>
  <si>
    <r>
      <rPr>
        <sz val="11"/>
        <color theme="1"/>
        <rFont val="Noto Sans SC"/>
        <family val="2"/>
        <charset val="134"/>
      </rPr>
      <t xml:space="preserve">基础算法是「列出随机百搭分布在卷轴上的所有情况 → 逐种算卷轴 </t>
    </r>
    <r>
      <rPr>
        <sz val="11"/>
        <color theme="1"/>
        <rFont val="Calibri"/>
        <family val="2"/>
        <charset val="1"/>
      </rPr>
      <t xml:space="preserve">RTP → </t>
    </r>
    <r>
      <rPr>
        <sz val="11"/>
        <color theme="1"/>
        <rFont val="Noto Sans SC"/>
        <family val="2"/>
        <charset val="134"/>
      </rPr>
      <t xml:space="preserve">按出现几率加权」。</t>
    </r>
  </si>
  <si>
    <r>
      <rPr>
        <sz val="11"/>
        <color theme="1"/>
        <rFont val="Noto Sans SC"/>
        <family val="2"/>
        <charset val="134"/>
      </rPr>
      <t xml:space="preserve">但 </t>
    </r>
    <r>
      <rPr>
        <sz val="11"/>
        <color theme="1"/>
        <rFont val="Calibri"/>
        <family val="2"/>
        <charset val="1"/>
      </rPr>
      <t xml:space="preserve">3*5 </t>
    </r>
    <r>
      <rPr>
        <sz val="11"/>
        <color theme="1"/>
        <rFont val="Noto Sans SC"/>
        <family val="2"/>
        <charset val="134"/>
      </rPr>
      <t xml:space="preserve">＝ </t>
    </r>
    <r>
      <rPr>
        <sz val="11"/>
        <color theme="1"/>
        <rFont val="Calibri"/>
        <family val="2"/>
        <charset val="1"/>
      </rPr>
      <t xml:space="preserve">15 </t>
    </r>
    <r>
      <rPr>
        <sz val="11"/>
        <color theme="1"/>
        <rFont val="Noto Sans SC"/>
        <family val="2"/>
        <charset val="134"/>
      </rPr>
      <t xml:space="preserve">个位置，每格「被覆盖 </t>
    </r>
    <r>
      <rPr>
        <sz val="11"/>
        <color theme="1"/>
        <rFont val="Calibri"/>
        <family val="2"/>
        <charset val="1"/>
      </rPr>
      <t xml:space="preserve">/ </t>
    </r>
    <r>
      <rPr>
        <sz val="11"/>
        <color theme="1"/>
        <rFont val="Noto Sans SC"/>
        <family val="2"/>
        <charset val="134"/>
      </rPr>
      <t xml:space="preserve">不被覆盖」共 </t>
    </r>
    <r>
      <rPr>
        <sz val="11"/>
        <color theme="1"/>
        <rFont val="Calibri"/>
        <family val="2"/>
        <charset val="1"/>
      </rPr>
      <t xml:space="preserve">2^15 </t>
    </r>
    <r>
      <rPr>
        <sz val="11"/>
        <color theme="1"/>
        <rFont val="Noto Sans SC"/>
        <family val="2"/>
        <charset val="134"/>
      </rPr>
      <t xml:space="preserve">＝ </t>
    </r>
    <r>
      <rPr>
        <sz val="11"/>
        <color theme="1"/>
        <rFont val="Calibri"/>
        <family val="2"/>
        <charset val="1"/>
      </rPr>
      <t xml:space="preserve">32,768 </t>
    </r>
    <r>
      <rPr>
        <sz val="11"/>
        <color theme="1"/>
        <rFont val="Noto Sans SC"/>
        <family val="2"/>
        <charset val="134"/>
      </rPr>
      <t xml:space="preserve">种，人力模拟不划算。</t>
    </r>
  </si>
  <si>
    <r>
      <rPr>
        <sz val="11"/>
        <color theme="1"/>
        <rFont val="Noto Sans SC"/>
        <family val="2"/>
        <charset val="134"/>
      </rPr>
      <t xml:space="preserve">因此原文建议：</t>
    </r>
    <r>
      <rPr>
        <sz val="11"/>
        <color theme="1"/>
        <rFont val="Calibri"/>
        <family val="2"/>
        <charset val="1"/>
      </rPr>
      <t xml:space="preserve">36 </t>
    </r>
    <r>
      <rPr>
        <sz val="11"/>
        <color theme="1"/>
        <rFont val="Noto Sans SC"/>
        <family val="2"/>
        <charset val="134"/>
      </rPr>
      <t xml:space="preserve">首选跑数据（参数调整也方便）；</t>
    </r>
    <r>
      <rPr>
        <sz val="11"/>
        <color theme="1"/>
        <rFont val="Calibri"/>
        <family val="2"/>
        <charset val="1"/>
      </rPr>
      <t xml:space="preserve">37 </t>
    </r>
    <r>
      <rPr>
        <sz val="11"/>
        <color theme="1"/>
        <rFont val="Noto Sans SC"/>
        <family val="2"/>
        <charset val="134"/>
      </rPr>
      <t xml:space="preserve">退而求其次用「分组降维」：</t>
    </r>
  </si>
  <si>
    <t xml:space="preserve">　把可能性拆成能用「两个及以下指标」描述的组 —— 取「百搭图标数量」与「其在中奖线上的分布」：</t>
  </si>
  <si>
    <r>
      <rPr>
        <sz val="11"/>
        <color theme="1"/>
        <rFont val="Noto Sans SC"/>
        <family val="2"/>
        <charset val="134"/>
      </rPr>
      <t xml:space="preserve">　</t>
    </r>
    <r>
      <rPr>
        <sz val="11"/>
        <color theme="1"/>
        <rFont val="Calibri"/>
        <family val="2"/>
        <charset val="1"/>
      </rPr>
      <t xml:space="preserve">· </t>
    </r>
    <r>
      <rPr>
        <sz val="11"/>
        <color theme="1"/>
        <rFont val="Noto Sans SC"/>
        <family val="2"/>
        <charset val="134"/>
      </rPr>
      <t xml:space="preserve">对一条中奖线的影响 → </t>
    </r>
    <r>
      <rPr>
        <sz val="11"/>
        <color theme="1"/>
        <rFont val="Calibri"/>
        <family val="2"/>
        <charset val="1"/>
      </rPr>
      <t xml:space="preserve">2^5 </t>
    </r>
    <r>
      <rPr>
        <sz val="11"/>
        <color theme="1"/>
        <rFont val="Noto Sans SC"/>
        <family val="2"/>
        <charset val="134"/>
      </rPr>
      <t xml:space="preserve">＝ </t>
    </r>
    <r>
      <rPr>
        <sz val="11"/>
        <color theme="1"/>
        <rFont val="Calibri"/>
        <family val="2"/>
        <charset val="1"/>
      </rPr>
      <t xml:space="preserve">32 </t>
    </r>
    <r>
      <rPr>
        <sz val="11"/>
        <color theme="1"/>
        <rFont val="Noto Sans SC"/>
        <family val="2"/>
        <charset val="134"/>
      </rPr>
      <t xml:space="preserve">种；　</t>
    </r>
    <r>
      <rPr>
        <sz val="11"/>
        <color theme="1"/>
        <rFont val="Calibri"/>
        <family val="2"/>
        <charset val="1"/>
      </rPr>
      <t xml:space="preserve">· </t>
    </r>
    <r>
      <rPr>
        <sz val="11"/>
        <color theme="1"/>
        <rFont val="Noto Sans SC"/>
        <family val="2"/>
        <charset val="134"/>
      </rPr>
      <t xml:space="preserve">全卷轴被覆盖的位置数 → </t>
    </r>
    <r>
      <rPr>
        <sz val="11"/>
        <color theme="1"/>
        <rFont val="Calibri"/>
        <family val="2"/>
        <charset val="1"/>
      </rPr>
      <t xml:space="preserve">0~15 </t>
    </r>
    <r>
      <rPr>
        <sz val="11"/>
        <color theme="1"/>
        <rFont val="Noto Sans SC"/>
        <family val="2"/>
        <charset val="134"/>
      </rPr>
      <t xml:space="preserve">共 </t>
    </r>
    <r>
      <rPr>
        <sz val="11"/>
        <color theme="1"/>
        <rFont val="Calibri"/>
        <family val="2"/>
        <charset val="1"/>
      </rPr>
      <t xml:space="preserve">16 </t>
    </r>
    <r>
      <rPr>
        <sz val="11"/>
        <color theme="1"/>
        <rFont val="Noto Sans SC"/>
        <family val="2"/>
        <charset val="134"/>
      </rPr>
      <t xml:space="preserve">种；</t>
    </r>
  </si>
  <si>
    <r>
      <rPr>
        <sz val="11"/>
        <color theme="1"/>
        <rFont val="Noto Sans SC"/>
        <family val="2"/>
        <charset val="134"/>
      </rPr>
      <t xml:space="preserve">　</t>
    </r>
    <r>
      <rPr>
        <sz val="11"/>
        <color theme="1"/>
        <rFont val="Calibri"/>
        <family val="2"/>
        <charset val="1"/>
      </rPr>
      <t xml:space="preserve">· </t>
    </r>
    <r>
      <rPr>
        <sz val="11"/>
        <color theme="1"/>
        <rFont val="Noto Sans SC"/>
        <family val="2"/>
        <charset val="134"/>
      </rPr>
      <t xml:space="preserve">合计 </t>
    </r>
    <r>
      <rPr>
        <sz val="11"/>
        <color theme="1"/>
        <rFont val="Calibri"/>
        <family val="2"/>
        <charset val="1"/>
      </rPr>
      <t xml:space="preserve">16 × 32 </t>
    </r>
    <r>
      <rPr>
        <sz val="11"/>
        <color theme="1"/>
        <rFont val="Noto Sans SC"/>
        <family val="2"/>
        <charset val="134"/>
      </rPr>
      <t xml:space="preserve">＝ </t>
    </r>
    <r>
      <rPr>
        <sz val="11"/>
        <color theme="1"/>
        <rFont val="Calibri"/>
        <family val="2"/>
        <charset val="1"/>
      </rPr>
      <t xml:space="preserve">512 </t>
    </r>
    <r>
      <rPr>
        <sz val="11"/>
        <color theme="1"/>
        <rFont val="Noto Sans SC"/>
        <family val="2"/>
        <charset val="134"/>
      </rPr>
      <t xml:space="preserve">种组合，再统计各组合的出现几率即可用 </t>
    </r>
    <r>
      <rPr>
        <sz val="11"/>
        <color theme="1"/>
        <rFont val="Calibri"/>
        <family val="2"/>
        <charset val="1"/>
      </rPr>
      <t xml:space="preserve">Excel </t>
    </r>
    <r>
      <rPr>
        <sz val="11"/>
        <color theme="1"/>
        <rFont val="Noto Sans SC"/>
        <family val="2"/>
        <charset val="134"/>
      </rPr>
      <t xml:space="preserve">分组计算。</t>
    </r>
  </si>
  <si>
    <r>
      <rPr>
        <b val="true"/>
        <sz val="11"/>
        <rFont val="Noto Sans SC"/>
        <family val="2"/>
        <charset val="134"/>
      </rPr>
      <t xml:space="preserve">五、数据来源（</t>
    </r>
    <r>
      <rPr>
        <b val="true"/>
        <sz val="11"/>
        <rFont val="Cambria"/>
        <family val="0"/>
        <charset val="1"/>
      </rPr>
      <t xml:space="preserve">2026-09-29 </t>
    </r>
    <r>
      <rPr>
        <b val="true"/>
        <sz val="11"/>
        <rFont val="Noto Sans SC"/>
        <family val="2"/>
        <charset val="134"/>
      </rPr>
      <t xml:space="preserve">校正）</t>
    </r>
  </si>
  <si>
    <r>
      <rPr>
        <sz val="11"/>
        <color theme="1"/>
        <rFont val="Noto Sans SC"/>
        <family val="2"/>
        <charset val="134"/>
      </rPr>
      <t xml:space="preserve">正文与配图均取自本机离线保存的网页原件；本篇配图已按篇归档（</t>
    </r>
    <r>
      <rPr>
        <sz val="11"/>
        <color theme="1"/>
        <rFont val="Calibri"/>
        <family val="2"/>
        <charset val="1"/>
      </rPr>
      <t xml:space="preserve">images/slots/</t>
    </r>
    <r>
      <rPr>
        <sz val="11"/>
        <color theme="1"/>
        <rFont val="Noto Sans SC"/>
        <family val="2"/>
        <charset val="134"/>
      </rPr>
      <t xml:space="preserve">），说明页列有配图清单，本页签正文与原文逐行一致。</t>
    </r>
  </si>
  <si>
    <r>
      <rPr>
        <sz val="11"/>
        <color theme="1"/>
        <rFont val="Noto Sans SC"/>
        <family val="2"/>
        <charset val="134"/>
      </rPr>
      <t xml:space="preserve">配表为依据原文方法</t>
    </r>
    <r>
      <rPr>
        <sz val="11"/>
        <color theme="1"/>
        <rFont val="Calibri"/>
        <family val="2"/>
        <charset val="1"/>
      </rPr>
      <t xml:space="preserve">/</t>
    </r>
    <r>
      <rPr>
        <sz val="11"/>
        <color theme="1"/>
        <rFont val="Noto Sans SC"/>
        <family val="2"/>
        <charset val="134"/>
      </rPr>
      <t xml:space="preserve">示例搭成的可改参数表（蓝字）：原文给出数值与规则的部分已逐格转录，并在配表内的「自检」区与原文数值对照；原文未给数值的部分为可替换的示例配置。</t>
    </r>
  </si>
  <si>
    <t xml:space="preserve">原文整理（全文，按原文小标题分段）</t>
  </si>
  <si>
    <r>
      <rPr>
        <sz val="11"/>
        <color theme="1"/>
        <rFont val="Noto Sans SC"/>
        <family val="2"/>
        <charset val="134"/>
      </rPr>
      <t xml:space="preserve">在</t>
    </r>
    <r>
      <rPr>
        <sz val="11"/>
        <color theme="1"/>
        <rFont val="Calibri"/>
        <family val="2"/>
        <charset val="1"/>
      </rPr>
      <t xml:space="preserve">Slot</t>
    </r>
    <r>
      <rPr>
        <sz val="11"/>
        <color theme="1"/>
        <rFont val="Noto Sans SC"/>
        <family val="2"/>
        <charset val="134"/>
      </rPr>
      <t xml:space="preserve">产品中，</t>
    </r>
    <r>
      <rPr>
        <sz val="11"/>
        <color theme="1"/>
        <rFont val="Calibri"/>
        <family val="2"/>
        <charset val="1"/>
      </rPr>
      <t xml:space="preserve">Wild</t>
    </r>
    <r>
      <rPr>
        <sz val="11"/>
        <color theme="1"/>
        <rFont val="Noto Sans SC"/>
        <family val="2"/>
        <charset val="134"/>
      </rPr>
      <t xml:space="preserve">作为最常见的</t>
    </r>
    <r>
      <rPr>
        <sz val="11"/>
        <color theme="1"/>
        <rFont val="Calibri"/>
        <family val="2"/>
        <charset val="1"/>
      </rPr>
      <t xml:space="preserve">Feature</t>
    </r>
    <r>
      <rPr>
        <sz val="11"/>
        <color theme="1"/>
        <rFont val="Noto Sans SC"/>
        <family val="2"/>
        <charset val="134"/>
      </rPr>
      <t xml:space="preserve">经常会被当做设计</t>
    </r>
    <r>
      <rPr>
        <sz val="11"/>
        <color theme="1"/>
        <rFont val="Calibri"/>
        <family val="2"/>
        <charset val="1"/>
      </rPr>
      <t xml:space="preserve">Slots</t>
    </r>
    <r>
      <rPr>
        <sz val="11"/>
        <color theme="1"/>
        <rFont val="Noto Sans SC"/>
        <family val="2"/>
        <charset val="134"/>
      </rPr>
      <t xml:space="preserve">特色的突破口</t>
    </r>
  </si>
  <si>
    <r>
      <rPr>
        <sz val="11"/>
        <color theme="1"/>
        <rFont val="Noto Sans SC"/>
        <family val="2"/>
        <charset val="134"/>
      </rPr>
      <t xml:space="preserve">例如之前文章中介绍过的粘性百搭、拓展百搭等，对这两种</t>
    </r>
    <r>
      <rPr>
        <sz val="11"/>
        <color theme="1"/>
        <rFont val="Calibri"/>
        <family val="2"/>
        <charset val="1"/>
      </rPr>
      <t xml:space="preserve">Feature</t>
    </r>
    <r>
      <rPr>
        <sz val="11"/>
        <color theme="1"/>
        <rFont val="Noto Sans SC"/>
        <family val="2"/>
        <charset val="134"/>
      </rPr>
      <t xml:space="preserve">感兴趣的话可以点击文章末尾的链接查看对应介绍</t>
    </r>
  </si>
  <si>
    <r>
      <rPr>
        <sz val="11"/>
        <color theme="1"/>
        <rFont val="Noto Sans SC"/>
        <family val="2"/>
        <charset val="134"/>
      </rPr>
      <t xml:space="preserve">本篇讲介绍</t>
    </r>
    <r>
      <rPr>
        <sz val="11"/>
        <color theme="1"/>
        <rFont val="Calibri"/>
        <family val="2"/>
        <charset val="1"/>
      </rPr>
      <t xml:space="preserve">Wild</t>
    </r>
    <r>
      <rPr>
        <sz val="11"/>
        <color theme="1"/>
        <rFont val="Noto Sans SC"/>
        <family val="2"/>
        <charset val="134"/>
      </rPr>
      <t xml:space="preserve">图标的另一种变形，随机百搭（</t>
    </r>
    <r>
      <rPr>
        <sz val="11"/>
        <color theme="1"/>
        <rFont val="Calibri"/>
        <family val="2"/>
        <charset val="1"/>
      </rPr>
      <t xml:space="preserve">Random Wild</t>
    </r>
    <r>
      <rPr>
        <sz val="11"/>
        <color theme="1"/>
        <rFont val="Noto Sans SC"/>
        <family val="2"/>
        <charset val="134"/>
      </rPr>
      <t xml:space="preserve">或</t>
    </r>
    <r>
      <rPr>
        <sz val="11"/>
        <color theme="1"/>
        <rFont val="Calibri"/>
        <family val="2"/>
        <charset val="1"/>
      </rPr>
      <t xml:space="preserve">Additional Wild</t>
    </r>
    <r>
      <rPr>
        <sz val="11"/>
        <color theme="1"/>
        <rFont val="Noto Sans SC"/>
        <family val="2"/>
        <charset val="134"/>
      </rPr>
      <t xml:space="preserve">）</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</si>
  <si>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637469752-01.jpg</t>
    </r>
  </si>
  <si>
    <t xml:space="preserve">百搭图标作为图标的一种，一般情况下是和其他图标一样在摇奖过程中通过抽取决定其是否停留在卷轴上</t>
  </si>
  <si>
    <t xml:space="preserve">其能够替代所有标准图标的特性提升了玩家在摇奖过程中的期待值和中奖几率</t>
  </si>
  <si>
    <r>
      <rPr>
        <sz val="11"/>
        <color theme="1"/>
        <rFont val="Noto Sans SC"/>
        <family val="2"/>
        <charset val="134"/>
      </rPr>
      <t xml:space="preserve">因此，在对</t>
    </r>
    <r>
      <rPr>
        <sz val="11"/>
        <color theme="1"/>
        <rFont val="Calibri"/>
        <family val="2"/>
        <charset val="1"/>
      </rPr>
      <t xml:space="preserve">Wild</t>
    </r>
    <r>
      <rPr>
        <sz val="11"/>
        <color theme="1"/>
        <rFont val="Noto Sans SC"/>
        <family val="2"/>
        <charset val="134"/>
      </rPr>
      <t xml:space="preserve">图标进行调整时，大部分厂商第一时间也是想到了在增加</t>
    </r>
    <r>
      <rPr>
        <sz val="11"/>
        <color theme="1"/>
        <rFont val="Calibri"/>
        <family val="2"/>
        <charset val="1"/>
      </rPr>
      <t xml:space="preserve">Wild</t>
    </r>
    <r>
      <rPr>
        <sz val="11"/>
        <color theme="1"/>
        <rFont val="Noto Sans SC"/>
        <family val="2"/>
        <charset val="134"/>
      </rPr>
      <t xml:space="preserve">的出现几率上做处理</t>
    </r>
  </si>
  <si>
    <r>
      <rPr>
        <sz val="11"/>
        <color theme="1"/>
        <rFont val="Noto Sans SC"/>
        <family val="2"/>
        <charset val="134"/>
      </rPr>
      <t xml:space="preserve">最简单的方式就是增加</t>
    </r>
    <r>
      <rPr>
        <sz val="11"/>
        <color theme="1"/>
        <rFont val="Calibri"/>
        <family val="2"/>
        <charset val="1"/>
      </rPr>
      <t xml:space="preserve">Wild</t>
    </r>
    <r>
      <rPr>
        <sz val="11"/>
        <color theme="1"/>
        <rFont val="Noto Sans SC"/>
        <family val="2"/>
        <charset val="134"/>
      </rPr>
      <t xml:space="preserve">图标在卷轴上的数量，复杂一点的则是让出现在场上的</t>
    </r>
    <r>
      <rPr>
        <sz val="11"/>
        <color theme="1"/>
        <rFont val="Calibri"/>
        <family val="2"/>
        <charset val="1"/>
      </rPr>
      <t xml:space="preserve">Wild</t>
    </r>
    <r>
      <rPr>
        <sz val="11"/>
        <color theme="1"/>
        <rFont val="Noto Sans SC"/>
        <family val="2"/>
        <charset val="134"/>
      </rPr>
      <t xml:space="preserve">能够停留的时间更长或者覆盖的区域更大，也就有了粘性百搭和拓展百搭</t>
    </r>
  </si>
  <si>
    <r>
      <rPr>
        <sz val="11"/>
        <color theme="1"/>
        <rFont val="Noto Sans SC"/>
        <family val="2"/>
        <charset val="134"/>
      </rPr>
      <t xml:space="preserve">而</t>
    </r>
    <r>
      <rPr>
        <sz val="11"/>
        <color theme="1"/>
        <rFont val="Calibri"/>
        <family val="2"/>
        <charset val="1"/>
      </rPr>
      <t xml:space="preserve">Random Wild</t>
    </r>
    <r>
      <rPr>
        <sz val="11"/>
        <color theme="1"/>
        <rFont val="Noto Sans SC"/>
        <family val="2"/>
        <charset val="134"/>
      </rPr>
      <t xml:space="preserve">则是直接跳脱出了抽取图标的几率，在抽取图标的过程外，添加能够随机生成百搭图标到卷轴上任意位置覆盖其原有图标的机制</t>
    </r>
  </si>
  <si>
    <r>
      <rPr>
        <sz val="11"/>
        <color theme="1"/>
        <rFont val="Noto Sans SC"/>
        <family val="2"/>
        <charset val="134"/>
      </rPr>
      <t xml:space="preserve">一般情况下，这类</t>
    </r>
    <r>
      <rPr>
        <sz val="11"/>
        <color theme="1"/>
        <rFont val="Calibri"/>
        <family val="2"/>
        <charset val="1"/>
      </rPr>
      <t xml:space="preserve">Feature</t>
    </r>
    <r>
      <rPr>
        <sz val="11"/>
        <color theme="1"/>
        <rFont val="Noto Sans SC"/>
        <family val="2"/>
        <charset val="134"/>
      </rPr>
      <t xml:space="preserve">覆盖的位置和数量都是随机生成并且和图标的基础生成概率无关，因此这类</t>
    </r>
    <r>
      <rPr>
        <sz val="11"/>
        <color theme="1"/>
        <rFont val="Calibri"/>
        <family val="2"/>
        <charset val="1"/>
      </rPr>
      <t xml:space="preserve">Feature</t>
    </r>
    <r>
      <rPr>
        <sz val="11"/>
        <color theme="1"/>
        <rFont val="Noto Sans SC"/>
        <family val="2"/>
        <charset val="134"/>
      </rPr>
      <t xml:space="preserve">也被成为随机百搭</t>
    </r>
  </si>
  <si>
    <t xml:space="preserve">随机百搭的机制</t>
  </si>
  <si>
    <t xml:space="preserve">随机百搭的作用和普通的百搭图标一般情况下没有分别，都是能够在结算环节被视为其他任意标准图标</t>
  </si>
  <si>
    <t xml:space="preserve">其特殊之处在于，其并不会随着摇奖出现在卷轴上，而是使用和摇奖无关的方式抽取随机位置生成百搭图标</t>
  </si>
  <si>
    <t xml:space="preserve">被生成图标的位置，本轮抽取到的图标被百搭图标覆盖</t>
  </si>
  <si>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637469752-02.jpg</t>
    </r>
  </si>
  <si>
    <t xml:space="preserve">图片中的玩法就是使用了随机百搭的逻辑，但是使用了拓展百搭的前端展示</t>
  </si>
  <si>
    <r>
      <rPr>
        <sz val="11"/>
        <color theme="1"/>
        <rFont val="Noto Sans SC"/>
        <family val="2"/>
        <charset val="134"/>
      </rPr>
      <t xml:space="preserve">虽然随机百搭是使用在摇奖之外的方式抽取百搭图标并覆盖在卷轴上的，但是部分存在该机制的</t>
    </r>
    <r>
      <rPr>
        <sz val="11"/>
        <color theme="1"/>
        <rFont val="Calibri"/>
        <family val="2"/>
        <charset val="1"/>
      </rPr>
      <t xml:space="preserve">Slots</t>
    </r>
    <r>
      <rPr>
        <sz val="11"/>
        <color theme="1"/>
        <rFont val="Noto Sans SC"/>
        <family val="2"/>
        <charset val="134"/>
      </rPr>
      <t xml:space="preserve">在前端表现上却选择不展示随机百搭被随机分配到卷轴上的过程</t>
    </r>
  </si>
  <si>
    <r>
      <rPr>
        <sz val="11"/>
        <color theme="1"/>
        <rFont val="Noto Sans SC"/>
        <family val="2"/>
        <charset val="134"/>
      </rPr>
      <t xml:space="preserve">这些</t>
    </r>
    <r>
      <rPr>
        <sz val="11"/>
        <color theme="1"/>
        <rFont val="Calibri"/>
        <family val="2"/>
        <charset val="1"/>
      </rPr>
      <t xml:space="preserve">Slot</t>
    </r>
    <r>
      <rPr>
        <sz val="11"/>
        <color theme="1"/>
        <rFont val="Noto Sans SC"/>
        <family val="2"/>
        <charset val="134"/>
      </rPr>
      <t xml:space="preserve">的设计可能是为了减少随机生成带来的对游戏公平性的怀疑，但是如果只是为了满足增加百搭图标的出现几率的话，不妨直接通过图标概率进行控制</t>
    </r>
  </si>
  <si>
    <t xml:space="preserve">随机百搭的触发</t>
  </si>
  <si>
    <t xml:space="preserve">最初的随机百搭都是使用纯随机触发的方式，也就是在普通摇或免费摇期间，在摇奖开始后将图标投射到卷轴的随机位置，本轮摇奖无论该位置出现什么图标，都会被百搭图标覆盖</t>
  </si>
  <si>
    <r>
      <rPr>
        <sz val="11"/>
        <color theme="1"/>
        <rFont val="Noto Sans SC"/>
        <family val="2"/>
        <charset val="134"/>
      </rPr>
      <t xml:space="preserve">又因为部分老版本的</t>
    </r>
    <r>
      <rPr>
        <sz val="11"/>
        <color theme="1"/>
        <rFont val="Calibri"/>
        <family val="2"/>
        <charset val="1"/>
      </rPr>
      <t xml:space="preserve">Slots</t>
    </r>
    <r>
      <rPr>
        <sz val="11"/>
        <color theme="1"/>
        <rFont val="Noto Sans SC"/>
        <family val="2"/>
        <charset val="134"/>
      </rPr>
      <t xml:space="preserve">并没有在加载页添加规则介绍的习惯，所以在部分比较早期带有</t>
    </r>
    <r>
      <rPr>
        <sz val="11"/>
        <color theme="1"/>
        <rFont val="Calibri"/>
        <family val="2"/>
        <charset val="1"/>
      </rPr>
      <t xml:space="preserve">Random Wild</t>
    </r>
    <r>
      <rPr>
        <sz val="11"/>
        <color theme="1"/>
        <rFont val="Noto Sans SC"/>
        <family val="2"/>
        <charset val="134"/>
      </rPr>
      <t xml:space="preserve">的</t>
    </r>
    <r>
      <rPr>
        <sz val="11"/>
        <color theme="1"/>
        <rFont val="Calibri"/>
        <family val="2"/>
        <charset val="1"/>
      </rPr>
      <t xml:space="preserve">Slots</t>
    </r>
    <r>
      <rPr>
        <sz val="11"/>
        <color theme="1"/>
        <rFont val="Noto Sans SC"/>
        <family val="2"/>
        <charset val="134"/>
      </rPr>
      <t xml:space="preserve">产品中，百搭图标的随机出现都显得比较突然</t>
    </r>
  </si>
  <si>
    <t xml:space="preserve">部分厂商开始在卷轴旁边添加例如抽取特殊模式的小卷轴来提示玩家存在这一机制并在开始在加载页面添加对随机百搭的描述，增加对玩法机制的引导</t>
  </si>
  <si>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637469752-03.jpg</t>
    </r>
  </si>
  <si>
    <r>
      <rPr>
        <sz val="11"/>
        <color theme="1"/>
        <rFont val="Calibri"/>
        <family val="2"/>
        <charset val="1"/>
      </rPr>
      <t xml:space="preserve">Play'n Go</t>
    </r>
    <r>
      <rPr>
        <sz val="11"/>
        <color theme="1"/>
        <rFont val="Noto Sans SC"/>
        <family val="2"/>
        <charset val="134"/>
      </rPr>
      <t xml:space="preserve">在其</t>
    </r>
    <r>
      <rPr>
        <sz val="11"/>
        <color theme="1"/>
        <rFont val="Calibri"/>
        <family val="2"/>
        <charset val="1"/>
      </rPr>
      <t xml:space="preserve">Cluster</t>
    </r>
    <r>
      <rPr>
        <sz val="11"/>
        <color theme="1"/>
        <rFont val="Noto Sans SC"/>
        <family val="2"/>
        <charset val="134"/>
      </rPr>
      <t xml:space="preserve">产品中对这一引导进行了进一步的调整</t>
    </r>
  </si>
  <si>
    <r>
      <rPr>
        <sz val="11"/>
        <color theme="1"/>
        <rFont val="Noto Sans SC"/>
        <family val="2"/>
        <charset val="134"/>
      </rPr>
      <t xml:space="preserve">本就比较偏方形的</t>
    </r>
    <r>
      <rPr>
        <sz val="11"/>
        <color theme="1"/>
        <rFont val="Calibri"/>
        <family val="2"/>
        <charset val="1"/>
      </rPr>
      <t xml:space="preserve">Cluster</t>
    </r>
    <r>
      <rPr>
        <sz val="11"/>
        <color theme="1"/>
        <rFont val="Noto Sans SC"/>
        <family val="2"/>
        <charset val="134"/>
      </rPr>
      <t xml:space="preserve">卷轴为长方形的游戏区域留出了两边的空隙，</t>
    </r>
    <r>
      <rPr>
        <sz val="11"/>
        <color theme="1"/>
        <rFont val="Calibri"/>
        <family val="2"/>
        <charset val="1"/>
      </rPr>
      <t xml:space="preserve">Play'n Go</t>
    </r>
    <r>
      <rPr>
        <sz val="11"/>
        <color theme="1"/>
        <rFont val="Noto Sans SC"/>
        <family val="2"/>
        <charset val="134"/>
      </rPr>
      <t xml:space="preserve">在右侧的空隙里添加了代表特殊机制的角色</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</si>
  <si>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637469752-04.jpg</t>
    </r>
  </si>
  <si>
    <t xml:space="preserve">当触发随机百搭时，这些角色就会使用其特殊能力</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</si>
  <si>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637469752-05.jpg</t>
    </r>
  </si>
  <si>
    <t xml:space="preserve">不同角色对应的背景颜色也不同，进一步强化机制引导</t>
  </si>
  <si>
    <t xml:space="preserve">将触发机制更具象地使用角色技能进行展示，其在市场上很快便获得了玩家的认可，特别是在日本地区</t>
  </si>
  <si>
    <r>
      <rPr>
        <sz val="11"/>
        <color theme="1"/>
        <rFont val="Noto Sans SC"/>
        <family val="2"/>
        <charset val="134"/>
      </rPr>
      <t xml:space="preserve">该方法也被运用到了非</t>
    </r>
    <r>
      <rPr>
        <sz val="11"/>
        <color theme="1"/>
        <rFont val="Calibri"/>
        <family val="2"/>
        <charset val="1"/>
      </rPr>
      <t xml:space="preserve">Cluster</t>
    </r>
    <r>
      <rPr>
        <sz val="11"/>
        <color theme="1"/>
        <rFont val="Noto Sans SC"/>
        <family val="2"/>
        <charset val="134"/>
      </rPr>
      <t xml:space="preserve">类型的产品上，例如最近刚发售就受到了大量厂商喜爱的</t>
    </r>
    <r>
      <rPr>
        <sz val="11"/>
        <color theme="1"/>
        <rFont val="Calibri"/>
        <family val="2"/>
        <charset val="1"/>
      </rPr>
      <t xml:space="preserve">Ternion Slot</t>
    </r>
    <r>
      <rPr>
        <sz val="11"/>
        <color theme="1"/>
        <rFont val="Noto Sans SC"/>
        <family val="2"/>
        <charset val="134"/>
      </rPr>
      <t xml:space="preserve">，其就引入了使用角色代表特殊机制的方法，并且其中有两位角色的能力都和</t>
    </r>
    <r>
      <rPr>
        <sz val="11"/>
        <color theme="1"/>
        <rFont val="Calibri"/>
        <family val="2"/>
        <charset val="1"/>
      </rPr>
      <t xml:space="preserve">Random Wild</t>
    </r>
    <r>
      <rPr>
        <sz val="11"/>
        <color theme="1"/>
        <rFont val="Noto Sans SC"/>
        <family val="2"/>
        <charset val="134"/>
      </rPr>
      <t xml:space="preserve">相关</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</si>
  <si>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637469752-06.jpg</t>
    </r>
  </si>
  <si>
    <t xml:space="preserve">随机百搭的变种</t>
  </si>
  <si>
    <t xml:space="preserve">最基础的随机百搭就是在摇奖前或摇奖后将百搭图标覆盖在卷轴上的指定位置，也是最为常见的随机百搭形式</t>
  </si>
  <si>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637469752-07.jpg</t>
    </r>
  </si>
  <si>
    <t xml:space="preserve">还有一部分产品认为随机百搭带来的收益不明显，因此在随机百搭图标的同时还给百搭图标附上了拓展百搭或粘性百搭的性质</t>
  </si>
  <si>
    <r>
      <rPr>
        <sz val="11"/>
        <color theme="1"/>
        <rFont val="Noto Sans SC"/>
        <family val="2"/>
        <charset val="134"/>
      </rPr>
      <t xml:space="preserve">例如在</t>
    </r>
    <r>
      <rPr>
        <sz val="11"/>
        <color theme="1"/>
        <rFont val="Calibri"/>
        <family val="2"/>
        <charset val="1"/>
      </rPr>
      <t xml:space="preserve">Wild Desire Slot</t>
    </r>
    <r>
      <rPr>
        <sz val="11"/>
        <color theme="1"/>
        <rFont val="Noto Sans SC"/>
        <family val="2"/>
        <charset val="134"/>
      </rPr>
      <t xml:space="preserve">中，就会从</t>
    </r>
    <r>
      <rPr>
        <sz val="11"/>
        <color theme="1"/>
        <rFont val="Calibri"/>
        <family val="2"/>
        <charset val="1"/>
      </rPr>
      <t xml:space="preserve">1~5</t>
    </r>
    <r>
      <rPr>
        <sz val="11"/>
        <color theme="1"/>
        <rFont val="Noto Sans SC"/>
        <family val="2"/>
        <charset val="134"/>
      </rPr>
      <t xml:space="preserve">列随机抽取任意列，将其图标均变为百搭图标</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</si>
  <si>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637469752-08.jpg</t>
    </r>
  </si>
  <si>
    <r>
      <rPr>
        <sz val="11"/>
        <color theme="1"/>
        <rFont val="Noto Sans SC"/>
        <family val="2"/>
        <charset val="134"/>
      </rPr>
      <t xml:space="preserve">以及在</t>
    </r>
    <r>
      <rPr>
        <sz val="11"/>
        <color theme="1"/>
        <rFont val="Calibri"/>
        <family val="2"/>
        <charset val="1"/>
      </rPr>
      <t xml:space="preserve">Helios Fury Slots</t>
    </r>
    <r>
      <rPr>
        <sz val="11"/>
        <color theme="1"/>
        <rFont val="Noto Sans SC"/>
        <family val="2"/>
        <charset val="134"/>
      </rPr>
      <t xml:space="preserve">中，百搭图标随机出现在卷轴上之后不仅不会消失，而且还会在每次中奖后向右移动</t>
    </r>
  </si>
  <si>
    <t xml:space="preserve">当百搭图标移动到卷轴中的红色区域后，百搭图标获得粘性百搭特性并能够获得额外免费摇次数</t>
  </si>
  <si>
    <t xml:space="preserve">成为粘性百搭的百搭图标还会让红色区域向左延伸，降低下一个百搭图标成为粘性百搭的难度</t>
  </si>
  <si>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637469752-09.jpg</t>
    </r>
  </si>
  <si>
    <t xml:space="preserve">不难看出这些变种的调整都是尽可能地让随机百搭能够发挥其作用</t>
  </si>
  <si>
    <t xml:space="preserve">毕竟像随机百搭这种在摇奖外进行展示的机制，如果不能充足的发挥作用，可能对玩家体验来说会更像一个降低摇奖效率的负面机制，在设计的时候需要特别注意这一点</t>
  </si>
  <si>
    <t xml:space="preserve">随机百搭的数值</t>
  </si>
  <si>
    <r>
      <rPr>
        <sz val="11"/>
        <color theme="1"/>
        <rFont val="Noto Sans SC"/>
        <family val="2"/>
        <charset val="134"/>
      </rPr>
      <t xml:space="preserve">在之前介绍</t>
    </r>
    <r>
      <rPr>
        <sz val="11"/>
        <color theme="1"/>
        <rFont val="Calibri"/>
        <family val="2"/>
        <charset val="1"/>
      </rPr>
      <t xml:space="preserve">Mega Symbols</t>
    </r>
    <r>
      <rPr>
        <sz val="11"/>
        <color theme="1"/>
        <rFont val="Noto Sans SC"/>
        <family val="2"/>
        <charset val="134"/>
      </rPr>
      <t xml:space="preserve">时有提到过类似这种跳脱出图标抽取概率的</t>
    </r>
    <r>
      <rPr>
        <sz val="11"/>
        <color theme="1"/>
        <rFont val="Calibri"/>
        <family val="2"/>
        <charset val="1"/>
      </rPr>
      <t xml:space="preserve">Feature</t>
    </r>
    <r>
      <rPr>
        <sz val="11"/>
        <color theme="1"/>
        <rFont val="Noto Sans SC"/>
        <family val="2"/>
        <charset val="134"/>
      </rPr>
      <t xml:space="preserve">一般情况下其实现方式都是在摇奖概率外设置另一套概率，随机百搭也是如此</t>
    </r>
  </si>
  <si>
    <r>
      <rPr>
        <sz val="11"/>
        <color theme="1"/>
        <rFont val="Noto Sans SC"/>
        <family val="2"/>
        <charset val="134"/>
      </rPr>
      <t xml:space="preserve">其最基础的计算方式就是将随机百搭分布在卷轴上的所有情况列出，并且从这些情况出发，计算对应卷轴的</t>
    </r>
    <r>
      <rPr>
        <sz val="11"/>
        <color theme="1"/>
        <rFont val="Calibri"/>
        <family val="2"/>
        <charset val="1"/>
      </rPr>
      <t xml:space="preserve">RTP</t>
    </r>
    <r>
      <rPr>
        <sz val="11"/>
        <color theme="1"/>
        <rFont val="Noto Sans SC"/>
        <family val="2"/>
        <charset val="134"/>
      </rPr>
      <t xml:space="preserve">，最后再用各情况的出现几率乘上其对应的</t>
    </r>
    <r>
      <rPr>
        <sz val="11"/>
        <color theme="1"/>
        <rFont val="Calibri"/>
        <family val="2"/>
        <charset val="1"/>
      </rPr>
      <t xml:space="preserve">RTP</t>
    </r>
    <r>
      <rPr>
        <sz val="11"/>
        <color theme="1"/>
        <rFont val="Noto Sans SC"/>
        <family val="2"/>
        <charset val="134"/>
      </rPr>
      <t xml:space="preserve">加权求和得到综合</t>
    </r>
    <r>
      <rPr>
        <sz val="11"/>
        <color theme="1"/>
        <rFont val="Calibri"/>
        <family val="2"/>
        <charset val="1"/>
      </rPr>
      <t xml:space="preserve">RTP</t>
    </r>
  </si>
  <si>
    <t xml:space="preserve">但是实际工作中并不会使用该方法</t>
  </si>
  <si>
    <r>
      <rPr>
        <sz val="11"/>
        <color theme="1"/>
        <rFont val="Noto Sans SC"/>
        <family val="2"/>
        <charset val="134"/>
      </rPr>
      <t xml:space="preserve">以</t>
    </r>
    <r>
      <rPr>
        <sz val="11"/>
        <color theme="1"/>
        <rFont val="Calibri"/>
        <family val="2"/>
        <charset val="1"/>
      </rPr>
      <t xml:space="preserve">3*5</t>
    </r>
    <r>
      <rPr>
        <sz val="11"/>
        <color theme="1"/>
        <rFont val="Noto Sans SC"/>
        <family val="2"/>
        <charset val="134"/>
      </rPr>
      <t xml:space="preserve">卷轴尺寸的</t>
    </r>
    <r>
      <rPr>
        <sz val="11"/>
        <color theme="1"/>
        <rFont val="Calibri"/>
        <family val="2"/>
        <charset val="1"/>
      </rPr>
      <t xml:space="preserve">Slot</t>
    </r>
    <r>
      <rPr>
        <sz val="11"/>
        <color theme="1"/>
        <rFont val="Noto Sans SC"/>
        <family val="2"/>
        <charset val="134"/>
      </rPr>
      <t xml:space="preserve">为例，在</t>
    </r>
    <r>
      <rPr>
        <sz val="11"/>
        <color theme="1"/>
        <rFont val="Calibri"/>
        <family val="2"/>
        <charset val="1"/>
      </rPr>
      <t xml:space="preserve">3*5=15</t>
    </r>
    <r>
      <rPr>
        <sz val="11"/>
        <color theme="1"/>
        <rFont val="Noto Sans SC"/>
        <family val="2"/>
        <charset val="134"/>
      </rPr>
      <t xml:space="preserve">个位置中，每个位置都有被覆盖和不被覆盖两种可能性，那么需要考虑的可能性共有</t>
    </r>
    <r>
      <rPr>
        <sz val="11"/>
        <color theme="1"/>
        <rFont val="Calibri"/>
        <family val="2"/>
        <charset val="1"/>
      </rPr>
      <t xml:space="preserve">2^15 = 32,768</t>
    </r>
    <r>
      <rPr>
        <sz val="11"/>
        <color theme="1"/>
        <rFont val="Noto Sans SC"/>
        <family val="2"/>
        <charset val="134"/>
      </rPr>
      <t xml:space="preserve">种，靠人力模拟这么多种情况肯定是划不来的</t>
    </r>
  </si>
  <si>
    <r>
      <rPr>
        <sz val="11"/>
        <color theme="1"/>
        <rFont val="Noto Sans SC"/>
        <family val="2"/>
        <charset val="134"/>
      </rPr>
      <t xml:space="preserve">［配图 </t>
    </r>
    <r>
      <rPr>
        <sz val="11"/>
        <color theme="1"/>
        <rFont val="Calibri"/>
        <family val="2"/>
        <charset val="1"/>
      </rPr>
      <t xml:space="preserve">10</t>
    </r>
    <r>
      <rPr>
        <sz val="11"/>
        <color theme="1"/>
        <rFont val="Noto Sans SC"/>
        <family val="2"/>
        <charset val="134"/>
      </rPr>
      <t xml:space="preserve">］</t>
    </r>
    <r>
      <rPr>
        <sz val="11"/>
        <color theme="1"/>
        <rFont val="Calibri"/>
        <family val="2"/>
        <charset val="1"/>
      </rPr>
      <t xml:space="preserve">637469752-10.jpg</t>
    </r>
  </si>
  <si>
    <t xml:space="preserve">因此，在计算随机百搭的过程中，首先推荐的方式就是跑数据</t>
  </si>
  <si>
    <t xml:space="preserve">直接使用跑数据的方式不仅方便了计算过程，而且计算过程中使用到的参数都可以比较方便地得到调整，例如百搭图标覆盖指定位置的区域等</t>
  </si>
  <si>
    <t xml:space="preserve">但是还有一种使用数值模拟的简单方法（只是和基础方法比相对简单，最简单的还是直接跑数据）</t>
  </si>
  <si>
    <r>
      <rPr>
        <sz val="11"/>
        <color theme="1"/>
        <rFont val="Noto Sans SC"/>
        <family val="2"/>
        <charset val="134"/>
      </rPr>
      <t xml:space="preserve">这种方法的基本逻辑就是将图标分布的可能性尽可能地拆解成能用两个以及两个以下的指标的描述的组，这样子就能用</t>
    </r>
    <r>
      <rPr>
        <sz val="11"/>
        <color theme="1"/>
        <rFont val="Calibri"/>
        <family val="2"/>
        <charset val="1"/>
      </rPr>
      <t xml:space="preserve">Excel</t>
    </r>
    <r>
      <rPr>
        <sz val="11"/>
        <color theme="1"/>
        <rFont val="Noto Sans SC"/>
        <family val="2"/>
        <charset val="134"/>
      </rPr>
      <t xml:space="preserve">表格进行分组计算</t>
    </r>
  </si>
  <si>
    <t xml:space="preserve">这里选择的两个指标分别为百搭图标数量和其在中奖线上的分布情况</t>
  </si>
  <si>
    <r>
      <rPr>
        <sz val="11"/>
        <color theme="1"/>
        <rFont val="Noto Sans SC"/>
        <family val="2"/>
        <charset val="134"/>
      </rPr>
      <t xml:space="preserve">首先因为</t>
    </r>
    <r>
      <rPr>
        <sz val="11"/>
        <color theme="1"/>
        <rFont val="Calibri"/>
        <family val="2"/>
        <charset val="1"/>
      </rPr>
      <t xml:space="preserve">Line Slots</t>
    </r>
    <r>
      <rPr>
        <sz val="11"/>
        <color theme="1"/>
        <rFont val="Noto Sans SC"/>
        <family val="2"/>
        <charset val="134"/>
      </rPr>
      <t xml:space="preserve">的计算是聚焦于一条中奖线上的，因此可以把</t>
    </r>
    <r>
      <rPr>
        <sz val="11"/>
        <color theme="1"/>
        <rFont val="Calibri"/>
        <family val="2"/>
        <charset val="1"/>
      </rPr>
      <t xml:space="preserve">32,768</t>
    </r>
    <r>
      <rPr>
        <sz val="11"/>
        <color theme="1"/>
        <rFont val="Noto Sans SC"/>
        <family val="2"/>
        <charset val="134"/>
      </rPr>
      <t xml:space="preserve">种排列方式按照其对一条中奖线造成的影响将其分为</t>
    </r>
    <r>
      <rPr>
        <sz val="11"/>
        <color theme="1"/>
        <rFont val="Calibri"/>
        <family val="2"/>
        <charset val="1"/>
      </rPr>
      <t xml:space="preserve">2^5 = 32</t>
    </r>
    <r>
      <rPr>
        <sz val="11"/>
        <color theme="1"/>
        <rFont val="Noto Sans SC"/>
        <family val="2"/>
        <charset val="134"/>
      </rPr>
      <t xml:space="preserve">种</t>
    </r>
  </si>
  <si>
    <r>
      <rPr>
        <sz val="11"/>
        <color theme="1"/>
        <rFont val="Noto Sans SC"/>
        <family val="2"/>
        <charset val="134"/>
      </rPr>
      <t xml:space="preserve">［配图 </t>
    </r>
    <r>
      <rPr>
        <sz val="11"/>
        <color theme="1"/>
        <rFont val="Calibri"/>
        <family val="2"/>
        <charset val="1"/>
      </rPr>
      <t xml:space="preserve">11</t>
    </r>
    <r>
      <rPr>
        <sz val="11"/>
        <color theme="1"/>
        <rFont val="Noto Sans SC"/>
        <family val="2"/>
        <charset val="134"/>
      </rPr>
      <t xml:space="preserve">］</t>
    </r>
    <r>
      <rPr>
        <sz val="11"/>
        <color theme="1"/>
        <rFont val="Calibri"/>
        <family val="2"/>
        <charset val="1"/>
      </rPr>
      <t xml:space="preserve">637469752-11.jpg</t>
    </r>
  </si>
  <si>
    <r>
      <rPr>
        <sz val="11"/>
        <color theme="1"/>
        <rFont val="Noto Sans SC"/>
        <family val="2"/>
        <charset val="134"/>
      </rPr>
      <t xml:space="preserve">其次，假设卷轴上</t>
    </r>
    <r>
      <rPr>
        <sz val="11"/>
        <color theme="1"/>
        <rFont val="Calibri"/>
        <family val="2"/>
        <charset val="1"/>
      </rPr>
      <t xml:space="preserve">15</t>
    </r>
    <r>
      <rPr>
        <sz val="11"/>
        <color theme="1"/>
        <rFont val="Noto Sans SC"/>
        <family val="2"/>
        <charset val="134"/>
      </rPr>
      <t xml:space="preserve">个位置是否会被覆盖的几率相等，那么此时就只需要考虑图标在卷轴上的分布情况。此时就存在存在</t>
    </r>
    <r>
      <rPr>
        <sz val="11"/>
        <color theme="1"/>
        <rFont val="Calibri"/>
        <family val="2"/>
        <charset val="1"/>
      </rPr>
      <t xml:space="preserve">0~15</t>
    </r>
    <r>
      <rPr>
        <sz val="11"/>
        <color theme="1"/>
        <rFont val="Noto Sans SC"/>
        <family val="2"/>
        <charset val="134"/>
      </rPr>
      <t xml:space="preserve">个位置被百搭图标覆盖的这</t>
    </r>
    <r>
      <rPr>
        <sz val="11"/>
        <color theme="1"/>
        <rFont val="Calibri"/>
        <family val="2"/>
        <charset val="1"/>
      </rPr>
      <t xml:space="preserve">16</t>
    </r>
    <r>
      <rPr>
        <sz val="11"/>
        <color theme="1"/>
        <rFont val="Noto Sans SC"/>
        <family val="2"/>
        <charset val="134"/>
      </rPr>
      <t xml:space="preserve">种情况</t>
    </r>
  </si>
  <si>
    <r>
      <rPr>
        <sz val="11"/>
        <color theme="1"/>
        <rFont val="Noto Sans SC"/>
        <family val="2"/>
        <charset val="134"/>
      </rPr>
      <t xml:space="preserve">至此我们就得到了能够能够包含所有可能性的</t>
    </r>
    <r>
      <rPr>
        <sz val="11"/>
        <color theme="1"/>
        <rFont val="Calibri"/>
        <family val="2"/>
        <charset val="1"/>
      </rPr>
      <t xml:space="preserve">16 * 32 = 512</t>
    </r>
    <r>
      <rPr>
        <sz val="11"/>
        <color theme="1"/>
        <rFont val="Noto Sans SC"/>
        <family val="2"/>
        <charset val="134"/>
      </rPr>
      <t xml:space="preserve">种组合</t>
    </r>
  </si>
  <si>
    <t xml:space="preserve">分组之后，在此基础上进行事件数的统计，就可以得到各情况的出现几率</t>
  </si>
  <si>
    <t xml:space="preserve">最后加上拓展百搭和粘性百搭的介绍文章链接：</t>
  </si>
  <si>
    <r>
      <rPr>
        <b val="true"/>
        <sz val="11"/>
        <color rgb="FF1F4E79"/>
        <rFont val="Noto Sans SC"/>
        <family val="2"/>
        <charset val="134"/>
      </rPr>
      <t xml:space="preserve">原文配图清单（共 </t>
    </r>
    <r>
      <rPr>
        <b val="true"/>
        <sz val="11"/>
        <color rgb="FF1F4E79"/>
        <rFont val="Cambria"/>
        <family val="0"/>
        <charset val="1"/>
      </rPr>
      <t xml:space="preserve">11 </t>
    </r>
    <r>
      <rPr>
        <b val="true"/>
        <sz val="11"/>
        <color rgb="FF1F4E79"/>
        <rFont val="Noto Sans SC"/>
        <family val="2"/>
        <charset val="134"/>
      </rPr>
      <t xml:space="preserve">张，已保存到 </t>
    </r>
    <r>
      <rPr>
        <b val="true"/>
        <sz val="11"/>
        <color rgb="FF1F4E79"/>
        <rFont val="Cambria"/>
        <family val="0"/>
        <charset val="1"/>
      </rPr>
      <t xml:space="preserve">images/slots/</t>
    </r>
    <r>
      <rPr>
        <b val="true"/>
        <sz val="11"/>
        <color rgb="FF1F4E79"/>
        <rFont val="Noto Sans SC"/>
        <family val="2"/>
        <charset val="134"/>
      </rPr>
      <t xml:space="preserve">）</t>
    </r>
  </si>
  <si>
    <r>
      <rPr>
        <b val="true"/>
        <sz val="11"/>
        <color rgb="FF1F4E79"/>
        <rFont val="Noto Sans SC"/>
        <family val="2"/>
        <charset val="134"/>
      </rPr>
      <t xml:space="preserve">修订说明（</t>
    </r>
    <r>
      <rPr>
        <b val="true"/>
        <sz val="11"/>
        <color rgb="FF1F4E79"/>
        <rFont val="Cambria"/>
        <family val="0"/>
        <charset val="1"/>
      </rPr>
      <t xml:space="preserve">2026-09-29</t>
    </r>
    <r>
      <rPr>
        <b val="true"/>
        <sz val="11"/>
        <color rgb="FF1F4E79"/>
        <rFont val="Noto Sans SC"/>
        <family val="2"/>
        <charset val="134"/>
      </rPr>
      <t xml:space="preserve">）</t>
    </r>
  </si>
  <si>
    <r>
      <rPr>
        <sz val="11"/>
        <color theme="1"/>
        <rFont val="Calibri"/>
        <family val="2"/>
        <charset val="1"/>
      </rPr>
      <t xml:space="preserve">· </t>
    </r>
    <r>
      <rPr>
        <sz val="11"/>
        <color theme="1"/>
        <rFont val="Noto Sans SC"/>
        <family val="2"/>
        <charset val="134"/>
      </rPr>
      <t xml:space="preserve">原文网页原件（浏览器「另存为 → 网页，全部」）已取得，故补入全文与配图清单；</t>
    </r>
  </si>
  <si>
    <r>
      <rPr>
        <sz val="11"/>
        <color theme="1"/>
        <rFont val="Calibri"/>
        <family val="2"/>
        <charset val="1"/>
      </rPr>
      <t xml:space="preserve">· </t>
    </r>
    <r>
      <rPr>
        <sz val="11"/>
        <color theme="1"/>
        <rFont val="Noto Sans SC"/>
        <family val="2"/>
        <charset val="134"/>
      </rPr>
      <t xml:space="preserve">本簿页签 </t>
    </r>
    <r>
      <rPr>
        <sz val="11"/>
        <color theme="1"/>
        <rFont val="Calibri"/>
        <family val="2"/>
        <charset val="1"/>
      </rPr>
      <t xml:space="preserve">2 </t>
    </r>
    <r>
      <rPr>
        <sz val="11"/>
        <color theme="1"/>
        <rFont val="Noto Sans SC"/>
        <family val="2"/>
        <charset val="134"/>
      </rPr>
      <t xml:space="preserve">的配表为依据原文方法</t>
    </r>
    <r>
      <rPr>
        <sz val="11"/>
        <color theme="1"/>
        <rFont val="Calibri"/>
        <family val="2"/>
        <charset val="1"/>
      </rPr>
      <t xml:space="preserve">/</t>
    </r>
    <r>
      <rPr>
        <sz val="11"/>
        <color theme="1"/>
        <rFont val="Noto Sans SC"/>
        <family val="2"/>
        <charset val="134"/>
      </rPr>
      <t xml:space="preserve">示例搭成的可改参数表（原文给出数值的部分见配表自检区）。</t>
    </r>
  </si>
  <si>
    <r>
      <rPr>
        <b val="true"/>
        <sz val="14"/>
        <color rgb="FF1F4E79"/>
        <rFont val="Noto Sans SC"/>
        <family val="2"/>
        <charset val="134"/>
      </rPr>
      <t xml:space="preserve">基础篇 </t>
    </r>
    <r>
      <rPr>
        <b val="true"/>
        <sz val="14"/>
        <color rgb="FF1F4E79"/>
        <rFont val="Cambria"/>
        <family val="0"/>
        <charset val="1"/>
      </rPr>
      <t xml:space="preserve">· Random Wild </t>
    </r>
    <r>
      <rPr>
        <b val="true"/>
        <sz val="14"/>
        <color rgb="FF1F4E79"/>
        <rFont val="Noto Sans SC"/>
        <family val="2"/>
        <charset val="134"/>
      </rPr>
      <t xml:space="preserve">的配表与降维分组（蓝字＝可改配表 </t>
    </r>
    <r>
      <rPr>
        <b val="true"/>
        <sz val="14"/>
        <color rgb="FF1F4E79"/>
        <rFont val="Cambria"/>
        <family val="0"/>
        <charset val="1"/>
      </rPr>
      <t xml:space="preserve">/ </t>
    </r>
    <r>
      <rPr>
        <b val="true"/>
        <sz val="14"/>
        <color rgb="FF1F4E79"/>
        <rFont val="Noto Sans SC"/>
        <family val="2"/>
        <charset val="134"/>
      </rPr>
      <t xml:space="preserve">黑字＝公式）</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</si>
  <si>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】机制配表：与「抽取图标」的关系</t>
    </r>
  </si>
  <si>
    <t xml:space="preserve">项目</t>
  </si>
  <si>
    <t xml:space="preserve">配表内容</t>
  </si>
  <si>
    <t xml:space="preserve">说明</t>
  </si>
  <si>
    <t xml:space="preserve">作用时机</t>
  </si>
  <si>
    <r>
      <rPr>
        <sz val="11"/>
        <color rgb="FF0000FF"/>
        <rFont val="Noto Sans SC"/>
        <family val="2"/>
        <charset val="134"/>
      </rPr>
      <t xml:space="preserve">摇奖前 </t>
    </r>
    <r>
      <rPr>
        <sz val="11"/>
        <color rgb="FF0000FF"/>
        <rFont val="Cambria"/>
        <family val="0"/>
        <charset val="1"/>
      </rPr>
      <t xml:space="preserve">/ </t>
    </r>
    <r>
      <rPr>
        <sz val="11"/>
        <color rgb="FF0000FF"/>
        <rFont val="Noto Sans SC"/>
        <family val="2"/>
        <charset val="134"/>
      </rPr>
      <t xml:space="preserve">摇奖后 投射</t>
    </r>
  </si>
  <si>
    <t xml:space="preserve">在图标抽取流程之外，独立掷一次「覆盖」</t>
  </si>
  <si>
    <t xml:space="preserve">覆盖数量</t>
  </si>
  <si>
    <r>
      <rPr>
        <sz val="11"/>
        <color rgb="FF0000FF"/>
        <rFont val="Noto Sans SC"/>
        <family val="2"/>
        <charset val="134"/>
      </rPr>
      <t xml:space="preserve">由分布表给出（见【</t>
    </r>
    <r>
      <rPr>
        <sz val="11"/>
        <color rgb="FF0000FF"/>
        <rFont val="Cambria"/>
        <family val="0"/>
        <charset val="1"/>
      </rPr>
      <t xml:space="preserve">2</t>
    </r>
    <r>
      <rPr>
        <sz val="11"/>
        <color rgb="FF0000FF"/>
        <rFont val="Noto Sans SC"/>
        <family val="2"/>
        <charset val="134"/>
      </rPr>
      <t xml:space="preserve">】）</t>
    </r>
  </si>
  <si>
    <t xml:space="preserve">与图标基础生成概率无关</t>
  </si>
  <si>
    <t xml:space="preserve">覆盖位置</t>
  </si>
  <si>
    <r>
      <rPr>
        <sz val="11"/>
        <color rgb="FF0000FF"/>
        <rFont val="Noto Sans SC"/>
        <family val="2"/>
        <charset val="134"/>
      </rPr>
      <t xml:space="preserve">随机（可限制行 </t>
    </r>
    <r>
      <rPr>
        <sz val="11"/>
        <color rgb="FF0000FF"/>
        <rFont val="Cambria"/>
        <family val="0"/>
        <charset val="1"/>
      </rPr>
      <t xml:space="preserve">/ </t>
    </r>
    <r>
      <rPr>
        <sz val="11"/>
        <color rgb="FF0000FF"/>
        <rFont val="Noto Sans SC"/>
        <family val="2"/>
        <charset val="134"/>
      </rPr>
      <t xml:space="preserve">列范围）</t>
    </r>
  </si>
  <si>
    <t xml:space="preserve">被覆盖位置的原有图标作废</t>
  </si>
  <si>
    <t xml:space="preserve">百搭效力</t>
  </si>
  <si>
    <r>
      <rPr>
        <sz val="11"/>
        <color rgb="FF0000FF"/>
        <rFont val="Noto Sans SC"/>
        <family val="2"/>
        <charset val="134"/>
      </rPr>
      <t xml:space="preserve">同普通 </t>
    </r>
    <r>
      <rPr>
        <sz val="11"/>
        <color rgb="FF0000FF"/>
        <rFont val="Cambria"/>
        <family val="0"/>
        <charset val="1"/>
      </rPr>
      <t xml:space="preserve">Wild</t>
    </r>
  </si>
  <si>
    <t xml:space="preserve">结算时可视为任意标准图标</t>
  </si>
  <si>
    <t xml:space="preserve">触发时机</t>
  </si>
  <si>
    <r>
      <rPr>
        <sz val="11"/>
        <color rgb="FF0000FF"/>
        <rFont val="Noto Sans SC"/>
        <family val="2"/>
        <charset val="134"/>
      </rPr>
      <t xml:space="preserve">普通摇 </t>
    </r>
    <r>
      <rPr>
        <sz val="11"/>
        <color rgb="FF0000FF"/>
        <rFont val="Cambria"/>
        <family val="0"/>
        <charset val="1"/>
      </rPr>
      <t xml:space="preserve">/ </t>
    </r>
    <r>
      <rPr>
        <sz val="11"/>
        <color rgb="FF0000FF"/>
        <rFont val="Noto Sans SC"/>
        <family val="2"/>
        <charset val="134"/>
      </rPr>
      <t xml:space="preserve">免费摇 均可</t>
    </r>
  </si>
  <si>
    <t xml:space="preserve">原文：最初的随机百搭为纯随机触发</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</si>
  <si>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】覆盖位置数量分布表（离散型随机变量）</t>
    </r>
  </si>
  <si>
    <t xml:space="preserve">轮次类型</t>
  </si>
  <si>
    <r>
      <rPr>
        <b val="true"/>
        <sz val="11"/>
        <color rgb="FF1F4E79"/>
        <rFont val="Noto Sans SC"/>
        <family val="2"/>
        <charset val="134"/>
      </rPr>
      <t xml:space="preserve">覆盖 </t>
    </r>
    <r>
      <rPr>
        <b val="true"/>
        <sz val="11"/>
        <color rgb="FF1F4E79"/>
        <rFont val="Cambria"/>
        <family val="0"/>
        <charset val="1"/>
      </rPr>
      <t xml:space="preserve">0 </t>
    </r>
    <r>
      <rPr>
        <b val="true"/>
        <sz val="11"/>
        <color rgb="FF1F4E79"/>
        <rFont val="Noto Sans SC"/>
        <family val="2"/>
        <charset val="134"/>
      </rPr>
      <t xml:space="preserve">格</t>
    </r>
  </si>
  <si>
    <r>
      <rPr>
        <b val="true"/>
        <sz val="11"/>
        <color rgb="FF1F4E79"/>
        <rFont val="Noto Sans SC"/>
        <family val="2"/>
        <charset val="134"/>
      </rPr>
      <t xml:space="preserve">覆盖 </t>
    </r>
    <r>
      <rPr>
        <b val="true"/>
        <sz val="11"/>
        <color rgb="FF1F4E79"/>
        <rFont val="Cambria"/>
        <family val="0"/>
        <charset val="1"/>
      </rPr>
      <t xml:space="preserve">1 </t>
    </r>
    <r>
      <rPr>
        <b val="true"/>
        <sz val="11"/>
        <color rgb="FF1F4E79"/>
        <rFont val="Noto Sans SC"/>
        <family val="2"/>
        <charset val="134"/>
      </rPr>
      <t xml:space="preserve">格</t>
    </r>
  </si>
  <si>
    <r>
      <rPr>
        <b val="true"/>
        <sz val="11"/>
        <color rgb="FF1F4E79"/>
        <rFont val="Noto Sans SC"/>
        <family val="2"/>
        <charset val="134"/>
      </rPr>
      <t xml:space="preserve">覆盖 </t>
    </r>
    <r>
      <rPr>
        <b val="true"/>
        <sz val="11"/>
        <color rgb="FF1F4E79"/>
        <rFont val="Cambria"/>
        <family val="0"/>
        <charset val="1"/>
      </rPr>
      <t xml:space="preserve">2 </t>
    </r>
    <r>
      <rPr>
        <b val="true"/>
        <sz val="11"/>
        <color rgb="FF1F4E79"/>
        <rFont val="Noto Sans SC"/>
        <family val="2"/>
        <charset val="134"/>
      </rPr>
      <t xml:space="preserve">格</t>
    </r>
  </si>
  <si>
    <r>
      <rPr>
        <b val="true"/>
        <sz val="11"/>
        <color rgb="FF1F4E79"/>
        <rFont val="Noto Sans SC"/>
        <family val="2"/>
        <charset val="134"/>
      </rPr>
      <t xml:space="preserve">覆盖 </t>
    </r>
    <r>
      <rPr>
        <b val="true"/>
        <sz val="11"/>
        <color rgb="FF1F4E79"/>
        <rFont val="Cambria"/>
        <family val="0"/>
        <charset val="1"/>
      </rPr>
      <t xml:space="preserve">3 </t>
    </r>
    <r>
      <rPr>
        <b val="true"/>
        <sz val="11"/>
        <color rgb="FF1F4E79"/>
        <rFont val="Noto Sans SC"/>
        <family val="2"/>
        <charset val="134"/>
      </rPr>
      <t xml:space="preserve">格</t>
    </r>
  </si>
  <si>
    <r>
      <rPr>
        <b val="true"/>
        <sz val="11"/>
        <color rgb="FF1F4E79"/>
        <rFont val="Noto Sans SC"/>
        <family val="2"/>
        <charset val="134"/>
      </rPr>
      <t xml:space="preserve">覆盖 </t>
    </r>
    <r>
      <rPr>
        <b val="true"/>
        <sz val="11"/>
        <color rgb="FF1F4E79"/>
        <rFont val="Cambria"/>
        <family val="0"/>
        <charset val="1"/>
      </rPr>
      <t xml:space="preserve">4 </t>
    </r>
    <r>
      <rPr>
        <b val="true"/>
        <sz val="11"/>
        <color rgb="FF1F4E79"/>
        <rFont val="Noto Sans SC"/>
        <family val="2"/>
        <charset val="134"/>
      </rPr>
      <t xml:space="preserve">格</t>
    </r>
  </si>
  <si>
    <t xml:space="preserve">期望覆盖格数</t>
  </si>
  <si>
    <t xml:space="preserve">普通摇</t>
  </si>
  <si>
    <t xml:space="preserve">免费摇</t>
  </si>
  <si>
    <r>
      <rPr>
        <sz val="11"/>
        <color rgb="FF808080"/>
        <rFont val="Noto Sans SC"/>
        <family val="2"/>
        <charset val="134"/>
      </rPr>
      <t xml:space="preserve">分布几率合计应为 </t>
    </r>
    <r>
      <rPr>
        <sz val="11"/>
        <color rgb="FF808080"/>
        <rFont val="Cambria"/>
        <family val="0"/>
        <charset val="1"/>
      </rPr>
      <t xml:space="preserve">100%</t>
    </r>
    <r>
      <rPr>
        <sz val="11"/>
        <color rgb="FF808080"/>
        <rFont val="Noto Sans SC"/>
        <family val="2"/>
        <charset val="134"/>
      </rPr>
      <t xml:space="preserve">；未列出的高覆盖档位按 </t>
    </r>
    <r>
      <rPr>
        <sz val="11"/>
        <color rgb="FF808080"/>
        <rFont val="Cambria"/>
        <family val="0"/>
        <charset val="1"/>
      </rPr>
      <t xml:space="preserve">0 </t>
    </r>
    <r>
      <rPr>
        <sz val="11"/>
        <color rgb="FF808080"/>
        <rFont val="Noto Sans SC"/>
        <family val="2"/>
        <charset val="134"/>
      </rPr>
      <t xml:space="preserve">处理。实际项目建议用「覆盖格数 → 几率」两列长表。</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</si>
  <si>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】组合爆炸与降维（原文的核心提醒）</t>
    </r>
  </si>
  <si>
    <t xml:space="preserve">数值</t>
  </si>
  <si>
    <t xml:space="preserve">算式</t>
  </si>
  <si>
    <t xml:space="preserve">卷轴位置数</t>
  </si>
  <si>
    <r>
      <rPr>
        <sz val="11"/>
        <color rgb="FF000000"/>
        <rFont val="Cambria"/>
        <family val="0"/>
        <charset val="1"/>
      </rPr>
      <t xml:space="preserve">3 </t>
    </r>
    <r>
      <rPr>
        <sz val="11"/>
        <color rgb="FF000000"/>
        <rFont val="Noto Sans SC"/>
        <family val="2"/>
        <charset val="134"/>
      </rPr>
      <t xml:space="preserve">行 </t>
    </r>
    <r>
      <rPr>
        <sz val="11"/>
        <color rgb="FF000000"/>
        <rFont val="Cambria"/>
        <family val="0"/>
        <charset val="1"/>
      </rPr>
      <t xml:space="preserve">× 5 </t>
    </r>
    <r>
      <rPr>
        <sz val="11"/>
        <color rgb="FF000000"/>
        <rFont val="Noto Sans SC"/>
        <family val="2"/>
        <charset val="134"/>
      </rPr>
      <t xml:space="preserve">列</t>
    </r>
  </si>
  <si>
    <t xml:space="preserve">原始可能性</t>
  </si>
  <si>
    <t xml:space="preserve">2^15</t>
  </si>
  <si>
    <r>
      <rPr>
        <sz val="11"/>
        <color rgb="FF000000"/>
        <rFont val="Noto Sans SC"/>
        <family val="2"/>
        <charset val="134"/>
      </rPr>
      <t xml:space="preserve">每格「覆盖 </t>
    </r>
    <r>
      <rPr>
        <sz val="11"/>
        <color rgb="FF000000"/>
        <rFont val="Cambria"/>
        <family val="0"/>
        <charset val="1"/>
      </rPr>
      <t xml:space="preserve">/ </t>
    </r>
    <r>
      <rPr>
        <sz val="11"/>
        <color rgb="FF000000"/>
        <rFont val="Noto Sans SC"/>
        <family val="2"/>
        <charset val="134"/>
      </rPr>
      <t xml:space="preserve">不覆盖」两种状态</t>
    </r>
  </si>
  <si>
    <r>
      <rPr>
        <sz val="11"/>
        <color rgb="FF000000"/>
        <rFont val="Noto Sans SC"/>
        <family val="2"/>
        <charset val="134"/>
      </rPr>
      <t xml:space="preserve">指标</t>
    </r>
    <r>
      <rPr>
        <sz val="11"/>
        <color rgb="FF000000"/>
        <rFont val="Cambria"/>
        <family val="0"/>
        <charset val="1"/>
      </rPr>
      <t xml:space="preserve">36</t>
    </r>
    <r>
      <rPr>
        <sz val="11"/>
        <color rgb="FF000000"/>
        <rFont val="Noto Sans SC"/>
        <family val="2"/>
        <charset val="134"/>
      </rPr>
      <t xml:space="preserve">：对一条中奖线的影响</t>
    </r>
  </si>
  <si>
    <t xml:space="preserve">2^5</t>
  </si>
  <si>
    <r>
      <rPr>
        <sz val="11"/>
        <color rgb="FF000000"/>
        <rFont val="Noto Sans SC"/>
        <family val="2"/>
        <charset val="134"/>
      </rPr>
      <t xml:space="preserve">一条线 </t>
    </r>
    <r>
      <rPr>
        <sz val="11"/>
        <color rgb="FF000000"/>
        <rFont val="Cambria"/>
        <family val="0"/>
        <charset val="1"/>
      </rPr>
      <t xml:space="preserve">5 </t>
    </r>
    <r>
      <rPr>
        <sz val="11"/>
        <color rgb="FF000000"/>
        <rFont val="Noto Sans SC"/>
        <family val="2"/>
        <charset val="134"/>
      </rPr>
      <t xml:space="preserve">个位置各自的覆盖状态</t>
    </r>
  </si>
  <si>
    <r>
      <rPr>
        <sz val="11"/>
        <color rgb="FF000000"/>
        <rFont val="Noto Sans SC"/>
        <family val="2"/>
        <charset val="134"/>
      </rPr>
      <t xml:space="preserve">指标</t>
    </r>
    <r>
      <rPr>
        <sz val="11"/>
        <color rgb="FF000000"/>
        <rFont val="Cambria"/>
        <family val="0"/>
        <charset val="1"/>
      </rPr>
      <t xml:space="preserve">37</t>
    </r>
    <r>
      <rPr>
        <sz val="11"/>
        <color rgb="FF000000"/>
        <rFont val="Noto Sans SC"/>
        <family val="2"/>
        <charset val="134"/>
      </rPr>
      <t xml:space="preserve">：全卷轴被覆盖格数</t>
    </r>
  </si>
  <si>
    <t xml:space="preserve">0~15</t>
  </si>
  <si>
    <r>
      <rPr>
        <sz val="11"/>
        <color rgb="FF000000"/>
        <rFont val="Noto Sans SC"/>
        <family val="2"/>
        <charset val="134"/>
      </rPr>
      <t xml:space="preserve">共 </t>
    </r>
    <r>
      <rPr>
        <sz val="11"/>
        <color rgb="FF000000"/>
        <rFont val="Cambria"/>
        <family val="0"/>
        <charset val="1"/>
      </rPr>
      <t xml:space="preserve">16 </t>
    </r>
    <r>
      <rPr>
        <sz val="11"/>
        <color rgb="FF000000"/>
        <rFont val="Noto Sans SC"/>
        <family val="2"/>
        <charset val="134"/>
      </rPr>
      <t xml:space="preserve">种</t>
    </r>
  </si>
  <si>
    <t xml:space="preserve">降维后组合数</t>
  </si>
  <si>
    <t xml:space="preserve">16 × 32</t>
  </si>
  <si>
    <r>
      <rPr>
        <sz val="11"/>
        <color rgb="FF000000"/>
        <rFont val="Cambria"/>
        <family val="0"/>
        <charset val="1"/>
      </rPr>
      <t xml:space="preserve">512 </t>
    </r>
    <r>
      <rPr>
        <sz val="11"/>
        <color rgb="FF000000"/>
        <rFont val="Noto Sans SC"/>
        <family val="2"/>
        <charset val="134"/>
      </rPr>
      <t xml:space="preserve">组，可用 </t>
    </r>
    <r>
      <rPr>
        <sz val="11"/>
        <color rgb="FF000000"/>
        <rFont val="Cambria"/>
        <family val="0"/>
        <charset val="1"/>
      </rPr>
      <t xml:space="preserve">Excel </t>
    </r>
    <r>
      <rPr>
        <sz val="11"/>
        <color rgb="FF000000"/>
        <rFont val="Noto Sans SC"/>
        <family val="2"/>
        <charset val="134"/>
      </rPr>
      <t xml:space="preserve">分组统计</t>
    </r>
  </si>
  <si>
    <r>
      <rPr>
        <sz val="11"/>
        <color rgb="FF808080"/>
        <rFont val="Noto Sans SC"/>
        <family val="2"/>
        <charset val="134"/>
      </rPr>
      <t xml:space="preserve">降维思路：把「覆盖状态」压成两个指标 —— 全卷轴覆盖格数（</t>
    </r>
    <r>
      <rPr>
        <sz val="11"/>
        <color rgb="FF808080"/>
        <rFont val="Cambria"/>
        <family val="0"/>
        <charset val="1"/>
      </rPr>
      <t xml:space="preserve">16 </t>
    </r>
    <r>
      <rPr>
        <sz val="11"/>
        <color rgb="FF808080"/>
        <rFont val="Noto Sans SC"/>
        <family val="2"/>
        <charset val="134"/>
      </rPr>
      <t xml:space="preserve">档）＋ 单线 </t>
    </r>
    <r>
      <rPr>
        <sz val="11"/>
        <color rgb="FF808080"/>
        <rFont val="Cambria"/>
        <family val="0"/>
        <charset val="1"/>
      </rPr>
      <t xml:space="preserve">5 </t>
    </r>
    <r>
      <rPr>
        <sz val="11"/>
        <color rgb="FF808080"/>
        <rFont val="Noto Sans SC"/>
        <family val="2"/>
        <charset val="134"/>
      </rPr>
      <t xml:space="preserve">格的覆盖形态（</t>
    </r>
    <r>
      <rPr>
        <sz val="11"/>
        <color rgb="FF808080"/>
        <rFont val="Cambria"/>
        <family val="0"/>
        <charset val="1"/>
      </rPr>
      <t xml:space="preserve">32 </t>
    </r>
    <r>
      <rPr>
        <sz val="11"/>
        <color rgb="FF808080"/>
        <rFont val="Noto Sans SC"/>
        <family val="2"/>
        <charset val="134"/>
      </rPr>
      <t xml:space="preserve">档）。</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</si>
  <si>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t>
    </r>
    <r>
      <rPr>
        <b val="true"/>
        <sz val="11"/>
        <color rgb="FF1F4E79"/>
        <rFont val="Cambria"/>
        <family val="0"/>
        <charset val="1"/>
      </rPr>
      <t xml:space="preserve">512 </t>
    </r>
    <r>
      <rPr>
        <b val="true"/>
        <sz val="11"/>
        <color rgb="FF1F4E79"/>
        <rFont val="Noto Sans SC"/>
        <family val="2"/>
        <charset val="134"/>
      </rPr>
      <t xml:space="preserve">组分组表（结构示例）</t>
    </r>
  </si>
  <si>
    <t xml:space="preserve">组号</t>
  </si>
  <si>
    <t xml:space="preserve">全卷轴覆盖格数</t>
  </si>
  <si>
    <t xml:space="preserve">单线覆盖形态编码</t>
  </si>
  <si>
    <t xml:space="preserve">出现几率</t>
  </si>
  <si>
    <t xml:space="preserve">备注</t>
  </si>
  <si>
    <t xml:space="preserve">00000</t>
  </si>
  <si>
    <t xml:space="preserve">完全不覆盖 ＝ 基础局</t>
  </si>
  <si>
    <t xml:space="preserve">10000</t>
  </si>
  <si>
    <r>
      <rPr>
        <sz val="11"/>
        <color rgb="FF000000"/>
        <rFont val="Noto Sans SC"/>
        <family val="2"/>
        <charset val="134"/>
      </rPr>
      <t xml:space="preserve">仅第 </t>
    </r>
    <r>
      <rPr>
        <sz val="11"/>
        <color rgb="FF000000"/>
        <rFont val="Cambria"/>
        <family val="0"/>
        <charset val="1"/>
      </rPr>
      <t xml:space="preserve">1 </t>
    </r>
    <r>
      <rPr>
        <sz val="11"/>
        <color rgb="FF000000"/>
        <rFont val="Noto Sans SC"/>
        <family val="2"/>
        <charset val="134"/>
      </rPr>
      <t xml:space="preserve">列被覆盖</t>
    </r>
  </si>
  <si>
    <t xml:space="preserve">…</t>
  </si>
  <si>
    <r>
      <rPr>
        <sz val="11"/>
        <color rgb="FF000000"/>
        <rFont val="Noto Sans SC"/>
        <family val="2"/>
        <charset val="134"/>
      </rPr>
      <t xml:space="preserve">共 </t>
    </r>
    <r>
      <rPr>
        <sz val="11"/>
        <color rgb="FF000000"/>
        <rFont val="Cambria"/>
        <family val="0"/>
        <charset val="1"/>
      </rPr>
      <t xml:space="preserve">512 </t>
    </r>
    <r>
      <rPr>
        <sz val="11"/>
        <color rgb="FF000000"/>
        <rFont val="Noto Sans SC"/>
        <family val="2"/>
        <charset val="134"/>
      </rPr>
      <t xml:space="preserve">行：覆盖格数 </t>
    </r>
    <r>
      <rPr>
        <sz val="11"/>
        <color rgb="FF000000"/>
        <rFont val="Cambria"/>
        <family val="0"/>
        <charset val="1"/>
      </rPr>
      <t xml:space="preserve">0~15 × </t>
    </r>
    <r>
      <rPr>
        <sz val="11"/>
        <color rgb="FF000000"/>
        <rFont val="Noto Sans SC"/>
        <family val="2"/>
        <charset val="134"/>
      </rPr>
      <t xml:space="preserve">单线形态 </t>
    </r>
    <r>
      <rPr>
        <sz val="11"/>
        <color rgb="FF000000"/>
        <rFont val="Cambria"/>
        <family val="0"/>
        <charset val="1"/>
      </rPr>
      <t xml:space="preserve">00000~11111</t>
    </r>
  </si>
  <si>
    <t xml:space="preserve">11111</t>
  </si>
  <si>
    <r>
      <rPr>
        <sz val="11"/>
        <color rgb="FF000000"/>
        <rFont val="Noto Sans SC"/>
        <family val="2"/>
        <charset val="134"/>
      </rPr>
      <t xml:space="preserve">全卷轴覆盖且单线 </t>
    </r>
    <r>
      <rPr>
        <sz val="11"/>
        <color rgb="FF000000"/>
        <rFont val="Cambria"/>
        <family val="0"/>
        <charset val="1"/>
      </rPr>
      <t xml:space="preserve">5 </t>
    </r>
    <r>
      <rPr>
        <sz val="11"/>
        <color rgb="FF000000"/>
        <rFont val="Noto Sans SC"/>
        <family val="2"/>
        <charset val="134"/>
      </rPr>
      <t xml:space="preserve">格全盖</t>
    </r>
  </si>
  <si>
    <r>
      <rPr>
        <sz val="11"/>
        <color rgb="FF808080"/>
        <rFont val="Noto Sans SC"/>
        <family val="2"/>
        <charset val="134"/>
      </rPr>
      <t xml:space="preserve">每组的出现几率需用遍历 </t>
    </r>
    <r>
      <rPr>
        <sz val="11"/>
        <color rgb="FF808080"/>
        <rFont val="Cambria"/>
        <family val="0"/>
        <charset val="1"/>
      </rPr>
      <t xml:space="preserve">/ </t>
    </r>
    <r>
      <rPr>
        <sz val="11"/>
        <color rgb="FF808080"/>
        <rFont val="Noto Sans SC"/>
        <family val="2"/>
        <charset val="134"/>
      </rPr>
      <t xml:space="preserve">脚本统计（本簿只给结构）；拿到几率后即可「组内 </t>
    </r>
    <r>
      <rPr>
        <sz val="11"/>
        <color rgb="FF808080"/>
        <rFont val="Cambria"/>
        <family val="0"/>
        <charset val="1"/>
      </rPr>
      <t xml:space="preserve">RTP × </t>
    </r>
    <r>
      <rPr>
        <sz val="11"/>
        <color rgb="FF808080"/>
        <rFont val="Noto Sans SC"/>
        <family val="2"/>
        <charset val="134"/>
      </rPr>
      <t xml:space="preserve">组几率」加权求和。</t>
    </r>
  </si>
  <si>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】三种做法对比</t>
    </r>
  </si>
  <si>
    <t xml:space="preserve">做法</t>
  </si>
  <si>
    <t xml:space="preserve">工作量</t>
  </si>
  <si>
    <t xml:space="preserve">适用性</t>
  </si>
  <si>
    <t xml:space="preserve">逐情况穷举</t>
  </si>
  <si>
    <r>
      <rPr>
        <sz val="11"/>
        <color rgb="FF000000"/>
        <rFont val="Cambria"/>
        <family val="0"/>
        <charset val="1"/>
      </rPr>
      <t xml:space="preserve">2^15 </t>
    </r>
    <r>
      <rPr>
        <sz val="11"/>
        <color rgb="FF000000"/>
        <rFont val="Noto Sans SC"/>
        <family val="2"/>
        <charset val="134"/>
      </rPr>
      <t xml:space="preserve">＝ </t>
    </r>
    <r>
      <rPr>
        <sz val="11"/>
        <color rgb="FF000000"/>
        <rFont val="Cambria"/>
        <family val="0"/>
        <charset val="1"/>
      </rPr>
      <t xml:space="preserve">32,768 </t>
    </r>
    <r>
      <rPr>
        <sz val="11"/>
        <color rgb="FF000000"/>
        <rFont val="Noto Sans SC"/>
        <family val="2"/>
        <charset val="134"/>
      </rPr>
      <t xml:space="preserve">种</t>
    </r>
  </si>
  <si>
    <t xml:space="preserve">不现实（原文明确否定）</t>
  </si>
  <si>
    <r>
      <rPr>
        <sz val="11"/>
        <color rgb="FF000000"/>
        <rFont val="Cambria"/>
        <family val="0"/>
        <charset val="1"/>
      </rPr>
      <t xml:space="preserve">512 </t>
    </r>
    <r>
      <rPr>
        <sz val="11"/>
        <color rgb="FF000000"/>
        <rFont val="Noto Sans SC"/>
        <family val="2"/>
        <charset val="134"/>
      </rPr>
      <t xml:space="preserve">组降维 </t>
    </r>
    <r>
      <rPr>
        <sz val="11"/>
        <color rgb="FF000000"/>
        <rFont val="Cambria"/>
        <family val="0"/>
        <charset val="1"/>
      </rPr>
      <t xml:space="preserve">+ Excel</t>
    </r>
  </si>
  <si>
    <t xml:space="preserve">中</t>
  </si>
  <si>
    <t xml:space="preserve">想手工可控、机制简单时</t>
  </si>
  <si>
    <t xml:space="preserve">跑数据（推荐）</t>
  </si>
  <si>
    <t xml:space="preserve">低（改参数即重跑）</t>
  </si>
  <si>
    <t xml:space="preserve">原文首选；可顺带处理区域覆盖等复杂设定</t>
  </si>
  <si>
    <r>
      <rPr>
        <sz val="11"/>
        <color rgb="FF808080"/>
        <rFont val="Noto Sans SC"/>
        <family val="2"/>
        <charset val="134"/>
      </rPr>
      <t xml:space="preserve">对照参考：同项目《老虎机数学专题</t>
    </r>
    <r>
      <rPr>
        <sz val="11"/>
        <color rgb="FF808080"/>
        <rFont val="Cambria"/>
        <family val="0"/>
        <charset val="1"/>
      </rPr>
      <t xml:space="preserve">-</t>
    </r>
    <r>
      <rPr>
        <sz val="11"/>
        <color rgb="FF808080"/>
        <rFont val="Noto Sans SC"/>
        <family val="2"/>
        <charset val="134"/>
      </rPr>
      <t xml:space="preserve">随机百搭</t>
    </r>
    <r>
      <rPr>
        <sz val="11"/>
        <color rgb="FF808080"/>
        <rFont val="Cambria"/>
        <family val="0"/>
        <charset val="1"/>
      </rPr>
      <t xml:space="preserve">.xlsx</t>
    </r>
    <r>
      <rPr>
        <sz val="11"/>
        <color rgb="FF808080"/>
        <rFont val="Noto Sans SC"/>
        <family val="2"/>
        <charset val="134"/>
      </rPr>
      <t xml:space="preserve">》以另一种口径（条件几率枚举）给出可算模型，可交叉核对。</t>
    </r>
  </si>
</sst>
</file>

<file path=xl/styles.xml><?xml version="1.0" encoding="utf-8"?>
<styleSheet xmlns="http://schemas.openxmlformats.org/spreadsheetml/2006/main">
  <numFmts count="4">
    <numFmt numFmtId="164" formatCode="General"/>
    <numFmt numFmtId="165" formatCode="0.00%"/>
    <numFmt numFmtId="166" formatCode="0.0000"/>
    <numFmt numFmtId="167" formatCode="#,##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00"/>
      <name val="Noto Sans SC"/>
      <family val="2"/>
      <charset val="134"/>
    </font>
    <font>
      <sz val="11"/>
      <color rgb="FF0000FF"/>
      <name val="Noto Sans SC"/>
      <family val="2"/>
      <charset val="134"/>
    </font>
    <font>
      <sz val="11"/>
      <color rgb="FF0000FF"/>
      <name val="Cambria"/>
      <family val="0"/>
      <charset val="1"/>
    </font>
    <font>
      <sz val="11"/>
      <color rgb="FF000000"/>
      <name val="Cambria"/>
      <family val="0"/>
      <charset val="1"/>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7" fontId="16"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11" fillId="0" borderId="0" xfId="0" applyFont="true" applyBorder="false" applyAlignment="true" applyProtection="true">
      <alignment horizontal="general" vertical="top"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6" customFormat="false" ht="15" hidden="false" customHeight="false" outlineLevel="0" collapsed="false">
      <c r="A6" s="3" t="s">
        <v>3</v>
      </c>
    </row>
    <row r="7" customFormat="false" ht="30" hidden="false" customHeight="false" outlineLevel="0" collapsed="false">
      <c r="A7" s="25" t="s">
        <v>4</v>
      </c>
    </row>
    <row r="9" customFormat="false" ht="15" hidden="false" customHeight="false" outlineLevel="0" collapsed="false">
      <c r="A9" s="3" t="s">
        <v>5</v>
      </c>
    </row>
    <row r="10" customFormat="false" ht="30" hidden="false" customHeight="false" outlineLevel="0" collapsed="false">
      <c r="A10" s="25" t="s">
        <v>6</v>
      </c>
    </row>
    <row r="11" customFormat="false" ht="16" hidden="false" customHeight="false" outlineLevel="0" collapsed="false">
      <c r="A11" s="4" t="s">
        <v>7</v>
      </c>
    </row>
    <row r="12" customFormat="false" ht="30" hidden="false" customHeight="false" outlineLevel="0" collapsed="false">
      <c r="A12" s="25" t="s">
        <v>8</v>
      </c>
    </row>
    <row r="13" customFormat="false" ht="15" hidden="false" customHeight="1" outlineLevel="0" collapsed="false">
      <c r="A13" s="26" t="s">
        <v>9</v>
      </c>
      <c r="B13" s="5"/>
      <c r="C13" s="5"/>
    </row>
    <row r="14" customFormat="false" ht="28" hidden="false" customHeight="false" outlineLevel="0" collapsed="false">
      <c r="A14" s="27" t="s">
        <v>10</v>
      </c>
    </row>
    <row r="16" customFormat="false" ht="15" hidden="false" customHeight="false" outlineLevel="0" collapsed="false">
      <c r="A16" s="3" t="s">
        <v>11</v>
      </c>
    </row>
    <row r="17" customFormat="false" ht="42" hidden="false" customHeight="false" outlineLevel="0" collapsed="false">
      <c r="A17" s="25" t="s">
        <v>12</v>
      </c>
    </row>
    <row r="18" customFormat="false" ht="42" hidden="false" customHeight="false" outlineLevel="0" collapsed="false">
      <c r="A18" s="25" t="s">
        <v>13</v>
      </c>
    </row>
    <row r="19" customFormat="false" ht="42" hidden="false" customHeight="false" outlineLevel="0" collapsed="false">
      <c r="A19" s="25" t="s">
        <v>14</v>
      </c>
    </row>
    <row r="20" customFormat="false" ht="15" hidden="false" customHeight="1" outlineLevel="0" collapsed="false">
      <c r="A20" s="28" t="s">
        <v>15</v>
      </c>
      <c r="B20" s="7"/>
      <c r="C20" s="7"/>
    </row>
    <row r="22" customFormat="false" ht="15" hidden="false" customHeight="false" outlineLevel="0" collapsed="false">
      <c r="A22" s="3" t="s">
        <v>16</v>
      </c>
    </row>
    <row r="23" customFormat="false" ht="29" hidden="false" customHeight="false" outlineLevel="0" collapsed="false">
      <c r="A23" s="25" t="s">
        <v>17</v>
      </c>
    </row>
    <row r="24" customFormat="false" ht="29" hidden="false" customHeight="false" outlineLevel="0" collapsed="false">
      <c r="A24" s="25" t="s">
        <v>18</v>
      </c>
    </row>
    <row r="25" customFormat="false" ht="29" hidden="false" customHeight="false" outlineLevel="0" collapsed="false">
      <c r="A25" s="27" t="s">
        <v>19</v>
      </c>
    </row>
    <row r="26" customFormat="false" ht="15" hidden="false" customHeight="1" outlineLevel="0" collapsed="false">
      <c r="A26" s="28" t="s">
        <v>20</v>
      </c>
      <c r="B26" s="7"/>
      <c r="C26" s="7"/>
    </row>
    <row r="27" customFormat="false" ht="28" hidden="false" customHeight="false" outlineLevel="0" collapsed="false">
      <c r="A27" s="27" t="s">
        <v>21</v>
      </c>
    </row>
    <row r="28" customFormat="false" ht="15" hidden="false" customHeight="1" outlineLevel="0" collapsed="false">
      <c r="A28" s="26" t="s">
        <v>22</v>
      </c>
      <c r="B28" s="5"/>
      <c r="C28" s="5"/>
    </row>
    <row r="30" customFormat="false" ht="15" hidden="false" customHeight="false" outlineLevel="0" collapsed="false">
      <c r="A30" s="3" t="s">
        <v>23</v>
      </c>
    </row>
    <row r="31" customFormat="false" ht="29" hidden="false" customHeight="false" outlineLevel="0" collapsed="false">
      <c r="A31" s="27" t="s">
        <v>24</v>
      </c>
    </row>
    <row r="32" customFormat="false" ht="30" hidden="false" customHeight="false" outlineLevel="0" collapsed="false">
      <c r="A32" s="27" t="s">
        <v>25</v>
      </c>
    </row>
    <row r="33" customFormat="false" ht="30" hidden="false" customHeight="false" outlineLevel="0" collapsed="false">
      <c r="A33" s="27" t="s">
        <v>26</v>
      </c>
    </row>
    <row r="34" customFormat="false" ht="41" hidden="false" customHeight="false" outlineLevel="0" collapsed="false">
      <c r="A34" s="27" t="s">
        <v>27</v>
      </c>
    </row>
    <row r="35" customFormat="false" ht="30" hidden="false" customHeight="false" outlineLevel="0" collapsed="false">
      <c r="A35" s="27" t="s">
        <v>28</v>
      </c>
    </row>
    <row r="36" customFormat="false" ht="30" hidden="false" customHeight="false" outlineLevel="0" collapsed="false">
      <c r="A36" s="27" t="s">
        <v>29</v>
      </c>
    </row>
    <row r="38" customFormat="false" ht="15.5" hidden="false" customHeight="false" outlineLevel="0" collapsed="false">
      <c r="A38" s="3" t="s">
        <v>30</v>
      </c>
    </row>
    <row r="39" customFormat="false" ht="15" hidden="false" customHeight="1" outlineLevel="0" collapsed="false">
      <c r="A39" s="28" t="s">
        <v>31</v>
      </c>
      <c r="B39" s="7"/>
      <c r="C39" s="7"/>
      <c r="D39" s="7"/>
    </row>
    <row r="40" customFormat="false" ht="15" hidden="false" customHeight="1" outlineLevel="0" collapsed="false">
      <c r="A40" s="28" t="s">
        <v>32</v>
      </c>
      <c r="B40" s="7"/>
      <c r="C40" s="7"/>
      <c r="D40" s="7"/>
      <c r="E40" s="7"/>
      <c r="F40" s="7"/>
      <c r="G40" s="7"/>
    </row>
    <row r="43" customFormat="false" ht="15" hidden="false" customHeight="false" outlineLevel="0" collapsed="false">
      <c r="A43" s="8" t="s">
        <v>33</v>
      </c>
    </row>
    <row r="44" customFormat="false" ht="15" hidden="false" customHeight="false" outlineLevel="0" collapsed="false">
      <c r="A44" s="6"/>
    </row>
    <row r="45" customFormat="false" ht="30" hidden="false" customHeight="false" outlineLevel="0" collapsed="false">
      <c r="A45" s="27" t="s">
        <v>34</v>
      </c>
    </row>
    <row r="46" customFormat="false" ht="42" hidden="false" customHeight="false" outlineLevel="0" collapsed="false">
      <c r="A46" s="27" t="s">
        <v>35</v>
      </c>
    </row>
    <row r="47" customFormat="false" ht="30" hidden="false" customHeight="false" outlineLevel="0" collapsed="false">
      <c r="A47" s="27" t="s">
        <v>36</v>
      </c>
    </row>
    <row r="48" customFormat="false" ht="15" hidden="false" customHeight="false" outlineLevel="0" collapsed="false">
      <c r="A48" s="6"/>
    </row>
    <row r="49" customFormat="false" ht="16" hidden="false" customHeight="false" outlineLevel="0" collapsed="false">
      <c r="A49" s="6" t="s">
        <v>37</v>
      </c>
    </row>
    <row r="50" customFormat="false" ht="15" hidden="false" customHeight="false" outlineLevel="0" collapsed="false">
      <c r="A50" s="6"/>
    </row>
    <row r="51" customFormat="false" ht="41" hidden="false" customHeight="false" outlineLevel="0" collapsed="false">
      <c r="A51" s="27" t="s">
        <v>38</v>
      </c>
    </row>
    <row r="52" customFormat="false" ht="28" hidden="false" customHeight="false" outlineLevel="0" collapsed="false">
      <c r="A52" s="27" t="s">
        <v>39</v>
      </c>
    </row>
    <row r="53" customFormat="false" ht="30" hidden="false" customHeight="false" outlineLevel="0" collapsed="false">
      <c r="A53" s="27" t="s">
        <v>40</v>
      </c>
    </row>
    <row r="54" customFormat="false" ht="15" hidden="false" customHeight="1" outlineLevel="0" collapsed="false">
      <c r="A54" s="28" t="s">
        <v>41</v>
      </c>
      <c r="B54" s="7"/>
      <c r="C54" s="7"/>
      <c r="D54" s="7"/>
      <c r="E54" s="7"/>
    </row>
    <row r="55" customFormat="false" ht="15" hidden="false" customHeight="1" outlineLevel="0" collapsed="false">
      <c r="A55" s="28" t="s">
        <v>42</v>
      </c>
      <c r="B55" s="7"/>
      <c r="C55" s="7"/>
      <c r="D55" s="7"/>
    </row>
    <row r="56" customFormat="false" ht="15" hidden="false" customHeight="1" outlineLevel="0" collapsed="false">
      <c r="A56" s="28" t="s">
        <v>43</v>
      </c>
      <c r="B56" s="7"/>
      <c r="C56" s="7"/>
    </row>
    <row r="57" customFormat="false" ht="15" hidden="false" customHeight="false" outlineLevel="0" collapsed="false">
      <c r="A57" s="6" t="s">
        <v>44</v>
      </c>
    </row>
    <row r="58" customFormat="false" ht="41" hidden="false" customHeight="false" outlineLevel="0" collapsed="false">
      <c r="A58" s="27" t="s">
        <v>45</v>
      </c>
    </row>
    <row r="59" customFormat="false" ht="41" hidden="false" customHeight="false" outlineLevel="0" collapsed="false">
      <c r="A59" s="27" t="s">
        <v>46</v>
      </c>
    </row>
    <row r="60" customFormat="false" ht="28" hidden="false" customHeight="false" outlineLevel="0" collapsed="false">
      <c r="A60" s="27" t="s">
        <v>47</v>
      </c>
    </row>
    <row r="61" customFormat="false" ht="15" hidden="false" customHeight="false" outlineLevel="0" collapsed="false">
      <c r="A61" s="6"/>
    </row>
    <row r="62" customFormat="false" ht="16" hidden="false" customHeight="false" outlineLevel="0" collapsed="false">
      <c r="A62" s="6" t="s">
        <v>48</v>
      </c>
    </row>
    <row r="63" customFormat="false" ht="15" hidden="false" customHeight="false" outlineLevel="0" collapsed="false">
      <c r="A63" s="6"/>
    </row>
    <row r="64" customFormat="false" ht="28" hidden="false" customHeight="false" outlineLevel="0" collapsed="false">
      <c r="A64" s="27" t="s">
        <v>49</v>
      </c>
    </row>
    <row r="65" customFormat="false" ht="15" hidden="false" customHeight="false" outlineLevel="0" collapsed="false">
      <c r="A65" s="6"/>
    </row>
    <row r="66" customFormat="false" ht="15" hidden="false" customHeight="1" outlineLevel="0" collapsed="false">
      <c r="A66" s="28" t="s">
        <v>50</v>
      </c>
      <c r="B66" s="7"/>
      <c r="C66" s="7"/>
      <c r="D66" s="7"/>
      <c r="E66" s="7"/>
    </row>
    <row r="67" customFormat="false" ht="15" hidden="false" customHeight="1" outlineLevel="0" collapsed="false">
      <c r="A67" s="28" t="s">
        <v>51</v>
      </c>
      <c r="B67" s="7"/>
      <c r="C67" s="7"/>
      <c r="D67" s="7"/>
      <c r="E67" s="7"/>
    </row>
    <row r="68" customFormat="false" ht="15" hidden="false" customHeight="false" outlineLevel="0" collapsed="false">
      <c r="A68" s="6" t="s">
        <v>52</v>
      </c>
    </row>
    <row r="69" customFormat="false" ht="15" hidden="false" customHeight="1" outlineLevel="0" collapsed="false">
      <c r="A69" s="28" t="s">
        <v>53</v>
      </c>
      <c r="B69" s="7"/>
      <c r="C69" s="7"/>
      <c r="D69" s="7"/>
      <c r="E69" s="7"/>
      <c r="F69" s="7"/>
    </row>
    <row r="70" customFormat="false" ht="15" hidden="false" customHeight="1" outlineLevel="0" collapsed="false">
      <c r="A70" s="28" t="s">
        <v>54</v>
      </c>
      <c r="B70" s="7"/>
      <c r="C70" s="7"/>
      <c r="D70" s="7"/>
      <c r="E70" s="7"/>
    </row>
    <row r="71" customFormat="false" ht="15" hidden="false" customHeight="1" outlineLevel="0" collapsed="false">
      <c r="A71" s="28" t="s">
        <v>55</v>
      </c>
      <c r="B71" s="7"/>
      <c r="C71" s="7"/>
      <c r="D71" s="7"/>
    </row>
    <row r="72" customFormat="false" ht="15" hidden="false" customHeight="false" outlineLevel="0" collapsed="false">
      <c r="A72" s="6"/>
    </row>
    <row r="73" customFormat="false" ht="16" hidden="false" customHeight="false" outlineLevel="0" collapsed="false">
      <c r="A73" s="6" t="s">
        <v>56</v>
      </c>
    </row>
    <row r="74" customFormat="false" ht="15" hidden="false" customHeight="false" outlineLevel="0" collapsed="false">
      <c r="A74" s="6"/>
    </row>
    <row r="75" customFormat="false" ht="29" hidden="false" customHeight="false" outlineLevel="0" collapsed="false">
      <c r="A75" s="25" t="s">
        <v>57</v>
      </c>
    </row>
    <row r="76" customFormat="false" ht="15" hidden="false" customHeight="1" outlineLevel="0" collapsed="false">
      <c r="A76" s="28" t="s">
        <v>58</v>
      </c>
      <c r="B76" s="7"/>
      <c r="C76" s="7"/>
    </row>
    <row r="77" customFormat="false" ht="15" hidden="false" customHeight="false" outlineLevel="0" collapsed="false">
      <c r="A77" s="6"/>
    </row>
    <row r="78" customFormat="false" ht="16" hidden="false" customHeight="false" outlineLevel="0" collapsed="false">
      <c r="A78" s="6" t="s">
        <v>59</v>
      </c>
    </row>
    <row r="79" customFormat="false" ht="15" hidden="false" customHeight="false" outlineLevel="0" collapsed="false">
      <c r="A79" s="6"/>
    </row>
    <row r="80" customFormat="false" ht="15" hidden="false" customHeight="false" outlineLevel="0" collapsed="false">
      <c r="A80" s="27" t="s">
        <v>60</v>
      </c>
    </row>
    <row r="81" customFormat="false" ht="15" hidden="false" customHeight="false" outlineLevel="0" collapsed="false">
      <c r="A81" s="6"/>
    </row>
    <row r="82" customFormat="false" ht="16" hidden="false" customHeight="false" outlineLevel="0" collapsed="false">
      <c r="A82" s="6" t="s">
        <v>61</v>
      </c>
    </row>
    <row r="83" customFormat="false" ht="15" hidden="false" customHeight="false" outlineLevel="0" collapsed="false">
      <c r="A83" s="6"/>
    </row>
    <row r="84" customFormat="false" ht="28" hidden="false" customHeight="false" outlineLevel="0" collapsed="false">
      <c r="A84" s="27" t="s">
        <v>62</v>
      </c>
    </row>
    <row r="85" customFormat="false" ht="15" hidden="false" customHeight="false" outlineLevel="0" collapsed="false">
      <c r="A85" s="6"/>
    </row>
    <row r="86" customFormat="false" ht="41" hidden="false" customHeight="false" outlineLevel="0" collapsed="false">
      <c r="A86" s="27" t="s">
        <v>63</v>
      </c>
    </row>
    <row r="87" customFormat="false" ht="15" hidden="false" customHeight="1" outlineLevel="0" collapsed="false">
      <c r="A87" s="28" t="s">
        <v>64</v>
      </c>
      <c r="B87" s="7"/>
      <c r="C87" s="7"/>
      <c r="D87" s="7"/>
      <c r="E87" s="7"/>
      <c r="F87" s="7"/>
      <c r="G87" s="7"/>
    </row>
    <row r="88" customFormat="false" ht="15" hidden="false" customHeight="false" outlineLevel="0" collapsed="false">
      <c r="A88" s="6"/>
    </row>
    <row r="89" customFormat="false" ht="16" hidden="false" customHeight="false" outlineLevel="0" collapsed="false">
      <c r="A89" s="6" t="s">
        <v>65</v>
      </c>
    </row>
    <row r="90" customFormat="false" ht="15" hidden="false" customHeight="false" outlineLevel="0" collapsed="false">
      <c r="A90" s="6"/>
    </row>
    <row r="91" customFormat="false" ht="15" hidden="false" customHeight="false" outlineLevel="0" collapsed="false">
      <c r="A91" s="6" t="s">
        <v>66</v>
      </c>
    </row>
    <row r="92" customFormat="false" ht="41" hidden="false" customHeight="false" outlineLevel="0" collapsed="false">
      <c r="A92" s="27" t="s">
        <v>67</v>
      </c>
    </row>
    <row r="93" customFormat="false" ht="15" hidden="false" customHeight="false" outlineLevel="0" collapsed="false">
      <c r="A93" s="6"/>
    </row>
    <row r="94" customFormat="false" ht="16" hidden="false" customHeight="false" outlineLevel="0" collapsed="false">
      <c r="A94" s="6" t="s">
        <v>68</v>
      </c>
    </row>
    <row r="95" customFormat="false" ht="15" hidden="false" customHeight="false" outlineLevel="0" collapsed="false">
      <c r="A95" s="6"/>
    </row>
    <row r="96" customFormat="false" ht="15" hidden="false" customHeight="1" outlineLevel="0" collapsed="false">
      <c r="A96" s="28" t="s">
        <v>69</v>
      </c>
      <c r="B96" s="7"/>
      <c r="C96" s="7"/>
    </row>
    <row r="97" customFormat="false" ht="29" hidden="false" customHeight="false" outlineLevel="0" collapsed="false">
      <c r="A97" s="27" t="s">
        <v>70</v>
      </c>
    </row>
    <row r="98" customFormat="false" ht="15" hidden="false" customHeight="false" outlineLevel="0" collapsed="false">
      <c r="A98" s="6"/>
    </row>
    <row r="99" customFormat="false" ht="16" hidden="false" customHeight="false" outlineLevel="0" collapsed="false">
      <c r="A99" s="6" t="s">
        <v>71</v>
      </c>
    </row>
    <row r="100" customFormat="false" ht="15" hidden="false" customHeight="false" outlineLevel="0" collapsed="false">
      <c r="A100" s="6"/>
    </row>
    <row r="101" customFormat="false" ht="42" hidden="false" customHeight="false" outlineLevel="0" collapsed="false">
      <c r="A101" s="27" t="s">
        <v>72</v>
      </c>
    </row>
    <row r="102" customFormat="false" ht="28" hidden="false" customHeight="false" outlineLevel="0" collapsed="false">
      <c r="A102" s="27" t="s">
        <v>73</v>
      </c>
    </row>
    <row r="103" customFormat="false" ht="28" hidden="false" customHeight="false" outlineLevel="0" collapsed="false">
      <c r="A103" s="27" t="s">
        <v>74</v>
      </c>
    </row>
    <row r="104" customFormat="false" ht="15" hidden="false" customHeight="false" outlineLevel="0" collapsed="false">
      <c r="A104" s="6"/>
    </row>
    <row r="105" customFormat="false" ht="16" hidden="false" customHeight="false" outlineLevel="0" collapsed="false">
      <c r="A105" s="6" t="s">
        <v>75</v>
      </c>
    </row>
    <row r="106" customFormat="false" ht="15" hidden="false" customHeight="false" outlineLevel="0" collapsed="false">
      <c r="A106" s="6"/>
    </row>
    <row r="107" customFormat="false" ht="28" hidden="false" customHeight="false" outlineLevel="0" collapsed="false">
      <c r="A107" s="27" t="s">
        <v>76</v>
      </c>
    </row>
    <row r="108" customFormat="false" ht="15" hidden="false" customHeight="1" outlineLevel="0" collapsed="false">
      <c r="A108" s="28" t="s">
        <v>77</v>
      </c>
      <c r="B108" s="7"/>
      <c r="C108" s="7"/>
      <c r="D108" s="7"/>
      <c r="E108" s="7"/>
      <c r="F108" s="7"/>
    </row>
    <row r="109" customFormat="false" ht="15" hidden="false" customHeight="false" outlineLevel="0" collapsed="false">
      <c r="A109" s="6" t="s">
        <v>78</v>
      </c>
    </row>
    <row r="110" customFormat="false" ht="15" hidden="false" customHeight="1" outlineLevel="0" collapsed="false">
      <c r="A110" s="28" t="s">
        <v>79</v>
      </c>
      <c r="B110" s="7"/>
      <c r="C110" s="7"/>
      <c r="D110" s="7"/>
      <c r="E110" s="7"/>
    </row>
    <row r="111" customFormat="false" ht="15" hidden="false" customHeight="1" outlineLevel="0" collapsed="false">
      <c r="A111" s="28" t="s">
        <v>80</v>
      </c>
      <c r="B111" s="7"/>
      <c r="C111" s="7"/>
      <c r="D111" s="7"/>
      <c r="E111" s="7"/>
      <c r="F111" s="7"/>
    </row>
    <row r="112" customFormat="false" ht="15" hidden="false" customHeight="false" outlineLevel="0" collapsed="false">
      <c r="A112" s="6" t="s">
        <v>81</v>
      </c>
    </row>
    <row r="113" customFormat="false" ht="15" hidden="false" customHeight="1" outlineLevel="0" collapsed="false">
      <c r="A113" s="28" t="s">
        <v>82</v>
      </c>
      <c r="B113" s="7"/>
      <c r="C113" s="7"/>
      <c r="D113" s="7"/>
      <c r="E113" s="7"/>
      <c r="F113" s="7"/>
      <c r="G113" s="7"/>
    </row>
    <row r="114" customFormat="false" ht="15" hidden="false" customHeight="false" outlineLevel="0" collapsed="false">
      <c r="A114" s="6"/>
    </row>
    <row r="115" customFormat="false" ht="16" hidden="false" customHeight="false" outlineLevel="0" collapsed="false">
      <c r="A115" s="6" t="s">
        <v>83</v>
      </c>
    </row>
    <row r="116" customFormat="false" ht="15" hidden="false" customHeight="false" outlineLevel="0" collapsed="false">
      <c r="A116" s="6"/>
    </row>
    <row r="117" customFormat="false" ht="28" hidden="false" customHeight="false" outlineLevel="0" collapsed="false">
      <c r="A117" s="27" t="s">
        <v>84</v>
      </c>
    </row>
    <row r="118" customFormat="false" ht="15" hidden="false" customHeight="1" outlineLevel="0" collapsed="false">
      <c r="A118" s="28" t="s">
        <v>85</v>
      </c>
      <c r="B118" s="7"/>
      <c r="C118" s="7"/>
      <c r="D118" s="7"/>
    </row>
    <row r="119" customFormat="false" ht="28" hidden="false" customHeight="false" outlineLevel="0" collapsed="false">
      <c r="A119" s="27" t="s">
        <v>86</v>
      </c>
    </row>
    <row r="120" customFormat="false" ht="15" hidden="false" customHeight="1" outlineLevel="0" collapsed="false">
      <c r="A120" s="28" t="s">
        <v>87</v>
      </c>
      <c r="B120" s="7"/>
      <c r="C120" s="7"/>
      <c r="D120" s="7"/>
    </row>
    <row r="121" customFormat="false" ht="28" hidden="false" customHeight="false" outlineLevel="0" collapsed="false">
      <c r="A121" s="27" t="s">
        <v>88</v>
      </c>
    </row>
    <row r="122" customFormat="false" ht="15" hidden="false" customHeight="1" outlineLevel="0" collapsed="false">
      <c r="A122" s="28" t="s">
        <v>89</v>
      </c>
      <c r="B122" s="7"/>
      <c r="C122" s="7"/>
    </row>
    <row r="123" customFormat="false" ht="15" hidden="false" customHeight="false" outlineLevel="0" collapsed="false">
      <c r="A123" s="6"/>
    </row>
    <row r="124" customFormat="false" ht="16" hidden="false" customHeight="false" outlineLevel="0" collapsed="false">
      <c r="A124" s="6" t="s">
        <v>90</v>
      </c>
    </row>
    <row r="125" customFormat="false" ht="15" hidden="false" customHeight="false" outlineLevel="0" collapsed="false">
      <c r="A125" s="6"/>
    </row>
    <row r="126" customFormat="false" ht="15" hidden="false" customHeight="1" outlineLevel="0" collapsed="false">
      <c r="A126" s="28" t="s">
        <v>91</v>
      </c>
      <c r="B126" s="7"/>
      <c r="C126" s="7"/>
      <c r="D126" s="7"/>
      <c r="E126" s="7"/>
    </row>
    <row r="127" customFormat="false" ht="30" hidden="false" customHeight="false" outlineLevel="0" collapsed="false">
      <c r="A127" s="27" t="s">
        <v>92</v>
      </c>
    </row>
    <row r="128" customFormat="false" ht="28" hidden="false" customHeight="false" outlineLevel="0" collapsed="false">
      <c r="A128" s="27" t="s">
        <v>93</v>
      </c>
    </row>
    <row r="129" customFormat="false" ht="15" hidden="false" customHeight="false" outlineLevel="0" collapsed="false">
      <c r="A129" s="6"/>
    </row>
    <row r="130" customFormat="false" ht="15" hidden="false" customHeight="false" outlineLevel="0" collapsed="false">
      <c r="A130" s="27" t="s">
        <v>94</v>
      </c>
    </row>
    <row r="131" customFormat="false" ht="15" hidden="false" customHeight="false" outlineLevel="0" collapsed="false">
      <c r="A131" s="6"/>
    </row>
    <row r="132" customFormat="false" ht="29" hidden="false" customHeight="false" outlineLevel="0" collapsed="false">
      <c r="A132" s="29" t="s">
        <v>95</v>
      </c>
    </row>
    <row r="133" customFormat="false" ht="16" hidden="false" customHeight="false" outlineLevel="0" collapsed="false">
      <c r="A133" s="6" t="s">
        <v>37</v>
      </c>
    </row>
    <row r="134" customFormat="false" ht="16" hidden="false" customHeight="false" outlineLevel="0" collapsed="false">
      <c r="A134" s="6" t="s">
        <v>48</v>
      </c>
    </row>
    <row r="135" customFormat="false" ht="16" hidden="false" customHeight="false" outlineLevel="0" collapsed="false">
      <c r="A135" s="6" t="s">
        <v>56</v>
      </c>
    </row>
    <row r="136" customFormat="false" ht="16" hidden="false" customHeight="false" outlineLevel="0" collapsed="false">
      <c r="A136" s="6" t="s">
        <v>59</v>
      </c>
    </row>
    <row r="137" customFormat="false" ht="16" hidden="false" customHeight="false" outlineLevel="0" collapsed="false">
      <c r="A137" s="6" t="s">
        <v>61</v>
      </c>
    </row>
    <row r="138" customFormat="false" ht="16" hidden="false" customHeight="false" outlineLevel="0" collapsed="false">
      <c r="A138" s="6" t="s">
        <v>65</v>
      </c>
    </row>
    <row r="139" customFormat="false" ht="16" hidden="false" customHeight="false" outlineLevel="0" collapsed="false">
      <c r="A139" s="6" t="s">
        <v>68</v>
      </c>
    </row>
    <row r="140" customFormat="false" ht="16" hidden="false" customHeight="false" outlineLevel="0" collapsed="false">
      <c r="A140" s="6" t="s">
        <v>71</v>
      </c>
    </row>
    <row r="141" customFormat="false" ht="16" hidden="false" customHeight="false" outlineLevel="0" collapsed="false">
      <c r="A141" s="6" t="s">
        <v>75</v>
      </c>
    </row>
    <row r="142" customFormat="false" ht="16" hidden="false" customHeight="false" outlineLevel="0" collapsed="false">
      <c r="A142" s="6" t="s">
        <v>83</v>
      </c>
    </row>
    <row r="143" customFormat="false" ht="16" hidden="false" customHeight="false" outlineLevel="0" collapsed="false">
      <c r="A143" s="6" t="s">
        <v>90</v>
      </c>
    </row>
    <row r="144" customFormat="false" ht="15" hidden="false" customHeight="false" outlineLevel="0" collapsed="false">
      <c r="A144" s="6"/>
    </row>
    <row r="145" customFormat="false" ht="15.5" hidden="false" customHeight="false" outlineLevel="0" collapsed="false">
      <c r="A145" s="8" t="s">
        <v>96</v>
      </c>
    </row>
    <row r="146" customFormat="false" ht="29" hidden="false" customHeight="false" outlineLevel="0" collapsed="false">
      <c r="A146" s="25" t="s">
        <v>97</v>
      </c>
    </row>
    <row r="147" customFormat="false" ht="29" hidden="false" customHeight="false" outlineLevel="0" collapsed="false">
      <c r="A147" s="25" t="s">
        <v>98</v>
      </c>
    </row>
  </sheetData>
  <mergeCells count="25">
    <mergeCell ref="A13:J13"/>
    <mergeCell ref="A20:K20"/>
    <mergeCell ref="A26:J26"/>
    <mergeCell ref="A28:J28"/>
    <mergeCell ref="A39:K39"/>
    <mergeCell ref="A40:P40"/>
    <mergeCell ref="A54:M54"/>
    <mergeCell ref="A55:K55"/>
    <mergeCell ref="A56:J56"/>
    <mergeCell ref="A66:N66"/>
    <mergeCell ref="A67:M67"/>
    <mergeCell ref="A69:O69"/>
    <mergeCell ref="A70:M70"/>
    <mergeCell ref="A71:L71"/>
    <mergeCell ref="A76:J76"/>
    <mergeCell ref="A87:Q87"/>
    <mergeCell ref="A96:J96"/>
    <mergeCell ref="A108:N108"/>
    <mergeCell ref="A110:M110"/>
    <mergeCell ref="A111:O111"/>
    <mergeCell ref="A113:O113"/>
    <mergeCell ref="A118:K118"/>
    <mergeCell ref="A120:K120"/>
    <mergeCell ref="A122:K122"/>
    <mergeCell ref="A126:M1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L167"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9" width="27.31"/>
    <col collapsed="false" customWidth="true" hidden="false" outlineLevel="0" max="7" min="2" style="9" width="14.56"/>
    <col collapsed="false" customWidth="true" hidden="false" outlineLevel="0" max="8" min="8" style="9" width="49.13"/>
  </cols>
  <sheetData>
    <row r="1" customFormat="false" ht="19" hidden="false" customHeight="false" outlineLevel="0" collapsed="false">
      <c r="A1" s="10" t="s">
        <v>99</v>
      </c>
      <c r="B1" s="10"/>
      <c r="C1" s="10"/>
      <c r="D1" s="10"/>
      <c r="E1" s="10"/>
      <c r="F1" s="10"/>
      <c r="G1" s="10"/>
    </row>
    <row r="3" customFormat="false" ht="15.5" hidden="false" customHeight="false" outlineLevel="0" collapsed="false">
      <c r="A3" s="11" t="s">
        <v>100</v>
      </c>
      <c r="B3" s="11"/>
      <c r="C3" s="11"/>
      <c r="D3" s="12"/>
      <c r="E3" s="12"/>
      <c r="F3" s="12"/>
      <c r="G3" s="12"/>
      <c r="H3" s="12"/>
    </row>
    <row r="4" customFormat="false" ht="15" hidden="false" customHeight="false" outlineLevel="0" collapsed="false">
      <c r="A4" s="13" t="s">
        <v>101</v>
      </c>
      <c r="B4" s="13" t="s">
        <v>102</v>
      </c>
      <c r="C4" s="13" t="s">
        <v>103</v>
      </c>
      <c r="D4" s="13"/>
    </row>
    <row r="5" customFormat="false" ht="15.5" hidden="false" customHeight="false" outlineLevel="0" collapsed="false">
      <c r="A5" s="14" t="s">
        <v>104</v>
      </c>
      <c r="B5" s="15" t="s">
        <v>105</v>
      </c>
      <c r="C5" s="16" t="s">
        <v>106</v>
      </c>
      <c r="D5" s="16"/>
      <c r="E5" s="16"/>
      <c r="F5" s="16"/>
    </row>
    <row r="6" customFormat="false" ht="15.5" hidden="false" customHeight="false" outlineLevel="0" collapsed="false">
      <c r="A6" s="14" t="s">
        <v>107</v>
      </c>
      <c r="B6" s="15" t="s">
        <v>108</v>
      </c>
      <c r="C6" s="16" t="s">
        <v>109</v>
      </c>
      <c r="D6" s="16"/>
    </row>
    <row r="7" customFormat="false" ht="15.5" hidden="false" customHeight="false" outlineLevel="0" collapsed="false">
      <c r="A7" s="14" t="s">
        <v>110</v>
      </c>
      <c r="B7" s="15" t="s">
        <v>111</v>
      </c>
      <c r="C7" s="16" t="s">
        <v>112</v>
      </c>
      <c r="D7" s="16"/>
      <c r="E7" s="16"/>
    </row>
    <row r="8" customFormat="false" ht="15.5" hidden="false" customHeight="false" outlineLevel="0" collapsed="false">
      <c r="A8" s="14" t="s">
        <v>113</v>
      </c>
      <c r="B8" s="15" t="s">
        <v>114</v>
      </c>
      <c r="C8" s="16" t="s">
        <v>115</v>
      </c>
      <c r="D8" s="16"/>
      <c r="E8" s="16"/>
    </row>
    <row r="9" customFormat="false" ht="15.5" hidden="false" customHeight="false" outlineLevel="0" collapsed="false">
      <c r="A9" s="14" t="s">
        <v>116</v>
      </c>
      <c r="B9" s="15" t="s">
        <v>117</v>
      </c>
      <c r="C9" s="16" t="s">
        <v>118</v>
      </c>
      <c r="D9" s="16"/>
      <c r="E9" s="16"/>
    </row>
    <row r="11" customFormat="false" ht="15.5" hidden="false" customHeight="false" outlineLevel="0" collapsed="false">
      <c r="A11" s="11" t="s">
        <v>119</v>
      </c>
      <c r="B11" s="11"/>
      <c r="C11" s="11"/>
      <c r="D11" s="11"/>
      <c r="E11" s="11"/>
      <c r="F11" s="11"/>
      <c r="G11" s="12"/>
      <c r="H11" s="12"/>
    </row>
    <row r="12" customFormat="false" ht="15.5" hidden="false" customHeight="false" outlineLevel="0" collapsed="false">
      <c r="A12" s="13" t="s">
        <v>120</v>
      </c>
      <c r="B12" s="13" t="s">
        <v>121</v>
      </c>
      <c r="C12" s="13" t="s">
        <v>122</v>
      </c>
      <c r="D12" s="13" t="s">
        <v>123</v>
      </c>
      <c r="E12" s="13" t="s">
        <v>124</v>
      </c>
      <c r="F12" s="13" t="s">
        <v>125</v>
      </c>
      <c r="G12" s="13" t="s">
        <v>126</v>
      </c>
    </row>
    <row r="13" customFormat="false" ht="15" hidden="false" customHeight="false" outlineLevel="0" collapsed="false">
      <c r="A13" s="14" t="s">
        <v>127</v>
      </c>
      <c r="B13" s="17" t="n">
        <v>0.5</v>
      </c>
      <c r="C13" s="17" t="n">
        <v>0.25</v>
      </c>
      <c r="D13" s="17" t="n">
        <v>0.15</v>
      </c>
      <c r="E13" s="17" t="n">
        <v>0.07</v>
      </c>
      <c r="F13" s="17" t="n">
        <v>0.03</v>
      </c>
      <c r="G13" s="18" t="n">
        <f aca="false">B13*0+C13*1+D13*2+E13*3+F13*4</f>
        <v>0.88</v>
      </c>
    </row>
    <row r="14" customFormat="false" ht="15" hidden="false" customHeight="false" outlineLevel="0" collapsed="false">
      <c r="A14" s="14" t="s">
        <v>128</v>
      </c>
      <c r="B14" s="17" t="n">
        <v>0.3</v>
      </c>
      <c r="C14" s="17" t="n">
        <v>0.25</v>
      </c>
      <c r="D14" s="17" t="n">
        <v>0.2</v>
      </c>
      <c r="E14" s="17" t="n">
        <v>0.15</v>
      </c>
      <c r="F14" s="17" t="n">
        <v>0.1</v>
      </c>
      <c r="G14" s="18" t="n">
        <f aca="false">B14*0+C14*1+D14*2+E14*3+F14*4</f>
        <v>1.5</v>
      </c>
    </row>
    <row r="15" customFormat="false" ht="15.5" hidden="false" customHeight="true" outlineLevel="0" collapsed="false">
      <c r="A15" s="19" t="s">
        <v>129</v>
      </c>
      <c r="B15" s="19"/>
      <c r="C15" s="19"/>
      <c r="D15" s="19"/>
      <c r="E15" s="19"/>
      <c r="F15" s="19"/>
      <c r="G15" s="19"/>
      <c r="H15" s="19"/>
    </row>
    <row r="17" customFormat="false" ht="15.5" hidden="false" customHeight="false" outlineLevel="0" collapsed="false">
      <c r="A17" s="11" t="s">
        <v>130</v>
      </c>
      <c r="B17" s="11"/>
      <c r="C17" s="11"/>
      <c r="D17" s="11"/>
      <c r="E17" s="12"/>
      <c r="F17" s="12"/>
      <c r="G17" s="12"/>
      <c r="H17" s="12"/>
    </row>
    <row r="18" customFormat="false" ht="15" hidden="false" customHeight="false" outlineLevel="0" collapsed="false">
      <c r="A18" s="13" t="s">
        <v>101</v>
      </c>
      <c r="B18" s="13" t="s">
        <v>131</v>
      </c>
      <c r="C18" s="13" t="s">
        <v>132</v>
      </c>
      <c r="D18" s="13" t="s">
        <v>103</v>
      </c>
      <c r="E18" s="13"/>
    </row>
    <row r="19" customFormat="false" ht="15.5" hidden="false" customHeight="false" outlineLevel="0" collapsed="false">
      <c r="A19" s="14" t="s">
        <v>133</v>
      </c>
      <c r="B19" s="15" t="n">
        <v>15</v>
      </c>
      <c r="C19" s="20" t="s">
        <v>134</v>
      </c>
      <c r="D19" s="14"/>
      <c r="E19" s="14"/>
    </row>
    <row r="20" customFormat="false" ht="15.5" hidden="false" customHeight="false" outlineLevel="0" collapsed="false">
      <c r="A20" s="14" t="s">
        <v>135</v>
      </c>
      <c r="B20" s="21" t="n">
        <f aca="false">2^B19</f>
        <v>32768</v>
      </c>
      <c r="C20" s="20" t="s">
        <v>136</v>
      </c>
      <c r="D20" s="16" t="s">
        <v>137</v>
      </c>
      <c r="E20" s="16"/>
      <c r="F20" s="16"/>
    </row>
    <row r="21" customFormat="false" ht="15.5" hidden="false" customHeight="false" outlineLevel="0" collapsed="false">
      <c r="A21" s="14" t="s">
        <v>138</v>
      </c>
      <c r="B21" s="21" t="n">
        <f aca="false">2^5</f>
        <v>32</v>
      </c>
      <c r="C21" s="20" t="s">
        <v>139</v>
      </c>
      <c r="D21" s="16" t="s">
        <v>140</v>
      </c>
      <c r="E21" s="16"/>
      <c r="F21" s="16"/>
    </row>
    <row r="22" customFormat="false" ht="15.5" hidden="false" customHeight="false" outlineLevel="0" collapsed="false">
      <c r="A22" s="14" t="s">
        <v>141</v>
      </c>
      <c r="B22" s="21" t="n">
        <f aca="false">B19+1</f>
        <v>16</v>
      </c>
      <c r="C22" s="20" t="s">
        <v>142</v>
      </c>
      <c r="D22" s="14" t="s">
        <v>143</v>
      </c>
      <c r="E22" s="14"/>
    </row>
    <row r="23" customFormat="false" ht="15.5" hidden="false" customHeight="false" outlineLevel="0" collapsed="false">
      <c r="A23" s="14" t="s">
        <v>144</v>
      </c>
      <c r="B23" s="22" t="n">
        <f aca="false">B21*B22</f>
        <v>512</v>
      </c>
      <c r="C23" s="20" t="s">
        <v>145</v>
      </c>
      <c r="D23" s="23" t="s">
        <v>146</v>
      </c>
      <c r="E23" s="23"/>
      <c r="F23" s="23"/>
    </row>
    <row r="24" customFormat="false" ht="15.5" hidden="false" customHeight="true" outlineLevel="0" collapsed="false">
      <c r="A24" s="19" t="s">
        <v>147</v>
      </c>
      <c r="B24" s="19"/>
      <c r="C24" s="19"/>
      <c r="D24" s="19"/>
      <c r="E24" s="19"/>
      <c r="F24" s="19"/>
      <c r="G24" s="19"/>
      <c r="H24" s="19"/>
    </row>
    <row r="26" customFormat="false" ht="15.5" hidden="false" customHeight="false" outlineLevel="0" collapsed="false">
      <c r="A26" s="11" t="s">
        <v>148</v>
      </c>
      <c r="B26" s="11"/>
      <c r="C26" s="11"/>
      <c r="D26" s="11"/>
      <c r="E26" s="11"/>
      <c r="F26" s="12"/>
      <c r="G26" s="12"/>
      <c r="H26" s="12"/>
    </row>
    <row r="27" customFormat="false" ht="15" hidden="false" customHeight="false" outlineLevel="0" collapsed="false">
      <c r="A27" s="13" t="s">
        <v>149</v>
      </c>
      <c r="B27" s="13" t="s">
        <v>150</v>
      </c>
      <c r="C27" s="13" t="s">
        <v>151</v>
      </c>
      <c r="D27" s="13" t="s">
        <v>152</v>
      </c>
      <c r="E27" s="13" t="s">
        <v>153</v>
      </c>
    </row>
    <row r="28" customFormat="false" ht="15" hidden="false" customHeight="false" outlineLevel="0" collapsed="false">
      <c r="A28" s="15" t="n">
        <v>1</v>
      </c>
      <c r="B28" s="15" t="n">
        <v>0</v>
      </c>
      <c r="C28" s="24" t="s">
        <v>154</v>
      </c>
      <c r="D28" s="15" t="n">
        <v>0</v>
      </c>
      <c r="E28" s="16" t="s">
        <v>155</v>
      </c>
      <c r="F28" s="16"/>
    </row>
    <row r="29" customFormat="false" ht="15.5" hidden="false" customHeight="false" outlineLevel="0" collapsed="false">
      <c r="A29" s="15" t="n">
        <v>2</v>
      </c>
      <c r="B29" s="15" t="n">
        <v>0</v>
      </c>
      <c r="C29" s="24" t="s">
        <v>156</v>
      </c>
      <c r="D29" s="15" t="n">
        <v>0</v>
      </c>
      <c r="E29" s="16" t="s">
        <v>157</v>
      </c>
      <c r="F29" s="16"/>
    </row>
    <row r="30" customFormat="false" ht="15.5" hidden="false" customHeight="false" outlineLevel="0" collapsed="false">
      <c r="A30" s="14" t="s">
        <v>158</v>
      </c>
      <c r="B30" s="14" t="s">
        <v>158</v>
      </c>
      <c r="C30" s="14" t="s">
        <v>158</v>
      </c>
      <c r="D30" s="14" t="s">
        <v>158</v>
      </c>
      <c r="E30" s="16" t="s">
        <v>159</v>
      </c>
      <c r="F30" s="16"/>
      <c r="G30" s="16"/>
      <c r="H30" s="16"/>
    </row>
    <row r="31" customFormat="false" ht="15.5" hidden="false" customHeight="false" outlineLevel="0" collapsed="false">
      <c r="A31" s="15" t="n">
        <v>512</v>
      </c>
      <c r="B31" s="15" t="n">
        <v>15</v>
      </c>
      <c r="C31" s="24" t="s">
        <v>160</v>
      </c>
      <c r="D31" s="15" t="n">
        <v>0</v>
      </c>
      <c r="E31" s="16" t="s">
        <v>161</v>
      </c>
      <c r="F31" s="16"/>
      <c r="G31" s="16"/>
    </row>
    <row r="32" customFormat="false" ht="15.5" hidden="false" customHeight="true" outlineLevel="0" collapsed="false">
      <c r="A32" s="19" t="s">
        <v>162</v>
      </c>
      <c r="B32" s="19"/>
      <c r="C32" s="19"/>
      <c r="D32" s="19"/>
      <c r="E32" s="19"/>
      <c r="F32" s="19"/>
      <c r="G32" s="19"/>
      <c r="H32" s="19"/>
    </row>
    <row r="34" customFormat="false" ht="15.5" hidden="false" customHeight="false" outlineLevel="0" collapsed="false">
      <c r="A34" s="11" t="s">
        <v>163</v>
      </c>
      <c r="B34" s="11"/>
      <c r="C34" s="11"/>
      <c r="D34" s="12"/>
      <c r="E34" s="12"/>
      <c r="F34" s="12"/>
      <c r="G34" s="12"/>
      <c r="H34" s="12"/>
    </row>
    <row r="35" customFormat="false" ht="15" hidden="false" customHeight="false" outlineLevel="0" collapsed="false">
      <c r="A35" s="13" t="s">
        <v>164</v>
      </c>
      <c r="B35" s="13" t="s">
        <v>165</v>
      </c>
      <c r="C35" s="13" t="s">
        <v>166</v>
      </c>
      <c r="D35" s="13"/>
      <c r="E35" s="13"/>
    </row>
    <row r="36" customFormat="false" ht="15.5" hidden="false" customHeight="false" outlineLevel="0" collapsed="false">
      <c r="A36" s="14" t="s">
        <v>167</v>
      </c>
      <c r="B36" s="20" t="s">
        <v>168</v>
      </c>
      <c r="C36" s="16" t="s">
        <v>169</v>
      </c>
      <c r="D36" s="16"/>
      <c r="E36" s="14"/>
    </row>
    <row r="37" customFormat="false" ht="15.5" hidden="false" customHeight="false" outlineLevel="0" collapsed="false">
      <c r="A37" s="20" t="s">
        <v>170</v>
      </c>
      <c r="B37" s="14" t="s">
        <v>171</v>
      </c>
      <c r="C37" s="16" t="s">
        <v>172</v>
      </c>
      <c r="D37" s="16"/>
      <c r="E37" s="14"/>
    </row>
    <row r="38" customFormat="false" ht="15" hidden="false" customHeight="false" outlineLevel="0" collapsed="false">
      <c r="A38" s="14" t="s">
        <v>173</v>
      </c>
      <c r="B38" s="14" t="s">
        <v>174</v>
      </c>
      <c r="C38" s="16" t="s">
        <v>175</v>
      </c>
      <c r="D38" s="16"/>
      <c r="E38" s="16"/>
      <c r="F38" s="16"/>
    </row>
    <row r="40" customFormat="false" ht="15.5" hidden="false" customHeight="true" outlineLevel="0" collapsed="false">
      <c r="A40" s="19" t="s">
        <v>176</v>
      </c>
      <c r="B40" s="19"/>
      <c r="C40" s="19"/>
      <c r="D40" s="19"/>
      <c r="E40" s="19"/>
      <c r="F40" s="19"/>
      <c r="G40" s="19"/>
      <c r="H40" s="19"/>
    </row>
  </sheetData>
  <mergeCells count="25">
    <mergeCell ref="A1:G1"/>
    <mergeCell ref="A3:C3"/>
    <mergeCell ref="C5:F5"/>
    <mergeCell ref="C6:D6"/>
    <mergeCell ref="C7:E7"/>
    <mergeCell ref="C8:E8"/>
    <mergeCell ref="C9:E9"/>
    <mergeCell ref="A11:F11"/>
    <mergeCell ref="A15:H15"/>
    <mergeCell ref="A17:D17"/>
    <mergeCell ref="D20:F20"/>
    <mergeCell ref="D21:F21"/>
    <mergeCell ref="D23:F23"/>
    <mergeCell ref="A24:H24"/>
    <mergeCell ref="A26:E26"/>
    <mergeCell ref="E28:F28"/>
    <mergeCell ref="E29:F29"/>
    <mergeCell ref="E30:H30"/>
    <mergeCell ref="E31:G31"/>
    <mergeCell ref="A32:H32"/>
    <mergeCell ref="A34:C34"/>
    <mergeCell ref="C36:D36"/>
    <mergeCell ref="C37:D37"/>
    <mergeCell ref="C38:F38"/>
    <mergeCell ref="A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60"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2026-09-29T15:06:23Z</dcterms:created>
  <dc:creator>openpyxl</dc:creator>
  <dc:description/>
  <dc:language>zh-CN</dc:language>
  <cp:lastModifiedBy/>
  <dcterms:modified xsi:type="dcterms:W3CDTF">2026-09-29T15:06:28Z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