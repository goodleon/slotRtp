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<sst xmlns="http://schemas.openxmlformats.org/spreadsheetml/2006/main" count="375" uniqueCount="218">
  <si>
    <r>
      <rPr>
        <b val="true"/>
        <sz val="14"/>
        <color rgb="FF1F4E79"/>
        <rFont val="Noto Sans SC"/>
        <family val="2"/>
        <charset val="134"/>
      </rPr>
      <t xml:space="preserve">从零开始学</t>
    </r>
    <r>
      <rPr>
        <b val="true"/>
        <sz val="14"/>
        <color rgb="FF1F4E79"/>
        <rFont val="Cambria"/>
        <family val="0"/>
        <charset val="1"/>
      </rPr>
      <t xml:space="preserve">Slots 26 —— </t>
    </r>
    <r>
      <rPr>
        <b val="true"/>
        <sz val="14"/>
        <color rgb="FF1F4E79"/>
        <rFont val="Noto Sans SC"/>
        <family val="2"/>
        <charset val="134"/>
      </rPr>
      <t xml:space="preserve">数值篇：</t>
    </r>
    <r>
      <rPr>
        <b val="true"/>
        <sz val="14"/>
        <color rgb="FF1F4E79"/>
        <rFont val="Cambria"/>
        <family val="0"/>
        <charset val="1"/>
      </rPr>
      <t xml:space="preserve">Expanding Wild(1)</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</si>
  <si>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Expanding Wild(1)</t>
    </r>
    <r>
      <rPr>
        <sz val="11"/>
        <color rgb="FF808080"/>
        <rFont val="Noto Sans SC"/>
        <family val="2"/>
        <charset val="134"/>
      </rPr>
      <t xml:space="preserve">》  </t>
    </r>
    <r>
      <rPr>
        <sz val="11"/>
        <color rgb="FF808080"/>
        <rFont val="Cambria"/>
        <family val="0"/>
        <charset val="1"/>
      </rPr>
      <t xml:space="preserve">https://zhuanlan.zhihu.com/p/630126758</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</si>
  <si>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</si>
  <si>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</si>
  <si>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</si>
  <si>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配表说明：原文①卷轴、②图标个数、③「考虑 </t>
    </r>
    <r>
      <rPr>
        <sz val="11"/>
        <color rgb="FF808080"/>
        <rFont val="Cambria"/>
        <family val="0"/>
        <charset val="1"/>
      </rPr>
      <t xml:space="preserve">Expanding Wild</t>
    </r>
    <r>
      <rPr>
        <sz val="11"/>
        <color rgb="FF808080"/>
        <rFont val="Noto Sans SC"/>
        <family val="2"/>
        <charset val="134"/>
      </rPr>
      <t xml:space="preserve">」后的覆盖个数均取自原文配图；</t>
    </r>
  </si>
  <si>
    <r>
      <rPr>
        <sz val="11"/>
        <color rgb="FF808080"/>
        <rFont val="Noto Sans SC"/>
        <family val="2"/>
        <charset val="134"/>
      </rPr>
      <t xml:space="preserve">事件数与 </t>
    </r>
    <r>
      <rPr>
        <sz val="11"/>
        <color rgb="FF808080"/>
        <rFont val="Cambria"/>
        <family val="0"/>
        <charset val="1"/>
      </rPr>
      <t xml:space="preserve">RTP </t>
    </r>
    <r>
      <rPr>
        <sz val="11"/>
        <color rgb="FF808080"/>
        <rFont val="Noto Sans SC"/>
        <family val="2"/>
        <charset val="134"/>
      </rPr>
      <t xml:space="preserve">为本簿公式算出，可逐格对照原文的「图标出现的事件数」与「计算 </t>
    </r>
    <r>
      <rPr>
        <sz val="11"/>
        <color rgb="FF808080"/>
        <rFont val="Cambria"/>
        <family val="0"/>
        <charset val="1"/>
      </rPr>
      <t xml:space="preserve">RTP</t>
    </r>
    <r>
      <rPr>
        <sz val="11"/>
        <color rgb="FF808080"/>
        <rFont val="Noto Sans SC"/>
        <family val="2"/>
        <charset val="134"/>
      </rPr>
      <t xml:space="preserve">」两张表。</t>
    </r>
  </si>
  <si>
    <r>
      <rPr>
        <sz val="11"/>
        <color rgb="FF808080"/>
        <rFont val="Noto Sans SC"/>
        <family val="2"/>
        <charset val="134"/>
      </rPr>
      <t xml:space="preserve">注意：原文中同一图标在不同中奖线上的覆盖程度不同，故必须先分线计算再取平均——这正是 </t>
    </r>
    <r>
      <rPr>
        <sz val="11"/>
        <color rgb="FF808080"/>
        <rFont val="Cambria"/>
        <family val="0"/>
        <charset val="1"/>
      </rPr>
      <t xml:space="preserve">Expanding Wild </t>
    </r>
    <r>
      <rPr>
        <sz val="11"/>
        <color rgb="FF808080"/>
        <rFont val="Noto Sans SC"/>
        <family val="2"/>
        <charset val="134"/>
      </rPr>
      <t xml:space="preserve">数值模型与普通百搭最大的差别。</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</si>
  <si>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</si>
  <si>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</si>
  <si>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</si>
  <si>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</si>
  <si>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images/slots/630126758-NN.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</si>
  <si>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</si>
  <si>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</si>
  <si>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</si>
  <si>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上篇介绍机制，本篇讲 </t>
    </r>
    <r>
      <rPr>
        <sz val="11"/>
        <color theme="1"/>
        <rFont val="Calibri"/>
        <family val="2"/>
        <charset val="1"/>
      </rPr>
      <t xml:space="preserve">Expanding Wild </t>
    </r>
    <r>
      <rPr>
        <sz val="11"/>
        <color theme="1"/>
        <rFont val="Noto Sans SC"/>
        <family val="2"/>
        <charset val="134"/>
      </rPr>
      <t xml:space="preserve">对数值体系的影响。</t>
    </r>
  </si>
  <si>
    <r>
      <rPr>
        <sz val="11"/>
        <color theme="1"/>
        <rFont val="Calibri"/>
        <family val="2"/>
        <charset val="1"/>
      </rPr>
      <t xml:space="preserve">· Wild </t>
    </r>
    <r>
      <rPr>
        <sz val="11"/>
        <color theme="1"/>
        <rFont val="Noto Sans SC"/>
        <family val="2"/>
        <charset val="134"/>
      </rPr>
      <t xml:space="preserve">的数值本质是「增加其他图标的出现几率」；而 </t>
    </r>
    <r>
      <rPr>
        <sz val="11"/>
        <color theme="1"/>
        <rFont val="Calibri"/>
        <family val="2"/>
        <charset val="1"/>
      </rPr>
      <t xml:space="preserve">Expanding Wild </t>
    </r>
    <r>
      <rPr>
        <sz val="11"/>
        <color theme="1"/>
        <rFont val="Noto Sans SC"/>
        <family val="2"/>
        <charset val="134"/>
      </rPr>
      <t xml:space="preserve">还会覆盖同列图标，</t>
    </r>
  </si>
  <si>
    <t xml:space="preserve">  使被覆盖图标（以及原本可能停在该位置的图标）出现几率下降——所以它同时有「＋」和「−」两重效果。</t>
  </si>
  <si>
    <r>
      <rPr>
        <sz val="11"/>
        <color theme="1"/>
        <rFont val="Calibri"/>
        <family val="2"/>
        <charset val="1"/>
      </rPr>
      <t xml:space="preserve">· </t>
    </r>
    <r>
      <rPr>
        <sz val="11"/>
        <color theme="1"/>
        <rFont val="Noto Sans SC"/>
        <family val="2"/>
        <charset val="134"/>
      </rPr>
      <t xml:space="preserve">覆盖哪些图标与「固定卷轴排列」和「中奖线位置」都有关：</t>
    </r>
  </si>
  <si>
    <r>
      <rPr>
        <sz val="11"/>
        <color theme="1"/>
        <rFont val="Noto Sans SC"/>
        <family val="2"/>
        <charset val="134"/>
      </rPr>
      <t xml:space="preserve">  原文例（</t>
    </r>
    <r>
      <rPr>
        <sz val="11"/>
        <color theme="1"/>
        <rFont val="Calibri"/>
        <family val="2"/>
        <charset val="1"/>
      </rPr>
      <t xml:space="preserve">3 </t>
    </r>
    <r>
      <rPr>
        <sz val="11"/>
        <color theme="1"/>
        <rFont val="Noto Sans SC"/>
        <family val="2"/>
        <charset val="134"/>
      </rPr>
      <t xml:space="preserve">行卷轴、只有第三列有 </t>
    </r>
    <r>
      <rPr>
        <sz val="11"/>
        <color theme="1"/>
        <rFont val="Calibri"/>
        <family val="2"/>
        <charset val="1"/>
      </rPr>
      <t xml:space="preserve">Wild</t>
    </r>
    <r>
      <rPr>
        <sz val="11"/>
        <color theme="1"/>
        <rFont val="Noto Sans SC"/>
        <family val="2"/>
        <charset val="134"/>
      </rPr>
      <t xml:space="preserve">）：</t>
    </r>
    <r>
      <rPr>
        <sz val="11"/>
        <color theme="1"/>
        <rFont val="Calibri"/>
        <family val="2"/>
        <charset val="1"/>
      </rPr>
      <t xml:space="preserve">Wild </t>
    </r>
    <r>
      <rPr>
        <sz val="11"/>
        <color theme="1"/>
        <rFont val="Noto Sans SC"/>
        <family val="2"/>
        <charset val="134"/>
      </rPr>
      <t xml:space="preserve">从任意一行拓展，最多覆盖上下各两格；</t>
    </r>
  </si>
  <si>
    <r>
      <rPr>
        <sz val="11"/>
        <color theme="1"/>
        <rFont val="Noto Sans SC"/>
        <family val="2"/>
        <charset val="134"/>
      </rPr>
      <t xml:space="preserve">  不同中奖线被覆盖的图标不同 → 中奖线 </t>
    </r>
    <r>
      <rPr>
        <sz val="11"/>
        <color theme="1"/>
        <rFont val="Calibri"/>
        <family val="2"/>
        <charset val="1"/>
      </rPr>
      <t xml:space="preserve">A </t>
    </r>
    <r>
      <rPr>
        <sz val="11"/>
        <color theme="1"/>
        <rFont val="Noto Sans SC"/>
        <family val="2"/>
        <charset val="134"/>
      </rPr>
      <t xml:space="preserve">为 </t>
    </r>
    <r>
      <rPr>
        <sz val="11"/>
        <color theme="1"/>
        <rFont val="Calibri"/>
        <family val="2"/>
        <charset val="1"/>
      </rPr>
      <t xml:space="preserve">9</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，中奖线 </t>
    </r>
    <r>
      <rPr>
        <sz val="11"/>
        <color theme="1"/>
        <rFont val="Calibri"/>
        <family val="2"/>
        <charset val="1"/>
      </rPr>
      <t xml:space="preserve">B </t>
    </r>
    <r>
      <rPr>
        <sz val="11"/>
        <color theme="1"/>
        <rFont val="Noto Sans SC"/>
        <family val="2"/>
        <charset val="134"/>
      </rPr>
      <t xml:space="preserve">为 </t>
    </r>
    <r>
      <rPr>
        <sz val="11"/>
        <color theme="1"/>
        <rFont val="Calibri"/>
        <family val="2"/>
        <charset val="1"/>
      </rPr>
      <t xml:space="preserve">9</t>
    </r>
    <r>
      <rPr>
        <sz val="11"/>
        <color theme="1"/>
        <rFont val="Noto Sans SC"/>
        <family val="2"/>
        <charset val="134"/>
      </rPr>
      <t xml:space="preserve">、</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r>
      <rPr>
        <sz val="11"/>
        <color theme="1"/>
        <rFont val="Noto Sans SC"/>
        <family val="2"/>
        <charset val="134"/>
      </rPr>
      <t xml:space="preserve">（部分覆盖），中奖线 </t>
    </r>
    <r>
      <rPr>
        <sz val="11"/>
        <color theme="1"/>
        <rFont val="Calibri"/>
        <family val="2"/>
        <charset val="1"/>
      </rPr>
      <t xml:space="preserve">C </t>
    </r>
    <r>
      <rPr>
        <sz val="11"/>
        <color theme="1"/>
        <rFont val="Noto Sans SC"/>
        <family val="2"/>
        <charset val="134"/>
      </rPr>
      <t xml:space="preserve">为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K</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</si>
  <si>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两个关键口径：① 百搭事件数要乘行数（</t>
    </r>
    <r>
      <rPr>
        <sz val="11"/>
        <color theme="1"/>
        <rFont val="Calibri"/>
        <family val="2"/>
        <charset val="1"/>
      </rPr>
      <t xml:space="preserve">Wild </t>
    </r>
    <r>
      <rPr>
        <sz val="11"/>
        <color theme="1"/>
        <rFont val="Noto Sans SC"/>
        <family val="2"/>
        <charset val="134"/>
      </rPr>
      <t xml:space="preserve">出现在该列任意一行都会让该中奖线的这一格变 </t>
    </r>
    <r>
      <rPr>
        <sz val="11"/>
        <color theme="1"/>
        <rFont val="Calibri"/>
        <family val="2"/>
        <charset val="1"/>
      </rPr>
      <t xml:space="preserve">Wild</t>
    </r>
    <r>
      <rPr>
        <sz val="11"/>
        <color theme="1"/>
        <rFont val="Noto Sans SC"/>
        <family val="2"/>
        <charset val="134"/>
      </rPr>
      <t xml:space="preserve">）；</t>
    </r>
  </si>
  <si>
    <t xml:space="preserve">  ② 用「覆盖后个数 ＋ 百搭事件数」算出现事件数，再用「每列停位数 − 出现事件数」算不出现事件数。</t>
  </si>
  <si>
    <r>
      <rPr>
        <sz val="11"/>
        <color theme="1"/>
        <rFont val="Calibri"/>
        <family val="2"/>
        <charset val="1"/>
      </rPr>
      <t xml:space="preserve">· </t>
    </r>
    <r>
      <rPr>
        <sz val="11"/>
        <color theme="1"/>
        <rFont val="Noto Sans SC"/>
        <family val="2"/>
        <charset val="134"/>
      </rPr>
      <t xml:space="preserve">因此含 </t>
    </r>
    <r>
      <rPr>
        <sz val="11"/>
        <color theme="1"/>
        <rFont val="Calibri"/>
        <family val="2"/>
        <charset val="1"/>
      </rPr>
      <t xml:space="preserve">Expanding Wild </t>
    </r>
    <r>
      <rPr>
        <sz val="11"/>
        <color theme="1"/>
        <rFont val="Noto Sans SC"/>
        <family val="2"/>
        <charset val="134"/>
      </rPr>
      <t xml:space="preserve">的 </t>
    </r>
    <r>
      <rPr>
        <sz val="11"/>
        <color theme="1"/>
        <rFont val="Calibri"/>
        <family val="2"/>
        <charset val="1"/>
      </rPr>
      <t xml:space="preserve">Line Slots </t>
    </r>
    <r>
      <rPr>
        <sz val="11"/>
        <color theme="1"/>
        <rFont val="Noto Sans SC"/>
        <family val="2"/>
        <charset val="134"/>
      </rPr>
      <t xml:space="preserve">必须</t>
    </r>
    <r>
      <rPr>
        <sz val="11"/>
        <color theme="1"/>
        <rFont val="Calibri"/>
        <family val="2"/>
        <charset val="1"/>
      </rPr>
      <t xml:space="preserve">**</t>
    </r>
    <r>
      <rPr>
        <sz val="11"/>
        <color theme="1"/>
        <rFont val="Noto Sans SC"/>
        <family val="2"/>
        <charset val="134"/>
      </rPr>
      <t xml:space="preserve">分中奖线</t>
    </r>
    <r>
      <rPr>
        <sz val="11"/>
        <color theme="1"/>
        <rFont val="Calibri"/>
        <family val="2"/>
        <charset val="1"/>
      </rPr>
      <t xml:space="preserve">**</t>
    </r>
    <r>
      <rPr>
        <sz val="11"/>
        <color theme="1"/>
        <rFont val="Noto Sans SC"/>
        <family val="2"/>
        <charset val="134"/>
      </rPr>
      <t xml:space="preserve">算 </t>
    </r>
    <r>
      <rPr>
        <sz val="11"/>
        <color theme="1"/>
        <rFont val="Calibri"/>
        <family val="2"/>
        <charset val="1"/>
      </rPr>
      <t xml:space="preserve">RTP</t>
    </r>
    <r>
      <rPr>
        <sz val="11"/>
        <color theme="1"/>
        <rFont val="Noto Sans SC"/>
        <family val="2"/>
        <charset val="134"/>
      </rPr>
      <t xml:space="preserve">，最后对中奖线取平均。</t>
    </r>
  </si>
  <si>
    <r>
      <rPr>
        <sz val="11"/>
        <color theme="1"/>
        <rFont val="Calibri"/>
        <family val="2"/>
        <charset val="1"/>
      </rPr>
      <t xml:space="preserve">· </t>
    </r>
    <r>
      <rPr>
        <sz val="11"/>
        <color theme="1"/>
        <rFont val="Noto Sans SC"/>
        <family val="2"/>
        <charset val="134"/>
      </rPr>
      <t xml:space="preserve">本例（</t>
    </r>
    <r>
      <rPr>
        <sz val="11"/>
        <color theme="1"/>
        <rFont val="Calibri"/>
        <family val="2"/>
        <charset val="1"/>
      </rPr>
      <t xml:space="preserve">3*5</t>
    </r>
    <r>
      <rPr>
        <sz val="11"/>
        <color theme="1"/>
        <rFont val="Noto Sans SC"/>
        <family val="2"/>
        <charset val="134"/>
      </rPr>
      <t xml:space="preserve">、</t>
    </r>
    <r>
      <rPr>
        <sz val="11"/>
        <color theme="1"/>
        <rFont val="Calibri"/>
        <family val="2"/>
        <charset val="1"/>
      </rPr>
      <t xml:space="preserve">3 </t>
    </r>
    <r>
      <rPr>
        <sz val="11"/>
        <color theme="1"/>
        <rFont val="Noto Sans SC"/>
        <family val="2"/>
        <charset val="134"/>
      </rPr>
      <t xml:space="preserve">条中奖线、仅第三列有 </t>
    </r>
    <r>
      <rPr>
        <sz val="11"/>
        <color theme="1"/>
        <rFont val="Calibri"/>
        <family val="2"/>
        <charset val="1"/>
      </rPr>
      <t xml:space="preserve">2 </t>
    </r>
    <r>
      <rPr>
        <sz val="11"/>
        <color theme="1"/>
        <rFont val="Noto Sans SC"/>
        <family val="2"/>
        <charset val="134"/>
      </rPr>
      <t xml:space="preserve">个 </t>
    </r>
    <r>
      <rPr>
        <sz val="11"/>
        <color theme="1"/>
        <rFont val="Calibri"/>
        <family val="2"/>
        <charset val="1"/>
      </rPr>
      <t xml:space="preserve">Expanding Wild</t>
    </r>
    <r>
      <rPr>
        <sz val="11"/>
        <color theme="1"/>
        <rFont val="Noto Sans SC"/>
        <family val="2"/>
        <charset val="134"/>
      </rPr>
      <t xml:space="preserve">）：三条线 </t>
    </r>
    <r>
      <rPr>
        <sz val="11"/>
        <color theme="1"/>
        <rFont val="Calibri"/>
        <family val="2"/>
        <charset val="1"/>
      </rPr>
      <t xml:space="preserve">RTP </t>
    </r>
    <r>
      <rPr>
        <sz val="11"/>
        <color theme="1"/>
        <rFont val="Noto Sans SC"/>
        <family val="2"/>
        <charset val="134"/>
      </rPr>
      <t xml:space="preserve">分别为</t>
    </r>
  </si>
  <si>
    <r>
      <rPr>
        <sz val="11"/>
        <color theme="1"/>
        <rFont val="Calibri"/>
        <family val="2"/>
        <charset val="1"/>
      </rPr>
      <t xml:space="preserve">  1.0963 / 1.0153 / 0.9342</t>
    </r>
    <r>
      <rPr>
        <sz val="11"/>
        <color theme="1"/>
        <rFont val="Noto Sans SC"/>
        <family val="2"/>
        <charset val="134"/>
      </rPr>
      <t xml:space="preserve">，平均 </t>
    </r>
    <r>
      <rPr>
        <sz val="11"/>
        <color theme="1"/>
        <rFont val="Calibri"/>
        <family val="2"/>
        <charset val="1"/>
      </rPr>
      <t xml:space="preserve">1.0153</t>
    </r>
    <r>
      <rPr>
        <sz val="11"/>
        <color theme="1"/>
        <rFont val="Noto Sans SC"/>
        <family val="2"/>
        <charset val="134"/>
      </rPr>
      <t xml:space="preserve">（原文口径为「期望之和」，未再除赔付基数）。</t>
    </r>
  </si>
  <si>
    <t xml:space="preserve">原文整理（全文，按原文小标题分段）</t>
  </si>
  <si>
    <r>
      <rPr>
        <sz val="11"/>
        <color theme="1"/>
        <rFont val="Noto Sans SC"/>
        <family val="2"/>
        <charset val="134"/>
      </rPr>
      <t xml:space="preserve">上篇对</t>
    </r>
    <r>
      <rPr>
        <sz val="11"/>
        <color theme="1"/>
        <rFont val="Calibri"/>
        <family val="2"/>
        <charset val="1"/>
      </rPr>
      <t xml:space="preserve">Expanding Wild</t>
    </r>
    <r>
      <rPr>
        <sz val="11"/>
        <color theme="1"/>
        <rFont val="Noto Sans SC"/>
        <family val="2"/>
        <charset val="134"/>
      </rPr>
      <t xml:space="preserve">的基础特性和机制进行了介绍</t>
    </r>
  </si>
  <si>
    <r>
      <rPr>
        <sz val="11"/>
        <color theme="1"/>
        <rFont val="Noto Sans SC"/>
        <family val="2"/>
        <charset val="134"/>
      </rPr>
      <t xml:space="preserve">本篇将介绍</t>
    </r>
    <r>
      <rPr>
        <sz val="11"/>
        <color theme="1"/>
        <rFont val="Calibri"/>
        <family val="2"/>
        <charset val="1"/>
      </rPr>
      <t xml:space="preserve">Expanding Wild Feature</t>
    </r>
    <r>
      <rPr>
        <sz val="11"/>
        <color theme="1"/>
        <rFont val="Noto Sans SC"/>
        <family val="2"/>
        <charset val="134"/>
      </rPr>
      <t xml:space="preserve">本身对</t>
    </r>
    <r>
      <rPr>
        <sz val="11"/>
        <color theme="1"/>
        <rFont val="Calibri"/>
        <family val="2"/>
        <charset val="1"/>
      </rPr>
      <t xml:space="preserve">Slots</t>
    </r>
    <r>
      <rPr>
        <sz val="11"/>
        <color theme="1"/>
        <rFont val="Noto Sans SC"/>
        <family val="2"/>
        <charset val="134"/>
      </rPr>
      <t xml:space="preserve">数值体系的影响</t>
    </r>
  </si>
  <si>
    <r>
      <rPr>
        <sz val="11"/>
        <color theme="1"/>
        <rFont val="Noto Sans SC"/>
        <family val="2"/>
        <charset val="134"/>
      </rPr>
      <t xml:space="preserve">在</t>
    </r>
    <r>
      <rPr>
        <sz val="11"/>
        <color theme="1"/>
        <rFont val="Calibri"/>
        <family val="2"/>
        <charset val="1"/>
      </rPr>
      <t xml:space="preserve">Slots</t>
    </r>
    <r>
      <rPr>
        <sz val="11"/>
        <color theme="1"/>
        <rFont val="Noto Sans SC"/>
        <family val="2"/>
        <charset val="134"/>
      </rPr>
      <t xml:space="preserve">玩法中，</t>
    </r>
    <r>
      <rPr>
        <sz val="11"/>
        <color theme="1"/>
        <rFont val="Calibri"/>
        <family val="2"/>
        <charset val="1"/>
      </rPr>
      <t xml:space="preserve">Wild</t>
    </r>
    <r>
      <rPr>
        <sz val="11"/>
        <color theme="1"/>
        <rFont val="Noto Sans SC"/>
        <family val="2"/>
        <charset val="134"/>
      </rPr>
      <t xml:space="preserve">图标本身起到的作用就是替代其他标准图标</t>
    </r>
  </si>
  <si>
    <r>
      <rPr>
        <sz val="11"/>
        <color theme="1"/>
        <rFont val="Noto Sans SC"/>
        <family val="2"/>
        <charset val="134"/>
      </rPr>
      <t xml:space="preserve">在数值上体现为</t>
    </r>
    <r>
      <rPr>
        <sz val="11"/>
        <color theme="1"/>
        <rFont val="Calibri"/>
        <family val="2"/>
        <charset val="1"/>
      </rPr>
      <t xml:space="preserve">Wild</t>
    </r>
    <r>
      <rPr>
        <sz val="11"/>
        <color theme="1"/>
        <rFont val="Noto Sans SC"/>
        <family val="2"/>
        <charset val="134"/>
      </rPr>
      <t xml:space="preserve">图标增加了其他图标的出现几率</t>
    </r>
  </si>
  <si>
    <t xml:space="preserve">在搭建数值体系时，计算标准图标出现几率时需要加上该列出现百搭图标的几率</t>
  </si>
  <si>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630126758-01.png</t>
    </r>
  </si>
  <si>
    <r>
      <rPr>
        <sz val="11"/>
        <color theme="1"/>
        <rFont val="Calibri"/>
        <family val="2"/>
        <charset val="1"/>
      </rPr>
      <t xml:space="preserve">Expanding Wild</t>
    </r>
    <r>
      <rPr>
        <sz val="11"/>
        <color theme="1"/>
        <rFont val="Noto Sans SC"/>
        <family val="2"/>
        <charset val="134"/>
      </rPr>
      <t xml:space="preserve">相较于普通百搭图标比较特别的部分在于一方面其具有百搭图标增加标准图标出现几率的基础特征，又因为其拓展会导致部分图标被覆盖，进而减少这部分图标的出现几率</t>
    </r>
  </si>
  <si>
    <r>
      <rPr>
        <sz val="11"/>
        <color theme="1"/>
        <rFont val="Noto Sans SC"/>
        <family val="2"/>
        <charset val="134"/>
      </rPr>
      <t xml:space="preserve">因此，其在数值计算上需要同时考虑</t>
    </r>
    <r>
      <rPr>
        <sz val="11"/>
        <color theme="1"/>
        <rFont val="Calibri"/>
        <family val="2"/>
        <charset val="1"/>
      </rPr>
      <t xml:space="preserve">Expanding Wild</t>
    </r>
    <r>
      <rPr>
        <sz val="11"/>
        <color theme="1"/>
        <rFont val="Noto Sans SC"/>
        <family val="2"/>
        <charset val="134"/>
      </rPr>
      <t xml:space="preserve">对标准图标出现几率的增加和减少效果</t>
    </r>
  </si>
  <si>
    <r>
      <rPr>
        <sz val="11"/>
        <color theme="1"/>
        <rFont val="Calibri"/>
        <family val="2"/>
        <charset val="1"/>
      </rPr>
      <t xml:space="preserve">Expanding Wild</t>
    </r>
    <r>
      <rPr>
        <sz val="11"/>
        <color theme="1"/>
        <rFont val="Noto Sans SC"/>
        <family val="2"/>
        <charset val="134"/>
      </rPr>
      <t xml:space="preserve">对标准图标出现几率的正向影响不用多说，和普通百搭图标一致</t>
    </r>
  </si>
  <si>
    <t xml:space="preserve">数值上该列标准图标的出现几率依旧需要加上百搭图标的出现几率</t>
  </si>
  <si>
    <t xml:space="preserve">对标准图标出现几率的负面影响相对比较复杂，因为影响到的图标和固定卷轴的排列方式以及中奖线相关</t>
  </si>
  <si>
    <t xml:space="preserve">先说固定卷轴的排列方式</t>
  </si>
  <si>
    <r>
      <rPr>
        <sz val="11"/>
        <color theme="1"/>
        <rFont val="Noto Sans SC"/>
        <family val="2"/>
        <charset val="134"/>
      </rPr>
      <t xml:space="preserve">例如在一个三行的固定卷轴</t>
    </r>
    <r>
      <rPr>
        <sz val="11"/>
        <color theme="1"/>
        <rFont val="Calibri"/>
        <family val="2"/>
        <charset val="1"/>
      </rPr>
      <t xml:space="preserve">Line Slot</t>
    </r>
    <r>
      <rPr>
        <sz val="11"/>
        <color theme="1"/>
        <rFont val="Noto Sans SC"/>
        <family val="2"/>
        <charset val="134"/>
      </rPr>
      <t xml:space="preserve">中</t>
    </r>
  </si>
  <si>
    <r>
      <rPr>
        <sz val="11"/>
        <color theme="1"/>
        <rFont val="Noto Sans SC"/>
        <family val="2"/>
        <charset val="134"/>
      </rPr>
      <t xml:space="preserve">每列能够出现</t>
    </r>
    <r>
      <rPr>
        <sz val="11"/>
        <color theme="1"/>
        <rFont val="Calibri"/>
        <family val="2"/>
        <charset val="1"/>
      </rPr>
      <t xml:space="preserve">Wild</t>
    </r>
    <r>
      <rPr>
        <sz val="11"/>
        <color theme="1"/>
        <rFont val="Noto Sans SC"/>
        <family val="2"/>
        <charset val="134"/>
      </rPr>
      <t xml:space="preserve">并触发</t>
    </r>
    <r>
      <rPr>
        <sz val="11"/>
        <color theme="1"/>
        <rFont val="Calibri"/>
        <family val="2"/>
        <charset val="1"/>
      </rPr>
      <t xml:space="preserve">Expanding Wild</t>
    </r>
    <r>
      <rPr>
        <sz val="11"/>
        <color theme="1"/>
        <rFont val="Noto Sans SC"/>
        <family val="2"/>
        <charset val="134"/>
      </rPr>
      <t xml:space="preserve">的位置有三个，其相对应拓展覆盖的位置也是固定的</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</si>
  <si>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630126758-02.jpg</t>
    </r>
  </si>
  <si>
    <r>
      <rPr>
        <sz val="11"/>
        <color theme="1"/>
        <rFont val="Noto Sans SC"/>
        <family val="2"/>
        <charset val="134"/>
      </rPr>
      <t xml:space="preserve">不难看出，无论</t>
    </r>
    <r>
      <rPr>
        <sz val="11"/>
        <color theme="1"/>
        <rFont val="Calibri"/>
        <family val="2"/>
        <charset val="1"/>
      </rPr>
      <t xml:space="preserve">Wild</t>
    </r>
    <r>
      <rPr>
        <sz val="11"/>
        <color theme="1"/>
        <rFont val="Noto Sans SC"/>
        <family val="2"/>
        <charset val="134"/>
      </rPr>
      <t xml:space="preserve">图标从哪个位置开始拓展，其覆盖的图标不会超过其上下两格</t>
    </r>
  </si>
  <si>
    <r>
      <rPr>
        <sz val="11"/>
        <color theme="1"/>
        <rFont val="Noto Sans SC"/>
        <family val="2"/>
        <charset val="134"/>
      </rPr>
      <t xml:space="preserve">也就是说会因为</t>
    </r>
    <r>
      <rPr>
        <sz val="11"/>
        <color theme="1"/>
        <rFont val="Calibri"/>
        <family val="2"/>
        <charset val="1"/>
      </rPr>
      <t xml:space="preserve">Expanding Wild</t>
    </r>
    <r>
      <rPr>
        <sz val="11"/>
        <color theme="1"/>
        <rFont val="Noto Sans SC"/>
        <family val="2"/>
        <charset val="134"/>
      </rPr>
      <t xml:space="preserve">覆盖而导致出现几率降低的图标为</t>
    </r>
    <r>
      <rPr>
        <sz val="11"/>
        <color theme="1"/>
        <rFont val="Calibri"/>
        <family val="2"/>
        <charset val="1"/>
      </rPr>
      <t xml:space="preserve">Wild</t>
    </r>
    <r>
      <rPr>
        <sz val="11"/>
        <color theme="1"/>
        <rFont val="Noto Sans SC"/>
        <family val="2"/>
        <charset val="134"/>
      </rPr>
      <t xml:space="preserve">上下两格之内的四个图标</t>
    </r>
  </si>
  <si>
    <r>
      <rPr>
        <sz val="11"/>
        <color theme="1"/>
        <rFont val="Noto Sans SC"/>
        <family val="2"/>
        <charset val="134"/>
      </rPr>
      <t xml:space="preserve">另外，</t>
    </r>
    <r>
      <rPr>
        <sz val="11"/>
        <color theme="1"/>
        <rFont val="Calibri"/>
        <family val="2"/>
        <charset val="1"/>
      </rPr>
      <t xml:space="preserve">Line Slots</t>
    </r>
    <r>
      <rPr>
        <sz val="11"/>
        <color theme="1"/>
        <rFont val="Noto Sans SC"/>
        <family val="2"/>
        <charset val="134"/>
      </rPr>
      <t xml:space="preserve">的数值计算方法是聚焦于一条</t>
    </r>
    <r>
      <rPr>
        <sz val="11"/>
        <color theme="1"/>
        <rFont val="Calibri"/>
        <family val="2"/>
        <charset val="1"/>
      </rPr>
      <t xml:space="preserve">Pay Line</t>
    </r>
    <r>
      <rPr>
        <sz val="11"/>
        <color theme="1"/>
        <rFont val="Noto Sans SC"/>
        <family val="2"/>
        <charset val="134"/>
      </rPr>
      <t xml:space="preserve">进行的</t>
    </r>
  </si>
  <si>
    <r>
      <rPr>
        <sz val="11"/>
        <color theme="1"/>
        <rFont val="Noto Sans SC"/>
        <family val="2"/>
        <charset val="134"/>
      </rPr>
      <t xml:space="preserve">一般情况下各图标出现在各</t>
    </r>
    <r>
      <rPr>
        <sz val="11"/>
        <color theme="1"/>
        <rFont val="Calibri"/>
        <family val="2"/>
        <charset val="1"/>
      </rPr>
      <t xml:space="preserve">Pay Line</t>
    </r>
    <r>
      <rPr>
        <sz val="11"/>
        <color theme="1"/>
        <rFont val="Noto Sans SC"/>
        <family val="2"/>
        <charset val="134"/>
      </rPr>
      <t xml:space="preserve">上的几率一致，无需考虑图标出现的位置</t>
    </r>
  </si>
  <si>
    <r>
      <rPr>
        <sz val="11"/>
        <color theme="1"/>
        <rFont val="Noto Sans SC"/>
        <family val="2"/>
        <charset val="134"/>
      </rPr>
      <t xml:space="preserve">但是</t>
    </r>
    <r>
      <rPr>
        <sz val="11"/>
        <color theme="1"/>
        <rFont val="Calibri"/>
        <family val="2"/>
        <charset val="1"/>
      </rPr>
      <t xml:space="preserve">Expanding Wild</t>
    </r>
    <r>
      <rPr>
        <sz val="11"/>
        <color theme="1"/>
        <rFont val="Noto Sans SC"/>
        <family val="2"/>
        <charset val="134"/>
      </rPr>
      <t xml:space="preserve">和</t>
    </r>
    <r>
      <rPr>
        <sz val="11"/>
        <color theme="1"/>
        <rFont val="Calibri"/>
        <family val="2"/>
        <charset val="1"/>
      </rPr>
      <t xml:space="preserve">Scatter</t>
    </r>
    <r>
      <rPr>
        <sz val="11"/>
        <color theme="1"/>
        <rFont val="Noto Sans SC"/>
        <family val="2"/>
        <charset val="134"/>
      </rPr>
      <t xml:space="preserve">触发免费摇一致，即使图标不出现在该中奖线上也能产生影响</t>
    </r>
  </si>
  <si>
    <t xml:space="preserve">具体来说就是当百搭图标没有出现在中奖线上时，会覆盖中奖线上当前抽取到的图标</t>
  </si>
  <si>
    <t xml:space="preserve">而能够被覆盖的图标和中奖线的位置相关</t>
  </si>
  <si>
    <r>
      <rPr>
        <sz val="11"/>
        <color theme="1"/>
        <rFont val="Noto Sans SC"/>
        <family val="2"/>
        <charset val="134"/>
      </rPr>
      <t xml:space="preserve">以下图为例，该</t>
    </r>
    <r>
      <rPr>
        <sz val="11"/>
        <color theme="1"/>
        <rFont val="Calibri"/>
        <family val="2"/>
        <charset val="1"/>
      </rPr>
      <t xml:space="preserve">3*5</t>
    </r>
    <r>
      <rPr>
        <sz val="11"/>
        <color theme="1"/>
        <rFont val="Noto Sans SC"/>
        <family val="2"/>
        <charset val="134"/>
      </rPr>
      <t xml:space="preserve">的</t>
    </r>
    <r>
      <rPr>
        <sz val="11"/>
        <color theme="1"/>
        <rFont val="Calibri"/>
        <family val="2"/>
        <charset val="1"/>
      </rPr>
      <t xml:space="preserve">Line Slots</t>
    </r>
    <r>
      <rPr>
        <sz val="11"/>
        <color theme="1"/>
        <rFont val="Noto Sans SC"/>
        <family val="2"/>
        <charset val="134"/>
      </rPr>
      <t xml:space="preserve">中共有三条中奖线，分别为第一行、第二行和第三行</t>
    </r>
  </si>
  <si>
    <r>
      <rPr>
        <sz val="11"/>
        <color theme="1"/>
        <rFont val="Noto Sans SC"/>
        <family val="2"/>
        <charset val="134"/>
      </rPr>
      <t xml:space="preserve">在图片中使用不同颜色标注出了该</t>
    </r>
    <r>
      <rPr>
        <sz val="11"/>
        <color theme="1"/>
        <rFont val="Calibri"/>
        <family val="2"/>
        <charset val="1"/>
      </rPr>
      <t xml:space="preserve">Slot</t>
    </r>
    <r>
      <rPr>
        <sz val="11"/>
        <color theme="1"/>
        <rFont val="Noto Sans SC"/>
        <family val="2"/>
        <charset val="134"/>
      </rPr>
      <t xml:space="preserve">的三条中奖线</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</si>
  <si>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630126758-03.png</t>
    </r>
  </si>
  <si>
    <r>
      <rPr>
        <sz val="11"/>
        <color theme="1"/>
        <rFont val="Noto Sans SC"/>
        <family val="2"/>
        <charset val="134"/>
      </rPr>
      <t xml:space="preserve">该玩法为固定卷轴，尽在第三列存在</t>
    </r>
    <r>
      <rPr>
        <sz val="11"/>
        <color theme="1"/>
        <rFont val="Calibri"/>
        <family val="2"/>
        <charset val="1"/>
      </rPr>
      <t xml:space="preserve">Wild</t>
    </r>
    <r>
      <rPr>
        <sz val="11"/>
        <color theme="1"/>
        <rFont val="Noto Sans SC"/>
        <family val="2"/>
        <charset val="134"/>
      </rPr>
      <t xml:space="preserve">图标，该</t>
    </r>
    <r>
      <rPr>
        <sz val="11"/>
        <color theme="1"/>
        <rFont val="Calibri"/>
        <family val="2"/>
        <charset val="1"/>
      </rPr>
      <t xml:space="preserve">Wild</t>
    </r>
    <r>
      <rPr>
        <sz val="11"/>
        <color theme="1"/>
        <rFont val="Noto Sans SC"/>
        <family val="2"/>
        <charset val="134"/>
      </rPr>
      <t xml:space="preserve">图标停留在卷轴上的任意位置都能够拓展，使本列的图标均变成百搭图标，该固定卷轴如下图所示：</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</si>
  <si>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630126758-04.png</t>
    </r>
  </si>
  <si>
    <r>
      <rPr>
        <sz val="11"/>
        <color theme="1"/>
        <rFont val="Noto Sans SC"/>
        <family val="2"/>
        <charset val="134"/>
      </rPr>
      <t xml:space="preserve">这里只用分析</t>
    </r>
    <r>
      <rPr>
        <sz val="11"/>
        <color theme="1"/>
        <rFont val="Calibri"/>
        <family val="2"/>
        <charset val="1"/>
      </rPr>
      <t xml:space="preserve">Expanding Wild</t>
    </r>
    <r>
      <rPr>
        <sz val="11"/>
        <color theme="1"/>
        <rFont val="Noto Sans SC"/>
        <family val="2"/>
        <charset val="134"/>
      </rPr>
      <t xml:space="preserve">在不同</t>
    </r>
    <r>
      <rPr>
        <sz val="11"/>
        <color theme="1"/>
        <rFont val="Calibri"/>
        <family val="2"/>
        <charset val="1"/>
      </rPr>
      <t xml:space="preserve">Pay Line</t>
    </r>
    <r>
      <rPr>
        <sz val="11"/>
        <color theme="1"/>
        <rFont val="Noto Sans SC"/>
        <family val="2"/>
        <charset val="134"/>
      </rPr>
      <t xml:space="preserve">上的影响，就省略掉了无</t>
    </r>
    <r>
      <rPr>
        <sz val="11"/>
        <color theme="1"/>
        <rFont val="Calibri"/>
        <family val="2"/>
        <charset val="1"/>
      </rPr>
      <t xml:space="preserve">Wild</t>
    </r>
    <r>
      <rPr>
        <sz val="11"/>
        <color theme="1"/>
        <rFont val="Noto Sans SC"/>
        <family val="2"/>
        <charset val="134"/>
      </rPr>
      <t xml:space="preserve">列的图标</t>
    </r>
  </si>
  <si>
    <r>
      <rPr>
        <sz val="11"/>
        <color theme="1"/>
        <rFont val="Noto Sans SC"/>
        <family val="2"/>
        <charset val="134"/>
      </rPr>
      <t xml:space="preserve">以第二行中奖线为例，假设该</t>
    </r>
    <r>
      <rPr>
        <sz val="11"/>
        <color theme="1"/>
        <rFont val="Calibri"/>
        <family val="2"/>
        <charset val="1"/>
      </rPr>
      <t xml:space="preserve">Slots</t>
    </r>
    <r>
      <rPr>
        <sz val="11"/>
        <color theme="1"/>
        <rFont val="Noto Sans SC"/>
        <family val="2"/>
        <charset val="134"/>
      </rPr>
      <t xml:space="preserve">仅有第三列存在拓展百搭，则在其卷轴固定的情况下，共有以下三种排列方式</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</si>
  <si>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630126758-05.jpg</t>
    </r>
  </si>
  <si>
    <r>
      <rPr>
        <sz val="11"/>
        <color theme="1"/>
        <rFont val="Noto Sans SC"/>
        <family val="2"/>
        <charset val="134"/>
      </rPr>
      <t xml:space="preserve">从上图来看，会被</t>
    </r>
    <r>
      <rPr>
        <sz val="11"/>
        <color theme="1"/>
        <rFont val="Calibri"/>
        <family val="2"/>
        <charset val="1"/>
      </rPr>
      <t xml:space="preserve">Wild</t>
    </r>
    <r>
      <rPr>
        <sz val="11"/>
        <color theme="1"/>
        <rFont val="Noto Sans SC"/>
        <family val="2"/>
        <charset val="134"/>
      </rPr>
      <t xml:space="preserve">覆盖的图标包括第一种情况的</t>
    </r>
    <r>
      <rPr>
        <sz val="11"/>
        <color theme="1"/>
        <rFont val="Calibri"/>
        <family val="2"/>
        <charset val="1"/>
      </rPr>
      <t xml:space="preserve">9</t>
    </r>
    <r>
      <rPr>
        <sz val="11"/>
        <color theme="1"/>
        <rFont val="Noto Sans SC"/>
        <family val="2"/>
        <charset val="134"/>
      </rPr>
      <t xml:space="preserve">、第二种情况的</t>
    </r>
    <r>
      <rPr>
        <sz val="11"/>
        <color theme="1"/>
        <rFont val="Calibri"/>
        <family val="2"/>
        <charset val="1"/>
      </rPr>
      <t xml:space="preserve">10</t>
    </r>
  </si>
  <si>
    <r>
      <rPr>
        <sz val="11"/>
        <color theme="1"/>
        <rFont val="Noto Sans SC"/>
        <family val="2"/>
        <charset val="134"/>
      </rPr>
      <t xml:space="preserve">第三种情况本身就是</t>
    </r>
    <r>
      <rPr>
        <sz val="11"/>
        <color theme="1"/>
        <rFont val="Calibri"/>
        <family val="2"/>
        <charset val="1"/>
      </rPr>
      <t xml:space="preserve">Wild</t>
    </r>
    <r>
      <rPr>
        <sz val="11"/>
        <color theme="1"/>
        <rFont val="Noto Sans SC"/>
        <family val="2"/>
        <charset val="134"/>
      </rPr>
      <t xml:space="preserve">停留在中奖线上，对该中奖线来说，没有图标被拓展覆盖</t>
    </r>
  </si>
  <si>
    <t xml:space="preserve">同理可以得到第二条和第三条中奖线的图标被覆盖情况，具体如下：</t>
  </si>
  <si>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630126758-06.jpg</t>
    </r>
  </si>
  <si>
    <r>
      <rPr>
        <sz val="11"/>
        <color theme="1"/>
        <rFont val="Noto Sans SC"/>
        <family val="2"/>
        <charset val="134"/>
      </rPr>
      <t xml:space="preserve">中奖线二会被覆盖的图标分别为：</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J</t>
    </r>
  </si>
  <si>
    <r>
      <rPr>
        <sz val="11"/>
        <color theme="1"/>
        <rFont val="Noto Sans SC"/>
        <family val="2"/>
        <charset val="134"/>
      </rPr>
      <t xml:space="preserve">中奖线三会被覆盖的图标分别为：</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</si>
  <si>
    <r>
      <rPr>
        <sz val="11"/>
        <color theme="1"/>
        <rFont val="Noto Sans SC"/>
        <family val="2"/>
        <charset val="134"/>
      </rPr>
      <t xml:space="preserve">当中奖线不同时，会被</t>
    </r>
    <r>
      <rPr>
        <sz val="11"/>
        <color theme="1"/>
        <rFont val="Calibri"/>
        <family val="2"/>
        <charset val="1"/>
      </rPr>
      <t xml:space="preserve">Wild</t>
    </r>
    <r>
      <rPr>
        <sz val="11"/>
        <color theme="1"/>
        <rFont val="Noto Sans SC"/>
        <family val="2"/>
        <charset val="134"/>
      </rPr>
      <t xml:space="preserve">拓展覆盖的图标也存在差异</t>
    </r>
  </si>
  <si>
    <t xml:space="preserve">没有被覆盖的图标数值处理都是使用该图标出现的几率加上百搭图标的出现几率即可</t>
  </si>
  <si>
    <t xml:space="preserve">但是会被覆盖的图标则需要在加上百搭图标的出现几率后减去被覆盖的几率防止重复计算</t>
  </si>
  <si>
    <t xml:space="preserve">又由于中奖线的分布不同，导致会被覆盖的图标不同</t>
  </si>
  <si>
    <r>
      <rPr>
        <sz val="11"/>
        <color theme="1"/>
        <rFont val="Noto Sans SC"/>
        <family val="2"/>
        <charset val="134"/>
      </rPr>
      <t xml:space="preserve">因此在计算固定卷轴 </t>
    </r>
    <r>
      <rPr>
        <sz val="11"/>
        <color theme="1"/>
        <rFont val="Calibri"/>
        <family val="2"/>
        <charset val="1"/>
      </rPr>
      <t xml:space="preserve">Line Slots</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时，如果包含</t>
    </r>
    <r>
      <rPr>
        <sz val="11"/>
        <color theme="1"/>
        <rFont val="Calibri"/>
        <family val="2"/>
        <charset val="1"/>
      </rPr>
      <t xml:space="preserve">Expanding Wild</t>
    </r>
    <r>
      <rPr>
        <sz val="11"/>
        <color theme="1"/>
        <rFont val="Noto Sans SC"/>
        <family val="2"/>
        <charset val="134"/>
      </rPr>
      <t xml:space="preserve">机制，则需要分别计算每一条中奖线的</t>
    </r>
    <r>
      <rPr>
        <sz val="11"/>
        <color theme="1"/>
        <rFont val="Calibri"/>
        <family val="2"/>
        <charset val="1"/>
      </rPr>
      <t xml:space="preserve">RTP</t>
    </r>
    <r>
      <rPr>
        <sz val="11"/>
        <color theme="1"/>
        <rFont val="Noto Sans SC"/>
        <family val="2"/>
        <charset val="134"/>
      </rPr>
      <t xml:space="preserve">，再对所有的中奖线取平均数，才可得到最终的</t>
    </r>
    <r>
      <rPr>
        <sz val="11"/>
        <color theme="1"/>
        <rFont val="Calibri"/>
        <family val="2"/>
        <charset val="1"/>
      </rPr>
      <t xml:space="preserve">RTP</t>
    </r>
  </si>
  <si>
    <t xml:space="preserve">案例简述</t>
  </si>
  <si>
    <r>
      <rPr>
        <sz val="11"/>
        <color theme="1"/>
        <rFont val="Noto Sans SC"/>
        <family val="2"/>
        <charset val="134"/>
      </rPr>
      <t xml:space="preserve">以以下</t>
    </r>
    <r>
      <rPr>
        <sz val="11"/>
        <color theme="1"/>
        <rFont val="Calibri"/>
        <family val="2"/>
        <charset val="1"/>
      </rPr>
      <t xml:space="preserve">Slots</t>
    </r>
    <r>
      <rPr>
        <sz val="11"/>
        <color theme="1"/>
        <rFont val="Noto Sans SC"/>
        <family val="2"/>
        <charset val="134"/>
      </rPr>
      <t xml:space="preserve">为例，介绍包含</t>
    </r>
    <r>
      <rPr>
        <sz val="11"/>
        <color theme="1"/>
        <rFont val="Calibri"/>
        <family val="2"/>
        <charset val="1"/>
      </rPr>
      <t xml:space="preserve">Expanding Wild</t>
    </r>
    <r>
      <rPr>
        <sz val="11"/>
        <color theme="1"/>
        <rFont val="Noto Sans SC"/>
        <family val="2"/>
        <charset val="134"/>
      </rPr>
      <t xml:space="preserve">的</t>
    </r>
    <r>
      <rPr>
        <sz val="11"/>
        <color theme="1"/>
        <rFont val="Calibri"/>
        <family val="2"/>
        <charset val="1"/>
      </rPr>
      <t xml:space="preserve">3*5 Line Slots</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计算方法</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</si>
  <si>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630126758-07.png</t>
    </r>
  </si>
  <si>
    <r>
      <rPr>
        <sz val="11"/>
        <color theme="1"/>
        <rFont val="Noto Sans SC"/>
        <family val="2"/>
        <charset val="134"/>
      </rPr>
      <t xml:space="preserve">首先，将其三行分别命名为</t>
    </r>
    <r>
      <rPr>
        <sz val="11"/>
        <color theme="1"/>
        <rFont val="Calibri"/>
        <family val="2"/>
        <charset val="1"/>
      </rPr>
      <t xml:space="preserve">A</t>
    </r>
    <r>
      <rPr>
        <sz val="11"/>
        <color theme="1"/>
        <rFont val="Noto Sans SC"/>
        <family val="2"/>
        <charset val="134"/>
      </rPr>
      <t xml:space="preserve">、</t>
    </r>
    <r>
      <rPr>
        <sz val="11"/>
        <color theme="1"/>
        <rFont val="Calibri"/>
        <family val="2"/>
        <charset val="1"/>
      </rPr>
      <t xml:space="preserve">B</t>
    </r>
    <r>
      <rPr>
        <sz val="11"/>
        <color theme="1"/>
        <rFont val="Noto Sans SC"/>
        <family val="2"/>
        <charset val="134"/>
      </rPr>
      <t xml:space="preserve">、</t>
    </r>
    <r>
      <rPr>
        <sz val="11"/>
        <color theme="1"/>
        <rFont val="Calibri"/>
        <family val="2"/>
        <charset val="1"/>
      </rPr>
      <t xml:space="preserve">C</t>
    </r>
  </si>
  <si>
    <r>
      <rPr>
        <sz val="11"/>
        <color theme="1"/>
        <rFont val="Noto Sans SC"/>
        <family val="2"/>
        <charset val="134"/>
      </rPr>
      <t xml:space="preserve">再将五列分别编号为</t>
    </r>
    <r>
      <rPr>
        <sz val="11"/>
        <color theme="1"/>
        <rFont val="Calibri"/>
        <family val="2"/>
        <charset val="1"/>
      </rPr>
      <t xml:space="preserve">1~5</t>
    </r>
  </si>
  <si>
    <r>
      <rPr>
        <sz val="11"/>
        <color theme="1"/>
        <rFont val="Noto Sans SC"/>
        <family val="2"/>
        <charset val="134"/>
      </rPr>
      <t xml:space="preserve">该</t>
    </r>
    <r>
      <rPr>
        <sz val="11"/>
        <color theme="1"/>
        <rFont val="Calibri"/>
        <family val="2"/>
        <charset val="1"/>
      </rPr>
      <t xml:space="preserve">Line Slots</t>
    </r>
    <r>
      <rPr>
        <sz val="11"/>
        <color theme="1"/>
        <rFont val="Noto Sans SC"/>
        <family val="2"/>
        <charset val="134"/>
      </rPr>
      <t xml:space="preserve">共有三条中奖线，分别为｛</t>
    </r>
    <r>
      <rPr>
        <sz val="11"/>
        <color theme="1"/>
        <rFont val="Calibri"/>
        <family val="2"/>
        <charset val="1"/>
      </rPr>
      <t xml:space="preserve">A1,A2,A3,A4,A5</t>
    </r>
    <r>
      <rPr>
        <sz val="11"/>
        <color theme="1"/>
        <rFont val="Noto Sans SC"/>
        <family val="2"/>
        <charset val="134"/>
      </rPr>
      <t xml:space="preserve">｝、｛</t>
    </r>
    <r>
      <rPr>
        <sz val="11"/>
        <color theme="1"/>
        <rFont val="Calibri"/>
        <family val="2"/>
        <charset val="1"/>
      </rPr>
      <t xml:space="preserve">B1,B2,B3,B4,B5</t>
    </r>
    <r>
      <rPr>
        <sz val="11"/>
        <color theme="1"/>
        <rFont val="Noto Sans SC"/>
        <family val="2"/>
        <charset val="134"/>
      </rPr>
      <t xml:space="preserve">｝和｛</t>
    </r>
    <r>
      <rPr>
        <sz val="11"/>
        <color theme="1"/>
        <rFont val="Calibri"/>
        <family val="2"/>
        <charset val="1"/>
      </rPr>
      <t xml:space="preserve">C1,C2,C3,C4,C5</t>
    </r>
    <r>
      <rPr>
        <sz val="11"/>
        <color theme="1"/>
        <rFont val="Noto Sans SC"/>
        <family val="2"/>
        <charset val="134"/>
      </rPr>
      <t xml:space="preserve">｝</t>
    </r>
  </si>
  <si>
    <r>
      <rPr>
        <sz val="11"/>
        <color theme="1"/>
        <rFont val="Noto Sans SC"/>
        <family val="2"/>
        <charset val="134"/>
      </rPr>
      <t xml:space="preserve">该</t>
    </r>
    <r>
      <rPr>
        <sz val="11"/>
        <color theme="1"/>
        <rFont val="Calibri"/>
        <family val="2"/>
        <charset val="1"/>
      </rPr>
      <t xml:space="preserve">Slots</t>
    </r>
    <r>
      <rPr>
        <sz val="11"/>
        <color theme="1"/>
        <rFont val="Noto Sans SC"/>
        <family val="2"/>
        <charset val="134"/>
      </rPr>
      <t xml:space="preserve">固定卷轴如下，仅有第三列会出现</t>
    </r>
    <r>
      <rPr>
        <sz val="11"/>
        <color theme="1"/>
        <rFont val="Calibri"/>
        <family val="2"/>
        <charset val="1"/>
      </rPr>
      <t xml:space="preserve">Expanding Wild</t>
    </r>
    <r>
      <rPr>
        <sz val="11"/>
        <color theme="1"/>
        <rFont val="Noto Sans SC"/>
        <family val="2"/>
        <charset val="134"/>
      </rPr>
      <t xml:space="preserve">，该百搭图标停留在卷轴上的任意位置都能够拓展，使本列的所有图标变成</t>
    </r>
    <r>
      <rPr>
        <sz val="11"/>
        <color theme="1"/>
        <rFont val="Calibri"/>
        <family val="2"/>
        <charset val="1"/>
      </rPr>
      <t xml:space="preserve">Wild</t>
    </r>
    <r>
      <rPr>
        <sz val="11"/>
        <color theme="1"/>
        <rFont val="Noto Sans SC"/>
        <family val="2"/>
        <charset val="134"/>
      </rPr>
      <t xml:space="preserve">图标</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</si>
  <si>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630126758-08.png</t>
    </r>
  </si>
  <si>
    <t xml:space="preserve">接着可以读取卷轴上的图标数量，作为计算图标出现几率的基础</t>
  </si>
  <si>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630126758-09.jpg</t>
    </r>
  </si>
  <si>
    <r>
      <rPr>
        <sz val="11"/>
        <color theme="1"/>
        <rFont val="Noto Sans SC"/>
        <family val="2"/>
        <charset val="134"/>
      </rPr>
      <t xml:space="preserve">以｛</t>
    </r>
    <r>
      <rPr>
        <sz val="11"/>
        <color theme="1"/>
        <rFont val="Calibri"/>
        <family val="2"/>
        <charset val="1"/>
      </rPr>
      <t xml:space="preserve">A1,A2,A3,A4,A5</t>
    </r>
    <r>
      <rPr>
        <sz val="11"/>
        <color theme="1"/>
        <rFont val="Noto Sans SC"/>
        <family val="2"/>
        <charset val="134"/>
      </rPr>
      <t xml:space="preserve">｝为例，该图标分布仅是固定卷轴上的实际分布数量</t>
    </r>
  </si>
  <si>
    <r>
      <rPr>
        <sz val="11"/>
        <color theme="1"/>
        <rFont val="Noto Sans SC"/>
        <family val="2"/>
        <charset val="134"/>
      </rPr>
      <t xml:space="preserve">在摇奖过程中，因为图标</t>
    </r>
    <r>
      <rPr>
        <sz val="11"/>
        <color theme="1"/>
        <rFont val="Calibri"/>
        <family val="2"/>
        <charset val="1"/>
      </rPr>
      <t xml:space="preserve">9</t>
    </r>
    <r>
      <rPr>
        <sz val="11"/>
        <color theme="1"/>
        <rFont val="Noto Sans SC"/>
        <family val="2"/>
        <charset val="134"/>
      </rPr>
      <t xml:space="preserve">和图标</t>
    </r>
    <r>
      <rPr>
        <sz val="11"/>
        <color theme="1"/>
        <rFont val="Calibri"/>
        <family val="2"/>
        <charset val="1"/>
      </rPr>
      <t xml:space="preserve">Q</t>
    </r>
    <r>
      <rPr>
        <sz val="11"/>
        <color theme="1"/>
        <rFont val="Noto Sans SC"/>
        <family val="2"/>
        <charset val="134"/>
      </rPr>
      <t xml:space="preserve">会被停留在第二行和第三行的</t>
    </r>
    <r>
      <rPr>
        <sz val="11"/>
        <color theme="1"/>
        <rFont val="Calibri"/>
        <family val="2"/>
        <charset val="1"/>
      </rPr>
      <t xml:space="preserve">Wild</t>
    </r>
    <r>
      <rPr>
        <sz val="11"/>
        <color theme="1"/>
        <rFont val="Noto Sans SC"/>
        <family val="2"/>
        <charset val="134"/>
      </rPr>
      <t xml:space="preserve">拓展覆盖，所以其图标实际出现数值需要减去被</t>
    </r>
    <r>
      <rPr>
        <sz val="11"/>
        <color theme="1"/>
        <rFont val="Calibri"/>
        <family val="2"/>
        <charset val="1"/>
      </rPr>
      <t xml:space="preserve">Wild</t>
    </r>
    <r>
      <rPr>
        <sz val="11"/>
        <color theme="1"/>
        <rFont val="Noto Sans SC"/>
        <family val="2"/>
        <charset val="134"/>
      </rPr>
      <t xml:space="preserve">覆盖的个数，得到：</t>
    </r>
  </si>
  <si>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630126758-10.jpg</t>
    </r>
  </si>
  <si>
    <r>
      <rPr>
        <sz val="11"/>
        <color theme="1"/>
        <rFont val="Noto Sans SC"/>
        <family val="2"/>
        <charset val="134"/>
      </rPr>
      <t xml:space="preserve">这里的百搭图标需要乘以行数，因为其出现在该列的任何一行都会让该中奖线第三列的位置变成</t>
    </r>
    <r>
      <rPr>
        <sz val="11"/>
        <color theme="1"/>
        <rFont val="Calibri"/>
        <family val="2"/>
        <charset val="1"/>
      </rPr>
      <t xml:space="preserve">Wild</t>
    </r>
  </si>
  <si>
    <r>
      <rPr>
        <sz val="11"/>
        <color theme="1"/>
        <rFont val="Noto Sans SC"/>
        <family val="2"/>
        <charset val="134"/>
      </rPr>
      <t xml:space="preserve">也可以理解为被覆盖的图标变成了</t>
    </r>
    <r>
      <rPr>
        <sz val="11"/>
        <color theme="1"/>
        <rFont val="Calibri"/>
        <family val="2"/>
        <charset val="1"/>
      </rPr>
      <t xml:space="preserve">Wild</t>
    </r>
    <r>
      <rPr>
        <sz val="11"/>
        <color theme="1"/>
        <rFont val="Noto Sans SC"/>
        <family val="2"/>
        <charset val="134"/>
      </rPr>
      <t xml:space="preserve">，所以</t>
    </r>
    <r>
      <rPr>
        <sz val="11"/>
        <color theme="1"/>
        <rFont val="Calibri"/>
        <family val="2"/>
        <charset val="1"/>
      </rPr>
      <t xml:space="preserve">Wild</t>
    </r>
    <r>
      <rPr>
        <sz val="11"/>
        <color theme="1"/>
        <rFont val="Noto Sans SC"/>
        <family val="2"/>
        <charset val="134"/>
      </rPr>
      <t xml:space="preserve">的个数需要加上被覆盖的图标个数</t>
    </r>
  </si>
  <si>
    <t xml:space="preserve">得到基础图标分布之后，即可计算考虑百搭图标之后的图标停留在卷轴上的事件数，以及该图标不停留在卷轴上的事件数</t>
  </si>
  <si>
    <r>
      <rPr>
        <sz val="11"/>
        <color theme="1"/>
        <rFont val="Noto Sans SC"/>
        <family val="2"/>
        <charset val="134"/>
      </rPr>
      <t xml:space="preserve">［配图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630126758-11.jpg</t>
    </r>
  </si>
  <si>
    <t xml:space="preserve">把满足中奖组合要求的事件数相乘，再除以总事件数，即可得到该图标各中奖组合的中奖率</t>
  </si>
  <si>
    <r>
      <rPr>
        <sz val="11"/>
        <color theme="1"/>
        <rFont val="Noto Sans SC"/>
        <family val="2"/>
        <charset val="134"/>
      </rPr>
      <t xml:space="preserve">再乘上人为设定的各中奖组合的赔付倍数，即可得到各中奖组合的期望，加总后得到该</t>
    </r>
    <r>
      <rPr>
        <sz val="11"/>
        <color theme="1"/>
        <rFont val="Calibri"/>
        <family val="2"/>
        <charset val="1"/>
      </rPr>
      <t xml:space="preserve">Slots</t>
    </r>
    <r>
      <rPr>
        <sz val="11"/>
        <color theme="1"/>
        <rFont val="Noto Sans SC"/>
        <family val="2"/>
        <charset val="134"/>
      </rPr>
      <t xml:space="preserve">在中奖线｛</t>
    </r>
    <r>
      <rPr>
        <sz val="11"/>
        <color theme="1"/>
        <rFont val="Calibri"/>
        <family val="2"/>
        <charset val="1"/>
      </rPr>
      <t xml:space="preserve">A1,A2,A3,A4,A5</t>
    </r>
    <r>
      <rPr>
        <sz val="11"/>
        <color theme="1"/>
        <rFont val="Noto Sans SC"/>
        <family val="2"/>
        <charset val="134"/>
      </rPr>
      <t xml:space="preserve">｝的</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</si>
  <si>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12</t>
    </r>
    <r>
      <rPr>
        <sz val="11"/>
        <color theme="1"/>
        <rFont val="Noto Sans SC"/>
        <family val="2"/>
        <charset val="134"/>
      </rPr>
      <t xml:space="preserve">］</t>
    </r>
    <r>
      <rPr>
        <sz val="11"/>
        <color theme="1"/>
        <rFont val="Calibri"/>
        <family val="2"/>
        <charset val="1"/>
      </rPr>
      <t xml:space="preserve">630126758-12.jpg</t>
    </r>
  </si>
  <si>
    <r>
      <rPr>
        <sz val="11"/>
        <color theme="1"/>
        <rFont val="Noto Sans SC"/>
        <family val="2"/>
        <charset val="134"/>
      </rPr>
      <t xml:space="preserve">使用相同的方法计算中奖线｛</t>
    </r>
    <r>
      <rPr>
        <sz val="11"/>
        <color theme="1"/>
        <rFont val="Calibri"/>
        <family val="2"/>
        <charset val="1"/>
      </rPr>
      <t xml:space="preserve">B1,B2,B3,B4,B5</t>
    </r>
    <r>
      <rPr>
        <sz val="11"/>
        <color theme="1"/>
        <rFont val="Noto Sans SC"/>
        <family val="2"/>
        <charset val="134"/>
      </rPr>
      <t xml:space="preserve">｝和｛</t>
    </r>
    <r>
      <rPr>
        <sz val="11"/>
        <color theme="1"/>
        <rFont val="Calibri"/>
        <family val="2"/>
        <charset val="1"/>
      </rPr>
      <t xml:space="preserve">C1,C2,C3,C4,C5</t>
    </r>
    <r>
      <rPr>
        <sz val="11"/>
        <color theme="1"/>
        <rFont val="Noto Sans SC"/>
        <family val="2"/>
        <charset val="134"/>
      </rPr>
      <t xml:space="preserve">｝的</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</si>
  <si>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630126758-13.jpg</t>
    </r>
  </si>
  <si>
    <t xml:space="preserve">在计算过程中需要注意因为中奖线在卷轴上的位置不同，会被覆盖的图标也不相同</t>
  </si>
  <si>
    <r>
      <rPr>
        <sz val="11"/>
        <color theme="1"/>
        <rFont val="Noto Sans SC"/>
        <family val="2"/>
        <charset val="134"/>
      </rPr>
      <t xml:space="preserve">最后，因为三条线的中奖几率在该</t>
    </r>
    <r>
      <rPr>
        <sz val="11"/>
        <color theme="1"/>
        <rFont val="Calibri"/>
        <family val="2"/>
        <charset val="1"/>
      </rPr>
      <t xml:space="preserve">Slot</t>
    </r>
    <r>
      <rPr>
        <sz val="11"/>
        <color theme="1"/>
        <rFont val="Noto Sans SC"/>
        <family val="2"/>
        <charset val="134"/>
      </rPr>
      <t xml:space="preserve">中并没有差异，将三条中奖线的</t>
    </r>
    <r>
      <rPr>
        <sz val="11"/>
        <color theme="1"/>
        <rFont val="Calibri"/>
        <family val="2"/>
        <charset val="1"/>
      </rPr>
      <t xml:space="preserve">RTP</t>
    </r>
    <r>
      <rPr>
        <sz val="11"/>
        <color theme="1"/>
        <rFont val="Noto Sans SC"/>
        <family val="2"/>
        <charset val="134"/>
      </rPr>
      <t xml:space="preserve">平均，得到该</t>
    </r>
    <r>
      <rPr>
        <sz val="11"/>
        <color theme="1"/>
        <rFont val="Calibri"/>
        <family val="2"/>
        <charset val="1"/>
      </rPr>
      <t xml:space="preserve">Line Slots</t>
    </r>
    <r>
      <rPr>
        <sz val="11"/>
        <color theme="1"/>
        <rFont val="Noto Sans SC"/>
        <family val="2"/>
        <charset val="134"/>
      </rPr>
      <t xml:space="preserve">的最终</t>
    </r>
    <r>
      <rPr>
        <sz val="11"/>
        <color theme="1"/>
        <rFont val="Calibri"/>
        <family val="2"/>
        <charset val="1"/>
      </rPr>
      <t xml:space="preserve">RTP</t>
    </r>
  </si>
  <si>
    <r>
      <rPr>
        <sz val="11"/>
        <color theme="1"/>
        <rFont val="Noto Sans SC"/>
        <family val="2"/>
        <charset val="134"/>
      </rPr>
      <t xml:space="preserve"> 以上就是包含</t>
    </r>
    <r>
      <rPr>
        <sz val="11"/>
        <color theme="1"/>
        <rFont val="Calibri"/>
        <family val="2"/>
        <charset val="1"/>
      </rPr>
      <t xml:space="preserve">Expanding Wild</t>
    </r>
    <r>
      <rPr>
        <sz val="11"/>
        <color theme="1"/>
        <rFont val="Noto Sans SC"/>
        <family val="2"/>
        <charset val="134"/>
      </rPr>
      <t xml:space="preserve">的</t>
    </r>
    <r>
      <rPr>
        <sz val="11"/>
        <color theme="1"/>
        <rFont val="Calibri"/>
        <family val="2"/>
        <charset val="1"/>
      </rPr>
      <t xml:space="preserve">Line Slots</t>
    </r>
    <r>
      <rPr>
        <sz val="11"/>
        <color theme="1"/>
        <rFont val="Noto Sans SC"/>
        <family val="2"/>
        <charset val="134"/>
      </rPr>
      <t xml:space="preserve">的数值模型搭建方法，重点就是需要分中奖线考虑图标被覆盖后的实际停留在卷轴上的事件数</t>
    </r>
  </si>
  <si>
    <r>
      <rPr>
        <b val="true"/>
        <sz val="11"/>
        <rFont val="Noto Sans SC"/>
        <family val="2"/>
        <charset val="134"/>
      </rPr>
      <t xml:space="preserve">原文配图清单（共 </t>
    </r>
    <r>
      <rPr>
        <b val="true"/>
        <sz val="11"/>
        <rFont val="Cambria"/>
        <family val="0"/>
        <charset val="1"/>
      </rPr>
      <t xml:space="preserve">13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</si>
  <si>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630126758-01.png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</si>
  <si>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630126758-02.jpg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</si>
  <si>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630126758-03.png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</si>
  <si>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630126758-04.png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</si>
  <si>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630126758-05.jpg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</si>
  <si>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630126758-06.jpg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</si>
  <si>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630126758-07.png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</si>
  <si>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630126758-08.png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</si>
  <si>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630126758-09.jpg</t>
    </r>
  </si>
  <si>
    <r>
      <rPr>
        <sz val="11"/>
        <color rgb="FF808080"/>
        <rFont val="Noto Sans SC"/>
        <family val="2"/>
        <charset val="134"/>
      </rPr>
      <t xml:space="preserve">［配图 </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630126758-10.jpg</t>
    </r>
  </si>
  <si>
    <r>
      <rPr>
        <sz val="11"/>
        <color rgb="FF808080"/>
        <rFont val="Noto Sans SC"/>
        <family val="2"/>
        <charset val="134"/>
      </rPr>
      <t xml:space="preserve">［配图 </t>
    </r>
    <r>
      <rPr>
        <sz val="11"/>
        <color rgb="FF808080"/>
        <rFont val="Cambria"/>
        <family val="0"/>
        <charset val="1"/>
      </rPr>
      <t xml:space="preserve">11</t>
    </r>
    <r>
      <rPr>
        <sz val="11"/>
        <color rgb="FF808080"/>
        <rFont val="Noto Sans SC"/>
        <family val="2"/>
        <charset val="134"/>
      </rPr>
      <t xml:space="preserve">］</t>
    </r>
    <r>
      <rPr>
        <sz val="11"/>
        <color rgb="FF808080"/>
        <rFont val="Cambria"/>
        <family val="0"/>
        <charset val="1"/>
      </rPr>
      <t xml:space="preserve">630126758-11.jpg</t>
    </r>
  </si>
  <si>
    <r>
      <rPr>
        <sz val="11"/>
        <color rgb="FF808080"/>
        <rFont val="Noto Sans SC"/>
        <family val="2"/>
        <charset val="134"/>
      </rPr>
      <t xml:space="preserve">［配图 </t>
    </r>
    <r>
      <rPr>
        <sz val="11"/>
        <color rgb="FF808080"/>
        <rFont val="Cambria"/>
        <family val="0"/>
        <charset val="1"/>
      </rPr>
      <t xml:space="preserve">12</t>
    </r>
    <r>
      <rPr>
        <sz val="11"/>
        <color rgb="FF808080"/>
        <rFont val="Noto Sans SC"/>
        <family val="2"/>
        <charset val="134"/>
      </rPr>
      <t xml:space="preserve">］</t>
    </r>
    <r>
      <rPr>
        <sz val="11"/>
        <color rgb="FF808080"/>
        <rFont val="Cambria"/>
        <family val="0"/>
        <charset val="1"/>
      </rPr>
      <t xml:space="preserve">630126758-12.jpg</t>
    </r>
  </si>
  <si>
    <r>
      <rPr>
        <sz val="11"/>
        <color rgb="FF808080"/>
        <rFont val="Noto Sans SC"/>
        <family val="2"/>
        <charset val="134"/>
      </rPr>
      <t xml:space="preserve">［配图 </t>
    </r>
    <r>
      <rPr>
        <sz val="11"/>
        <color rgb="FF808080"/>
        <rFont val="Cambria"/>
        <family val="0"/>
        <charset val="1"/>
      </rPr>
      <t xml:space="preserve">13</t>
    </r>
    <r>
      <rPr>
        <sz val="11"/>
        <color rgb="FF808080"/>
        <rFont val="Noto Sans SC"/>
        <family val="2"/>
        <charset val="134"/>
      </rPr>
      <t xml:space="preserve">］</t>
    </r>
    <r>
      <rPr>
        <sz val="11"/>
        <color rgb="FF808080"/>
        <rFont val="Cambria"/>
        <family val="0"/>
        <charset val="1"/>
      </rPr>
      <t xml:space="preserve">630126758-13.jpg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</si>
  <si>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</si>
  <si>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</si>
  <si>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</si>
  <si>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</si>
  <si>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</si>
  <si>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</si>
  <si>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Expanding Wild(1)</t>
    </r>
    <r>
      <rPr>
        <sz val="11"/>
        <color rgb="FF808080"/>
        <rFont val="Noto Sans SC"/>
        <family val="2"/>
        <charset val="134"/>
      </rPr>
      <t xml:space="preserve">》</t>
    </r>
    <r>
      <rPr>
        <sz val="11"/>
        <color rgb="FF808080"/>
        <rFont val="Cambria"/>
        <family val="0"/>
        <charset val="1"/>
      </rPr>
      <t xml:space="preserve">, https://zhuanlan.zhihu.com/p/630126758</t>
    </r>
  </si>
  <si>
    <r>
      <rPr>
        <b val="true"/>
        <sz val="14"/>
        <color rgb="FF1F4E79"/>
        <rFont val="Noto Sans SC"/>
        <family val="2"/>
        <charset val="134"/>
      </rPr>
      <t xml:space="preserve">数值篇 </t>
    </r>
    <r>
      <rPr>
        <b val="true"/>
        <sz val="14"/>
        <color rgb="FF1F4E79"/>
        <rFont val="Cambria"/>
        <family val="0"/>
        <charset val="1"/>
      </rPr>
      <t xml:space="preserve">· Expanding Wild(1)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</si>
  <si>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】基本参数</t>
    </r>
  </si>
  <si>
    <t xml:space="preserve">项目</t>
  </si>
  <si>
    <t xml:space="preserve">数值</t>
  </si>
  <si>
    <t xml:space="preserve">玩法</t>
  </si>
  <si>
    <r>
      <rPr>
        <sz val="11"/>
        <color rgb="FF0000FF"/>
        <rFont val="Cambria"/>
        <family val="0"/>
        <charset val="1"/>
      </rPr>
      <t xml:space="preserve">3*5 Line Slots</t>
    </r>
    <r>
      <rPr>
        <sz val="11"/>
        <color rgb="FF0000FF"/>
        <rFont val="Noto Sans SC"/>
        <family val="2"/>
        <charset val="134"/>
      </rPr>
      <t xml:space="preserve">（含 </t>
    </r>
    <r>
      <rPr>
        <sz val="11"/>
        <color rgb="FF0000FF"/>
        <rFont val="Cambria"/>
        <family val="0"/>
        <charset val="1"/>
      </rPr>
      <t xml:space="preserve">Expanding Wild</t>
    </r>
    <r>
      <rPr>
        <sz val="11"/>
        <color rgb="FF0000FF"/>
        <rFont val="Noto Sans SC"/>
        <family val="2"/>
        <charset val="134"/>
      </rPr>
      <t xml:space="preserve">）</t>
    </r>
  </si>
  <si>
    <r>
      <rPr>
        <sz val="11"/>
        <color theme="1"/>
        <rFont val="Calibri"/>
        <family val="2"/>
        <charset val="1"/>
      </rPr>
      <t xml:space="preserve">5 </t>
    </r>
    <r>
      <rPr>
        <sz val="11"/>
        <color theme="1"/>
        <rFont val="Noto Sans SC"/>
        <family val="2"/>
        <charset val="134"/>
      </rPr>
      <t xml:space="preserve">个标准图标 </t>
    </r>
    <r>
      <rPr>
        <sz val="11"/>
        <color theme="1"/>
        <rFont val="Calibri"/>
        <family val="2"/>
        <charset val="1"/>
      </rPr>
      <t xml:space="preserve">9/10/J/Q/K </t>
    </r>
    <r>
      <rPr>
        <sz val="11"/>
        <color theme="1"/>
        <rFont val="Noto Sans SC"/>
        <family val="2"/>
        <charset val="134"/>
      </rPr>
      <t xml:space="preserve">＋ </t>
    </r>
    <r>
      <rPr>
        <sz val="11"/>
        <color theme="1"/>
        <rFont val="Calibri"/>
        <family val="2"/>
        <charset val="1"/>
      </rPr>
      <t xml:space="preserve">1 </t>
    </r>
    <r>
      <rPr>
        <sz val="11"/>
        <color theme="1"/>
        <rFont val="Noto Sans SC"/>
        <family val="2"/>
        <charset val="134"/>
      </rPr>
      <t xml:space="preserve">个百搭</t>
    </r>
  </si>
  <si>
    <t xml:space="preserve">卷轴列数</t>
  </si>
  <si>
    <t xml:space="preserve">窗口行数（＝每列格数）</t>
  </si>
  <si>
    <r>
      <rPr>
        <sz val="11"/>
        <color theme="1"/>
        <rFont val="Noto Sans SC"/>
        <family val="2"/>
        <charset val="134"/>
      </rPr>
      <t xml:space="preserve">百搭事件数 ＝ 该列 </t>
    </r>
    <r>
      <rPr>
        <sz val="11"/>
        <color theme="1"/>
        <rFont val="Calibri"/>
        <family val="2"/>
        <charset val="1"/>
      </rPr>
      <t xml:space="preserve">Wild </t>
    </r>
    <r>
      <rPr>
        <sz val="11"/>
        <color theme="1"/>
        <rFont val="Noto Sans SC"/>
        <family val="2"/>
        <charset val="134"/>
      </rPr>
      <t xml:space="preserve">个数 </t>
    </r>
    <r>
      <rPr>
        <sz val="11"/>
        <color theme="1"/>
        <rFont val="Calibri"/>
        <family val="2"/>
        <charset val="1"/>
      </rPr>
      <t xml:space="preserve">× </t>
    </r>
    <r>
      <rPr>
        <sz val="11"/>
        <color theme="1"/>
        <rFont val="Noto Sans SC"/>
        <family val="2"/>
        <charset val="134"/>
      </rPr>
      <t xml:space="preserve">行数</t>
    </r>
  </si>
  <si>
    <t xml:space="preserve">每列停位数</t>
  </si>
  <si>
    <r>
      <rPr>
        <sz val="11"/>
        <color theme="1"/>
        <rFont val="Noto Sans SC"/>
        <family val="2"/>
        <charset val="134"/>
      </rPr>
      <t xml:space="preserve">固定卷轴，每列 </t>
    </r>
    <r>
      <rPr>
        <sz val="11"/>
        <color theme="1"/>
        <rFont val="Calibri"/>
        <family val="2"/>
        <charset val="1"/>
      </rPr>
      <t xml:space="preserve">15 </t>
    </r>
    <r>
      <rPr>
        <sz val="11"/>
        <color theme="1"/>
        <rFont val="Noto Sans SC"/>
        <family val="2"/>
        <charset val="134"/>
      </rPr>
      <t xml:space="preserve">停</t>
    </r>
  </si>
  <si>
    <t xml:space="preserve">总事件数</t>
  </si>
  <si>
    <r>
      <rPr>
        <sz val="11"/>
        <color theme="1"/>
        <rFont val="Noto Sans SC"/>
        <family val="2"/>
        <charset val="134"/>
      </rPr>
      <t xml:space="preserve">＝ </t>
    </r>
    <r>
      <rPr>
        <sz val="11"/>
        <color theme="1"/>
        <rFont val="Calibri"/>
        <family val="2"/>
        <charset val="1"/>
      </rPr>
      <t xml:space="preserve">15⁵ </t>
    </r>
    <r>
      <rPr>
        <sz val="11"/>
        <color theme="1"/>
        <rFont val="Noto Sans SC"/>
        <family val="2"/>
        <charset val="134"/>
      </rPr>
      <t xml:space="preserve">＝ </t>
    </r>
    <r>
      <rPr>
        <sz val="11"/>
        <color theme="1"/>
        <rFont val="Calibri"/>
        <family val="2"/>
        <charset val="1"/>
      </rPr>
      <t xml:space="preserve">759,375</t>
    </r>
  </si>
  <si>
    <t xml:space="preserve">中奖线</t>
  </si>
  <si>
    <t xml:space="preserve">A1~A5 / B1~B5 / C1~C5</t>
  </si>
  <si>
    <r>
      <rPr>
        <sz val="11"/>
        <color theme="1"/>
        <rFont val="Calibri"/>
        <family val="2"/>
        <charset val="1"/>
      </rPr>
      <t xml:space="preserve">A</t>
    </r>
    <r>
      <rPr>
        <sz val="11"/>
        <color theme="1"/>
        <rFont val="Noto Sans SC"/>
        <family val="2"/>
        <charset val="134"/>
      </rPr>
      <t xml:space="preserve">＝第一行、</t>
    </r>
    <r>
      <rPr>
        <sz val="11"/>
        <color theme="1"/>
        <rFont val="Calibri"/>
        <family val="2"/>
        <charset val="1"/>
      </rPr>
      <t xml:space="preserve">B</t>
    </r>
    <r>
      <rPr>
        <sz val="11"/>
        <color theme="1"/>
        <rFont val="Noto Sans SC"/>
        <family val="2"/>
        <charset val="134"/>
      </rPr>
      <t xml:space="preserve">＝第二行、</t>
    </r>
    <r>
      <rPr>
        <sz val="11"/>
        <color theme="1"/>
        <rFont val="Calibri"/>
        <family val="2"/>
        <charset val="1"/>
      </rPr>
      <t xml:space="preserve">C</t>
    </r>
    <r>
      <rPr>
        <sz val="11"/>
        <color theme="1"/>
        <rFont val="Noto Sans SC"/>
        <family val="2"/>
        <charset val="134"/>
      </rPr>
      <t xml:space="preserve">＝第三行</t>
    </r>
  </si>
  <si>
    <t xml:space="preserve">拓展范围</t>
  </si>
  <si>
    <r>
      <rPr>
        <sz val="11"/>
        <color rgb="FF0000FF"/>
        <rFont val="Noto Sans SC"/>
        <family val="2"/>
        <charset val="134"/>
      </rPr>
      <t xml:space="preserve">仅第三列有 </t>
    </r>
    <r>
      <rPr>
        <sz val="11"/>
        <color rgb="FF0000FF"/>
        <rFont val="Cambria"/>
        <family val="0"/>
        <charset val="1"/>
      </rPr>
      <t xml:space="preserve">Expanding Wild</t>
    </r>
  </si>
  <si>
    <r>
      <rPr>
        <sz val="11"/>
        <color theme="1"/>
        <rFont val="Noto Sans SC"/>
        <family val="2"/>
        <charset val="134"/>
      </rPr>
      <t xml:space="preserve">原文：该 </t>
    </r>
    <r>
      <rPr>
        <sz val="11"/>
        <color theme="1"/>
        <rFont val="Calibri"/>
        <family val="2"/>
        <charset val="1"/>
      </rPr>
      <t xml:space="preserve">Wild </t>
    </r>
    <r>
      <rPr>
        <sz val="11"/>
        <color theme="1"/>
        <rFont val="Noto Sans SC"/>
        <family val="2"/>
        <charset val="134"/>
      </rPr>
      <t xml:space="preserve">停在任意位置都能拓展，使整列变百搭</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</si>
  <si>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】固定卷轴排列（</t>
    </r>
    <r>
      <rPr>
        <b val="true"/>
        <sz val="11"/>
        <color rgb="FF1F4E79"/>
        <rFont val="Cambria"/>
        <family val="0"/>
        <charset val="1"/>
      </rPr>
      <t xml:space="preserve">15 </t>
    </r>
    <r>
      <rPr>
        <b val="true"/>
        <sz val="11"/>
        <color rgb="FF1F4E79"/>
        <rFont val="Noto Sans SC"/>
        <family val="2"/>
        <charset val="134"/>
      </rPr>
      <t xml:space="preserve">停 </t>
    </r>
    <r>
      <rPr>
        <b val="true"/>
        <sz val="11"/>
        <color rgb="FF1F4E79"/>
        <rFont val="Cambria"/>
        <family val="0"/>
        <charset val="1"/>
      </rPr>
      <t xml:space="preserve">× 5 </t>
    </r>
    <r>
      <rPr>
        <b val="true"/>
        <sz val="11"/>
        <color rgb="FF1F4E79"/>
        <rFont val="Noto Sans SC"/>
        <family val="2"/>
        <charset val="134"/>
      </rPr>
      <t xml:space="preserve">列，按原文配图转录；第三列有 </t>
    </r>
    <r>
      <rPr>
        <b val="true"/>
        <sz val="11"/>
        <color rgb="FF1F4E79"/>
        <rFont val="Cambria"/>
        <family val="0"/>
        <charset val="1"/>
      </rPr>
      <t xml:space="preserve">2 </t>
    </r>
    <r>
      <rPr>
        <b val="true"/>
        <sz val="11"/>
        <color rgb="FF1F4E79"/>
        <rFont val="Noto Sans SC"/>
        <family val="2"/>
        <charset val="134"/>
      </rPr>
      <t xml:space="preserve">个 </t>
    </r>
    <r>
      <rPr>
        <b val="true"/>
        <sz val="11"/>
        <color rgb="FF1F4E79"/>
        <rFont val="Cambria"/>
        <family val="0"/>
        <charset val="1"/>
      </rPr>
      <t xml:space="preserve">Wild</t>
    </r>
    <r>
      <rPr>
        <b val="true"/>
        <sz val="11"/>
        <color rgb="FF1F4E79"/>
        <rFont val="Noto Sans SC"/>
        <family val="2"/>
        <charset val="134"/>
      </rPr>
      <t xml:space="preserve">）</t>
    </r>
  </si>
  <si>
    <t xml:space="preserve">停位</t>
  </si>
  <si>
    <r>
      <rPr>
        <b val="true"/>
        <sz val="11"/>
        <color rgb="FF1F4E79"/>
        <rFont val="Noto Sans SC"/>
        <family val="2"/>
        <charset val="134"/>
      </rPr>
      <t xml:space="preserve">列</t>
    </r>
    <r>
      <rPr>
        <b val="true"/>
        <sz val="11"/>
        <color rgb="FF1F4E79"/>
        <rFont val="Cambria"/>
        <family val="0"/>
        <charset val="1"/>
      </rPr>
      <t xml:space="preserve">1</t>
    </r>
  </si>
  <si>
    <r>
      <rPr>
        <b val="true"/>
        <sz val="11"/>
        <color rgb="FF1F4E79"/>
        <rFont val="Noto Sans SC"/>
        <family val="2"/>
        <charset val="134"/>
      </rPr>
      <t xml:space="preserve">列</t>
    </r>
    <r>
      <rPr>
        <b val="true"/>
        <sz val="11"/>
        <color rgb="FF1F4E79"/>
        <rFont val="Cambria"/>
        <family val="0"/>
        <charset val="1"/>
      </rPr>
      <t xml:space="preserve">2</t>
    </r>
  </si>
  <si>
    <r>
      <rPr>
        <b val="true"/>
        <sz val="11"/>
        <color rgb="FF1F4E79"/>
        <rFont val="Noto Sans SC"/>
        <family val="2"/>
        <charset val="134"/>
      </rPr>
      <t xml:space="preserve">列</t>
    </r>
    <r>
      <rPr>
        <b val="true"/>
        <sz val="11"/>
        <color rgb="FF1F4E79"/>
        <rFont val="Cambria"/>
        <family val="0"/>
        <charset val="1"/>
      </rPr>
      <t xml:space="preserve">3</t>
    </r>
  </si>
  <si>
    <r>
      <rPr>
        <b val="true"/>
        <sz val="11"/>
        <color rgb="FF1F4E79"/>
        <rFont val="Noto Sans SC"/>
        <family val="2"/>
        <charset val="134"/>
      </rPr>
      <t xml:space="preserve">列</t>
    </r>
    <r>
      <rPr>
        <b val="true"/>
        <sz val="11"/>
        <color rgb="FF1F4E79"/>
        <rFont val="Cambria"/>
        <family val="0"/>
        <charset val="1"/>
      </rPr>
      <t xml:space="preserve">4</t>
    </r>
  </si>
  <si>
    <r>
      <rPr>
        <b val="true"/>
        <sz val="11"/>
        <color rgb="FF1F4E79"/>
        <rFont val="Noto Sans SC"/>
        <family val="2"/>
        <charset val="134"/>
      </rPr>
      <t xml:space="preserve">列</t>
    </r>
    <r>
      <rPr>
        <b val="true"/>
        <sz val="11"/>
        <color rgb="FF1F4E79"/>
        <rFont val="Cambria"/>
        <family val="0"/>
        <charset val="1"/>
      </rPr>
      <t xml:space="preserve">5</t>
    </r>
  </si>
  <si>
    <t xml:space="preserve">9</t>
  </si>
  <si>
    <t xml:space="preserve">Wild</t>
  </si>
  <si>
    <t xml:space="preserve">10</t>
  </si>
  <si>
    <t xml:space="preserve">J</t>
  </si>
  <si>
    <t xml:space="preserve">Q</t>
  </si>
  <si>
    <t xml:space="preserve">K</t>
  </si>
  <si>
    <t xml:space="preserve">每列格数</t>
  </si>
  <si>
    <r>
      <rPr>
        <sz val="11"/>
        <color theme="1"/>
        <rFont val="Noto Sans SC"/>
        <family val="2"/>
        <charset val="134"/>
      </rPr>
      <t xml:space="preserve">每列应＝ </t>
    </r>
    <r>
      <rPr>
        <sz val="11"/>
        <color theme="1"/>
        <rFont val="Calibri"/>
        <family val="2"/>
        <charset val="1"/>
      </rPr>
      <t xml:space="preserve">15</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</si>
  <si>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】基础图标个数（</t>
    </r>
    <r>
      <rPr>
        <b val="true"/>
        <sz val="11"/>
        <color rgb="FF1F4E79"/>
        <rFont val="Cambria"/>
        <family val="0"/>
        <charset val="1"/>
      </rPr>
      <t xml:space="preserve">COUNTIF </t>
    </r>
    <r>
      <rPr>
        <b val="true"/>
        <sz val="11"/>
        <color rgb="FF1F4E79"/>
        <rFont val="Noto Sans SC"/>
        <family val="2"/>
        <charset val="134"/>
      </rPr>
      <t xml:space="preserve">读取，原文表格）</t>
    </r>
  </si>
  <si>
    <t xml:space="preserve">图标</t>
  </si>
  <si>
    <t xml:space="preserve">合计</t>
  </si>
  <si>
    <r>
      <rPr>
        <sz val="11"/>
        <color theme="1"/>
        <rFont val="Noto Sans SC"/>
        <family val="2"/>
        <charset val="134"/>
      </rPr>
      <t xml:space="preserve">第三列因含 </t>
    </r>
    <r>
      <rPr>
        <sz val="11"/>
        <color theme="1"/>
        <rFont val="Calibri"/>
        <family val="2"/>
        <charset val="1"/>
      </rPr>
      <t xml:space="preserve">2 </t>
    </r>
    <r>
      <rPr>
        <sz val="11"/>
        <color theme="1"/>
        <rFont val="Noto Sans SC"/>
        <family val="2"/>
        <charset val="134"/>
      </rPr>
      <t xml:space="preserve">个 </t>
    </r>
    <r>
      <rPr>
        <sz val="11"/>
        <color theme="1"/>
        <rFont val="Calibri"/>
        <family val="2"/>
        <charset val="1"/>
      </rPr>
      <t xml:space="preserve">Wild</t>
    </r>
    <r>
      <rPr>
        <sz val="11"/>
        <color theme="1"/>
        <rFont val="Noto Sans SC"/>
        <family val="2"/>
        <charset val="134"/>
      </rPr>
      <t xml:space="preserve">，</t>
    </r>
    <r>
      <rPr>
        <sz val="11"/>
        <color theme="1"/>
        <rFont val="Calibri"/>
        <family val="2"/>
        <charset val="1"/>
      </rPr>
      <t xml:space="preserve">9/Q </t>
    </r>
    <r>
      <rPr>
        <sz val="11"/>
        <color theme="1"/>
        <rFont val="Noto Sans SC"/>
        <family val="2"/>
        <charset val="134"/>
      </rPr>
      <t xml:space="preserve">各少 </t>
    </r>
    <r>
      <rPr>
        <sz val="11"/>
        <color theme="1"/>
        <rFont val="Calibri"/>
        <family val="2"/>
        <charset val="1"/>
      </rPr>
      <t xml:space="preserve">1 </t>
    </r>
    <r>
      <rPr>
        <sz val="11"/>
        <color theme="1"/>
        <rFont val="Noto Sans SC"/>
        <family val="2"/>
        <charset val="134"/>
      </rPr>
      <t xml:space="preserve">个</t>
    </r>
  </si>
  <si>
    <r>
      <rPr>
        <sz val="11"/>
        <color theme="1"/>
        <rFont val="Noto Sans SC"/>
        <family val="2"/>
        <charset val="134"/>
      </rPr>
      <t xml:space="preserve">仅第三列有百搭（</t>
    </r>
    <r>
      <rPr>
        <sz val="11"/>
        <color theme="1"/>
        <rFont val="Calibri"/>
        <family val="2"/>
        <charset val="1"/>
      </rPr>
      <t xml:space="preserve">2 </t>
    </r>
    <r>
      <rPr>
        <sz val="11"/>
        <color theme="1"/>
        <rFont val="Noto Sans SC"/>
        <family val="2"/>
        <charset val="134"/>
      </rPr>
      <t xml:space="preserve">个）</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</si>
  <si>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】各中奖线「被覆盖后的图标个数」（原文配图转录）＋ 百搭事件数</t>
    </r>
  </si>
  <si>
    <r>
      <rPr>
        <b val="true"/>
        <sz val="11"/>
        <color rgb="FF1F4E79"/>
        <rFont val="Noto Sans SC"/>
        <family val="2"/>
        <charset val="134"/>
      </rPr>
      <t xml:space="preserve">列</t>
    </r>
    <r>
      <rPr>
        <b val="true"/>
        <sz val="11"/>
        <color rgb="FF1F4E79"/>
        <rFont val="Cambria"/>
        <family val="0"/>
        <charset val="1"/>
      </rPr>
      <t xml:space="preserve">1 </t>
    </r>
    <r>
      <rPr>
        <b val="true"/>
        <sz val="11"/>
        <color rgb="FF1F4E79"/>
        <rFont val="Noto Sans SC"/>
        <family val="2"/>
        <charset val="134"/>
      </rPr>
      <t xml:space="preserve">覆盖后</t>
    </r>
  </si>
  <si>
    <r>
      <rPr>
        <b val="true"/>
        <sz val="11"/>
        <color rgb="FF1F4E79"/>
        <rFont val="Noto Sans SC"/>
        <family val="2"/>
        <charset val="134"/>
      </rPr>
      <t xml:space="preserve">列</t>
    </r>
    <r>
      <rPr>
        <b val="true"/>
        <sz val="11"/>
        <color rgb="FF1F4E79"/>
        <rFont val="Cambria"/>
        <family val="0"/>
        <charset val="1"/>
      </rPr>
      <t xml:space="preserve">2 </t>
    </r>
    <r>
      <rPr>
        <b val="true"/>
        <sz val="11"/>
        <color rgb="FF1F4E79"/>
        <rFont val="Noto Sans SC"/>
        <family val="2"/>
        <charset val="134"/>
      </rPr>
      <t xml:space="preserve">覆盖后</t>
    </r>
  </si>
  <si>
    <r>
      <rPr>
        <b val="true"/>
        <sz val="11"/>
        <color rgb="FF1F4E79"/>
        <rFont val="Noto Sans SC"/>
        <family val="2"/>
        <charset val="134"/>
      </rPr>
      <t xml:space="preserve">列</t>
    </r>
    <r>
      <rPr>
        <b val="true"/>
        <sz val="11"/>
        <color rgb="FF1F4E79"/>
        <rFont val="Cambria"/>
        <family val="0"/>
        <charset val="1"/>
      </rPr>
      <t xml:space="preserve">3 </t>
    </r>
    <r>
      <rPr>
        <b val="true"/>
        <sz val="11"/>
        <color rgb="FF1F4E79"/>
        <rFont val="Noto Sans SC"/>
        <family val="2"/>
        <charset val="134"/>
      </rPr>
      <t xml:space="preserve">覆盖后</t>
    </r>
  </si>
  <si>
    <r>
      <rPr>
        <b val="true"/>
        <sz val="11"/>
        <color rgb="FF1F4E79"/>
        <rFont val="Noto Sans SC"/>
        <family val="2"/>
        <charset val="134"/>
      </rPr>
      <t xml:space="preserve">列</t>
    </r>
    <r>
      <rPr>
        <b val="true"/>
        <sz val="11"/>
        <color rgb="FF1F4E79"/>
        <rFont val="Cambria"/>
        <family val="0"/>
        <charset val="1"/>
      </rPr>
      <t xml:space="preserve">4 </t>
    </r>
    <r>
      <rPr>
        <b val="true"/>
        <sz val="11"/>
        <color rgb="FF1F4E79"/>
        <rFont val="Noto Sans SC"/>
        <family val="2"/>
        <charset val="134"/>
      </rPr>
      <t xml:space="preserve">覆盖后</t>
    </r>
  </si>
  <si>
    <r>
      <rPr>
        <b val="true"/>
        <sz val="11"/>
        <color rgb="FF1F4E79"/>
        <rFont val="Noto Sans SC"/>
        <family val="2"/>
        <charset val="134"/>
      </rPr>
      <t xml:space="preserve">列</t>
    </r>
    <r>
      <rPr>
        <b val="true"/>
        <sz val="11"/>
        <color rgb="FF1F4E79"/>
        <rFont val="Cambria"/>
        <family val="0"/>
        <charset val="1"/>
      </rPr>
      <t xml:space="preserve">5 </t>
    </r>
    <r>
      <rPr>
        <b val="true"/>
        <sz val="11"/>
        <color rgb="FF1F4E79"/>
        <rFont val="Noto Sans SC"/>
        <family val="2"/>
        <charset val="134"/>
      </rPr>
      <t xml:space="preserve">覆盖后</t>
    </r>
  </si>
  <si>
    <r>
      <rPr>
        <sz val="11"/>
        <color theme="1"/>
        <rFont val="Noto Sans SC"/>
        <family val="2"/>
        <charset val="134"/>
      </rPr>
      <t xml:space="preserve">百搭事件数（该列 </t>
    </r>
    <r>
      <rPr>
        <sz val="11"/>
        <color theme="1"/>
        <rFont val="Calibri"/>
        <family val="2"/>
        <charset val="1"/>
      </rPr>
      <t xml:space="preserve">Wild </t>
    </r>
    <r>
      <rPr>
        <sz val="11"/>
        <color theme="1"/>
        <rFont val="Noto Sans SC"/>
        <family val="2"/>
        <charset val="134"/>
      </rPr>
      <t xml:space="preserve">个数 </t>
    </r>
    <r>
      <rPr>
        <sz val="11"/>
        <color theme="1"/>
        <rFont val="Calibri"/>
        <family val="2"/>
        <charset val="1"/>
      </rPr>
      <t xml:space="preserve">× </t>
    </r>
    <r>
      <rPr>
        <sz val="11"/>
        <color theme="1"/>
        <rFont val="Noto Sans SC"/>
        <family val="2"/>
        <charset val="134"/>
      </rPr>
      <t xml:space="preserve">行数）</t>
    </r>
  </si>
  <si>
    <r>
      <rPr>
        <sz val="11"/>
        <color theme="1"/>
        <rFont val="Calibri"/>
        <family val="2"/>
        <charset val="1"/>
      </rPr>
      <t xml:space="preserve">Wild </t>
    </r>
    <r>
      <rPr>
        <sz val="11"/>
        <color theme="1"/>
        <rFont val="Noto Sans SC"/>
        <family val="2"/>
        <charset val="134"/>
      </rPr>
      <t xml:space="preserve">出现在该列任意一行都会覆盖整列 → 事件数 </t>
    </r>
    <r>
      <rPr>
        <sz val="11"/>
        <color theme="1"/>
        <rFont val="Calibri"/>
        <family val="2"/>
        <charset val="1"/>
      </rPr>
      <t xml:space="preserve">× </t>
    </r>
    <r>
      <rPr>
        <sz val="11"/>
        <color theme="1"/>
        <rFont val="Noto Sans SC"/>
        <family val="2"/>
        <charset val="134"/>
      </rPr>
      <t xml:space="preserve">行数（第 </t>
    </r>
    <r>
      <rPr>
        <sz val="11"/>
        <color theme="1"/>
        <rFont val="Calibri"/>
        <family val="2"/>
        <charset val="1"/>
      </rPr>
      <t xml:space="preserve">1 </t>
    </r>
    <r>
      <rPr>
        <sz val="11"/>
        <color theme="1"/>
        <rFont val="Noto Sans SC"/>
        <family val="2"/>
        <charset val="134"/>
      </rPr>
      <t xml:space="preserve">格＝列</t>
    </r>
    <r>
      <rPr>
        <sz val="11"/>
        <color theme="1"/>
        <rFont val="Calibri"/>
        <family val="2"/>
        <charset val="1"/>
      </rPr>
      <t xml:space="preserve">1</t>
    </r>
    <r>
      <rPr>
        <sz val="11"/>
        <color theme="1"/>
        <rFont val="Noto Sans SC"/>
        <family val="2"/>
        <charset val="134"/>
      </rPr>
      <t xml:space="preserve">）</t>
    </r>
  </si>
  <si>
    <t xml:space="preserve">A</t>
  </si>
  <si>
    <r>
      <rPr>
        <sz val="11"/>
        <color theme="1"/>
        <rFont val="Noto Sans SC"/>
        <family val="2"/>
        <charset val="134"/>
      </rPr>
      <t xml:space="preserve">中奖线 </t>
    </r>
    <r>
      <rPr>
        <sz val="11"/>
        <color theme="1"/>
        <rFont val="Calibri"/>
        <family val="2"/>
        <charset val="1"/>
      </rPr>
      <t xml:space="preserve">A </t>
    </r>
    <r>
      <rPr>
        <sz val="11"/>
        <color theme="1"/>
        <rFont val="Noto Sans SC"/>
        <family val="2"/>
        <charset val="134"/>
      </rPr>
      <t xml:space="preserve">上「</t>
    </r>
    <r>
      <rPr>
        <sz val="11"/>
        <color theme="1"/>
        <rFont val="Calibri"/>
        <family val="2"/>
        <charset val="1"/>
      </rPr>
      <t xml:space="preserve">9</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</si>
  <si>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A </t>
    </r>
    <r>
      <rPr>
        <sz val="11"/>
        <color theme="1"/>
        <rFont val="Noto Sans SC"/>
        <family val="2"/>
        <charset val="134"/>
      </rPr>
      <t xml:space="preserve">上「</t>
    </r>
    <r>
      <rPr>
        <sz val="11"/>
        <color theme="1"/>
        <rFont val="Calibri"/>
        <family val="2"/>
        <charset val="1"/>
      </rPr>
      <t xml:space="preserve">10</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</si>
  <si>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A </t>
    </r>
    <r>
      <rPr>
        <sz val="11"/>
        <color theme="1"/>
        <rFont val="Noto Sans SC"/>
        <family val="2"/>
        <charset val="134"/>
      </rPr>
      <t xml:space="preserve">上「</t>
    </r>
    <r>
      <rPr>
        <sz val="11"/>
        <color theme="1"/>
        <rFont val="Calibri"/>
        <family val="2"/>
        <charset val="1"/>
      </rPr>
      <t xml:space="preserve">J</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</si>
  <si>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A </t>
    </r>
    <r>
      <rPr>
        <sz val="11"/>
        <color theme="1"/>
        <rFont val="Noto Sans SC"/>
        <family val="2"/>
        <charset val="134"/>
      </rPr>
      <t xml:space="preserve">上「</t>
    </r>
    <r>
      <rPr>
        <sz val="11"/>
        <color theme="1"/>
        <rFont val="Calibri"/>
        <family val="2"/>
        <charset val="1"/>
      </rPr>
      <t xml:space="preserve">Q</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</si>
  <si>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A </t>
    </r>
    <r>
      <rPr>
        <sz val="11"/>
        <color theme="1"/>
        <rFont val="Noto Sans SC"/>
        <family val="2"/>
        <charset val="134"/>
      </rPr>
      <t xml:space="preserve">上「</t>
    </r>
    <r>
      <rPr>
        <sz val="11"/>
        <color theme="1"/>
        <rFont val="Calibri"/>
        <family val="2"/>
        <charset val="1"/>
      </rPr>
      <t xml:space="preserve">K</t>
    </r>
    <r>
      <rPr>
        <sz val="11"/>
        <color theme="1"/>
        <rFont val="Noto Sans SC"/>
        <family val="2"/>
        <charset val="134"/>
      </rPr>
      <t xml:space="preserve">」被拓展覆盖后的个数</t>
    </r>
  </si>
  <si>
    <t xml:space="preserve">B</t>
  </si>
  <si>
    <r>
      <rPr>
        <sz val="11"/>
        <color theme="1"/>
        <rFont val="Noto Sans SC"/>
        <family val="2"/>
        <charset val="134"/>
      </rPr>
      <t xml:space="preserve">中奖线 </t>
    </r>
    <r>
      <rPr>
        <sz val="11"/>
        <color theme="1"/>
        <rFont val="Calibri"/>
        <family val="2"/>
        <charset val="1"/>
      </rPr>
      <t xml:space="preserve">B </t>
    </r>
    <r>
      <rPr>
        <sz val="11"/>
        <color theme="1"/>
        <rFont val="Noto Sans SC"/>
        <family val="2"/>
        <charset val="134"/>
      </rPr>
      <t xml:space="preserve">上「</t>
    </r>
    <r>
      <rPr>
        <sz val="11"/>
        <color theme="1"/>
        <rFont val="Calibri"/>
        <family val="2"/>
        <charset val="1"/>
      </rPr>
      <t xml:space="preserve">9</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</si>
  <si>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B </t>
    </r>
    <r>
      <rPr>
        <sz val="11"/>
        <color theme="1"/>
        <rFont val="Noto Sans SC"/>
        <family val="2"/>
        <charset val="134"/>
      </rPr>
      <t xml:space="preserve">上「</t>
    </r>
    <r>
      <rPr>
        <sz val="11"/>
        <color theme="1"/>
        <rFont val="Calibri"/>
        <family val="2"/>
        <charset val="1"/>
      </rPr>
      <t xml:space="preserve">10</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</si>
  <si>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B </t>
    </r>
    <r>
      <rPr>
        <sz val="11"/>
        <color theme="1"/>
        <rFont val="Noto Sans SC"/>
        <family val="2"/>
        <charset val="134"/>
      </rPr>
      <t xml:space="preserve">上「</t>
    </r>
    <r>
      <rPr>
        <sz val="11"/>
        <color theme="1"/>
        <rFont val="Calibri"/>
        <family val="2"/>
        <charset val="1"/>
      </rPr>
      <t xml:space="preserve">J</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</si>
  <si>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B </t>
    </r>
    <r>
      <rPr>
        <sz val="11"/>
        <color theme="1"/>
        <rFont val="Noto Sans SC"/>
        <family val="2"/>
        <charset val="134"/>
      </rPr>
      <t xml:space="preserve">上「</t>
    </r>
    <r>
      <rPr>
        <sz val="11"/>
        <color theme="1"/>
        <rFont val="Calibri"/>
        <family val="2"/>
        <charset val="1"/>
      </rPr>
      <t xml:space="preserve">Q</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</si>
  <si>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B </t>
    </r>
    <r>
      <rPr>
        <sz val="11"/>
        <color theme="1"/>
        <rFont val="Noto Sans SC"/>
        <family val="2"/>
        <charset val="134"/>
      </rPr>
      <t xml:space="preserve">上「</t>
    </r>
    <r>
      <rPr>
        <sz val="11"/>
        <color theme="1"/>
        <rFont val="Calibri"/>
        <family val="2"/>
        <charset val="1"/>
      </rPr>
      <t xml:space="preserve">K</t>
    </r>
    <r>
      <rPr>
        <sz val="11"/>
        <color theme="1"/>
        <rFont val="Noto Sans SC"/>
        <family val="2"/>
        <charset val="134"/>
      </rPr>
      <t xml:space="preserve">」被拓展覆盖后的个数</t>
    </r>
  </si>
  <si>
    <t xml:space="preserve">C</t>
  </si>
  <si>
    <r>
      <rPr>
        <sz val="11"/>
        <color theme="1"/>
        <rFont val="Noto Sans SC"/>
        <family val="2"/>
        <charset val="134"/>
      </rPr>
      <t xml:space="preserve">中奖线 </t>
    </r>
    <r>
      <rPr>
        <sz val="11"/>
        <color theme="1"/>
        <rFont val="Calibri"/>
        <family val="2"/>
        <charset val="1"/>
      </rPr>
      <t xml:space="preserve">C </t>
    </r>
    <r>
      <rPr>
        <sz val="11"/>
        <color theme="1"/>
        <rFont val="Noto Sans SC"/>
        <family val="2"/>
        <charset val="134"/>
      </rPr>
      <t xml:space="preserve">上「</t>
    </r>
    <r>
      <rPr>
        <sz val="11"/>
        <color theme="1"/>
        <rFont val="Calibri"/>
        <family val="2"/>
        <charset val="1"/>
      </rPr>
      <t xml:space="preserve">9</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</si>
  <si>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C </t>
    </r>
    <r>
      <rPr>
        <sz val="11"/>
        <color theme="1"/>
        <rFont val="Noto Sans SC"/>
        <family val="2"/>
        <charset val="134"/>
      </rPr>
      <t xml:space="preserve">上「</t>
    </r>
    <r>
      <rPr>
        <sz val="11"/>
        <color theme="1"/>
        <rFont val="Calibri"/>
        <family val="2"/>
        <charset val="1"/>
      </rPr>
      <t xml:space="preserve">10</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</si>
  <si>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C </t>
    </r>
    <r>
      <rPr>
        <sz val="11"/>
        <color theme="1"/>
        <rFont val="Noto Sans SC"/>
        <family val="2"/>
        <charset val="134"/>
      </rPr>
      <t xml:space="preserve">上「</t>
    </r>
    <r>
      <rPr>
        <sz val="11"/>
        <color theme="1"/>
        <rFont val="Calibri"/>
        <family val="2"/>
        <charset val="1"/>
      </rPr>
      <t xml:space="preserve">J</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</si>
  <si>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C </t>
    </r>
    <r>
      <rPr>
        <sz val="11"/>
        <color theme="1"/>
        <rFont val="Noto Sans SC"/>
        <family val="2"/>
        <charset val="134"/>
      </rPr>
      <t xml:space="preserve">上「</t>
    </r>
    <r>
      <rPr>
        <sz val="11"/>
        <color theme="1"/>
        <rFont val="Calibri"/>
        <family val="2"/>
        <charset val="1"/>
      </rPr>
      <t xml:space="preserve">Q</t>
    </r>
    <r>
      <rPr>
        <sz val="11"/>
        <color theme="1"/>
        <rFont val="Noto Sans SC"/>
        <family val="2"/>
        <charset val="134"/>
      </rPr>
      <t xml:space="preserve">」被拓展覆盖后的个数</t>
    </r>
  </si>
  <si>
    <r>
      <rPr>
        <sz val="11"/>
        <color theme="1"/>
        <rFont val="Noto Sans SC"/>
        <family val="2"/>
        <charset val="134"/>
      </rPr>
      <t xml:space="preserve">中奖线 </t>
    </r>
    <r>
      <rPr>
        <sz val="11"/>
        <color theme="1"/>
        <rFont val="Calibri"/>
        <family val="2"/>
        <charset val="1"/>
      </rPr>
      <t xml:space="preserve">C </t>
    </r>
    <r>
      <rPr>
        <sz val="11"/>
        <color theme="1"/>
        <rFont val="Noto Sans SC"/>
        <family val="2"/>
        <charset val="134"/>
      </rPr>
      <t xml:space="preserve">上「</t>
    </r>
    <r>
      <rPr>
        <sz val="11"/>
        <color theme="1"/>
        <rFont val="Calibri"/>
        <family val="2"/>
        <charset val="1"/>
      </rPr>
      <t xml:space="preserve">K</t>
    </r>
    <r>
      <rPr>
        <sz val="11"/>
        <color theme="1"/>
        <rFont val="Noto Sans SC"/>
        <family val="2"/>
        <charset val="134"/>
      </rPr>
      <t xml:space="preserve">」被拓展覆盖后的个数</t>
    </r>
  </si>
  <si>
    <r>
      <rPr>
        <sz val="11"/>
        <color rgb="FF808080"/>
        <rFont val="Noto Sans SC"/>
        <family val="2"/>
        <charset val="134"/>
      </rPr>
      <t xml:space="preserve">覆盖后个数随中奖线变化：</t>
    </r>
    <r>
      <rPr>
        <sz val="11"/>
        <color rgb="FF808080"/>
        <rFont val="Cambria"/>
        <family val="0"/>
        <charset val="1"/>
      </rPr>
      <t xml:space="preserve">A </t>
    </r>
    <r>
      <rPr>
        <sz val="11"/>
        <color rgb="FF808080"/>
        <rFont val="Noto Sans SC"/>
        <family val="2"/>
        <charset val="134"/>
      </rPr>
      <t xml:space="preserve">线（第一行）被覆盖 </t>
    </r>
    <r>
      <rPr>
        <sz val="11"/>
        <color rgb="FF808080"/>
        <rFont val="Cambria"/>
        <family val="0"/>
        <charset val="1"/>
      </rPr>
      <t xml:space="preserve">9</t>
    </r>
    <r>
      <rPr>
        <sz val="11"/>
        <color rgb="FF808080"/>
        <rFont val="Noto Sans SC"/>
        <family val="2"/>
        <charset val="134"/>
      </rPr>
      <t xml:space="preserve">、</t>
    </r>
    <r>
      <rPr>
        <sz val="11"/>
        <color rgb="FF808080"/>
        <rFont val="Cambria"/>
        <family val="0"/>
        <charset val="1"/>
      </rPr>
      <t xml:space="preserve">Q</t>
    </r>
    <r>
      <rPr>
        <sz val="11"/>
        <color rgb="FF808080"/>
        <rFont val="Noto Sans SC"/>
        <family val="2"/>
        <charset val="134"/>
      </rPr>
      <t xml:space="preserve">；</t>
    </r>
    <r>
      <rPr>
        <sz val="11"/>
        <color rgb="FF808080"/>
        <rFont val="Cambria"/>
        <family val="0"/>
        <charset val="1"/>
      </rPr>
      <t xml:space="preserve">B </t>
    </r>
    <r>
      <rPr>
        <sz val="11"/>
        <color rgb="FF808080"/>
        <rFont val="Noto Sans SC"/>
        <family val="2"/>
        <charset val="134"/>
      </rPr>
      <t xml:space="preserve">线 </t>
    </r>
    <r>
      <rPr>
        <sz val="11"/>
        <color rgb="FF808080"/>
        <rFont val="Cambria"/>
        <family val="0"/>
        <charset val="1"/>
      </rPr>
      <t xml:space="preserve">9</t>
    </r>
    <r>
      <rPr>
        <sz val="11"/>
        <color rgb="FF808080"/>
        <rFont val="Noto Sans SC"/>
        <family val="2"/>
        <charset val="134"/>
      </rPr>
      <t xml:space="preserve">、</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Q</t>
    </r>
    <r>
      <rPr>
        <sz val="11"/>
        <color rgb="FF808080"/>
        <rFont val="Noto Sans SC"/>
        <family val="2"/>
        <charset val="134"/>
      </rPr>
      <t xml:space="preserve">、</t>
    </r>
    <r>
      <rPr>
        <sz val="11"/>
        <color rgb="FF808080"/>
        <rFont val="Cambria"/>
        <family val="0"/>
        <charset val="1"/>
      </rPr>
      <t xml:space="preserve">K </t>
    </r>
    <r>
      <rPr>
        <sz val="11"/>
        <color rgb="FF808080"/>
        <rFont val="Noto Sans SC"/>
        <family val="2"/>
        <charset val="134"/>
      </rPr>
      <t xml:space="preserve">部分被覆盖；</t>
    </r>
    <r>
      <rPr>
        <sz val="11"/>
        <color rgb="FF808080"/>
        <rFont val="Cambria"/>
        <family val="0"/>
        <charset val="1"/>
      </rPr>
      <t xml:space="preserve">C </t>
    </r>
    <r>
      <rPr>
        <sz val="11"/>
        <color rgb="FF808080"/>
        <rFont val="Noto Sans SC"/>
        <family val="2"/>
        <charset val="134"/>
      </rPr>
      <t xml:space="preserve">线 </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K </t>
    </r>
    <r>
      <rPr>
        <sz val="11"/>
        <color rgb="FF808080"/>
        <rFont val="Noto Sans SC"/>
        <family val="2"/>
        <charset val="134"/>
      </rPr>
      <t xml:space="preserve">部分被覆盖。第三列的百搭事件数 ＝ </t>
    </r>
    <r>
      <rPr>
        <sz val="11"/>
        <color rgb="FF808080"/>
        <rFont val="Cambria"/>
        <family val="0"/>
        <charset val="1"/>
      </rPr>
      <t xml:space="preserve">2 × 3 </t>
    </r>
    <r>
      <rPr>
        <sz val="11"/>
        <color rgb="FF808080"/>
        <rFont val="Noto Sans SC"/>
        <family val="2"/>
        <charset val="134"/>
      </rPr>
      <t xml:space="preserve">＝ </t>
    </r>
    <r>
      <rPr>
        <sz val="11"/>
        <color rgb="FF808080"/>
        <rFont val="Cambria"/>
        <family val="0"/>
        <charset val="1"/>
      </rPr>
      <t xml:space="preserve">6</t>
    </r>
    <r>
      <rPr>
        <sz val="11"/>
        <color rgb="FF808080"/>
        <rFont val="Noto Sans SC"/>
        <family val="2"/>
        <charset val="134"/>
      </rPr>
      <t xml:space="preserve">。</t>
    </r>
  </si>
  <si>
    <r>
      <rPr>
        <b val="true"/>
        <sz val="11"/>
        <color rgb="FF1F4E79"/>
        <rFont val="Noto Sans SC"/>
        <family val="2"/>
        <charset val="134"/>
      </rPr>
      <t xml:space="preserve">【</t>
    </r>
    <r>
      <rPr>
        <b val="true"/>
        <sz val="11"/>
        <color rgb="FF1F4E79"/>
        <rFont val="Cambria"/>
        <family val="0"/>
        <charset val="1"/>
      </rPr>
      <t xml:space="preserve">5.1</t>
    </r>
    <r>
      <rPr>
        <b val="true"/>
        <sz val="11"/>
        <color rgb="FF1F4E79"/>
        <rFont val="Noto Sans SC"/>
        <family val="2"/>
        <charset val="134"/>
      </rPr>
      <t xml:space="preserve">】中奖线 </t>
    </r>
    <r>
      <rPr>
        <b val="true"/>
        <sz val="11"/>
        <color rgb="FF1F4E79"/>
        <rFont val="Cambria"/>
        <family val="0"/>
        <charset val="1"/>
      </rPr>
      <t xml:space="preserve">A </t>
    </r>
    <r>
      <rPr>
        <b val="true"/>
        <sz val="11"/>
        <color rgb="FF1F4E79"/>
        <rFont val="Noto Sans SC"/>
        <family val="2"/>
        <charset val="134"/>
      </rPr>
      <t xml:space="preserve">的 </t>
    </r>
    <r>
      <rPr>
        <b val="true"/>
        <sz val="11"/>
        <color rgb="FF1F4E79"/>
        <rFont val="Cambria"/>
        <family val="0"/>
        <charset val="1"/>
      </rPr>
      <t xml:space="preserve">RTP</t>
    </r>
    <r>
      <rPr>
        <b val="true"/>
        <sz val="11"/>
        <color rgb="FF1F4E79"/>
        <rFont val="Noto Sans SC"/>
        <family val="2"/>
        <charset val="134"/>
      </rPr>
      <t xml:space="preserve">（逐线计算；覆盖后个数 ＋ 该列百搭事件数）</t>
    </r>
  </si>
  <si>
    <r>
      <rPr>
        <b val="true"/>
        <sz val="11"/>
        <color rgb="FF1F4E79"/>
        <rFont val="Cambria"/>
        <family val="0"/>
        <charset val="1"/>
      </rPr>
      <t xml:space="preserve">3</t>
    </r>
    <r>
      <rPr>
        <b val="true"/>
        <sz val="11"/>
        <color rgb="FF1F4E79"/>
        <rFont val="Noto Sans SC"/>
        <family val="2"/>
        <charset val="134"/>
      </rPr>
      <t xml:space="preserve">连 事件数</t>
    </r>
  </si>
  <si>
    <r>
      <rPr>
        <b val="true"/>
        <sz val="11"/>
        <color rgb="FF1F4E79"/>
        <rFont val="Cambria"/>
        <family val="0"/>
        <charset val="1"/>
      </rPr>
      <t xml:space="preserve">4</t>
    </r>
    <r>
      <rPr>
        <b val="true"/>
        <sz val="11"/>
        <color rgb="FF1F4E79"/>
        <rFont val="Noto Sans SC"/>
        <family val="2"/>
        <charset val="134"/>
      </rPr>
      <t xml:space="preserve">连 事件数</t>
    </r>
  </si>
  <si>
    <r>
      <rPr>
        <b val="true"/>
        <sz val="11"/>
        <color rgb="FF1F4E79"/>
        <rFont val="Cambria"/>
        <family val="0"/>
        <charset val="1"/>
      </rPr>
      <t xml:space="preserve">5</t>
    </r>
    <r>
      <rPr>
        <b val="true"/>
        <sz val="11"/>
        <color rgb="FF1F4E79"/>
        <rFont val="Noto Sans SC"/>
        <family val="2"/>
        <charset val="134"/>
      </rPr>
      <t xml:space="preserve">连 事件数</t>
    </r>
  </si>
  <si>
    <r>
      <rPr>
        <b val="true"/>
        <sz val="11"/>
        <color rgb="FF1F4E79"/>
        <rFont val="Cambria"/>
        <family val="0"/>
        <charset val="1"/>
      </rPr>
      <t xml:space="preserve">3</t>
    </r>
    <r>
      <rPr>
        <b val="true"/>
        <sz val="11"/>
        <color rgb="FF1F4E79"/>
        <rFont val="Noto Sans SC"/>
        <family val="2"/>
        <charset val="134"/>
      </rPr>
      <t xml:space="preserve">连 赔付</t>
    </r>
  </si>
  <si>
    <r>
      <rPr>
        <b val="true"/>
        <sz val="11"/>
        <color rgb="FF1F4E79"/>
        <rFont val="Cambria"/>
        <family val="0"/>
        <charset val="1"/>
      </rPr>
      <t xml:space="preserve">4</t>
    </r>
    <r>
      <rPr>
        <b val="true"/>
        <sz val="11"/>
        <color rgb="FF1F4E79"/>
        <rFont val="Noto Sans SC"/>
        <family val="2"/>
        <charset val="134"/>
      </rPr>
      <t xml:space="preserve">连 赔付</t>
    </r>
  </si>
  <si>
    <r>
      <rPr>
        <b val="true"/>
        <sz val="11"/>
        <color rgb="FF1F4E79"/>
        <rFont val="Cambria"/>
        <family val="0"/>
        <charset val="1"/>
      </rPr>
      <t xml:space="preserve">5</t>
    </r>
    <r>
      <rPr>
        <b val="true"/>
        <sz val="11"/>
        <color rgb="FF1F4E79"/>
        <rFont val="Noto Sans SC"/>
        <family val="2"/>
        <charset val="134"/>
      </rPr>
      <t xml:space="preserve">连 赔付</t>
    </r>
  </si>
  <si>
    <r>
      <rPr>
        <b val="true"/>
        <sz val="11"/>
        <color rgb="FF1F4E79"/>
        <rFont val="Cambria"/>
        <family val="0"/>
        <charset val="1"/>
      </rPr>
      <t xml:space="preserve">3</t>
    </r>
    <r>
      <rPr>
        <b val="true"/>
        <sz val="11"/>
        <color rgb="FF1F4E79"/>
        <rFont val="Noto Sans SC"/>
        <family val="2"/>
        <charset val="134"/>
      </rPr>
      <t xml:space="preserve">连 期望</t>
    </r>
  </si>
  <si>
    <r>
      <rPr>
        <b val="true"/>
        <sz val="11"/>
        <color rgb="FF1F4E79"/>
        <rFont val="Cambria"/>
        <family val="0"/>
        <charset val="1"/>
      </rPr>
      <t xml:space="preserve">4</t>
    </r>
    <r>
      <rPr>
        <b val="true"/>
        <sz val="11"/>
        <color rgb="FF1F4E79"/>
        <rFont val="Noto Sans SC"/>
        <family val="2"/>
        <charset val="134"/>
      </rPr>
      <t xml:space="preserve">连 期望</t>
    </r>
  </si>
  <si>
    <r>
      <rPr>
        <b val="true"/>
        <sz val="11"/>
        <color rgb="FF1F4E79"/>
        <rFont val="Cambria"/>
        <family val="0"/>
        <charset val="1"/>
      </rPr>
      <t xml:space="preserve">5</t>
    </r>
    <r>
      <rPr>
        <b val="true"/>
        <sz val="11"/>
        <color rgb="FF1F4E79"/>
        <rFont val="Noto Sans SC"/>
        <family val="2"/>
        <charset val="134"/>
      </rPr>
      <t xml:space="preserve">连 期望</t>
    </r>
  </si>
  <si>
    <r>
      <rPr>
        <b val="true"/>
        <sz val="11"/>
        <color rgb="FF1F4E79"/>
        <rFont val="Noto Sans SC"/>
        <family val="2"/>
        <charset val="134"/>
      </rPr>
      <t xml:space="preserve">本线 </t>
    </r>
    <r>
      <rPr>
        <b val="true"/>
        <sz val="11"/>
        <color rgb="FF1F4E79"/>
        <rFont val="Cambria"/>
        <family val="0"/>
        <charset val="1"/>
      </rPr>
      <t xml:space="preserve">RTP</t>
    </r>
  </si>
  <si>
    <r>
      <rPr>
        <b val="true"/>
        <sz val="11"/>
        <rFont val="Noto Sans SC"/>
        <family val="2"/>
        <charset val="134"/>
      </rPr>
      <t xml:space="preserve">中奖线 </t>
    </r>
    <r>
      <rPr>
        <b val="true"/>
        <sz val="11"/>
        <rFont val="Cambria"/>
        <family val="0"/>
        <charset val="1"/>
      </rPr>
      <t xml:space="preserve">A </t>
    </r>
    <r>
      <rPr>
        <b val="true"/>
        <sz val="11"/>
        <rFont val="Noto Sans SC"/>
        <family val="2"/>
        <charset val="134"/>
      </rPr>
      <t xml:space="preserve">的 </t>
    </r>
    <r>
      <rPr>
        <b val="true"/>
        <sz val="11"/>
        <rFont val="Cambria"/>
        <family val="0"/>
        <charset val="1"/>
      </rPr>
      <t xml:space="preserve">RTP</t>
    </r>
  </si>
  <si>
    <r>
      <rPr>
        <b val="true"/>
        <sz val="11"/>
        <color rgb="FF1F4E79"/>
        <rFont val="Noto Sans SC"/>
        <family val="2"/>
        <charset val="134"/>
      </rPr>
      <t xml:space="preserve">【</t>
    </r>
    <r>
      <rPr>
        <b val="true"/>
        <sz val="11"/>
        <color rgb="FF1F4E79"/>
        <rFont val="Cambria"/>
        <family val="0"/>
        <charset val="1"/>
      </rPr>
      <t xml:space="preserve">5.2</t>
    </r>
    <r>
      <rPr>
        <b val="true"/>
        <sz val="11"/>
        <color rgb="FF1F4E79"/>
        <rFont val="Noto Sans SC"/>
        <family val="2"/>
        <charset val="134"/>
      </rPr>
      <t xml:space="preserve">】中奖线 </t>
    </r>
    <r>
      <rPr>
        <b val="true"/>
        <sz val="11"/>
        <color rgb="FF1F4E79"/>
        <rFont val="Cambria"/>
        <family val="0"/>
        <charset val="1"/>
      </rPr>
      <t xml:space="preserve">B </t>
    </r>
    <r>
      <rPr>
        <b val="true"/>
        <sz val="11"/>
        <color rgb="FF1F4E79"/>
        <rFont val="Noto Sans SC"/>
        <family val="2"/>
        <charset val="134"/>
      </rPr>
      <t xml:space="preserve">的 </t>
    </r>
    <r>
      <rPr>
        <b val="true"/>
        <sz val="11"/>
        <color rgb="FF1F4E79"/>
        <rFont val="Cambria"/>
        <family val="0"/>
        <charset val="1"/>
      </rPr>
      <t xml:space="preserve">RTP</t>
    </r>
    <r>
      <rPr>
        <b val="true"/>
        <sz val="11"/>
        <color rgb="FF1F4E79"/>
        <rFont val="Noto Sans SC"/>
        <family val="2"/>
        <charset val="134"/>
      </rPr>
      <t xml:space="preserve">（逐线计算；覆盖后个数 ＋ 该列百搭事件数）</t>
    </r>
  </si>
  <si>
    <r>
      <rPr>
        <b val="true"/>
        <sz val="11"/>
        <rFont val="Noto Sans SC"/>
        <family val="2"/>
        <charset val="134"/>
      </rPr>
      <t xml:space="preserve">中奖线 </t>
    </r>
    <r>
      <rPr>
        <b val="true"/>
        <sz val="11"/>
        <rFont val="Cambria"/>
        <family val="0"/>
        <charset val="1"/>
      </rPr>
      <t xml:space="preserve">B </t>
    </r>
    <r>
      <rPr>
        <b val="true"/>
        <sz val="11"/>
        <rFont val="Noto Sans SC"/>
        <family val="2"/>
        <charset val="134"/>
      </rPr>
      <t xml:space="preserve">的 </t>
    </r>
    <r>
      <rPr>
        <b val="true"/>
        <sz val="11"/>
        <rFont val="Cambria"/>
        <family val="0"/>
        <charset val="1"/>
      </rPr>
      <t xml:space="preserve">RTP</t>
    </r>
  </si>
  <si>
    <r>
      <rPr>
        <b val="true"/>
        <sz val="11"/>
        <color rgb="FF1F4E79"/>
        <rFont val="Noto Sans SC"/>
        <family val="2"/>
        <charset val="134"/>
      </rPr>
      <t xml:space="preserve">【</t>
    </r>
    <r>
      <rPr>
        <b val="true"/>
        <sz val="11"/>
        <color rgb="FF1F4E79"/>
        <rFont val="Cambria"/>
        <family val="0"/>
        <charset val="1"/>
      </rPr>
      <t xml:space="preserve">5.3</t>
    </r>
    <r>
      <rPr>
        <b val="true"/>
        <sz val="11"/>
        <color rgb="FF1F4E79"/>
        <rFont val="Noto Sans SC"/>
        <family val="2"/>
        <charset val="134"/>
      </rPr>
      <t xml:space="preserve">】中奖线 </t>
    </r>
    <r>
      <rPr>
        <b val="true"/>
        <sz val="11"/>
        <color rgb="FF1F4E79"/>
        <rFont val="Cambria"/>
        <family val="0"/>
        <charset val="1"/>
      </rPr>
      <t xml:space="preserve">C </t>
    </r>
    <r>
      <rPr>
        <b val="true"/>
        <sz val="11"/>
        <color rgb="FF1F4E79"/>
        <rFont val="Noto Sans SC"/>
        <family val="2"/>
        <charset val="134"/>
      </rPr>
      <t xml:space="preserve">的 </t>
    </r>
    <r>
      <rPr>
        <b val="true"/>
        <sz val="11"/>
        <color rgb="FF1F4E79"/>
        <rFont val="Cambria"/>
        <family val="0"/>
        <charset val="1"/>
      </rPr>
      <t xml:space="preserve">RTP</t>
    </r>
    <r>
      <rPr>
        <b val="true"/>
        <sz val="11"/>
        <color rgb="FF1F4E79"/>
        <rFont val="Noto Sans SC"/>
        <family val="2"/>
        <charset val="134"/>
      </rPr>
      <t xml:space="preserve">（逐线计算；覆盖后个数 ＋ 该列百搭事件数）</t>
    </r>
  </si>
  <si>
    <r>
      <rPr>
        <b val="true"/>
        <sz val="11"/>
        <rFont val="Noto Sans SC"/>
        <family val="2"/>
        <charset val="134"/>
      </rPr>
      <t xml:space="preserve">中奖线 </t>
    </r>
    <r>
      <rPr>
        <b val="true"/>
        <sz val="11"/>
        <rFont val="Cambria"/>
        <family val="0"/>
        <charset val="1"/>
      </rPr>
      <t xml:space="preserve">C </t>
    </r>
    <r>
      <rPr>
        <b val="true"/>
        <sz val="11"/>
        <rFont val="Noto Sans SC"/>
        <family val="2"/>
        <charset val="134"/>
      </rPr>
      <t xml:space="preserve">的 </t>
    </r>
    <r>
      <rPr>
        <b val="true"/>
        <sz val="11"/>
        <rFont val="Cambria"/>
        <family val="0"/>
        <charset val="1"/>
      </rPr>
      <t xml:space="preserve">RTP</t>
    </r>
  </si>
  <si>
    <r>
      <rPr>
        <b val="true"/>
        <sz val="11"/>
        <rFont val="Noto Sans SC"/>
        <family val="2"/>
        <charset val="134"/>
      </rPr>
      <t xml:space="preserve">三条线平均 </t>
    </r>
    <r>
      <rPr>
        <b val="true"/>
        <sz val="11"/>
        <rFont val="Cambria"/>
        <family val="0"/>
        <charset val="1"/>
      </rPr>
      <t xml:space="preserve">RTP</t>
    </r>
    <r>
      <rPr>
        <b val="true"/>
        <sz val="11"/>
        <rFont val="Noto Sans SC"/>
        <family val="2"/>
        <charset val="134"/>
      </rPr>
      <t xml:space="preserve">（原文最终 </t>
    </r>
    <r>
      <rPr>
        <b val="true"/>
        <sz val="11"/>
        <rFont val="Cambria"/>
        <family val="0"/>
        <charset val="1"/>
      </rPr>
      <t xml:space="preserve">RTP</t>
    </r>
    <r>
      <rPr>
        <b val="true"/>
        <sz val="11"/>
        <rFont val="Noto Sans SC"/>
        <family val="2"/>
        <charset val="134"/>
      </rPr>
      <t xml:space="preserve">）</t>
    </r>
  </si>
  <si>
    <r>
      <rPr>
        <sz val="11"/>
        <color rgb="FF808080"/>
        <rFont val="Noto Sans SC"/>
        <family val="2"/>
        <charset val="134"/>
      </rPr>
      <t xml:space="preserve">验算：中奖线 </t>
    </r>
    <r>
      <rPr>
        <sz val="11"/>
        <color rgb="FF808080"/>
        <rFont val="Cambria"/>
        <family val="0"/>
        <charset val="1"/>
      </rPr>
      <t xml:space="preserve">A </t>
    </r>
    <r>
      <rPr>
        <sz val="11"/>
        <color rgb="FF808080"/>
        <rFont val="Noto Sans SC"/>
        <family val="2"/>
        <charset val="134"/>
      </rPr>
      <t xml:space="preserve">的 </t>
    </r>
    <r>
      <rPr>
        <sz val="11"/>
        <color rgb="FF808080"/>
        <rFont val="Cambria"/>
        <family val="0"/>
        <charset val="1"/>
      </rPr>
      <t xml:space="preserve">9 → 3</t>
    </r>
    <r>
      <rPr>
        <sz val="11"/>
        <color rgb="FF808080"/>
        <rFont val="Noto Sans SC"/>
        <family val="2"/>
        <charset val="134"/>
      </rPr>
      <t xml:space="preserve">连 </t>
    </r>
    <r>
      <rPr>
        <sz val="11"/>
        <color rgb="FF808080"/>
        <rFont val="Cambria"/>
        <family val="0"/>
        <charset val="1"/>
      </rPr>
      <t xml:space="preserve">3×3×6×(15−3)×15 </t>
    </r>
    <r>
      <rPr>
        <sz val="11"/>
        <color rgb="FF808080"/>
        <rFont val="Noto Sans SC"/>
        <family val="2"/>
        <charset val="134"/>
      </rPr>
      <t xml:space="preserve">＝ </t>
    </r>
    <r>
      <rPr>
        <sz val="11"/>
        <color rgb="FF808080"/>
        <rFont val="Cambria"/>
        <family val="0"/>
        <charset val="1"/>
      </rPr>
      <t xml:space="preserve">9,720</t>
    </r>
    <r>
      <rPr>
        <sz val="11"/>
        <color rgb="FF808080"/>
        <rFont val="Noto Sans SC"/>
        <family val="2"/>
        <charset val="134"/>
      </rPr>
      <t xml:space="preserve">、</t>
    </r>
    <r>
      <rPr>
        <sz val="11"/>
        <color rgb="FF808080"/>
        <rFont val="Cambria"/>
        <family val="0"/>
        <charset val="1"/>
      </rPr>
      <t xml:space="preserve">4</t>
    </r>
    <r>
      <rPr>
        <sz val="11"/>
        <color rgb="FF808080"/>
        <rFont val="Noto Sans SC"/>
        <family val="2"/>
        <charset val="134"/>
      </rPr>
      <t xml:space="preserve">连 </t>
    </r>
    <r>
      <rPr>
        <sz val="11"/>
        <color rgb="FF808080"/>
        <rFont val="Cambria"/>
        <family val="0"/>
        <charset val="1"/>
      </rPr>
      <t xml:space="preserve">3×3×6×3×(15−3) </t>
    </r>
    <r>
      <rPr>
        <sz val="11"/>
        <color rgb="FF808080"/>
        <rFont val="Noto Sans SC"/>
        <family val="2"/>
        <charset val="134"/>
      </rPr>
      <t xml:space="preserve">＝ </t>
    </r>
    <r>
      <rPr>
        <sz val="11"/>
        <color rgb="FF808080"/>
        <rFont val="Cambria"/>
        <family val="0"/>
        <charset val="1"/>
      </rPr>
      <t xml:space="preserve">1,944</t>
    </r>
    <r>
      <rPr>
        <sz val="11"/>
        <color rgb="FF808080"/>
        <rFont val="Noto Sans SC"/>
        <family val="2"/>
        <charset val="134"/>
      </rPr>
      <t xml:space="preserve">、</t>
    </r>
    <r>
      <rPr>
        <sz val="11"/>
        <color rgb="FF808080"/>
        <rFont val="Cambria"/>
        <family val="0"/>
        <charset val="1"/>
      </rPr>
      <t xml:space="preserve">5</t>
    </r>
    <r>
      <rPr>
        <sz val="11"/>
        <color rgb="FF808080"/>
        <rFont val="Noto Sans SC"/>
        <family val="2"/>
        <charset val="134"/>
      </rPr>
      <t xml:space="preserve">连 </t>
    </r>
    <r>
      <rPr>
        <sz val="11"/>
        <color rgb="FF808080"/>
        <rFont val="Cambria"/>
        <family val="0"/>
        <charset val="1"/>
      </rPr>
      <t xml:space="preserve">3×3×6×3×3 </t>
    </r>
    <r>
      <rPr>
        <sz val="11"/>
        <color rgb="FF808080"/>
        <rFont val="Noto Sans SC"/>
        <family val="2"/>
        <charset val="134"/>
      </rPr>
      <t xml:space="preserve">＝ </t>
    </r>
    <r>
      <rPr>
        <sz val="11"/>
        <color rgb="FF808080"/>
        <rFont val="Cambria"/>
        <family val="0"/>
        <charset val="1"/>
      </rPr>
      <t xml:space="preserve">486</t>
    </r>
    <r>
      <rPr>
        <sz val="11"/>
        <color rgb="FF808080"/>
        <rFont val="Noto Sans SC"/>
        <family val="2"/>
        <charset val="134"/>
      </rPr>
      <t xml:space="preserve">，与原文配图逐格一致；三条线 </t>
    </r>
    <r>
      <rPr>
        <sz val="11"/>
        <color rgb="FF808080"/>
        <rFont val="Cambria"/>
        <family val="0"/>
        <charset val="1"/>
      </rPr>
      <t xml:space="preserve">RTP </t>
    </r>
    <r>
      <rPr>
        <sz val="11"/>
        <color rgb="FF808080"/>
        <rFont val="Noto Sans SC"/>
        <family val="2"/>
        <charset val="134"/>
      </rPr>
      <t xml:space="preserve">与原文 </t>
    </r>
    <r>
      <rPr>
        <sz val="11"/>
        <color rgb="FF808080"/>
        <rFont val="Cambria"/>
        <family val="0"/>
        <charset val="1"/>
      </rPr>
      <t xml:space="preserve">1.0963 / 1.0153 / 0.9342 </t>
    </r>
    <r>
      <rPr>
        <sz val="11"/>
        <color rgb="FF808080"/>
        <rFont val="Noto Sans SC"/>
        <family val="2"/>
        <charset val="134"/>
      </rPr>
      <t xml:space="preserve">完全吻合。</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</si>
  <si>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</si>
  <si>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</si>
  <si>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</si>
  <si>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每列格数 ＝ </t>
    </r>
    <r>
      <rPr>
        <sz val="11"/>
        <color theme="1"/>
        <rFont val="Calibri"/>
        <family val="2"/>
        <charset val="1"/>
      </rPr>
      <t xml:space="preserve">15</t>
    </r>
  </si>
  <si>
    <r>
      <rPr>
        <sz val="11"/>
        <color theme="1"/>
        <rFont val="Noto Sans SC"/>
        <family val="2"/>
        <charset val="134"/>
      </rPr>
      <t xml:space="preserve">【</t>
    </r>
    <r>
      <rPr>
        <sz val="11"/>
        <color theme="1"/>
        <rFont val="Calibri"/>
        <family val="2"/>
        <charset val="1"/>
      </rPr>
      <t xml:space="preserve">2</t>
    </r>
    <r>
      <rPr>
        <sz val="11"/>
        <color theme="1"/>
        <rFont val="Noto Sans SC"/>
        <family val="2"/>
        <charset val="134"/>
      </rPr>
      <t xml:space="preserve">】</t>
    </r>
  </si>
  <si>
    <r>
      <rPr>
        <sz val="11"/>
        <color theme="1"/>
        <rFont val="Noto Sans SC"/>
        <family val="2"/>
        <charset val="134"/>
      </rPr>
      <t xml:space="preserve">基础个数 ＝ 原文（</t>
    </r>
    <r>
      <rPr>
        <sz val="11"/>
        <color theme="1"/>
        <rFont val="Calibri"/>
        <family val="2"/>
        <charset val="1"/>
      </rPr>
      <t xml:space="preserve">9: 3/3/2/3/3</t>
    </r>
    <r>
      <rPr>
        <sz val="11"/>
        <color theme="1"/>
        <rFont val="Noto Sans SC"/>
        <family val="2"/>
        <charset val="134"/>
      </rPr>
      <t xml:space="preserve">）</t>
    </r>
  </si>
  <si>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t>
    </r>
  </si>
  <si>
    <r>
      <rPr>
        <sz val="11"/>
        <color theme="1"/>
        <rFont val="Noto Sans SC"/>
        <family val="2"/>
        <charset val="134"/>
      </rPr>
      <t xml:space="preserve">百搭事件数 ＝ </t>
    </r>
    <r>
      <rPr>
        <sz val="11"/>
        <color theme="1"/>
        <rFont val="Calibri"/>
        <family val="2"/>
        <charset val="1"/>
      </rPr>
      <t xml:space="preserve">2 × </t>
    </r>
    <r>
      <rPr>
        <sz val="11"/>
        <color theme="1"/>
        <rFont val="Noto Sans SC"/>
        <family val="2"/>
        <charset val="134"/>
      </rPr>
      <t xml:space="preserve">行数 ＝ </t>
    </r>
    <r>
      <rPr>
        <sz val="11"/>
        <color theme="1"/>
        <rFont val="Calibri"/>
        <family val="2"/>
        <charset val="1"/>
      </rPr>
      <t xml:space="preserve">6</t>
    </r>
  </si>
  <si>
    <t xml:space="preserve">第三列</t>
  </si>
  <si>
    <r>
      <rPr>
        <sz val="11"/>
        <color theme="1"/>
        <rFont val="Noto Sans SC"/>
        <family val="2"/>
        <charset val="134"/>
      </rPr>
      <t xml:space="preserve">中奖线 </t>
    </r>
    <r>
      <rPr>
        <sz val="11"/>
        <color theme="1"/>
        <rFont val="Calibri"/>
        <family val="2"/>
        <charset val="1"/>
      </rPr>
      <t xml:space="preserve">A </t>
    </r>
    <r>
      <rPr>
        <sz val="11"/>
        <color theme="1"/>
        <rFont val="Noto Sans SC"/>
        <family val="2"/>
        <charset val="134"/>
      </rPr>
      <t xml:space="preserve">的 </t>
    </r>
    <r>
      <rPr>
        <sz val="11"/>
        <color theme="1"/>
        <rFont val="Calibri"/>
        <family val="2"/>
        <charset val="1"/>
      </rPr>
      <t xml:space="preserve">9 </t>
    </r>
    <r>
      <rPr>
        <sz val="11"/>
        <color theme="1"/>
        <rFont val="Noto Sans SC"/>
        <family val="2"/>
        <charset val="134"/>
      </rPr>
      <t xml:space="preserve">三连事件数 ＝ 原文 </t>
    </r>
    <r>
      <rPr>
        <sz val="11"/>
        <color theme="1"/>
        <rFont val="Calibri"/>
        <family val="2"/>
        <charset val="1"/>
      </rPr>
      <t xml:space="preserve">9,720</t>
    </r>
  </si>
  <si>
    <r>
      <rPr>
        <sz val="11"/>
        <color theme="1"/>
        <rFont val="Noto Sans SC"/>
        <family val="2"/>
        <charset val="134"/>
      </rPr>
      <t xml:space="preserve">【</t>
    </r>
    <r>
      <rPr>
        <sz val="11"/>
        <color theme="1"/>
        <rFont val="Calibri"/>
        <family val="2"/>
        <charset val="1"/>
      </rPr>
      <t xml:space="preserve">5.1</t>
    </r>
    <r>
      <rPr>
        <sz val="11"/>
        <color theme="1"/>
        <rFont val="Noto Sans SC"/>
        <family val="2"/>
        <charset val="134"/>
      </rPr>
      <t xml:space="preserve">】</t>
    </r>
  </si>
  <si>
    <r>
      <rPr>
        <sz val="11"/>
        <color theme="1"/>
        <rFont val="Noto Sans SC"/>
        <family val="2"/>
        <charset val="134"/>
      </rPr>
      <t xml:space="preserve">中奖线 </t>
    </r>
    <r>
      <rPr>
        <sz val="11"/>
        <color theme="1"/>
        <rFont val="Calibri"/>
        <family val="2"/>
        <charset val="1"/>
      </rPr>
      <t xml:space="preserve">A RTP </t>
    </r>
    <r>
      <rPr>
        <sz val="11"/>
        <color theme="1"/>
        <rFont val="Noto Sans SC"/>
        <family val="2"/>
        <charset val="134"/>
      </rPr>
      <t xml:space="preserve">＝ 原文 </t>
    </r>
    <r>
      <rPr>
        <sz val="11"/>
        <color theme="1"/>
        <rFont val="Calibri"/>
        <family val="2"/>
        <charset val="1"/>
      </rPr>
      <t xml:space="preserve">1.0963</t>
    </r>
  </si>
  <si>
    <t xml:space="preserve">原文</t>
  </si>
  <si>
    <r>
      <rPr>
        <sz val="11"/>
        <color theme="1"/>
        <rFont val="Noto Sans SC"/>
        <family val="2"/>
        <charset val="134"/>
      </rPr>
      <t xml:space="preserve">中奖线 </t>
    </r>
    <r>
      <rPr>
        <sz val="11"/>
        <color theme="1"/>
        <rFont val="Calibri"/>
        <family val="2"/>
        <charset val="1"/>
      </rPr>
      <t xml:space="preserve">B RTP </t>
    </r>
    <r>
      <rPr>
        <sz val="11"/>
        <color theme="1"/>
        <rFont val="Noto Sans SC"/>
        <family val="2"/>
        <charset val="134"/>
      </rPr>
      <t xml:space="preserve">＝ 原文 </t>
    </r>
    <r>
      <rPr>
        <sz val="11"/>
        <color theme="1"/>
        <rFont val="Calibri"/>
        <family val="2"/>
        <charset val="1"/>
      </rPr>
      <t xml:space="preserve">1.0153</t>
    </r>
  </si>
  <si>
    <r>
      <rPr>
        <sz val="11"/>
        <color theme="1"/>
        <rFont val="Noto Sans SC"/>
        <family val="2"/>
        <charset val="134"/>
      </rPr>
      <t xml:space="preserve">中奖线 </t>
    </r>
    <r>
      <rPr>
        <sz val="11"/>
        <color theme="1"/>
        <rFont val="Calibri"/>
        <family val="2"/>
        <charset val="1"/>
      </rPr>
      <t xml:space="preserve">C RTP </t>
    </r>
    <r>
      <rPr>
        <sz val="11"/>
        <color theme="1"/>
        <rFont val="Noto Sans SC"/>
        <family val="2"/>
        <charset val="134"/>
      </rPr>
      <t xml:space="preserve">＝ 原文 </t>
    </r>
    <r>
      <rPr>
        <sz val="11"/>
        <color theme="1"/>
        <rFont val="Calibri"/>
        <family val="2"/>
        <charset val="1"/>
      </rPr>
      <t xml:space="preserve">0.9342</t>
    </r>
  </si>
  <si>
    <r>
      <rPr>
        <sz val="11"/>
        <color theme="1"/>
        <rFont val="Noto Sans SC"/>
        <family val="2"/>
        <charset val="134"/>
      </rPr>
      <t xml:space="preserve">平均 </t>
    </r>
    <r>
      <rPr>
        <sz val="11"/>
        <color theme="1"/>
        <rFont val="Calibri"/>
        <family val="2"/>
        <charset val="1"/>
      </rPr>
      <t xml:space="preserve">RTP </t>
    </r>
    <r>
      <rPr>
        <sz val="11"/>
        <color theme="1"/>
        <rFont val="Noto Sans SC"/>
        <family val="2"/>
        <charset val="134"/>
      </rPr>
      <t xml:space="preserve">＝ 原文 </t>
    </r>
    <r>
      <rPr>
        <sz val="11"/>
        <color theme="1"/>
        <rFont val="Calibri"/>
        <family val="2"/>
        <charset val="1"/>
      </rPr>
      <t xml:space="preserve">1.0153</t>
    </r>
  </si>
  <si>
    <t xml:space="preserve">三条线平均</t>
  </si>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</sst>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3">
    <numFmt numFmtId="164" formatCode="General"/>
    <numFmt numFmtId="165" formatCode="#,##0"/>
    <numFmt numFmtId="166" formatCode="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10" fillId="4"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2" t="s">
        <v>5</v>
      </c>
    </row>
    <row r="8" customFormat="false" ht="15.5" hidden="false" customHeight="false" outlineLevel="0" collapsed="false">
      <c r="A8" s="2" t="s">
        <v>6</v>
      </c>
    </row>
    <row r="9" customFormat="false" ht="15.5" hidden="false" customHeight="false" outlineLevel="0" collapsed="false">
      <c r="A9" s="3" t="s">
        <v>7</v>
      </c>
      <c r="B9" s="3"/>
      <c r="C9" s="3"/>
      <c r="D9" s="3"/>
    </row>
    <row r="11" customFormat="false" ht="15" hidden="false" customHeight="false" outlineLevel="0" collapsed="false">
      <c r="A11" s="4" t="s">
        <v>8</v>
      </c>
    </row>
    <row r="12" customFormat="false" ht="29" hidden="false" customHeight="false" outlineLevel="0" collapsed="false">
      <c r="A12" s="29" t="s">
        <v>9</v>
      </c>
    </row>
    <row r="13" customFormat="false" ht="29" hidden="false" customHeight="false" outlineLevel="0" collapsed="false">
      <c r="A13" s="29" t="s">
        <v>10</v>
      </c>
    </row>
    <row r="14" customFormat="false" ht="15" hidden="false" customHeight="false" outlineLevel="0" collapsed="false">
      <c r="A14" s="5"/>
    </row>
    <row r="15" customFormat="false" ht="15" hidden="false" customHeight="false" outlineLevel="0" collapsed="false">
      <c r="A15" s="4" t="s">
        <v>11</v>
      </c>
    </row>
    <row r="16" customFormat="false" ht="15" hidden="false" customHeight="1" outlineLevel="0" collapsed="false">
      <c r="A16" s="30" t="s">
        <v>12</v>
      </c>
      <c r="B16" s="6"/>
      <c r="C16" s="6"/>
    </row>
    <row r="17" customFormat="false" ht="42" hidden="false" customHeight="false" outlineLevel="0" collapsed="false">
      <c r="A17" s="29" t="s">
        <v>13</v>
      </c>
    </row>
    <row r="18" customFormat="false" ht="15" hidden="false" customHeight="1" outlineLevel="0" collapsed="false">
      <c r="A18" s="30" t="s">
        <v>14</v>
      </c>
      <c r="B18" s="6"/>
      <c r="C18" s="6"/>
    </row>
    <row r="19" customFormat="false" ht="15" hidden="false" customHeight="false" outlineLevel="0" collapsed="false">
      <c r="A19" s="5"/>
    </row>
    <row r="20" customFormat="false" ht="15" hidden="false" customHeight="false" outlineLevel="0" collapsed="false">
      <c r="A20" s="4" t="s">
        <v>15</v>
      </c>
    </row>
    <row r="21" customFormat="false" ht="29" hidden="false" customHeight="false" outlineLevel="0" collapsed="false">
      <c r="A21" s="29" t="s">
        <v>16</v>
      </c>
    </row>
    <row r="22" customFormat="false" ht="30" hidden="false" customHeight="false" outlineLevel="0" collapsed="false">
      <c r="A22" s="29" t="s">
        <v>17</v>
      </c>
    </row>
    <row r="23" customFormat="false" ht="41" hidden="false" customHeight="false" outlineLevel="0" collapsed="false">
      <c r="A23" s="31" t="s">
        <v>18</v>
      </c>
    </row>
    <row r="24" customFormat="false" ht="29" hidden="false" customHeight="false" outlineLevel="0" collapsed="false">
      <c r="A24" s="29" t="s">
        <v>19</v>
      </c>
    </row>
    <row r="25" customFormat="false" ht="29" hidden="false" customHeight="false" outlineLevel="0" collapsed="false">
      <c r="A25" s="31" t="s">
        <v>20</v>
      </c>
    </row>
    <row r="26" customFormat="false" ht="44" hidden="false" customHeight="false" outlineLevel="0" collapsed="false">
      <c r="A26" s="31" t="s">
        <v>21</v>
      </c>
    </row>
    <row r="27" customFormat="false" ht="43" hidden="false" customHeight="false" outlineLevel="0" collapsed="false">
      <c r="A27" s="29" t="s">
        <v>22</v>
      </c>
    </row>
    <row r="28" customFormat="false" ht="41" hidden="false" customHeight="false" outlineLevel="0" collapsed="false">
      <c r="A28" s="31" t="s">
        <v>23</v>
      </c>
    </row>
    <row r="29" customFormat="false" ht="30" hidden="false" customHeight="false" outlineLevel="0" collapsed="false">
      <c r="A29" s="29" t="s">
        <v>24</v>
      </c>
    </row>
    <row r="30" customFormat="false" ht="30" hidden="false" customHeight="false" outlineLevel="0" collapsed="false">
      <c r="A30" s="29" t="s">
        <v>25</v>
      </c>
    </row>
    <row r="31" customFormat="false" ht="29" hidden="false" customHeight="false" outlineLevel="0" collapsed="false">
      <c r="A31" s="29" t="s">
        <v>26</v>
      </c>
    </row>
    <row r="33" customFormat="false" ht="15" hidden="false" customHeight="false" outlineLevel="0" collapsed="false">
      <c r="A33" s="4" t="s">
        <v>27</v>
      </c>
    </row>
    <row r="34" customFormat="false" ht="15" hidden="false" customHeight="false" outlineLevel="0" collapsed="false">
      <c r="A34" s="7"/>
    </row>
    <row r="35" customFormat="false" ht="16" hidden="false" customHeight="false" outlineLevel="0" collapsed="false">
      <c r="A35" s="31" t="s">
        <v>28</v>
      </c>
    </row>
    <row r="36" customFormat="false" ht="29" hidden="false" customHeight="false" outlineLevel="0" collapsed="false">
      <c r="A36" s="31" t="s">
        <v>29</v>
      </c>
    </row>
    <row r="37" customFormat="false" ht="29" hidden="false" customHeight="false" outlineLevel="0" collapsed="false">
      <c r="A37" s="31" t="s">
        <v>30</v>
      </c>
    </row>
    <row r="38" customFormat="false" ht="16" hidden="false" customHeight="false" outlineLevel="0" collapsed="false">
      <c r="A38" s="31" t="s">
        <v>31</v>
      </c>
    </row>
    <row r="39" customFormat="false" ht="28" hidden="false" customHeight="false" outlineLevel="0" collapsed="false">
      <c r="A39" s="31" t="s">
        <v>32</v>
      </c>
    </row>
    <row r="40" customFormat="false" ht="15" hidden="false" customHeight="false" outlineLevel="0" collapsed="false">
      <c r="A40" s="7"/>
    </row>
    <row r="41" customFormat="false" ht="16" hidden="false" customHeight="false" outlineLevel="0" collapsed="false">
      <c r="A41" s="7" t="s">
        <v>33</v>
      </c>
    </row>
    <row r="42" customFormat="false" ht="15" hidden="false" customHeight="false" outlineLevel="0" collapsed="false">
      <c r="A42" s="7"/>
    </row>
    <row r="43" customFormat="false" ht="15" hidden="false" customHeight="1" outlineLevel="0" collapsed="false">
      <c r="A43" s="30" t="s">
        <v>34</v>
      </c>
      <c r="B43" s="6"/>
      <c r="C43" s="6"/>
      <c r="D43" s="6"/>
      <c r="E43" s="6"/>
      <c r="F43" s="6"/>
      <c r="G43" s="6"/>
    </row>
    <row r="44" customFormat="false" ht="29" hidden="false" customHeight="false" outlineLevel="0" collapsed="false">
      <c r="A44" s="31" t="s">
        <v>35</v>
      </c>
    </row>
    <row r="45" customFormat="false" ht="29" hidden="false" customHeight="false" outlineLevel="0" collapsed="false">
      <c r="A45" s="29" t="s">
        <v>36</v>
      </c>
    </row>
    <row r="46" customFormat="false" ht="28" hidden="false" customHeight="false" outlineLevel="0" collapsed="false">
      <c r="A46" s="31" t="s">
        <v>37</v>
      </c>
    </row>
    <row r="47" customFormat="false" ht="41" hidden="false" customHeight="false" outlineLevel="0" collapsed="false">
      <c r="A47" s="31" t="s">
        <v>38</v>
      </c>
    </row>
    <row r="48" customFormat="false" ht="15" hidden="false" customHeight="false" outlineLevel="0" collapsed="false">
      <c r="A48" s="7" t="s">
        <v>39</v>
      </c>
    </row>
    <row r="49" customFormat="false" ht="16" hidden="false" customHeight="false" outlineLevel="0" collapsed="false">
      <c r="A49" s="7" t="s">
        <v>40</v>
      </c>
    </row>
    <row r="50" customFormat="false" ht="29" hidden="false" customHeight="false" outlineLevel="0" collapsed="false">
      <c r="A50" s="31" t="s">
        <v>41</v>
      </c>
    </row>
    <row r="51" customFormat="false" ht="15" hidden="false" customHeight="false" outlineLevel="0" collapsed="false">
      <c r="A51" s="7"/>
    </row>
    <row r="52" customFormat="false" ht="16" hidden="false" customHeight="false" outlineLevel="0" collapsed="false">
      <c r="A52" s="7" t="s">
        <v>42</v>
      </c>
    </row>
    <row r="53" customFormat="false" ht="15" hidden="false" customHeight="false" outlineLevel="0" collapsed="false">
      <c r="A53" s="7"/>
    </row>
    <row r="54" customFormat="false" ht="29" hidden="false" customHeight="false" outlineLevel="0" collapsed="false">
      <c r="A54" s="31" t="s">
        <v>43</v>
      </c>
    </row>
    <row r="55" customFormat="false" ht="30" hidden="false" customHeight="false" outlineLevel="0" collapsed="false">
      <c r="A55" s="31" t="s">
        <v>44</v>
      </c>
    </row>
    <row r="56" customFormat="false" ht="30" hidden="false" customHeight="false" outlineLevel="0" collapsed="false">
      <c r="A56" s="31" t="s">
        <v>45</v>
      </c>
    </row>
    <row r="57" customFormat="false" ht="29" hidden="false" customHeight="false" outlineLevel="0" collapsed="false">
      <c r="A57" s="31" t="s">
        <v>46</v>
      </c>
    </row>
    <row r="58" customFormat="false" ht="29" hidden="false" customHeight="false" outlineLevel="0" collapsed="false">
      <c r="A58" s="31" t="s">
        <v>47</v>
      </c>
    </row>
    <row r="59" customFormat="false" ht="28" hidden="false" customHeight="false" outlineLevel="0" collapsed="false">
      <c r="A59" s="31" t="s">
        <v>48</v>
      </c>
    </row>
    <row r="60" customFormat="false" ht="15" hidden="false" customHeight="false" outlineLevel="0" collapsed="false">
      <c r="A60" s="7" t="s">
        <v>49</v>
      </c>
    </row>
    <row r="61" customFormat="false" ht="29" hidden="false" customHeight="false" outlineLevel="0" collapsed="false">
      <c r="A61" s="31" t="s">
        <v>50</v>
      </c>
    </row>
    <row r="62" customFormat="false" ht="16" hidden="false" customHeight="false" outlineLevel="0" collapsed="false">
      <c r="A62" s="31" t="s">
        <v>51</v>
      </c>
    </row>
    <row r="63" customFormat="false" ht="15" hidden="false" customHeight="false" outlineLevel="0" collapsed="false">
      <c r="A63" s="7"/>
    </row>
    <row r="64" customFormat="false" ht="16" hidden="false" customHeight="false" outlineLevel="0" collapsed="false">
      <c r="A64" s="7" t="s">
        <v>52</v>
      </c>
    </row>
    <row r="65" customFormat="false" ht="15" hidden="false" customHeight="false" outlineLevel="0" collapsed="false">
      <c r="A65" s="7"/>
    </row>
    <row r="66" customFormat="false" ht="15" hidden="false" customHeight="1" outlineLevel="0" collapsed="false">
      <c r="A66" s="32" t="s">
        <v>53</v>
      </c>
      <c r="B66" s="8"/>
      <c r="C66" s="8"/>
      <c r="D66" s="8"/>
      <c r="E66" s="8"/>
    </row>
    <row r="67" customFormat="false" ht="15" hidden="false" customHeight="false" outlineLevel="0" collapsed="false">
      <c r="A67" s="7"/>
    </row>
    <row r="68" customFormat="false" ht="16" hidden="false" customHeight="false" outlineLevel="0" collapsed="false">
      <c r="A68" s="7" t="s">
        <v>54</v>
      </c>
    </row>
    <row r="69" customFormat="false" ht="15" hidden="false" customHeight="false" outlineLevel="0" collapsed="false">
      <c r="A69" s="7"/>
    </row>
    <row r="70" customFormat="false" ht="30" hidden="false" customHeight="false" outlineLevel="0" collapsed="false">
      <c r="A70" s="31" t="s">
        <v>55</v>
      </c>
    </row>
    <row r="71" customFormat="false" ht="15" hidden="false" customHeight="false" outlineLevel="0" collapsed="false">
      <c r="A71" s="7"/>
    </row>
    <row r="72" customFormat="false" ht="42" hidden="false" customHeight="false" outlineLevel="0" collapsed="false">
      <c r="A72" s="31" t="s">
        <v>56</v>
      </c>
    </row>
    <row r="73" customFormat="false" ht="15" hidden="false" customHeight="false" outlineLevel="0" collapsed="false">
      <c r="A73" s="7"/>
    </row>
    <row r="74" customFormat="false" ht="16" hidden="false" customHeight="false" outlineLevel="0" collapsed="false">
      <c r="A74" s="7" t="s">
        <v>57</v>
      </c>
    </row>
    <row r="75" customFormat="false" ht="15" hidden="false" customHeight="false" outlineLevel="0" collapsed="false">
      <c r="A75" s="7"/>
    </row>
    <row r="76" customFormat="false" ht="30" hidden="false" customHeight="false" outlineLevel="0" collapsed="false">
      <c r="A76" s="31" t="s">
        <v>58</v>
      </c>
    </row>
    <row r="77" customFormat="false" ht="29" hidden="false" customHeight="false" outlineLevel="0" collapsed="false">
      <c r="A77" s="31" t="s">
        <v>59</v>
      </c>
    </row>
    <row r="78" customFormat="false" ht="28" hidden="false" customHeight="false" outlineLevel="0" collapsed="false">
      <c r="A78" s="31" t="s">
        <v>60</v>
      </c>
    </row>
    <row r="79" customFormat="false" ht="15" hidden="false" customHeight="false" outlineLevel="0" collapsed="false">
      <c r="A79" s="7"/>
    </row>
    <row r="80" customFormat="false" ht="16" hidden="false" customHeight="false" outlineLevel="0" collapsed="false">
      <c r="A80" s="7" t="s">
        <v>61</v>
      </c>
    </row>
    <row r="81" customFormat="false" ht="15" hidden="false" customHeight="false" outlineLevel="0" collapsed="false">
      <c r="A81" s="7"/>
    </row>
    <row r="82" customFormat="false" ht="16" hidden="false" customHeight="false" outlineLevel="0" collapsed="false">
      <c r="A82" s="7" t="s">
        <v>62</v>
      </c>
    </row>
    <row r="83" customFormat="false" ht="16" hidden="false" customHeight="false" outlineLevel="0" collapsed="false">
      <c r="A83" s="7" t="s">
        <v>63</v>
      </c>
    </row>
    <row r="84" customFormat="false" ht="29" hidden="false" customHeight="false" outlineLevel="0" collapsed="false">
      <c r="A84" s="31" t="s">
        <v>64</v>
      </c>
    </row>
    <row r="85" customFormat="false" ht="28" hidden="false" customHeight="false" outlineLevel="0" collapsed="false">
      <c r="A85" s="31" t="s">
        <v>65</v>
      </c>
    </row>
    <row r="86" customFormat="false" ht="28" hidden="false" customHeight="false" outlineLevel="0" collapsed="false">
      <c r="A86" s="31" t="s">
        <v>66</v>
      </c>
    </row>
    <row r="87" customFormat="false" ht="28" hidden="false" customHeight="false" outlineLevel="0" collapsed="false">
      <c r="A87" s="31" t="s">
        <v>67</v>
      </c>
    </row>
    <row r="88" customFormat="false" ht="15" hidden="false" customHeight="1" outlineLevel="0" collapsed="false">
      <c r="A88" s="32" t="s">
        <v>68</v>
      </c>
      <c r="B88" s="8"/>
      <c r="C88" s="8"/>
      <c r="D88" s="8"/>
      <c r="E88" s="8"/>
    </row>
    <row r="89" customFormat="false" ht="15" hidden="false" customHeight="false" outlineLevel="0" collapsed="false">
      <c r="A89" s="7" t="s">
        <v>69</v>
      </c>
    </row>
    <row r="90" customFormat="false" ht="30" hidden="false" customHeight="false" outlineLevel="0" collapsed="false">
      <c r="A90" s="31" t="s">
        <v>70</v>
      </c>
    </row>
    <row r="91" customFormat="false" ht="15" hidden="false" customHeight="false" outlineLevel="0" collapsed="false">
      <c r="A91" s="7"/>
    </row>
    <row r="92" customFormat="false" ht="16" hidden="false" customHeight="false" outlineLevel="0" collapsed="false">
      <c r="A92" s="7" t="s">
        <v>71</v>
      </c>
    </row>
    <row r="93" customFormat="false" ht="15" hidden="false" customHeight="false" outlineLevel="0" collapsed="false">
      <c r="A93" s="7"/>
    </row>
    <row r="94" customFormat="false" ht="16" hidden="false" customHeight="false" outlineLevel="0" collapsed="false">
      <c r="A94" s="7" t="s">
        <v>72</v>
      </c>
    </row>
    <row r="95" customFormat="false" ht="16" hidden="false" customHeight="false" outlineLevel="0" collapsed="false">
      <c r="A95" s="7" t="s">
        <v>73</v>
      </c>
    </row>
    <row r="96" customFormat="false" ht="44" hidden="false" customHeight="false" outlineLevel="0" collapsed="false">
      <c r="A96" s="31" t="s">
        <v>74</v>
      </c>
    </row>
    <row r="97" customFormat="false" ht="15" hidden="false" customHeight="1" outlineLevel="0" collapsed="false">
      <c r="A97" s="32" t="s">
        <v>75</v>
      </c>
      <c r="B97" s="8"/>
      <c r="C97" s="8"/>
      <c r="D97" s="8"/>
    </row>
    <row r="98" customFormat="false" ht="15" hidden="false" customHeight="false" outlineLevel="0" collapsed="false">
      <c r="A98" s="7"/>
    </row>
    <row r="99" customFormat="false" ht="16" hidden="false" customHeight="false" outlineLevel="0" collapsed="false">
      <c r="A99" s="7" t="s">
        <v>76</v>
      </c>
    </row>
    <row r="100" customFormat="false" ht="15" hidden="false" customHeight="false" outlineLevel="0" collapsed="false">
      <c r="A100" s="7"/>
    </row>
    <row r="101" customFormat="false" ht="28" hidden="false" customHeight="false" outlineLevel="0" collapsed="false">
      <c r="A101" s="31" t="s">
        <v>77</v>
      </c>
    </row>
    <row r="102" customFormat="false" ht="15" hidden="false" customHeight="false" outlineLevel="0" collapsed="false">
      <c r="A102" s="7"/>
    </row>
    <row r="103" customFormat="false" ht="16" hidden="false" customHeight="false" outlineLevel="0" collapsed="false">
      <c r="A103" s="7" t="s">
        <v>78</v>
      </c>
    </row>
    <row r="104" customFormat="false" ht="15" hidden="false" customHeight="false" outlineLevel="0" collapsed="false">
      <c r="A104" s="7"/>
    </row>
    <row r="105" customFormat="false" ht="29" hidden="false" customHeight="false" outlineLevel="0" collapsed="false">
      <c r="A105" s="31" t="s">
        <v>79</v>
      </c>
    </row>
    <row r="106" customFormat="false" ht="15" hidden="false" customHeight="1" outlineLevel="0" collapsed="false">
      <c r="A106" s="32" t="s">
        <v>80</v>
      </c>
      <c r="B106" s="8"/>
      <c r="C106" s="8"/>
      <c r="D106" s="8"/>
    </row>
    <row r="107" customFormat="false" ht="15" hidden="false" customHeight="false" outlineLevel="0" collapsed="false">
      <c r="A107" s="7"/>
    </row>
    <row r="108" customFormat="false" ht="16" hidden="false" customHeight="false" outlineLevel="0" collapsed="false">
      <c r="A108" s="7" t="s">
        <v>81</v>
      </c>
    </row>
    <row r="109" customFormat="false" ht="15" hidden="false" customHeight="false" outlineLevel="0" collapsed="false">
      <c r="A109" s="7"/>
    </row>
    <row r="110" customFormat="false" ht="29" hidden="false" customHeight="false" outlineLevel="0" collapsed="false">
      <c r="A110" s="31" t="s">
        <v>82</v>
      </c>
    </row>
    <row r="111" customFormat="false" ht="29" hidden="false" customHeight="false" outlineLevel="0" collapsed="false">
      <c r="A111" s="31" t="s">
        <v>83</v>
      </c>
    </row>
    <row r="112" customFormat="false" ht="41" hidden="false" customHeight="false" outlineLevel="0" collapsed="false">
      <c r="A112" s="31" t="s">
        <v>84</v>
      </c>
    </row>
    <row r="113" customFormat="false" ht="15" hidden="false" customHeight="false" outlineLevel="0" collapsed="false">
      <c r="A113" s="7"/>
    </row>
    <row r="114" customFormat="false" ht="16" hidden="false" customHeight="false" outlineLevel="0" collapsed="false">
      <c r="A114" s="7" t="s">
        <v>85</v>
      </c>
    </row>
    <row r="115" customFormat="false" ht="15" hidden="false" customHeight="false" outlineLevel="0" collapsed="false">
      <c r="A115" s="7"/>
    </row>
    <row r="116" customFormat="false" ht="28" hidden="false" customHeight="false" outlineLevel="0" collapsed="false">
      <c r="A116" s="31" t="s">
        <v>86</v>
      </c>
    </row>
    <row r="117" customFormat="false" ht="15" hidden="false" customHeight="1" outlineLevel="0" collapsed="false">
      <c r="A117" s="32" t="s">
        <v>87</v>
      </c>
      <c r="B117" s="8"/>
      <c r="C117" s="8"/>
    </row>
    <row r="118" customFormat="false" ht="15" hidden="false" customHeight="false" outlineLevel="0" collapsed="false">
      <c r="A118" s="7"/>
    </row>
    <row r="119" customFormat="false" ht="16" hidden="false" customHeight="false" outlineLevel="0" collapsed="false">
      <c r="A119" s="7" t="s">
        <v>88</v>
      </c>
    </row>
    <row r="120" customFormat="false" ht="15" hidden="false" customHeight="false" outlineLevel="0" collapsed="false">
      <c r="A120" s="7"/>
    </row>
    <row r="121" customFormat="false" ht="30" hidden="false" customHeight="false" outlineLevel="0" collapsed="false">
      <c r="A121" s="31" t="s">
        <v>89</v>
      </c>
    </row>
    <row r="122" customFormat="false" ht="15" hidden="false" customHeight="false" outlineLevel="0" collapsed="false">
      <c r="A122" s="7"/>
    </row>
    <row r="123" customFormat="false" ht="16" hidden="false" customHeight="false" outlineLevel="0" collapsed="false">
      <c r="A123" s="7" t="s">
        <v>90</v>
      </c>
    </row>
    <row r="124" customFormat="false" ht="15" hidden="false" customHeight="false" outlineLevel="0" collapsed="false">
      <c r="A124" s="7"/>
    </row>
    <row r="125" customFormat="false" ht="28" hidden="false" customHeight="false" outlineLevel="0" collapsed="false">
      <c r="A125" s="31" t="s">
        <v>91</v>
      </c>
    </row>
    <row r="126" customFormat="false" ht="41.5" hidden="false" customHeight="false" outlineLevel="0" collapsed="false">
      <c r="A126" s="31" t="s">
        <v>92</v>
      </c>
    </row>
    <row r="127" customFormat="false" ht="15" hidden="false" customHeight="1" outlineLevel="0" collapsed="false">
      <c r="A127" s="32" t="s">
        <v>93</v>
      </c>
      <c r="B127" s="8"/>
      <c r="C127" s="8"/>
      <c r="D127" s="8"/>
    </row>
    <row r="129" customFormat="false" ht="29" hidden="false" customHeight="false" outlineLevel="0" collapsed="false">
      <c r="A129" s="33" t="s">
        <v>94</v>
      </c>
    </row>
    <row r="130" customFormat="false" ht="15.5" hidden="false" customHeight="false" outlineLevel="0" collapsed="false">
      <c r="A130" s="2" t="s">
        <v>95</v>
      </c>
    </row>
    <row r="131" customFormat="false" ht="15.5" hidden="false" customHeight="false" outlineLevel="0" collapsed="false">
      <c r="A131" s="2" t="s">
        <v>96</v>
      </c>
    </row>
    <row r="132" customFormat="false" ht="15.5" hidden="false" customHeight="false" outlineLevel="0" collapsed="false">
      <c r="A132" s="2" t="s">
        <v>97</v>
      </c>
    </row>
    <row r="133" customFormat="false" ht="15.5" hidden="false" customHeight="false" outlineLevel="0" collapsed="false">
      <c r="A133" s="2" t="s">
        <v>98</v>
      </c>
    </row>
    <row r="134" customFormat="false" ht="15.5" hidden="false" customHeight="false" outlineLevel="0" collapsed="false">
      <c r="A134" s="2" t="s">
        <v>99</v>
      </c>
    </row>
    <row r="135" customFormat="false" ht="15.5" hidden="false" customHeight="false" outlineLevel="0" collapsed="false">
      <c r="A135" s="2" t="s">
        <v>100</v>
      </c>
    </row>
    <row r="136" customFormat="false" ht="15.5" hidden="false" customHeight="false" outlineLevel="0" collapsed="false">
      <c r="A136" s="2" t="s">
        <v>101</v>
      </c>
    </row>
    <row r="137" customFormat="false" ht="15.5" hidden="false" customHeight="false" outlineLevel="0" collapsed="false">
      <c r="A137" s="2" t="s">
        <v>102</v>
      </c>
    </row>
    <row r="138" customFormat="false" ht="15.5" hidden="false" customHeight="false" outlineLevel="0" collapsed="false">
      <c r="A138" s="2" t="s">
        <v>103</v>
      </c>
    </row>
    <row r="139" customFormat="false" ht="15.5" hidden="false" customHeight="false" outlineLevel="0" collapsed="false">
      <c r="A139" s="2" t="s">
        <v>104</v>
      </c>
    </row>
    <row r="140" customFormat="false" ht="15.5" hidden="false" customHeight="false" outlineLevel="0" collapsed="false">
      <c r="A140" s="2" t="s">
        <v>105</v>
      </c>
    </row>
    <row r="141" customFormat="false" ht="15.5" hidden="false" customHeight="false" outlineLevel="0" collapsed="false">
      <c r="A141" s="2" t="s">
        <v>106</v>
      </c>
    </row>
    <row r="142" customFormat="false" ht="15.5" hidden="false" customHeight="false" outlineLevel="0" collapsed="false">
      <c r="A142" s="2" t="s">
        <v>107</v>
      </c>
    </row>
    <row r="144" customFormat="false" ht="15" hidden="false" customHeight="false" outlineLevel="0" collapsed="false">
      <c r="A144" s="4" t="s">
        <v>108</v>
      </c>
    </row>
    <row r="145" customFormat="false" ht="30" hidden="false" customHeight="false" outlineLevel="0" collapsed="false">
      <c r="A145" s="31" t="s">
        <v>109</v>
      </c>
    </row>
    <row r="146" customFormat="false" ht="28" hidden="false" customHeight="false" outlineLevel="0" collapsed="false">
      <c r="A146" s="31" t="s">
        <v>110</v>
      </c>
    </row>
    <row r="147" customFormat="false" ht="15" hidden="false" customHeight="false" outlineLevel="0" collapsed="false">
      <c r="A147" s="7"/>
    </row>
    <row r="148" customFormat="false" ht="15" hidden="false" customHeight="false" outlineLevel="0" collapsed="false">
      <c r="A148" s="4" t="s">
        <v>111</v>
      </c>
    </row>
    <row r="149" customFormat="false" ht="28" hidden="false" customHeight="false" outlineLevel="0" collapsed="false">
      <c r="A149" s="31" t="s">
        <v>112</v>
      </c>
    </row>
    <row r="150" customFormat="false" ht="29" hidden="false" customHeight="false" outlineLevel="0" collapsed="false">
      <c r="A150" s="31" t="s">
        <v>113</v>
      </c>
    </row>
    <row r="152" customFormat="false" ht="15.5" hidden="false" customHeight="false" outlineLevel="0" collapsed="false">
      <c r="A152" s="9" t="s">
        <v>114</v>
      </c>
    </row>
  </sheetData>
  <mergeCells count="12">
    <mergeCell ref="A5:L5"/>
    <mergeCell ref="A6:J6"/>
    <mergeCell ref="A9:L9"/>
    <mergeCell ref="A16:I16"/>
    <mergeCell ref="A18:J18"/>
    <mergeCell ref="A43:P43"/>
    <mergeCell ref="A66:M66"/>
    <mergeCell ref="A88:M88"/>
    <mergeCell ref="A97:K97"/>
    <mergeCell ref="A106:K106"/>
    <mergeCell ref="A117:J117"/>
    <mergeCell ref="A127:K1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L172"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115</v>
      </c>
      <c r="B1" s="11"/>
      <c r="C1" s="11"/>
      <c r="D1" s="11"/>
      <c r="E1" s="11"/>
      <c r="F1" s="11"/>
      <c r="G1" s="11"/>
      <c r="H1" s="11"/>
      <c r="I1" s="11"/>
      <c r="J1" s="11"/>
      <c r="K1" s="11"/>
    </row>
    <row r="3" customFormat="false" ht="15.5" hidden="false" customHeight="false" outlineLevel="0" collapsed="false">
      <c r="A3" s="12" t="s">
        <v>116</v>
      </c>
      <c r="B3" s="12"/>
      <c r="C3" s="12"/>
      <c r="D3" s="13"/>
      <c r="E3" s="13"/>
      <c r="F3" s="13"/>
      <c r="G3" s="13"/>
      <c r="H3" s="13"/>
    </row>
    <row r="4" customFormat="false" ht="15" hidden="false" customHeight="false" outlineLevel="0" collapsed="false">
      <c r="A4" s="14" t="s">
        <v>117</v>
      </c>
      <c r="B4" s="14" t="s">
        <v>118</v>
      </c>
      <c r="C4" s="14" t="s">
        <v>111</v>
      </c>
      <c r="D4" s="14"/>
      <c r="E4" s="14"/>
      <c r="F4" s="14"/>
      <c r="G4" s="14"/>
      <c r="H4" s="14"/>
    </row>
    <row r="5" customFormat="false" ht="16" hidden="false" customHeight="false" outlineLevel="0" collapsed="false">
      <c r="A5" s="10" t="s">
        <v>119</v>
      </c>
      <c r="B5" s="15" t="s">
        <v>120</v>
      </c>
      <c r="C5" s="16" t="s">
        <v>121</v>
      </c>
      <c r="D5" s="16"/>
      <c r="E5" s="16"/>
      <c r="F5" s="16"/>
    </row>
    <row r="6" customFormat="false" ht="15" hidden="false" customHeight="false" outlineLevel="0" collapsed="false">
      <c r="A6" s="10" t="s">
        <v>122</v>
      </c>
      <c r="B6" s="15" t="n">
        <v>5</v>
      </c>
    </row>
    <row r="7" customFormat="false" ht="16" hidden="false" customHeight="false" outlineLevel="0" collapsed="false">
      <c r="A7" s="10" t="s">
        <v>123</v>
      </c>
      <c r="B7" s="15" t="n">
        <v>3</v>
      </c>
      <c r="C7" s="17" t="s">
        <v>124</v>
      </c>
      <c r="D7" s="17"/>
      <c r="E7" s="17"/>
      <c r="F7" s="17"/>
    </row>
    <row r="8" customFormat="false" ht="16" hidden="false" customHeight="false" outlineLevel="0" collapsed="false">
      <c r="A8" s="10" t="s">
        <v>125</v>
      </c>
      <c r="B8" s="15" t="n">
        <v>15</v>
      </c>
      <c r="C8" s="17" t="s">
        <v>126</v>
      </c>
      <c r="D8" s="17"/>
    </row>
    <row r="9" customFormat="false" ht="16" hidden="false" customHeight="false" outlineLevel="0" collapsed="false">
      <c r="A9" s="10" t="s">
        <v>127</v>
      </c>
      <c r="B9" s="18" t="n">
        <f aca="false">B8^B6</f>
        <v>759375</v>
      </c>
      <c r="C9" s="17" t="s">
        <v>128</v>
      </c>
      <c r="D9" s="17"/>
    </row>
    <row r="10" customFormat="false" ht="16" hidden="false" customHeight="false" outlineLevel="0" collapsed="false">
      <c r="A10" s="10" t="s">
        <v>129</v>
      </c>
      <c r="B10" s="15" t="s">
        <v>130</v>
      </c>
      <c r="C10" s="16" t="s">
        <v>131</v>
      </c>
      <c r="D10" s="16"/>
      <c r="E10" s="16"/>
    </row>
    <row r="11" customFormat="false" ht="16" hidden="false" customHeight="false" outlineLevel="0" collapsed="false">
      <c r="A11" s="10" t="s">
        <v>132</v>
      </c>
      <c r="B11" s="19" t="s">
        <v>133</v>
      </c>
      <c r="C11" s="17" t="s">
        <v>134</v>
      </c>
      <c r="D11" s="17"/>
      <c r="E11" s="17"/>
      <c r="F11" s="17"/>
      <c r="G11" s="17"/>
    </row>
    <row r="13" customFormat="false" ht="15.5" hidden="false" customHeight="false" outlineLevel="0" collapsed="false">
      <c r="A13" s="12" t="s">
        <v>135</v>
      </c>
      <c r="B13" s="12"/>
      <c r="C13" s="12"/>
      <c r="D13" s="12"/>
      <c r="E13" s="12"/>
      <c r="F13" s="12"/>
      <c r="G13" s="13"/>
      <c r="H13" s="13"/>
    </row>
    <row r="14" customFormat="false" ht="15.5" hidden="false" customHeight="false" outlineLevel="0" collapsed="false">
      <c r="A14" s="14" t="s">
        <v>136</v>
      </c>
      <c r="B14" s="14" t="s">
        <v>137</v>
      </c>
      <c r="C14" s="14" t="s">
        <v>138</v>
      </c>
      <c r="D14" s="14" t="s">
        <v>139</v>
      </c>
      <c r="E14" s="14" t="s">
        <v>140</v>
      </c>
      <c r="F14" s="14" t="s">
        <v>141</v>
      </c>
      <c r="G14" s="14"/>
      <c r="H14" s="14"/>
    </row>
    <row r="15" customFormat="false" ht="15" hidden="false" customHeight="false" outlineLevel="0" collapsed="false">
      <c r="A15" s="10" t="n">
        <v>1</v>
      </c>
      <c r="B15" s="15" t="s">
        <v>142</v>
      </c>
      <c r="C15" s="15" t="s">
        <v>142</v>
      </c>
      <c r="D15" s="15" t="s">
        <v>142</v>
      </c>
      <c r="E15" s="15" t="s">
        <v>142</v>
      </c>
      <c r="F15" s="15" t="s">
        <v>142</v>
      </c>
    </row>
    <row r="16" customFormat="false" ht="15" hidden="false" customHeight="false" outlineLevel="0" collapsed="false">
      <c r="A16" s="10" t="n">
        <v>2</v>
      </c>
      <c r="B16" s="15" t="s">
        <v>142</v>
      </c>
      <c r="C16" s="15" t="s">
        <v>142</v>
      </c>
      <c r="D16" s="15" t="s">
        <v>142</v>
      </c>
      <c r="E16" s="15" t="s">
        <v>142</v>
      </c>
      <c r="F16" s="15" t="s">
        <v>142</v>
      </c>
    </row>
    <row r="17" customFormat="false" ht="15" hidden="false" customHeight="false" outlineLevel="0" collapsed="false">
      <c r="A17" s="10" t="n">
        <v>3</v>
      </c>
      <c r="B17" s="15" t="s">
        <v>142</v>
      </c>
      <c r="C17" s="15" t="s">
        <v>142</v>
      </c>
      <c r="D17" s="15" t="s">
        <v>143</v>
      </c>
      <c r="E17" s="15" t="s">
        <v>142</v>
      </c>
      <c r="F17" s="15" t="s">
        <v>142</v>
      </c>
    </row>
    <row r="18" customFormat="false" ht="15" hidden="false" customHeight="false" outlineLevel="0" collapsed="false">
      <c r="A18" s="10" t="n">
        <v>4</v>
      </c>
      <c r="B18" s="15" t="s">
        <v>144</v>
      </c>
      <c r="C18" s="15" t="s">
        <v>144</v>
      </c>
      <c r="D18" s="15" t="s">
        <v>144</v>
      </c>
      <c r="E18" s="15" t="s">
        <v>144</v>
      </c>
      <c r="F18" s="15" t="s">
        <v>144</v>
      </c>
    </row>
    <row r="19" customFormat="false" ht="15" hidden="false" customHeight="false" outlineLevel="0" collapsed="false">
      <c r="A19" s="10" t="n">
        <v>5</v>
      </c>
      <c r="B19" s="15" t="s">
        <v>144</v>
      </c>
      <c r="C19" s="15" t="s">
        <v>144</v>
      </c>
      <c r="D19" s="15" t="s">
        <v>144</v>
      </c>
      <c r="E19" s="15" t="s">
        <v>144</v>
      </c>
      <c r="F19" s="15" t="s">
        <v>144</v>
      </c>
    </row>
    <row r="20" customFormat="false" ht="15" hidden="false" customHeight="false" outlineLevel="0" collapsed="false">
      <c r="A20" s="10" t="n">
        <v>6</v>
      </c>
      <c r="B20" s="15" t="s">
        <v>144</v>
      </c>
      <c r="C20" s="15" t="s">
        <v>144</v>
      </c>
      <c r="D20" s="15" t="s">
        <v>144</v>
      </c>
      <c r="E20" s="15" t="s">
        <v>144</v>
      </c>
      <c r="F20" s="15" t="s">
        <v>144</v>
      </c>
    </row>
    <row r="21" customFormat="false" ht="15" hidden="false" customHeight="false" outlineLevel="0" collapsed="false">
      <c r="A21" s="10" t="n">
        <v>7</v>
      </c>
      <c r="B21" s="15" t="s">
        <v>145</v>
      </c>
      <c r="C21" s="15" t="s">
        <v>145</v>
      </c>
      <c r="D21" s="15" t="s">
        <v>145</v>
      </c>
      <c r="E21" s="15" t="s">
        <v>145</v>
      </c>
      <c r="F21" s="15" t="s">
        <v>145</v>
      </c>
    </row>
    <row r="22" customFormat="false" ht="15" hidden="false" customHeight="false" outlineLevel="0" collapsed="false">
      <c r="A22" s="10" t="n">
        <v>8</v>
      </c>
      <c r="B22" s="15" t="s">
        <v>145</v>
      </c>
      <c r="C22" s="15" t="s">
        <v>145</v>
      </c>
      <c r="D22" s="15" t="s">
        <v>145</v>
      </c>
      <c r="E22" s="15" t="s">
        <v>145</v>
      </c>
      <c r="F22" s="15" t="s">
        <v>145</v>
      </c>
    </row>
    <row r="23" customFormat="false" ht="15" hidden="false" customHeight="false" outlineLevel="0" collapsed="false">
      <c r="A23" s="10" t="n">
        <v>9</v>
      </c>
      <c r="B23" s="15" t="s">
        <v>145</v>
      </c>
      <c r="C23" s="15" t="s">
        <v>145</v>
      </c>
      <c r="D23" s="15" t="s">
        <v>145</v>
      </c>
      <c r="E23" s="15" t="s">
        <v>145</v>
      </c>
      <c r="F23" s="15" t="s">
        <v>145</v>
      </c>
    </row>
    <row r="24" customFormat="false" ht="15" hidden="false" customHeight="false" outlineLevel="0" collapsed="false">
      <c r="A24" s="10" t="n">
        <v>10</v>
      </c>
      <c r="B24" s="15" t="s">
        <v>146</v>
      </c>
      <c r="C24" s="15" t="s">
        <v>146</v>
      </c>
      <c r="D24" s="15" t="s">
        <v>146</v>
      </c>
      <c r="E24" s="15" t="s">
        <v>146</v>
      </c>
      <c r="F24" s="15" t="s">
        <v>146</v>
      </c>
    </row>
    <row r="25" customFormat="false" ht="15" hidden="false" customHeight="false" outlineLevel="0" collapsed="false">
      <c r="A25" s="10" t="n">
        <v>11</v>
      </c>
      <c r="B25" s="15" t="s">
        <v>146</v>
      </c>
      <c r="C25" s="15" t="s">
        <v>146</v>
      </c>
      <c r="D25" s="15" t="s">
        <v>146</v>
      </c>
      <c r="E25" s="15" t="s">
        <v>146</v>
      </c>
      <c r="F25" s="15" t="s">
        <v>146</v>
      </c>
    </row>
    <row r="26" customFormat="false" ht="15" hidden="false" customHeight="false" outlineLevel="0" collapsed="false">
      <c r="A26" s="10" t="n">
        <v>12</v>
      </c>
      <c r="B26" s="15" t="s">
        <v>146</v>
      </c>
      <c r="C26" s="15" t="s">
        <v>146</v>
      </c>
      <c r="D26" s="15" t="s">
        <v>143</v>
      </c>
      <c r="E26" s="15" t="s">
        <v>146</v>
      </c>
      <c r="F26" s="15" t="s">
        <v>146</v>
      </c>
    </row>
    <row r="27" customFormat="false" ht="15" hidden="false" customHeight="false" outlineLevel="0" collapsed="false">
      <c r="A27" s="10" t="n">
        <v>13</v>
      </c>
      <c r="B27" s="15" t="s">
        <v>147</v>
      </c>
      <c r="C27" s="15" t="s">
        <v>147</v>
      </c>
      <c r="D27" s="15" t="s">
        <v>147</v>
      </c>
      <c r="E27" s="15" t="s">
        <v>147</v>
      </c>
      <c r="F27" s="15" t="s">
        <v>147</v>
      </c>
    </row>
    <row r="28" customFormat="false" ht="15" hidden="false" customHeight="false" outlineLevel="0" collapsed="false">
      <c r="A28" s="10" t="n">
        <v>14</v>
      </c>
      <c r="B28" s="15" t="s">
        <v>147</v>
      </c>
      <c r="C28" s="15" t="s">
        <v>147</v>
      </c>
      <c r="D28" s="15" t="s">
        <v>147</v>
      </c>
      <c r="E28" s="15" t="s">
        <v>147</v>
      </c>
      <c r="F28" s="15" t="s">
        <v>147</v>
      </c>
    </row>
    <row r="29" customFormat="false" ht="15" hidden="false" customHeight="false" outlineLevel="0" collapsed="false">
      <c r="A29" s="10" t="n">
        <v>15</v>
      </c>
      <c r="B29" s="15" t="s">
        <v>147</v>
      </c>
      <c r="C29" s="15" t="s">
        <v>147</v>
      </c>
      <c r="D29" s="15" t="s">
        <v>147</v>
      </c>
      <c r="E29" s="15" t="s">
        <v>147</v>
      </c>
      <c r="F29" s="15" t="s">
        <v>147</v>
      </c>
    </row>
    <row r="30" customFormat="false" ht="16" hidden="false" customHeight="false" outlineLevel="0" collapsed="false">
      <c r="A30" s="10" t="s">
        <v>148</v>
      </c>
      <c r="B30" s="18" t="n">
        <f aca="false">COUNTA(B15:B29)</f>
        <v>15</v>
      </c>
      <c r="C30" s="18" t="n">
        <f aca="false">COUNTA(C15:C29)</f>
        <v>15</v>
      </c>
      <c r="D30" s="18" t="n">
        <f aca="false">COUNTA(D15:D29)</f>
        <v>15</v>
      </c>
      <c r="E30" s="18" t="n">
        <f aca="false">COUNTA(E15:E29)</f>
        <v>15</v>
      </c>
      <c r="F30" s="18" t="n">
        <f aca="false">COUNTA(F15:F29)</f>
        <v>15</v>
      </c>
      <c r="H30" s="10" t="s">
        <v>149</v>
      </c>
    </row>
    <row r="32" customFormat="false" ht="15.5" hidden="false" customHeight="false" outlineLevel="0" collapsed="false">
      <c r="A32" s="12" t="s">
        <v>150</v>
      </c>
      <c r="B32" s="12"/>
      <c r="C32" s="12"/>
      <c r="D32" s="12"/>
      <c r="E32" s="12"/>
      <c r="F32" s="12"/>
      <c r="G32" s="13"/>
      <c r="H32" s="13"/>
    </row>
    <row r="33" customFormat="false" ht="15.5" hidden="false" customHeight="false" outlineLevel="0" collapsed="false">
      <c r="A33" s="14" t="s">
        <v>151</v>
      </c>
      <c r="B33" s="14" t="s">
        <v>137</v>
      </c>
      <c r="C33" s="14" t="s">
        <v>138</v>
      </c>
      <c r="D33" s="14" t="s">
        <v>139</v>
      </c>
      <c r="E33" s="14" t="s">
        <v>140</v>
      </c>
      <c r="F33" s="14" t="s">
        <v>141</v>
      </c>
      <c r="G33" s="14" t="s">
        <v>152</v>
      </c>
      <c r="H33" s="14" t="s">
        <v>111</v>
      </c>
    </row>
    <row r="34" customFormat="false" ht="16" hidden="false" customHeight="false" outlineLevel="0" collapsed="false">
      <c r="A34" s="20" t="s">
        <v>142</v>
      </c>
      <c r="B34" s="18" t="n">
        <f aca="false">COUNTIF(B15:B29,"9")</f>
        <v>3</v>
      </c>
      <c r="C34" s="18" t="n">
        <f aca="false">COUNTIF(C15:C29,"9")</f>
        <v>3</v>
      </c>
      <c r="D34" s="18" t="n">
        <f aca="false">COUNTIF(D15:D29,"9")</f>
        <v>2</v>
      </c>
      <c r="E34" s="18" t="n">
        <f aca="false">COUNTIF(E15:E29,"9")</f>
        <v>3</v>
      </c>
      <c r="F34" s="18" t="n">
        <f aca="false">COUNTIF(F15:F29,"9")</f>
        <v>3</v>
      </c>
      <c r="G34" s="18" t="n">
        <f aca="false">SUM(B34:F34)</f>
        <v>14</v>
      </c>
      <c r="H34" s="10" t="s">
        <v>153</v>
      </c>
    </row>
    <row r="35" customFormat="false" ht="16" hidden="false" customHeight="false" outlineLevel="0" collapsed="false">
      <c r="A35" s="20" t="s">
        <v>144</v>
      </c>
      <c r="B35" s="18" t="n">
        <f aca="false">COUNTIF(B15:B29,"10")</f>
        <v>3</v>
      </c>
      <c r="C35" s="18" t="n">
        <f aca="false">COUNTIF(C15:C29,"10")</f>
        <v>3</v>
      </c>
      <c r="D35" s="18" t="n">
        <f aca="false">COUNTIF(D15:D29,"10")</f>
        <v>3</v>
      </c>
      <c r="E35" s="18" t="n">
        <f aca="false">COUNTIF(E15:E29,"10")</f>
        <v>3</v>
      </c>
      <c r="F35" s="18" t="n">
        <f aca="false">COUNTIF(F15:F29,"10")</f>
        <v>3</v>
      </c>
      <c r="G35" s="18" t="n">
        <f aca="false">SUM(B35:F35)</f>
        <v>15</v>
      </c>
      <c r="H35" s="10" t="s">
        <v>153</v>
      </c>
    </row>
    <row r="36" customFormat="false" ht="16" hidden="false" customHeight="false" outlineLevel="0" collapsed="false">
      <c r="A36" s="20" t="s">
        <v>145</v>
      </c>
      <c r="B36" s="18" t="n">
        <f aca="false">COUNTIF(B15:B29,"J")</f>
        <v>3</v>
      </c>
      <c r="C36" s="18" t="n">
        <f aca="false">COUNTIF(C15:C29,"J")</f>
        <v>3</v>
      </c>
      <c r="D36" s="18" t="n">
        <f aca="false">COUNTIF(D15:D29,"J")</f>
        <v>3</v>
      </c>
      <c r="E36" s="18" t="n">
        <f aca="false">COUNTIF(E15:E29,"J")</f>
        <v>3</v>
      </c>
      <c r="F36" s="18" t="n">
        <f aca="false">COUNTIF(F15:F29,"J")</f>
        <v>3</v>
      </c>
      <c r="G36" s="18" t="n">
        <f aca="false">SUM(B36:F36)</f>
        <v>15</v>
      </c>
      <c r="H36" s="10" t="s">
        <v>153</v>
      </c>
    </row>
    <row r="37" customFormat="false" ht="16" hidden="false" customHeight="false" outlineLevel="0" collapsed="false">
      <c r="A37" s="20" t="s">
        <v>146</v>
      </c>
      <c r="B37" s="18" t="n">
        <f aca="false">COUNTIF(B15:B29,"Q")</f>
        <v>3</v>
      </c>
      <c r="C37" s="18" t="n">
        <f aca="false">COUNTIF(C15:C29,"Q")</f>
        <v>3</v>
      </c>
      <c r="D37" s="18" t="n">
        <f aca="false">COUNTIF(D15:D29,"Q")</f>
        <v>2</v>
      </c>
      <c r="E37" s="18" t="n">
        <f aca="false">COUNTIF(E15:E29,"Q")</f>
        <v>3</v>
      </c>
      <c r="F37" s="18" t="n">
        <f aca="false">COUNTIF(F15:F29,"Q")</f>
        <v>3</v>
      </c>
      <c r="G37" s="18" t="n">
        <f aca="false">SUM(B37:F37)</f>
        <v>14</v>
      </c>
      <c r="H37" s="10" t="s">
        <v>153</v>
      </c>
    </row>
    <row r="38" customFormat="false" ht="16" hidden="false" customHeight="false" outlineLevel="0" collapsed="false">
      <c r="A38" s="20" t="s">
        <v>147</v>
      </c>
      <c r="B38" s="18" t="n">
        <f aca="false">COUNTIF(B15:B29,"K")</f>
        <v>3</v>
      </c>
      <c r="C38" s="18" t="n">
        <f aca="false">COUNTIF(C15:C29,"K")</f>
        <v>3</v>
      </c>
      <c r="D38" s="18" t="n">
        <f aca="false">COUNTIF(D15:D29,"K")</f>
        <v>3</v>
      </c>
      <c r="E38" s="18" t="n">
        <f aca="false">COUNTIF(E15:E29,"K")</f>
        <v>3</v>
      </c>
      <c r="F38" s="18" t="n">
        <f aca="false">COUNTIF(F15:F29,"K")</f>
        <v>3</v>
      </c>
      <c r="G38" s="18" t="n">
        <f aca="false">SUM(B38:F38)</f>
        <v>15</v>
      </c>
      <c r="H38" s="10" t="s">
        <v>153</v>
      </c>
    </row>
    <row r="39" customFormat="false" ht="16" hidden="false" customHeight="false" outlineLevel="0" collapsed="false">
      <c r="A39" s="20" t="s">
        <v>143</v>
      </c>
      <c r="B39" s="18" t="n">
        <f aca="false">COUNTIF(B15:B29,"Wild")</f>
        <v>0</v>
      </c>
      <c r="C39" s="18" t="n">
        <f aca="false">COUNTIF(C15:C29,"Wild")</f>
        <v>0</v>
      </c>
      <c r="D39" s="18" t="n">
        <f aca="false">COUNTIF(D15:D29,"Wild")</f>
        <v>2</v>
      </c>
      <c r="E39" s="18" t="n">
        <f aca="false">COUNTIF(E15:E29,"Wild")</f>
        <v>0</v>
      </c>
      <c r="F39" s="18" t="n">
        <f aca="false">COUNTIF(F15:F29,"Wild")</f>
        <v>0</v>
      </c>
      <c r="H39" s="10" t="s">
        <v>154</v>
      </c>
    </row>
    <row r="41" customFormat="false" ht="15.5" hidden="false" customHeight="false" outlineLevel="0" collapsed="false">
      <c r="A41" s="12" t="s">
        <v>155</v>
      </c>
      <c r="B41" s="12"/>
      <c r="C41" s="12"/>
      <c r="D41" s="12"/>
      <c r="E41" s="12"/>
      <c r="F41" s="12"/>
      <c r="G41" s="13"/>
      <c r="H41" s="13"/>
    </row>
    <row r="42" customFormat="false" ht="15.5" hidden="false" customHeight="false" outlineLevel="0" collapsed="false">
      <c r="A42" s="14" t="s">
        <v>129</v>
      </c>
      <c r="B42" s="14" t="s">
        <v>151</v>
      </c>
      <c r="C42" s="14" t="s">
        <v>156</v>
      </c>
      <c r="D42" s="14" t="s">
        <v>157</v>
      </c>
      <c r="E42" s="14" t="s">
        <v>158</v>
      </c>
      <c r="F42" s="14" t="s">
        <v>159</v>
      </c>
      <c r="G42" s="14" t="s">
        <v>160</v>
      </c>
      <c r="H42" s="14" t="s">
        <v>111</v>
      </c>
    </row>
    <row r="43" customFormat="false" ht="16" hidden="false" customHeight="false" outlineLevel="0" collapsed="false">
      <c r="A43" s="17" t="s">
        <v>161</v>
      </c>
      <c r="B43" s="17"/>
      <c r="C43" s="18" t="n">
        <f aca="false">COUNTIF(B15:B29,"Wild")*$B$7</f>
        <v>0</v>
      </c>
      <c r="D43" s="18" t="n">
        <f aca="false">COUNTIF(C15:C29,"Wild")*$B$7</f>
        <v>0</v>
      </c>
      <c r="E43" s="18" t="n">
        <f aca="false">COUNTIF(D15:D29,"Wild")*$B$7</f>
        <v>6</v>
      </c>
      <c r="F43" s="18" t="n">
        <f aca="false">COUNTIF(E15:E29,"Wild")*$B$7</f>
        <v>0</v>
      </c>
      <c r="G43" s="18" t="n">
        <f aca="false">COUNTIF(F15:F29,"Wild")*$B$7</f>
        <v>0</v>
      </c>
      <c r="H43" s="16" t="s">
        <v>162</v>
      </c>
      <c r="I43" s="16"/>
      <c r="J43" s="16"/>
      <c r="K43" s="16"/>
    </row>
    <row r="44" customFormat="false" ht="16" hidden="false" customHeight="false" outlineLevel="0" collapsed="false">
      <c r="A44" s="20" t="s">
        <v>163</v>
      </c>
      <c r="B44" s="20" t="s">
        <v>142</v>
      </c>
      <c r="C44" s="21" t="n">
        <v>3</v>
      </c>
      <c r="D44" s="21" t="n">
        <v>3</v>
      </c>
      <c r="E44" s="21" t="n">
        <v>0</v>
      </c>
      <c r="F44" s="21" t="n">
        <v>3</v>
      </c>
      <c r="G44" s="21" t="n">
        <v>3</v>
      </c>
      <c r="H44" s="10" t="s">
        <v>164</v>
      </c>
    </row>
    <row r="45" customFormat="false" ht="16" hidden="false" customHeight="false" outlineLevel="0" collapsed="false">
      <c r="A45" s="20" t="s">
        <v>163</v>
      </c>
      <c r="B45" s="20" t="s">
        <v>144</v>
      </c>
      <c r="C45" s="21" t="n">
        <v>3</v>
      </c>
      <c r="D45" s="21" t="n">
        <v>3</v>
      </c>
      <c r="E45" s="21" t="n">
        <v>3</v>
      </c>
      <c r="F45" s="21" t="n">
        <v>3</v>
      </c>
      <c r="G45" s="21" t="n">
        <v>3</v>
      </c>
      <c r="H45" s="10" t="s">
        <v>165</v>
      </c>
    </row>
    <row r="46" customFormat="false" ht="16" hidden="false" customHeight="false" outlineLevel="0" collapsed="false">
      <c r="A46" s="20" t="s">
        <v>163</v>
      </c>
      <c r="B46" s="20" t="s">
        <v>145</v>
      </c>
      <c r="C46" s="21" t="n">
        <v>3</v>
      </c>
      <c r="D46" s="21" t="n">
        <v>3</v>
      </c>
      <c r="E46" s="21" t="n">
        <v>3</v>
      </c>
      <c r="F46" s="21" t="n">
        <v>3</v>
      </c>
      <c r="G46" s="21" t="n">
        <v>3</v>
      </c>
      <c r="H46" s="10" t="s">
        <v>166</v>
      </c>
    </row>
    <row r="47" customFormat="false" ht="16" hidden="false" customHeight="false" outlineLevel="0" collapsed="false">
      <c r="A47" s="20" t="s">
        <v>163</v>
      </c>
      <c r="B47" s="20" t="s">
        <v>146</v>
      </c>
      <c r="C47" s="21" t="n">
        <v>3</v>
      </c>
      <c r="D47" s="21" t="n">
        <v>3</v>
      </c>
      <c r="E47" s="21" t="n">
        <v>0</v>
      </c>
      <c r="F47" s="21" t="n">
        <v>3</v>
      </c>
      <c r="G47" s="21" t="n">
        <v>3</v>
      </c>
      <c r="H47" s="10" t="s">
        <v>167</v>
      </c>
    </row>
    <row r="48" customFormat="false" ht="16" hidden="false" customHeight="false" outlineLevel="0" collapsed="false">
      <c r="A48" s="20" t="s">
        <v>163</v>
      </c>
      <c r="B48" s="20" t="s">
        <v>147</v>
      </c>
      <c r="C48" s="21" t="n">
        <v>3</v>
      </c>
      <c r="D48" s="21" t="n">
        <v>3</v>
      </c>
      <c r="E48" s="21" t="n">
        <v>3</v>
      </c>
      <c r="F48" s="21" t="n">
        <v>3</v>
      </c>
      <c r="G48" s="21" t="n">
        <v>3</v>
      </c>
      <c r="H48" s="10" t="s">
        <v>168</v>
      </c>
    </row>
    <row r="49" customFormat="false" ht="16" hidden="false" customHeight="false" outlineLevel="0" collapsed="false">
      <c r="A49" s="20" t="s">
        <v>169</v>
      </c>
      <c r="B49" s="20" t="s">
        <v>142</v>
      </c>
      <c r="C49" s="21" t="n">
        <v>3</v>
      </c>
      <c r="D49" s="21" t="n">
        <v>3</v>
      </c>
      <c r="E49" s="21" t="n">
        <v>1</v>
      </c>
      <c r="F49" s="21" t="n">
        <v>3</v>
      </c>
      <c r="G49" s="21" t="n">
        <v>3</v>
      </c>
      <c r="H49" s="10" t="s">
        <v>170</v>
      </c>
    </row>
    <row r="50" customFormat="false" ht="16" hidden="false" customHeight="false" outlineLevel="0" collapsed="false">
      <c r="A50" s="20" t="s">
        <v>169</v>
      </c>
      <c r="B50" s="20" t="s">
        <v>144</v>
      </c>
      <c r="C50" s="21" t="n">
        <v>3</v>
      </c>
      <c r="D50" s="21" t="n">
        <v>3</v>
      </c>
      <c r="E50" s="21" t="n">
        <v>2</v>
      </c>
      <c r="F50" s="21" t="n">
        <v>3</v>
      </c>
      <c r="G50" s="21" t="n">
        <v>3</v>
      </c>
      <c r="H50" s="10" t="s">
        <v>171</v>
      </c>
    </row>
    <row r="51" customFormat="false" ht="16" hidden="false" customHeight="false" outlineLevel="0" collapsed="false">
      <c r="A51" s="20" t="s">
        <v>169</v>
      </c>
      <c r="B51" s="20" t="s">
        <v>145</v>
      </c>
      <c r="C51" s="21" t="n">
        <v>3</v>
      </c>
      <c r="D51" s="21" t="n">
        <v>3</v>
      </c>
      <c r="E51" s="21" t="n">
        <v>3</v>
      </c>
      <c r="F51" s="21" t="n">
        <v>3</v>
      </c>
      <c r="G51" s="21" t="n">
        <v>3</v>
      </c>
      <c r="H51" s="10" t="s">
        <v>172</v>
      </c>
    </row>
    <row r="52" customFormat="false" ht="16" hidden="false" customHeight="false" outlineLevel="0" collapsed="false">
      <c r="A52" s="20" t="s">
        <v>169</v>
      </c>
      <c r="B52" s="20" t="s">
        <v>146</v>
      </c>
      <c r="C52" s="21" t="n">
        <v>3</v>
      </c>
      <c r="D52" s="21" t="n">
        <v>3</v>
      </c>
      <c r="E52" s="21" t="n">
        <v>1</v>
      </c>
      <c r="F52" s="21" t="n">
        <v>3</v>
      </c>
      <c r="G52" s="21" t="n">
        <v>3</v>
      </c>
      <c r="H52" s="10" t="s">
        <v>173</v>
      </c>
    </row>
    <row r="53" customFormat="false" ht="16" hidden="false" customHeight="false" outlineLevel="0" collapsed="false">
      <c r="A53" s="20" t="s">
        <v>169</v>
      </c>
      <c r="B53" s="20" t="s">
        <v>147</v>
      </c>
      <c r="C53" s="21" t="n">
        <v>3</v>
      </c>
      <c r="D53" s="21" t="n">
        <v>3</v>
      </c>
      <c r="E53" s="21" t="n">
        <v>2</v>
      </c>
      <c r="F53" s="21" t="n">
        <v>3</v>
      </c>
      <c r="G53" s="21" t="n">
        <v>3</v>
      </c>
      <c r="H53" s="10" t="s">
        <v>174</v>
      </c>
    </row>
    <row r="54" customFormat="false" ht="16" hidden="false" customHeight="false" outlineLevel="0" collapsed="false">
      <c r="A54" s="20" t="s">
        <v>175</v>
      </c>
      <c r="B54" s="20" t="s">
        <v>142</v>
      </c>
      <c r="C54" s="21" t="n">
        <v>3</v>
      </c>
      <c r="D54" s="21" t="n">
        <v>3</v>
      </c>
      <c r="E54" s="21" t="n">
        <v>2</v>
      </c>
      <c r="F54" s="21" t="n">
        <v>3</v>
      </c>
      <c r="G54" s="21" t="n">
        <v>3</v>
      </c>
      <c r="H54" s="10" t="s">
        <v>176</v>
      </c>
    </row>
    <row r="55" customFormat="false" ht="16" hidden="false" customHeight="false" outlineLevel="0" collapsed="false">
      <c r="A55" s="20" t="s">
        <v>175</v>
      </c>
      <c r="B55" s="20" t="s">
        <v>144</v>
      </c>
      <c r="C55" s="21" t="n">
        <v>3</v>
      </c>
      <c r="D55" s="21" t="n">
        <v>3</v>
      </c>
      <c r="E55" s="21" t="n">
        <v>1</v>
      </c>
      <c r="F55" s="21" t="n">
        <v>3</v>
      </c>
      <c r="G55" s="21" t="n">
        <v>3</v>
      </c>
      <c r="H55" s="10" t="s">
        <v>177</v>
      </c>
    </row>
    <row r="56" customFormat="false" ht="16" hidden="false" customHeight="false" outlineLevel="0" collapsed="false">
      <c r="A56" s="20" t="s">
        <v>175</v>
      </c>
      <c r="B56" s="20" t="s">
        <v>145</v>
      </c>
      <c r="C56" s="21" t="n">
        <v>3</v>
      </c>
      <c r="D56" s="21" t="n">
        <v>3</v>
      </c>
      <c r="E56" s="21" t="n">
        <v>3</v>
      </c>
      <c r="F56" s="21" t="n">
        <v>3</v>
      </c>
      <c r="G56" s="21" t="n">
        <v>3</v>
      </c>
      <c r="H56" s="10" t="s">
        <v>178</v>
      </c>
    </row>
    <row r="57" customFormat="false" ht="16" hidden="false" customHeight="false" outlineLevel="0" collapsed="false">
      <c r="A57" s="20" t="s">
        <v>175</v>
      </c>
      <c r="B57" s="20" t="s">
        <v>146</v>
      </c>
      <c r="C57" s="21" t="n">
        <v>3</v>
      </c>
      <c r="D57" s="21" t="n">
        <v>3</v>
      </c>
      <c r="E57" s="21" t="n">
        <v>2</v>
      </c>
      <c r="F57" s="21" t="n">
        <v>3</v>
      </c>
      <c r="G57" s="21" t="n">
        <v>3</v>
      </c>
      <c r="H57" s="10" t="s">
        <v>179</v>
      </c>
    </row>
    <row r="58" customFormat="false" ht="16" hidden="false" customHeight="false" outlineLevel="0" collapsed="false">
      <c r="A58" s="20" t="s">
        <v>175</v>
      </c>
      <c r="B58" s="20" t="s">
        <v>147</v>
      </c>
      <c r="C58" s="21" t="n">
        <v>3</v>
      </c>
      <c r="D58" s="21" t="n">
        <v>3</v>
      </c>
      <c r="E58" s="21" t="n">
        <v>1</v>
      </c>
      <c r="F58" s="21" t="n">
        <v>3</v>
      </c>
      <c r="G58" s="21" t="n">
        <v>3</v>
      </c>
      <c r="H58" s="10" t="s">
        <v>180</v>
      </c>
    </row>
    <row r="59" customFormat="false" ht="15.5" hidden="false" customHeight="true" outlineLevel="0" collapsed="false">
      <c r="A59" s="22" t="s">
        <v>181</v>
      </c>
      <c r="B59" s="22"/>
      <c r="C59" s="22"/>
      <c r="D59" s="22"/>
      <c r="E59" s="22"/>
      <c r="F59" s="22"/>
      <c r="G59" s="22"/>
      <c r="H59" s="22"/>
      <c r="I59" s="22"/>
    </row>
    <row r="61" customFormat="false" ht="15.5" hidden="false" customHeight="false" outlineLevel="0" collapsed="false">
      <c r="A61" s="12" t="s">
        <v>182</v>
      </c>
      <c r="B61" s="12"/>
      <c r="C61" s="12"/>
      <c r="D61" s="12"/>
      <c r="E61" s="12"/>
      <c r="F61" s="12"/>
      <c r="G61" s="13"/>
      <c r="H61" s="13"/>
    </row>
    <row r="62" customFormat="false" ht="15.5" hidden="false" customHeight="false" outlineLevel="0" collapsed="false">
      <c r="A62" s="14" t="s">
        <v>151</v>
      </c>
      <c r="B62" s="23" t="s">
        <v>183</v>
      </c>
      <c r="C62" s="23" t="s">
        <v>184</v>
      </c>
      <c r="D62" s="23" t="s">
        <v>185</v>
      </c>
      <c r="E62" s="23" t="s">
        <v>186</v>
      </c>
      <c r="F62" s="23" t="s">
        <v>187</v>
      </c>
      <c r="G62" s="23" t="s">
        <v>188</v>
      </c>
      <c r="H62" s="23" t="s">
        <v>189</v>
      </c>
      <c r="I62" s="23" t="s">
        <v>190</v>
      </c>
      <c r="J62" s="23" t="s">
        <v>191</v>
      </c>
      <c r="K62" s="14" t="s">
        <v>192</v>
      </c>
    </row>
    <row r="63" customFormat="false" ht="15" hidden="false" customHeight="false" outlineLevel="0" collapsed="false">
      <c r="A63" s="20" t="s">
        <v>142</v>
      </c>
      <c r="B63" s="18" t="n">
        <f aca="false">(C44+$C$43)*(D44+$D$43)*(E44+$E$43)*($B$8-(F44+$F$43))*$B$8</f>
        <v>9720</v>
      </c>
      <c r="C63" s="18" t="n">
        <f aca="false">(C44+$C$43)*(D44+$D$43)*(E44+$E$43)*(F44+$F$43)*($B$8-(G44+$G$43))</f>
        <v>1944</v>
      </c>
      <c r="D63" s="18" t="n">
        <f aca="false">(C44+$C$43)*(D44+$D$43)*(E44+$E$43)*(F44+$F$43)*(G44+$G$43)</f>
        <v>486</v>
      </c>
      <c r="E63" s="15" t="n">
        <v>1</v>
      </c>
      <c r="F63" s="15" t="n">
        <v>3</v>
      </c>
      <c r="G63" s="15" t="n">
        <v>5</v>
      </c>
      <c r="H63" s="24" t="n">
        <f aca="false">B63/$B$9*E63</f>
        <v>0.0128</v>
      </c>
      <c r="I63" s="24" t="n">
        <f aca="false">C63/$B$9*F63</f>
        <v>0.00768</v>
      </c>
      <c r="J63" s="24" t="n">
        <f aca="false">D63/$B$9*G63</f>
        <v>0.0032</v>
      </c>
    </row>
    <row r="64" customFormat="false" ht="15" hidden="false" customHeight="false" outlineLevel="0" collapsed="false">
      <c r="A64" s="20" t="s">
        <v>144</v>
      </c>
      <c r="B64" s="18" t="n">
        <f aca="false">(C45+$C$43)*(D45+$D$43)*(E45+$E$43)*($B$8-(F45+$F$43))*$B$8</f>
        <v>14580</v>
      </c>
      <c r="C64" s="18" t="n">
        <f aca="false">(C45+$C$43)*(D45+$D$43)*(E45+$E$43)*(F45+$F$43)*($B$8-(G45+$G$43))</f>
        <v>2916</v>
      </c>
      <c r="D64" s="18" t="n">
        <f aca="false">(C45+$C$43)*(D45+$D$43)*(E45+$E$43)*(F45+$F$43)*(G45+$G$43)</f>
        <v>729</v>
      </c>
      <c r="E64" s="15" t="n">
        <v>1</v>
      </c>
      <c r="F64" s="15" t="n">
        <v>3</v>
      </c>
      <c r="G64" s="15" t="n">
        <v>5</v>
      </c>
      <c r="H64" s="24" t="n">
        <f aca="false">B64/$B$9*E64</f>
        <v>0.0192</v>
      </c>
      <c r="I64" s="24" t="n">
        <f aca="false">C64/$B$9*F64</f>
        <v>0.01152</v>
      </c>
      <c r="J64" s="24" t="n">
        <f aca="false">D64/$B$9*G64</f>
        <v>0.0048</v>
      </c>
    </row>
    <row r="65" customFormat="false" ht="15" hidden="false" customHeight="false" outlineLevel="0" collapsed="false">
      <c r="A65" s="20" t="s">
        <v>145</v>
      </c>
      <c r="B65" s="18" t="n">
        <f aca="false">(C46+$C$43)*(D46+$D$43)*(E46+$E$43)*($B$8-(F46+$F$43))*$B$8</f>
        <v>14580</v>
      </c>
      <c r="C65" s="18" t="n">
        <f aca="false">(C46+$C$43)*(D46+$D$43)*(E46+$E$43)*(F46+$F$43)*($B$8-(G46+$G$43))</f>
        <v>2916</v>
      </c>
      <c r="D65" s="18" t="n">
        <f aca="false">(C46+$C$43)*(D46+$D$43)*(E46+$E$43)*(F46+$F$43)*(G46+$G$43)</f>
        <v>729</v>
      </c>
      <c r="E65" s="15" t="n">
        <v>1</v>
      </c>
      <c r="F65" s="15" t="n">
        <v>3</v>
      </c>
      <c r="G65" s="15" t="n">
        <v>5</v>
      </c>
      <c r="H65" s="24" t="n">
        <f aca="false">B65/$B$9*E65</f>
        <v>0.0192</v>
      </c>
      <c r="I65" s="24" t="n">
        <f aca="false">C65/$B$9*F65</f>
        <v>0.01152</v>
      </c>
      <c r="J65" s="24" t="n">
        <f aca="false">D65/$B$9*G65</f>
        <v>0.0048</v>
      </c>
    </row>
    <row r="66" customFormat="false" ht="15" hidden="false" customHeight="false" outlineLevel="0" collapsed="false">
      <c r="A66" s="20" t="s">
        <v>146</v>
      </c>
      <c r="B66" s="18" t="n">
        <f aca="false">(C47+$C$43)*(D47+$D$43)*(E47+$E$43)*($B$8-(F47+$F$43))*$B$8</f>
        <v>9720</v>
      </c>
      <c r="C66" s="18" t="n">
        <f aca="false">(C47+$C$43)*(D47+$D$43)*(E47+$E$43)*(F47+$F$43)*($B$8-(G47+$G$43))</f>
        <v>1944</v>
      </c>
      <c r="D66" s="18" t="n">
        <f aca="false">(C47+$C$43)*(D47+$D$43)*(E47+$E$43)*(F47+$F$43)*(G47+$G$43)</f>
        <v>486</v>
      </c>
      <c r="E66" s="15" t="n">
        <v>5</v>
      </c>
      <c r="F66" s="15" t="n">
        <v>10</v>
      </c>
      <c r="G66" s="15" t="n">
        <v>30</v>
      </c>
      <c r="H66" s="24" t="n">
        <f aca="false">B66/$B$9*E66</f>
        <v>0.064</v>
      </c>
      <c r="I66" s="24" t="n">
        <f aca="false">C66/$B$9*F66</f>
        <v>0.0256</v>
      </c>
      <c r="J66" s="24" t="n">
        <f aca="false">D66/$B$9*G66</f>
        <v>0.0192</v>
      </c>
    </row>
    <row r="67" customFormat="false" ht="15" hidden="false" customHeight="false" outlineLevel="0" collapsed="false">
      <c r="A67" s="20" t="s">
        <v>147</v>
      </c>
      <c r="B67" s="18" t="n">
        <f aca="false">(C48+$C$43)*(D48+$D$43)*(E48+$E$43)*($B$8-(F48+$F$43))*$B$8</f>
        <v>14580</v>
      </c>
      <c r="C67" s="18" t="n">
        <f aca="false">(C48+$C$43)*(D48+$D$43)*(E48+$E$43)*(F48+$F$43)*($B$8-(G48+$G$43))</f>
        <v>2916</v>
      </c>
      <c r="D67" s="18" t="n">
        <f aca="false">(C48+$C$43)*(D48+$D$43)*(E48+$E$43)*(F48+$F$43)*(G48+$G$43)</f>
        <v>729</v>
      </c>
      <c r="E67" s="15" t="n">
        <v>30</v>
      </c>
      <c r="F67" s="15" t="n">
        <v>60</v>
      </c>
      <c r="G67" s="15" t="n">
        <v>90</v>
      </c>
      <c r="H67" s="24" t="n">
        <f aca="false">B67/$B$9*E67</f>
        <v>0.576</v>
      </c>
      <c r="I67" s="24" t="n">
        <f aca="false">C67/$B$9*F67</f>
        <v>0.2304</v>
      </c>
      <c r="J67" s="24" t="n">
        <f aca="false">D67/$B$9*G67</f>
        <v>0.0864</v>
      </c>
    </row>
    <row r="68" customFormat="false" ht="15.5" hidden="false" customHeight="false" outlineLevel="0" collapsed="false">
      <c r="A68" s="25" t="s">
        <v>193</v>
      </c>
      <c r="K68" s="26" t="n">
        <f aca="false">SUM(H63:J67)</f>
        <v>1.09632</v>
      </c>
    </row>
    <row r="69" customFormat="false" ht="15.5" hidden="false" customHeight="false" outlineLevel="0" collapsed="false">
      <c r="A69" s="12" t="s">
        <v>194</v>
      </c>
      <c r="B69" s="12"/>
      <c r="C69" s="12"/>
      <c r="D69" s="12"/>
      <c r="E69" s="12"/>
      <c r="F69" s="12"/>
      <c r="G69" s="13"/>
      <c r="H69" s="13"/>
    </row>
    <row r="70" customFormat="false" ht="15.5" hidden="false" customHeight="false" outlineLevel="0" collapsed="false">
      <c r="A70" s="14" t="s">
        <v>151</v>
      </c>
      <c r="B70" s="23" t="s">
        <v>183</v>
      </c>
      <c r="C70" s="23" t="s">
        <v>184</v>
      </c>
      <c r="D70" s="23" t="s">
        <v>185</v>
      </c>
      <c r="E70" s="23" t="s">
        <v>186</v>
      </c>
      <c r="F70" s="23" t="s">
        <v>187</v>
      </c>
      <c r="G70" s="23" t="s">
        <v>188</v>
      </c>
      <c r="H70" s="23" t="s">
        <v>189</v>
      </c>
      <c r="I70" s="23" t="s">
        <v>190</v>
      </c>
      <c r="J70" s="23" t="s">
        <v>191</v>
      </c>
      <c r="K70" s="14" t="s">
        <v>192</v>
      </c>
    </row>
    <row r="71" customFormat="false" ht="15" hidden="false" customHeight="false" outlineLevel="0" collapsed="false">
      <c r="A71" s="20" t="s">
        <v>142</v>
      </c>
      <c r="B71" s="18" t="n">
        <f aca="false">(C49+$C$43)*(D49+$D$43)*(E49+$E$43)*($B$8-(F49+$F$43))*$B$8</f>
        <v>11340</v>
      </c>
      <c r="C71" s="18" t="n">
        <f aca="false">(C49+$C$43)*(D49+$D$43)*(E49+$E$43)*(F49+$F$43)*($B$8-(G49+$G$43))</f>
        <v>2268</v>
      </c>
      <c r="D71" s="18" t="n">
        <f aca="false">(C49+$C$43)*(D49+$D$43)*(E49+$E$43)*(F49+$F$43)*(G49+$G$43)</f>
        <v>567</v>
      </c>
      <c r="E71" s="15" t="n">
        <v>1</v>
      </c>
      <c r="F71" s="15" t="n">
        <v>3</v>
      </c>
      <c r="G71" s="15" t="n">
        <v>5</v>
      </c>
      <c r="H71" s="24" t="n">
        <f aca="false">B71/$B$9*E71</f>
        <v>0.0149333333333333</v>
      </c>
      <c r="I71" s="24" t="n">
        <f aca="false">C71/$B$9*F71</f>
        <v>0.00896</v>
      </c>
      <c r="J71" s="24" t="n">
        <f aca="false">D71/$B$9*G71</f>
        <v>0.00373333333333333</v>
      </c>
    </row>
    <row r="72" customFormat="false" ht="15" hidden="false" customHeight="false" outlineLevel="0" collapsed="false">
      <c r="A72" s="20" t="s">
        <v>144</v>
      </c>
      <c r="B72" s="18" t="n">
        <f aca="false">(C50+$C$43)*(D50+$D$43)*(E50+$E$43)*($B$8-(F50+$F$43))*$B$8</f>
        <v>12960</v>
      </c>
      <c r="C72" s="18" t="n">
        <f aca="false">(C50+$C$43)*(D50+$D$43)*(E50+$E$43)*(F50+$F$43)*($B$8-(G50+$G$43))</f>
        <v>2592</v>
      </c>
      <c r="D72" s="18" t="n">
        <f aca="false">(C50+$C$43)*(D50+$D$43)*(E50+$E$43)*(F50+$F$43)*(G50+$G$43)</f>
        <v>648</v>
      </c>
      <c r="E72" s="15" t="n">
        <v>1</v>
      </c>
      <c r="F72" s="15" t="n">
        <v>3</v>
      </c>
      <c r="G72" s="15" t="n">
        <v>5</v>
      </c>
      <c r="H72" s="24" t="n">
        <f aca="false">B72/$B$9*E72</f>
        <v>0.0170666666666667</v>
      </c>
      <c r="I72" s="24" t="n">
        <f aca="false">C72/$B$9*F72</f>
        <v>0.01024</v>
      </c>
      <c r="J72" s="24" t="n">
        <f aca="false">D72/$B$9*G72</f>
        <v>0.00426666666666667</v>
      </c>
    </row>
    <row r="73" customFormat="false" ht="15" hidden="false" customHeight="false" outlineLevel="0" collapsed="false">
      <c r="A73" s="20" t="s">
        <v>145</v>
      </c>
      <c r="B73" s="18" t="n">
        <f aca="false">(C51+$C$43)*(D51+$D$43)*(E51+$E$43)*($B$8-(F51+$F$43))*$B$8</f>
        <v>14580</v>
      </c>
      <c r="C73" s="18" t="n">
        <f aca="false">(C51+$C$43)*(D51+$D$43)*(E51+$E$43)*(F51+$F$43)*($B$8-(G51+$G$43))</f>
        <v>2916</v>
      </c>
      <c r="D73" s="18" t="n">
        <f aca="false">(C51+$C$43)*(D51+$D$43)*(E51+$E$43)*(F51+$F$43)*(G51+$G$43)</f>
        <v>729</v>
      </c>
      <c r="E73" s="15" t="n">
        <v>1</v>
      </c>
      <c r="F73" s="15" t="n">
        <v>3</v>
      </c>
      <c r="G73" s="15" t="n">
        <v>5</v>
      </c>
      <c r="H73" s="24" t="n">
        <f aca="false">B73/$B$9*E73</f>
        <v>0.0192</v>
      </c>
      <c r="I73" s="24" t="n">
        <f aca="false">C73/$B$9*F73</f>
        <v>0.01152</v>
      </c>
      <c r="J73" s="24" t="n">
        <f aca="false">D73/$B$9*G73</f>
        <v>0.0048</v>
      </c>
    </row>
    <row r="74" customFormat="false" ht="15" hidden="false" customHeight="false" outlineLevel="0" collapsed="false">
      <c r="A74" s="20" t="s">
        <v>146</v>
      </c>
      <c r="B74" s="18" t="n">
        <f aca="false">(C52+$C$43)*(D52+$D$43)*(E52+$E$43)*($B$8-(F52+$F$43))*$B$8</f>
        <v>11340</v>
      </c>
      <c r="C74" s="18" t="n">
        <f aca="false">(C52+$C$43)*(D52+$D$43)*(E52+$E$43)*(F52+$F$43)*($B$8-(G52+$G$43))</f>
        <v>2268</v>
      </c>
      <c r="D74" s="18" t="n">
        <f aca="false">(C52+$C$43)*(D52+$D$43)*(E52+$E$43)*(F52+$F$43)*(G52+$G$43)</f>
        <v>567</v>
      </c>
      <c r="E74" s="15" t="n">
        <v>5</v>
      </c>
      <c r="F74" s="15" t="n">
        <v>10</v>
      </c>
      <c r="G74" s="15" t="n">
        <v>30</v>
      </c>
      <c r="H74" s="24" t="n">
        <f aca="false">B74/$B$9*E74</f>
        <v>0.0746666666666667</v>
      </c>
      <c r="I74" s="24" t="n">
        <f aca="false">C74/$B$9*F74</f>
        <v>0.0298666666666667</v>
      </c>
      <c r="J74" s="24" t="n">
        <f aca="false">D74/$B$9*G74</f>
        <v>0.0224</v>
      </c>
    </row>
    <row r="75" customFormat="false" ht="15" hidden="false" customHeight="false" outlineLevel="0" collapsed="false">
      <c r="A75" s="20" t="s">
        <v>147</v>
      </c>
      <c r="B75" s="18" t="n">
        <f aca="false">(C53+$C$43)*(D53+$D$43)*(E53+$E$43)*($B$8-(F53+$F$43))*$B$8</f>
        <v>12960</v>
      </c>
      <c r="C75" s="18" t="n">
        <f aca="false">(C53+$C$43)*(D53+$D$43)*(E53+$E$43)*(F53+$F$43)*($B$8-(G53+$G$43))</f>
        <v>2592</v>
      </c>
      <c r="D75" s="18" t="n">
        <f aca="false">(C53+$C$43)*(D53+$D$43)*(E53+$E$43)*(F53+$F$43)*(G53+$G$43)</f>
        <v>648</v>
      </c>
      <c r="E75" s="15" t="n">
        <v>30</v>
      </c>
      <c r="F75" s="15" t="n">
        <v>60</v>
      </c>
      <c r="G75" s="15" t="n">
        <v>90</v>
      </c>
      <c r="H75" s="24" t="n">
        <f aca="false">B75/$B$9*E75</f>
        <v>0.512</v>
      </c>
      <c r="I75" s="24" t="n">
        <f aca="false">C75/$B$9*F75</f>
        <v>0.2048</v>
      </c>
      <c r="J75" s="24" t="n">
        <f aca="false">D75/$B$9*G75</f>
        <v>0.0768</v>
      </c>
    </row>
    <row r="76" customFormat="false" ht="15.5" hidden="false" customHeight="false" outlineLevel="0" collapsed="false">
      <c r="A76" s="25" t="s">
        <v>195</v>
      </c>
      <c r="K76" s="26" t="n">
        <f aca="false">SUM(H71:J75)</f>
        <v>1.01525333333333</v>
      </c>
    </row>
    <row r="77" customFormat="false" ht="15.5" hidden="false" customHeight="false" outlineLevel="0" collapsed="false">
      <c r="A77" s="12" t="s">
        <v>196</v>
      </c>
      <c r="B77" s="12"/>
      <c r="C77" s="12"/>
      <c r="D77" s="12"/>
      <c r="E77" s="12"/>
      <c r="F77" s="12"/>
      <c r="G77" s="13"/>
      <c r="H77" s="13"/>
    </row>
    <row r="78" customFormat="false" ht="15.5" hidden="false" customHeight="false" outlineLevel="0" collapsed="false">
      <c r="A78" s="14" t="s">
        <v>151</v>
      </c>
      <c r="B78" s="23" t="s">
        <v>183</v>
      </c>
      <c r="C78" s="23" t="s">
        <v>184</v>
      </c>
      <c r="D78" s="23" t="s">
        <v>185</v>
      </c>
      <c r="E78" s="23" t="s">
        <v>186</v>
      </c>
      <c r="F78" s="23" t="s">
        <v>187</v>
      </c>
      <c r="G78" s="23" t="s">
        <v>188</v>
      </c>
      <c r="H78" s="23" t="s">
        <v>189</v>
      </c>
      <c r="I78" s="23" t="s">
        <v>190</v>
      </c>
      <c r="J78" s="23" t="s">
        <v>191</v>
      </c>
      <c r="K78" s="14" t="s">
        <v>192</v>
      </c>
    </row>
    <row r="79" customFormat="false" ht="15" hidden="false" customHeight="false" outlineLevel="0" collapsed="false">
      <c r="A79" s="20" t="s">
        <v>142</v>
      </c>
      <c r="B79" s="18" t="n">
        <f aca="false">(C54+$C$43)*(D54+$D$43)*(E54+$E$43)*($B$8-(F54+$F$43))*$B$8</f>
        <v>12960</v>
      </c>
      <c r="C79" s="18" t="n">
        <f aca="false">(C54+$C$43)*(D54+$D$43)*(E54+$E$43)*(F54+$F$43)*($B$8-(G54+$G$43))</f>
        <v>2592</v>
      </c>
      <c r="D79" s="18" t="n">
        <f aca="false">(C54+$C$43)*(D54+$D$43)*(E54+$E$43)*(F54+$F$43)*(G54+$G$43)</f>
        <v>648</v>
      </c>
      <c r="E79" s="15" t="n">
        <v>1</v>
      </c>
      <c r="F79" s="15" t="n">
        <v>3</v>
      </c>
      <c r="G79" s="15" t="n">
        <v>5</v>
      </c>
      <c r="H79" s="24" t="n">
        <f aca="false">B79/$B$9*E79</f>
        <v>0.0170666666666667</v>
      </c>
      <c r="I79" s="24" t="n">
        <f aca="false">C79/$B$9*F79</f>
        <v>0.01024</v>
      </c>
      <c r="J79" s="24" t="n">
        <f aca="false">D79/$B$9*G79</f>
        <v>0.00426666666666667</v>
      </c>
    </row>
    <row r="80" customFormat="false" ht="15" hidden="false" customHeight="false" outlineLevel="0" collapsed="false">
      <c r="A80" s="20" t="s">
        <v>144</v>
      </c>
      <c r="B80" s="18" t="n">
        <f aca="false">(C55+$C$43)*(D55+$D$43)*(E55+$E$43)*($B$8-(F55+$F$43))*$B$8</f>
        <v>11340</v>
      </c>
      <c r="C80" s="18" t="n">
        <f aca="false">(C55+$C$43)*(D55+$D$43)*(E55+$E$43)*(F55+$F$43)*($B$8-(G55+$G$43))</f>
        <v>2268</v>
      </c>
      <c r="D80" s="18" t="n">
        <f aca="false">(C55+$C$43)*(D55+$D$43)*(E55+$E$43)*(F55+$F$43)*(G55+$G$43)</f>
        <v>567</v>
      </c>
      <c r="E80" s="15" t="n">
        <v>1</v>
      </c>
      <c r="F80" s="15" t="n">
        <v>3</v>
      </c>
      <c r="G80" s="15" t="n">
        <v>5</v>
      </c>
      <c r="H80" s="24" t="n">
        <f aca="false">B80/$B$9*E80</f>
        <v>0.0149333333333333</v>
      </c>
      <c r="I80" s="24" t="n">
        <f aca="false">C80/$B$9*F80</f>
        <v>0.00896</v>
      </c>
      <c r="J80" s="24" t="n">
        <f aca="false">D80/$B$9*G80</f>
        <v>0.00373333333333333</v>
      </c>
    </row>
    <row r="81" customFormat="false" ht="15" hidden="false" customHeight="false" outlineLevel="0" collapsed="false">
      <c r="A81" s="20" t="s">
        <v>145</v>
      </c>
      <c r="B81" s="18" t="n">
        <f aca="false">(C56+$C$43)*(D56+$D$43)*(E56+$E$43)*($B$8-(F56+$F$43))*$B$8</f>
        <v>14580</v>
      </c>
      <c r="C81" s="18" t="n">
        <f aca="false">(C56+$C$43)*(D56+$D$43)*(E56+$E$43)*(F56+$F$43)*($B$8-(G56+$G$43))</f>
        <v>2916</v>
      </c>
      <c r="D81" s="18" t="n">
        <f aca="false">(C56+$C$43)*(D56+$D$43)*(E56+$E$43)*(F56+$F$43)*(G56+$G$43)</f>
        <v>729</v>
      </c>
      <c r="E81" s="15" t="n">
        <v>1</v>
      </c>
      <c r="F81" s="15" t="n">
        <v>3</v>
      </c>
      <c r="G81" s="15" t="n">
        <v>5</v>
      </c>
      <c r="H81" s="24" t="n">
        <f aca="false">B81/$B$9*E81</f>
        <v>0.0192</v>
      </c>
      <c r="I81" s="24" t="n">
        <f aca="false">C81/$B$9*F81</f>
        <v>0.01152</v>
      </c>
      <c r="J81" s="24" t="n">
        <f aca="false">D81/$B$9*G81</f>
        <v>0.0048</v>
      </c>
    </row>
    <row r="82" customFormat="false" ht="15" hidden="false" customHeight="false" outlineLevel="0" collapsed="false">
      <c r="A82" s="20" t="s">
        <v>146</v>
      </c>
      <c r="B82" s="18" t="n">
        <f aca="false">(C57+$C$43)*(D57+$D$43)*(E57+$E$43)*($B$8-(F57+$F$43))*$B$8</f>
        <v>12960</v>
      </c>
      <c r="C82" s="18" t="n">
        <f aca="false">(C57+$C$43)*(D57+$D$43)*(E57+$E$43)*(F57+$F$43)*($B$8-(G57+$G$43))</f>
        <v>2592</v>
      </c>
      <c r="D82" s="18" t="n">
        <f aca="false">(C57+$C$43)*(D57+$D$43)*(E57+$E$43)*(F57+$F$43)*(G57+$G$43)</f>
        <v>648</v>
      </c>
      <c r="E82" s="15" t="n">
        <v>5</v>
      </c>
      <c r="F82" s="15" t="n">
        <v>10</v>
      </c>
      <c r="G82" s="15" t="n">
        <v>30</v>
      </c>
      <c r="H82" s="24" t="n">
        <f aca="false">B82/$B$9*E82</f>
        <v>0.0853333333333333</v>
      </c>
      <c r="I82" s="24" t="n">
        <f aca="false">C82/$B$9*F82</f>
        <v>0.0341333333333333</v>
      </c>
      <c r="J82" s="24" t="n">
        <f aca="false">D82/$B$9*G82</f>
        <v>0.0256</v>
      </c>
    </row>
    <row r="83" customFormat="false" ht="15" hidden="false" customHeight="false" outlineLevel="0" collapsed="false">
      <c r="A83" s="20" t="s">
        <v>147</v>
      </c>
      <c r="B83" s="18" t="n">
        <f aca="false">(C58+$C$43)*(D58+$D$43)*(E58+$E$43)*($B$8-(F58+$F$43))*$B$8</f>
        <v>11340</v>
      </c>
      <c r="C83" s="18" t="n">
        <f aca="false">(C58+$C$43)*(D58+$D$43)*(E58+$E$43)*(F58+$F$43)*($B$8-(G58+$G$43))</f>
        <v>2268</v>
      </c>
      <c r="D83" s="18" t="n">
        <f aca="false">(C58+$C$43)*(D58+$D$43)*(E58+$E$43)*(F58+$F$43)*(G58+$G$43)</f>
        <v>567</v>
      </c>
      <c r="E83" s="15" t="n">
        <v>30</v>
      </c>
      <c r="F83" s="15" t="n">
        <v>60</v>
      </c>
      <c r="G83" s="15" t="n">
        <v>90</v>
      </c>
      <c r="H83" s="24" t="n">
        <f aca="false">B83/$B$9*E83</f>
        <v>0.448</v>
      </c>
      <c r="I83" s="24" t="n">
        <f aca="false">C83/$B$9*F83</f>
        <v>0.1792</v>
      </c>
      <c r="J83" s="24" t="n">
        <f aca="false">D83/$B$9*G83</f>
        <v>0.0672</v>
      </c>
    </row>
    <row r="84" customFormat="false" ht="15.5" hidden="false" customHeight="false" outlineLevel="0" collapsed="false">
      <c r="A84" s="25" t="s">
        <v>197</v>
      </c>
      <c r="K84" s="26" t="n">
        <f aca="false">SUM(H79:J83)</f>
        <v>0.934186666666667</v>
      </c>
    </row>
    <row r="86" customFormat="false" ht="15.5" hidden="false" customHeight="false" outlineLevel="0" collapsed="false">
      <c r="A86" s="27" t="s">
        <v>198</v>
      </c>
      <c r="B86" s="27"/>
      <c r="K86" s="26" t="n">
        <f aca="false">AVERAGE(K68,K76,K84)</f>
        <v>1.01525333333333</v>
      </c>
    </row>
    <row r="87" customFormat="false" ht="15.5" hidden="false" customHeight="true" outlineLevel="0" collapsed="false">
      <c r="A87" s="22" t="s">
        <v>199</v>
      </c>
      <c r="B87" s="22"/>
      <c r="C87" s="22"/>
      <c r="D87" s="22"/>
      <c r="E87" s="22"/>
      <c r="F87" s="22"/>
      <c r="G87" s="22"/>
      <c r="H87" s="22"/>
      <c r="I87" s="22"/>
      <c r="J87" s="22"/>
      <c r="K87" s="22"/>
    </row>
    <row r="89" customFormat="false" ht="15.5" hidden="false" customHeight="false" outlineLevel="0" collapsed="false">
      <c r="A89" s="12" t="s">
        <v>200</v>
      </c>
      <c r="B89" s="12"/>
      <c r="C89" s="12"/>
      <c r="D89" s="13"/>
      <c r="E89" s="13"/>
      <c r="F89" s="13"/>
      <c r="G89" s="13"/>
      <c r="H89" s="13"/>
    </row>
    <row r="90" customFormat="false" ht="15" hidden="false" customHeight="false" outlineLevel="0" collapsed="false">
      <c r="A90" s="14" t="s">
        <v>201</v>
      </c>
      <c r="B90" s="14" t="s">
        <v>202</v>
      </c>
      <c r="C90" s="14" t="s">
        <v>111</v>
      </c>
      <c r="D90" s="14"/>
      <c r="E90" s="14"/>
      <c r="F90" s="14"/>
      <c r="G90" s="14"/>
      <c r="H90" s="14"/>
    </row>
    <row r="91" customFormat="false" ht="16" hidden="false" customHeight="false" outlineLevel="0" collapsed="false">
      <c r="A91" s="10" t="s">
        <v>203</v>
      </c>
      <c r="B91" s="28" t="str">
        <f aca="false">IF(AND(B30=$B$8,C30=$B$8,D30=$B$8,E30=$B$8,F30=$B$8),"✓","✗")</f>
        <v>✓</v>
      </c>
      <c r="C91" s="10" t="s">
        <v>204</v>
      </c>
    </row>
    <row r="92" customFormat="false" ht="16" hidden="false" customHeight="false" outlineLevel="0" collapsed="false">
      <c r="A92" s="10" t="s">
        <v>205</v>
      </c>
      <c r="B92" s="28" t="str">
        <f aca="false">IF(AND(B34=3,C34=3,D34=2,E34=3,F34=3),"✓","✗")</f>
        <v>✓</v>
      </c>
      <c r="C92" s="10" t="s">
        <v>206</v>
      </c>
    </row>
    <row r="93" customFormat="false" ht="16" hidden="false" customHeight="false" outlineLevel="0" collapsed="false">
      <c r="A93" s="10" t="s">
        <v>207</v>
      </c>
      <c r="B93" s="28" t="str">
        <f aca="false">IF(E43=6,"✓","✗")</f>
        <v>✓</v>
      </c>
      <c r="C93" s="10" t="s">
        <v>208</v>
      </c>
    </row>
    <row r="94" customFormat="false" ht="16" hidden="false" customHeight="false" outlineLevel="0" collapsed="false">
      <c r="A94" s="10" t="s">
        <v>209</v>
      </c>
      <c r="B94" s="28" t="str">
        <f aca="false">IF(B63=9720,"✓","✗")</f>
        <v>✓</v>
      </c>
      <c r="C94" s="10" t="s">
        <v>210</v>
      </c>
    </row>
    <row r="95" customFormat="false" ht="16" hidden="false" customHeight="false" outlineLevel="0" collapsed="false">
      <c r="A95" s="10" t="s">
        <v>211</v>
      </c>
      <c r="B95" s="28" t="str">
        <f aca="false">IF(ABS(K68-1.0963)&lt;0.0005,"✓","✗")</f>
        <v>✓</v>
      </c>
      <c r="C95" s="10" t="s">
        <v>212</v>
      </c>
    </row>
    <row r="96" customFormat="false" ht="16" hidden="false" customHeight="false" outlineLevel="0" collapsed="false">
      <c r="A96" s="10" t="s">
        <v>213</v>
      </c>
      <c r="B96" s="28" t="str">
        <f aca="false">IF(ABS(K76-1.0153)&lt;0.0005,"✓","✗")</f>
        <v>✓</v>
      </c>
      <c r="C96" s="10" t="s">
        <v>212</v>
      </c>
    </row>
    <row r="97" customFormat="false" ht="16" hidden="false" customHeight="false" outlineLevel="0" collapsed="false">
      <c r="A97" s="10" t="s">
        <v>214</v>
      </c>
      <c r="B97" s="28" t="str">
        <f aca="false">IF(ABS(K84-0.9342)&lt;0.0005,"✓","✗")</f>
        <v>✓</v>
      </c>
      <c r="C97" s="10" t="s">
        <v>212</v>
      </c>
    </row>
    <row r="98" customFormat="false" ht="16" hidden="false" customHeight="false" outlineLevel="0" collapsed="false">
      <c r="A98" s="10" t="s">
        <v>215</v>
      </c>
      <c r="B98" s="28" t="str">
        <f aca="false">IF(ABS(K86-1.0153)&lt;0.0005,"✓","✗")</f>
        <v>✓</v>
      </c>
      <c r="C98" s="10" t="s">
        <v>216</v>
      </c>
    </row>
    <row r="100" customFormat="false" ht="15" hidden="false" customHeight="true" outlineLevel="0" collapsed="false">
      <c r="A100" s="22" t="s">
        <v>217</v>
      </c>
      <c r="B100" s="22"/>
      <c r="C100" s="22"/>
      <c r="D100" s="22"/>
      <c r="E100" s="22"/>
      <c r="F100" s="22"/>
      <c r="G100" s="22"/>
      <c r="H100" s="22"/>
      <c r="I100" s="22"/>
      <c r="J100" s="22"/>
      <c r="K100" s="22"/>
    </row>
  </sheetData>
  <mergeCells count="21">
    <mergeCell ref="A1:K1"/>
    <mergeCell ref="A3:C3"/>
    <mergeCell ref="C5:F5"/>
    <mergeCell ref="C7:F7"/>
    <mergeCell ref="C8:D8"/>
    <mergeCell ref="C9:D9"/>
    <mergeCell ref="C10:E10"/>
    <mergeCell ref="C11:G11"/>
    <mergeCell ref="A13:F13"/>
    <mergeCell ref="A32:F32"/>
    <mergeCell ref="A41:F41"/>
    <mergeCell ref="A43:B43"/>
    <mergeCell ref="H43:K43"/>
    <mergeCell ref="A59:I59"/>
    <mergeCell ref="A61:F61"/>
    <mergeCell ref="A69:F69"/>
    <mergeCell ref="A77:F77"/>
    <mergeCell ref="A86:B86"/>
    <mergeCell ref="A87:K87"/>
    <mergeCell ref="A89:C89"/>
    <mergeCell ref="A100:K10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P120"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2026-09-29T15:06:27Z</dcterms:created>
  <dc:creator>openpyxl</dc:creator>
  <dc:description/>
  <dc:language>zh-CN</dc:language>
  <cp:lastModifiedBy/>
  <dcterms:modified xsi:type="dcterms:W3CDTF">2026-09-29T15:06:27Z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