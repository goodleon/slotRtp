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说明" sheetId="1" state="visible" r:id="rId3"/>
    <sheet name="数据配表" sheetId="2" state="visible" r:id="rId4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<sst xmlns="http://schemas.openxmlformats.org/spreadsheetml/2006/main" count="180" uniqueCount="182">
  <si>
    <r>
      <rPr>
        <b val="true"/>
        <sz val="14"/>
        <color rgb="FF1F4E79"/>
        <rFont val="Noto Sans SC"/>
        <family val="2"/>
        <charset val="134"/>
      </rPr>
      <t xml:space="preserve">从零开始学</t>
    </r>
    <r>
      <rPr>
        <b val="true"/>
        <sz val="14"/>
        <color rgb="FF1F4E79"/>
        <rFont val="Cambria"/>
        <family val="0"/>
        <charset val="1"/>
      </rPr>
      <t xml:space="preserve">Slots 23 —— </t>
    </r>
    <r>
      <rPr>
        <b val="true"/>
        <sz val="14"/>
        <color rgb="FF1F4E79"/>
        <rFont val="Noto Sans SC"/>
        <family val="2"/>
        <charset val="134"/>
      </rPr>
      <t xml:space="preserve">基础篇：</t>
    </r>
    <r>
      <rPr>
        <b val="true"/>
        <sz val="14"/>
        <color rgb="FF1F4E79"/>
        <rFont val="Cambria"/>
        <family val="0"/>
        <charset val="1"/>
      </rPr>
      <t xml:space="preserve">Sticky Wild</t>
    </r>
  </si>
  <si>
    <r>
      <rPr>
        <sz val="11"/>
        <color rgb="FF808080"/>
        <rFont val="Noto Sans SC"/>
        <family val="2"/>
        <charset val="134"/>
      </rPr>
      <t xml:space="preserve">来源：知乎《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基础篇——</t>
    </r>
    <r>
      <rPr>
        <sz val="11"/>
        <color rgb="FF808080"/>
        <rFont val="Cambria"/>
        <family val="0"/>
        <charset val="1"/>
      </rPr>
      <t xml:space="preserve">Sticky Wild</t>
    </r>
    <r>
      <rPr>
        <sz val="11"/>
        <color rgb="FF808080"/>
        <rFont val="Noto Sans SC"/>
        <family val="2"/>
        <charset val="134"/>
      </rPr>
      <t xml:space="preserve">》  </t>
    </r>
    <r>
      <rPr>
        <sz val="11"/>
        <color rgb="FF808080"/>
        <rFont val="Cambria"/>
        <family val="0"/>
        <charset val="1"/>
      </rPr>
      <t xml:space="preserve">https://zhuanlan.zhihu.com/p/628609256</t>
    </r>
  </si>
  <si>
    <r>
      <rPr>
        <sz val="11"/>
        <color rgb="FF808080"/>
        <rFont val="Noto Sans SC"/>
        <family val="2"/>
        <charset val="134"/>
      </rPr>
      <t xml:space="preserve">专栏：从零开始学</t>
    </r>
    <r>
      <rPr>
        <sz val="11"/>
        <color rgb="FF808080"/>
        <rFont val="Cambria"/>
        <family val="0"/>
        <charset val="1"/>
      </rPr>
      <t xml:space="preserve">Slots https://zhuanlan.zhihu.com/c_1645024821070356480 </t>
    </r>
    <r>
      <rPr>
        <sz val="11"/>
        <color rgb="FF808080"/>
        <rFont val="Noto Sans SC"/>
        <family val="2"/>
        <charset val="134"/>
      </rPr>
      <t xml:space="preserve">｜ 作者：</t>
    </r>
    <r>
      <rPr>
        <sz val="11"/>
        <color rgb="FF808080"/>
        <rFont val="Cambria"/>
        <family val="0"/>
        <charset val="1"/>
      </rPr>
      <t xml:space="preserve">ASlot</t>
    </r>
  </si>
  <si>
    <r>
      <rPr>
        <sz val="11"/>
        <color rgb="FF808080"/>
        <rFont val="Noto Sans SC"/>
        <family val="2"/>
        <charset val="134"/>
      </rPr>
      <t xml:space="preserve">正文：用户在本机离线保存的网页原件（浏览器「另存为 → 网页，全部」）；本页『原文整理』即该文全文，原文配图已取回 </t>
    </r>
    <r>
      <rPr>
        <sz val="11"/>
        <color rgb="FF808080"/>
        <rFont val="Cambria"/>
        <family val="0"/>
        <charset val="1"/>
      </rPr>
      <t xml:space="preserve">images/slots/</t>
    </r>
    <r>
      <rPr>
        <sz val="11"/>
        <color rgb="FF808080"/>
        <rFont val="Noto Sans SC"/>
        <family val="2"/>
        <charset val="134"/>
      </rPr>
      <t xml:space="preserve">。</t>
    </r>
  </si>
  <si>
    <r>
      <rPr>
        <sz val="11"/>
        <color rgb="FF808080"/>
        <rFont val="Noto Sans SC"/>
        <family val="2"/>
        <charset val="134"/>
      </rPr>
      <t xml:space="preserve">样式模板：捕鱼游戏数学</t>
    </r>
    <r>
      <rPr>
        <sz val="11"/>
        <color rgb="FF808080"/>
        <rFont val="Cambria"/>
        <family val="0"/>
        <charset val="1"/>
      </rPr>
      <t xml:space="preserve">-PartII-</t>
    </r>
    <r>
      <rPr>
        <sz val="11"/>
        <color rgb="FF808080"/>
        <rFont val="Noto Sans SC"/>
        <family val="2"/>
        <charset val="134"/>
      </rPr>
      <t xml:space="preserve">特殊炮模型</t>
    </r>
    <r>
      <rPr>
        <sz val="11"/>
        <color rgb="FF808080"/>
        <rFont val="Cambria"/>
        <family val="0"/>
        <charset val="1"/>
      </rPr>
      <t xml:space="preserve">.xlsx</t>
    </r>
    <r>
      <rPr>
        <sz val="11"/>
        <color rgb="FF808080"/>
        <rFont val="Noto Sans SC"/>
        <family val="2"/>
        <charset val="134"/>
      </rPr>
      <t xml:space="preserve">（分节深蓝底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表头浅蓝底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蓝字可改输入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黑字公式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黄底关键结果）</t>
    </r>
  </si>
  <si>
    <t xml:space="preserve">页签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</si>
  <si>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说明：本文整理 —— 来源、用法、要点、原文全文、配图清单、校验与声明。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</si>
  <si>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数据配表：把原文讲到的方法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机制做成可改数值的配表（蓝字可改，公式自动联动）。</t>
    </r>
  </si>
  <si>
    <t xml:space="preserve">用法</t>
  </si>
  <si>
    <r>
      <rPr>
        <sz val="11"/>
        <color theme="1"/>
        <rFont val="Calibri"/>
        <family val="2"/>
        <charset val="1"/>
      </rPr>
      <t xml:space="preserve">1) </t>
    </r>
    <r>
      <rPr>
        <sz val="11"/>
        <color theme="1"/>
        <rFont val="Noto Sans SC"/>
        <family val="2"/>
        <charset val="134"/>
      </rPr>
      <t xml:space="preserve">先看本页『原文整理』，对照原文小标题读一遍；配图编号 ［配图 </t>
    </r>
    <r>
      <rPr>
        <sz val="11"/>
        <color theme="1"/>
        <rFont val="Calibri"/>
        <family val="2"/>
        <charset val="1"/>
      </rPr>
      <t xml:space="preserve">NN</t>
    </r>
    <r>
      <rPr>
        <sz val="11"/>
        <color theme="1"/>
        <rFont val="Noto Sans SC"/>
        <family val="2"/>
        <charset val="134"/>
      </rPr>
      <t xml:space="preserve">］ 对应 </t>
    </r>
    <r>
      <rPr>
        <sz val="11"/>
        <color theme="1"/>
        <rFont val="Calibri"/>
        <family val="2"/>
        <charset val="1"/>
      </rPr>
      <t xml:space="preserve">images/slots/628609256-NN.</t>
    </r>
    <r>
      <rPr>
        <sz val="11"/>
        <color theme="1"/>
        <rFont val="Noto Sans SC"/>
        <family val="2"/>
        <charset val="134"/>
      </rPr>
      <t xml:space="preserve">原扩展名。</t>
    </r>
  </si>
  <si>
    <r>
      <rPr>
        <sz val="11"/>
        <color theme="1"/>
        <rFont val="Calibri"/>
        <family val="2"/>
        <charset val="1"/>
      </rPr>
      <t xml:space="preserve">2) </t>
    </r>
    <r>
      <rPr>
        <sz val="11"/>
        <color theme="1"/>
        <rFont val="Noto Sans SC"/>
        <family val="2"/>
        <charset val="134"/>
      </rPr>
      <t xml:space="preserve">再看第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个页签『数据配表』：蓝字＝可改配置，黑字＝公式，黄底＝结果；改配置后各表自动联动。</t>
    </r>
  </si>
  <si>
    <r>
      <rPr>
        <sz val="11"/>
        <color theme="1"/>
        <rFont val="Calibri"/>
        <family val="2"/>
        <charset val="1"/>
      </rPr>
      <t xml:space="preserve">3) </t>
    </r>
    <r>
      <rPr>
        <sz val="11"/>
        <color theme="1"/>
        <rFont val="Noto Sans SC"/>
        <family val="2"/>
        <charset val="134"/>
      </rPr>
      <t xml:space="preserve">表内数值取自原文示例；原文只给方法而未给数值的部分，用同项目《老虎机数学入门 </t>
    </r>
    <r>
      <rPr>
        <sz val="11"/>
        <color theme="1"/>
        <rFont val="Calibri"/>
        <family val="2"/>
        <charset val="1"/>
      </rPr>
      <t xml:space="preserve">Part Ⅰ/Ⅱ</t>
    </r>
    <r>
      <rPr>
        <sz val="11"/>
        <color theme="1"/>
        <rFont val="Noto Sans SC"/>
        <family val="2"/>
        <charset val="134"/>
      </rPr>
      <t xml:space="preserve">》的示例数值（蓝字可改）。</t>
    </r>
  </si>
  <si>
    <t xml:space="preserve">要点</t>
  </si>
  <si>
    <r>
      <rPr>
        <sz val="11"/>
        <color theme="1"/>
        <rFont val="Calibri"/>
        <family val="2"/>
        <charset val="1"/>
      </rPr>
      <t xml:space="preserve">· Wild </t>
    </r>
    <r>
      <rPr>
        <sz val="11"/>
        <color theme="1"/>
        <rFont val="Noto Sans SC"/>
        <family val="2"/>
        <charset val="134"/>
      </rPr>
      <t xml:space="preserve">除替代其他图标外还演化出多种形态：扩展百搭（</t>
    </r>
    <r>
      <rPr>
        <sz val="11"/>
        <color theme="1"/>
        <rFont val="Calibri"/>
        <family val="2"/>
        <charset val="1"/>
      </rPr>
      <t xml:space="preserve">Expanding</t>
    </r>
    <r>
      <rPr>
        <sz val="11"/>
        <color theme="1"/>
        <rFont val="Noto Sans SC"/>
        <family val="2"/>
        <charset val="134"/>
      </rPr>
      <t xml:space="preserve">）、巨型百搭（</t>
    </r>
    <r>
      <rPr>
        <sz val="11"/>
        <color theme="1"/>
        <rFont val="Calibri"/>
        <family val="2"/>
        <charset val="1"/>
      </rPr>
      <t xml:space="preserve">Mega</t>
    </r>
    <r>
      <rPr>
        <sz val="11"/>
        <color theme="1"/>
        <rFont val="Noto Sans SC"/>
        <family val="2"/>
        <charset val="134"/>
      </rPr>
      <t xml:space="preserve">）、</t>
    </r>
  </si>
  <si>
    <r>
      <rPr>
        <sz val="11"/>
        <color theme="1"/>
        <rFont val="Noto Sans SC"/>
        <family val="2"/>
        <charset val="134"/>
      </rPr>
      <t xml:space="preserve">  随机倍数百搭（</t>
    </r>
    <r>
      <rPr>
        <sz val="11"/>
        <color theme="1"/>
        <rFont val="Calibri"/>
        <family val="2"/>
        <charset val="1"/>
      </rPr>
      <t xml:space="preserve">Multiplier</t>
    </r>
    <r>
      <rPr>
        <sz val="11"/>
        <color theme="1"/>
        <rFont val="Noto Sans SC"/>
        <family val="2"/>
        <charset val="134"/>
      </rPr>
      <t xml:space="preserve">）、粘性百搭（</t>
    </r>
    <r>
      <rPr>
        <sz val="11"/>
        <color theme="1"/>
        <rFont val="Calibri"/>
        <family val="2"/>
        <charset val="1"/>
      </rPr>
      <t xml:space="preserve">Sticky</t>
    </r>
    <r>
      <rPr>
        <sz val="11"/>
        <color theme="1"/>
        <rFont val="Noto Sans SC"/>
        <family val="2"/>
        <charset val="134"/>
      </rPr>
      <t xml:space="preserve">）。</t>
    </r>
  </si>
  <si>
    <r>
      <rPr>
        <sz val="11"/>
        <color theme="1"/>
        <rFont val="Calibri"/>
        <family val="2"/>
        <charset val="1"/>
      </rPr>
      <t xml:space="preserve">· Sticky Wild</t>
    </r>
    <r>
      <rPr>
        <sz val="11"/>
        <color theme="1"/>
        <rFont val="Noto Sans SC"/>
        <family val="2"/>
        <charset val="134"/>
      </rPr>
      <t xml:space="preserve">：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出现后像黏在卷轴上一样固定在原位，直到它参与中奖连线、或免费摇等特殊模式结束时解除；</t>
    </r>
  </si>
  <si>
    <r>
      <rPr>
        <sz val="11"/>
        <color theme="1"/>
        <rFont val="Noto Sans SC"/>
        <family val="2"/>
        <charset val="134"/>
      </rPr>
      <t xml:space="preserve">  目的就是保留已出现的 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，提升下一次摇奖的中奖几率。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</si>
  <si>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与 </t>
    </r>
    <r>
      <rPr>
        <sz val="11"/>
        <color theme="1"/>
        <rFont val="Calibri"/>
        <family val="2"/>
        <charset val="1"/>
      </rPr>
      <t xml:space="preserve">Hold &amp; Spin </t>
    </r>
    <r>
      <rPr>
        <sz val="11"/>
        <color theme="1"/>
        <rFont val="Noto Sans SC"/>
        <family val="2"/>
        <charset val="134"/>
      </rPr>
      <t xml:space="preserve">机制相似（都是特定图标出现后固定、固定数量影响后续判定与赔付），</t>
    </r>
  </si>
  <si>
    <r>
      <rPr>
        <sz val="11"/>
        <color theme="1"/>
        <rFont val="Noto Sans SC"/>
        <family val="2"/>
        <charset val="134"/>
      </rPr>
      <t xml:space="preserve">  这类玩法统称 </t>
    </r>
    <r>
      <rPr>
        <sz val="11"/>
        <color theme="1"/>
        <rFont val="Calibri"/>
        <family val="2"/>
        <charset val="1"/>
      </rPr>
      <t xml:space="preserve">Metamorphic Games</t>
    </r>
    <r>
      <rPr>
        <sz val="11"/>
        <color theme="1"/>
        <rFont val="Noto Sans SC"/>
        <family val="2"/>
        <charset val="134"/>
      </rPr>
      <t xml:space="preserve">（直译「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SC"/>
        <family val="2"/>
        <charset val="134"/>
      </rPr>
      <t xml:space="preserve">游戏」，取「变态进化」之意）：每一局的结果与期望都与上一局密切相关。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</si>
  <si>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家族成员还包括 </t>
    </r>
    <r>
      <rPr>
        <sz val="11"/>
        <color theme="1"/>
        <rFont val="Calibri"/>
        <family val="2"/>
        <charset val="1"/>
      </rPr>
      <t xml:space="preserve">Cascading</t>
    </r>
    <r>
      <rPr>
        <sz val="11"/>
        <color theme="1"/>
        <rFont val="Noto Sans SC"/>
        <family val="2"/>
        <charset val="134"/>
      </rPr>
      <t xml:space="preserve">、累加型 </t>
    </r>
    <r>
      <rPr>
        <sz val="11"/>
        <color theme="1"/>
        <rFont val="Calibri"/>
        <family val="2"/>
        <charset val="1"/>
      </rPr>
      <t xml:space="preserve">Jackpot </t>
    </r>
    <r>
      <rPr>
        <sz val="11"/>
        <color theme="1"/>
        <rFont val="Noto Sans SC"/>
        <family val="2"/>
        <charset val="134"/>
      </rPr>
      <t xml:space="preserve">等。这类玩法的数值模型不固定，</t>
    </r>
  </si>
  <si>
    <r>
      <rPr>
        <sz val="11"/>
        <color theme="1"/>
        <rFont val="Noto Sans SC"/>
        <family val="2"/>
        <charset val="134"/>
      </rPr>
      <t xml:space="preserve">  多数情况下无法（或成本远高于写模拟器）用公式算准 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；</t>
    </r>
  </si>
  <si>
    <r>
      <rPr>
        <sz val="11"/>
        <color theme="1"/>
        <rFont val="Noto Sans SC"/>
        <family val="2"/>
        <charset val="134"/>
      </rPr>
      <t xml:space="preserve">  实际工作中策划只要掌握「影响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的因素」，再配合开发跑数据即可。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</si>
  <si>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组合数示例：若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  <charset val="134"/>
      </rPr>
      <t xml:space="preserve">个位置可附着 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，情况数 ＝ </t>
    </r>
    <r>
      <rPr>
        <sz val="11"/>
        <color theme="1"/>
        <rFont val="Calibri"/>
        <family val="2"/>
        <charset val="1"/>
      </rPr>
      <t xml:space="preserve">ΣC(5,k) </t>
    </r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SC"/>
        <family val="2"/>
        <charset val="134"/>
      </rPr>
      <t xml:space="preserve">种；每种情况都要先算标准图标 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，</t>
    </r>
  </si>
  <si>
    <r>
      <rPr>
        <sz val="11"/>
        <color theme="1"/>
        <rFont val="Noto Sans SC"/>
        <family val="2"/>
        <charset val="134"/>
      </rPr>
      <t xml:space="preserve">  再算该情况在本局的概率，两者相乘才是期望——而概率本身随上一局分布变化，必须从第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局逐局往后推。</t>
    </r>
  </si>
  <si>
    <t xml:space="preserve">原文整理（全文，按原文小标题分段）</t>
  </si>
  <si>
    <r>
      <rPr>
        <sz val="11"/>
        <color theme="1"/>
        <rFont val="Noto Sans SC"/>
        <family val="2"/>
        <charset val="134"/>
      </rPr>
      <t xml:space="preserve">在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产品中，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和百搭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是最为常见的特殊图标</t>
    </r>
  </si>
  <si>
    <r>
      <rPr>
        <sz val="11"/>
        <color theme="1"/>
        <rFont val="Noto Sans SC"/>
        <family val="2"/>
        <charset val="134"/>
      </rPr>
      <t xml:space="preserve">其中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图标一般仅作为替代其他标准图标的作用，但是偶尔也会作为其他</t>
    </r>
    <r>
      <rPr>
        <sz val="11"/>
        <color theme="1"/>
        <rFont val="Calibri"/>
        <family val="2"/>
        <charset val="1"/>
      </rPr>
      <t xml:space="preserve">Feature</t>
    </r>
    <r>
      <rPr>
        <sz val="11"/>
        <color theme="1"/>
        <rFont val="Noto Sans SC"/>
        <family val="2"/>
        <charset val="134"/>
      </rPr>
      <t xml:space="preserve">出现</t>
    </r>
  </si>
  <si>
    <r>
      <rPr>
        <sz val="11"/>
        <color theme="1"/>
        <rFont val="Noto Sans SC"/>
        <family val="2"/>
        <charset val="134"/>
      </rPr>
      <t xml:space="preserve">例如出现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时，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出现列的图标均变成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，这种叫做</t>
    </r>
    <r>
      <rPr>
        <sz val="11"/>
        <color theme="1"/>
        <rFont val="Calibri"/>
        <family val="2"/>
        <charset val="1"/>
      </rPr>
      <t xml:space="preserve">Exanding Wild</t>
    </r>
    <r>
      <rPr>
        <sz val="11"/>
        <color theme="1"/>
        <rFont val="Noto Sans SC"/>
        <family val="2"/>
        <charset val="134"/>
      </rPr>
      <t xml:space="preserve">，扩展百搭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</si>
  <si>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01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628609256-01.jpg</t>
    </r>
  </si>
  <si>
    <r>
      <rPr>
        <sz val="11"/>
        <color theme="1"/>
        <rFont val="Noto Sans SC"/>
        <family val="2"/>
        <charset val="134"/>
      </rPr>
      <t xml:space="preserve">或者出现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时，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本身的大小要比其他图标大很多，这种叫做</t>
    </r>
    <r>
      <rPr>
        <sz val="11"/>
        <color theme="1"/>
        <rFont val="Calibri"/>
        <family val="2"/>
        <charset val="1"/>
      </rPr>
      <t xml:space="preserve">Mega Wild Symbol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</si>
  <si>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02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628609256-02.jpg</t>
    </r>
  </si>
  <si>
    <r>
      <rPr>
        <sz val="11"/>
        <color theme="1"/>
        <rFont val="Noto Sans SC"/>
        <family val="2"/>
        <charset val="134"/>
      </rPr>
      <t xml:space="preserve">还有些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图标有几率出现随机倍数，让该次中奖的赔付倍数乘上该随机倍数，这种叫做</t>
    </r>
    <r>
      <rPr>
        <sz val="11"/>
        <color theme="1"/>
        <rFont val="Calibri"/>
        <family val="2"/>
        <charset val="1"/>
      </rPr>
      <t xml:space="preserve">Multiplier Wild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</si>
  <si>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628609256-03.jpg</t>
    </r>
  </si>
  <si>
    <r>
      <rPr>
        <sz val="11"/>
        <color theme="1"/>
        <rFont val="Noto Sans SC"/>
        <family val="2"/>
        <charset val="134"/>
      </rPr>
      <t xml:space="preserve">又或者当出现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图标后，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图标会停留在卷轴上，直到中奖或者免费摇结束之后才会消失</t>
    </r>
  </si>
  <si>
    <r>
      <rPr>
        <sz val="11"/>
        <color theme="1"/>
        <rFont val="Noto Sans SC"/>
        <family val="2"/>
        <charset val="134"/>
      </rPr>
      <t xml:space="preserve">这种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也就是本片将要介绍的主角，</t>
    </r>
    <r>
      <rPr>
        <sz val="11"/>
        <color theme="1"/>
        <rFont val="Calibri"/>
        <family val="2"/>
        <charset val="1"/>
      </rPr>
      <t xml:space="preserve">Sticky Wild</t>
    </r>
    <r>
      <rPr>
        <sz val="11"/>
        <color theme="1"/>
        <rFont val="Noto Sans SC"/>
        <family val="2"/>
        <charset val="134"/>
      </rPr>
      <t xml:space="preserve">，粘性百搭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</si>
  <si>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04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628609256-04.jpg</t>
    </r>
  </si>
  <si>
    <t xml:space="preserve">机制简介</t>
  </si>
  <si>
    <r>
      <rPr>
        <sz val="11"/>
        <color theme="1"/>
        <rFont val="Noto Sans SC"/>
        <family val="2"/>
        <charset val="134"/>
      </rPr>
      <t xml:space="preserve">粘性百搭的机制和其名称一样，当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图标出现在卷轴上时，其会像是黏在卷轴上一样，固定在出现的位置</t>
    </r>
  </si>
  <si>
    <r>
      <rPr>
        <sz val="11"/>
        <color theme="1"/>
        <rFont val="Noto Sans SC"/>
        <family val="2"/>
        <charset val="134"/>
      </rPr>
      <t xml:space="preserve">当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图标参与中奖连线之后，或者免费摇等特殊模式结束时，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图标解除黏贴</t>
    </r>
  </si>
  <si>
    <r>
      <rPr>
        <sz val="11"/>
        <color theme="1"/>
        <rFont val="Noto Sans SC"/>
        <family val="2"/>
        <charset val="134"/>
      </rPr>
      <t xml:space="preserve">不难看出，粘性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就是目的就是通过保留出现的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图标，提升玩家下一次摇奖的中奖几率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</si>
  <si>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05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628609256-05.jpg</t>
    </r>
  </si>
  <si>
    <r>
      <rPr>
        <sz val="11"/>
        <color theme="1"/>
        <rFont val="Noto Sans SC"/>
        <family val="2"/>
        <charset val="134"/>
      </rPr>
      <t xml:space="preserve">这种简单易懂并且收益直观的</t>
    </r>
    <r>
      <rPr>
        <sz val="11"/>
        <color theme="1"/>
        <rFont val="Calibri"/>
        <family val="2"/>
        <charset val="1"/>
      </rPr>
      <t xml:space="preserve">Feature</t>
    </r>
    <r>
      <rPr>
        <sz val="11"/>
        <color theme="1"/>
        <rFont val="Noto Sans SC"/>
        <family val="2"/>
        <charset val="134"/>
      </rPr>
      <t xml:space="preserve">一经推出就受到玩家的喜爱</t>
    </r>
  </si>
  <si>
    <r>
      <rPr>
        <sz val="11"/>
        <color theme="1"/>
        <rFont val="Noto Sans SC"/>
        <family val="2"/>
        <charset val="134"/>
      </rPr>
      <t xml:space="preserve">许多经典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中都能看到这类</t>
    </r>
    <r>
      <rPr>
        <sz val="11"/>
        <color theme="1"/>
        <rFont val="Calibri"/>
        <family val="2"/>
        <charset val="1"/>
      </rPr>
      <t xml:space="preserve">Feature</t>
    </r>
    <r>
      <rPr>
        <sz val="11"/>
        <color theme="1"/>
        <rFont val="Noto Sans SC"/>
        <family val="2"/>
        <charset val="134"/>
      </rPr>
      <t xml:space="preserve">的身影</t>
    </r>
  </si>
  <si>
    <r>
      <rPr>
        <sz val="11"/>
        <color theme="1"/>
        <rFont val="Noto Sans SC"/>
        <family val="2"/>
        <charset val="134"/>
      </rPr>
      <t xml:space="preserve">如果有阅读过之前对</t>
    </r>
    <r>
      <rPr>
        <sz val="11"/>
        <color theme="1"/>
        <rFont val="Calibri"/>
        <family val="2"/>
        <charset val="1"/>
      </rPr>
      <t xml:space="preserve">Hold &amp;amp; Spin</t>
    </r>
    <r>
      <rPr>
        <sz val="11"/>
        <color theme="1"/>
        <rFont val="Noto Sans SC"/>
        <family val="2"/>
        <charset val="134"/>
      </rPr>
      <t xml:space="preserve">的文章应该就能发现</t>
    </r>
  </si>
  <si>
    <r>
      <rPr>
        <sz val="11"/>
        <color theme="1"/>
        <rFont val="Calibri"/>
        <family val="2"/>
        <charset val="1"/>
      </rPr>
      <t xml:space="preserve">Sticky Wild</t>
    </r>
    <r>
      <rPr>
        <sz val="11"/>
        <color theme="1"/>
        <rFont val="Noto Sans SC"/>
        <family val="2"/>
        <charset val="134"/>
      </rPr>
      <t xml:space="preserve">和 </t>
    </r>
    <r>
      <rPr>
        <sz val="11"/>
        <color theme="1"/>
        <rFont val="Calibri"/>
        <family val="2"/>
        <charset val="1"/>
      </rPr>
      <t xml:space="preserve">Hold &amp; Spin</t>
    </r>
    <r>
      <rPr>
        <sz val="11"/>
        <color theme="1"/>
        <rFont val="Noto Sans SC"/>
        <family val="2"/>
        <charset val="134"/>
      </rPr>
      <t xml:space="preserve">的机制存在一些相似之处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</si>
  <si>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628609256-06.jpg</t>
    </r>
  </si>
  <si>
    <t xml:space="preserve">他们在特定图标出现在卷轴上之后都会固定在卷轴上</t>
  </si>
  <si>
    <t xml:space="preserve">并且固定的卷轴数量会影响到之后的中奖判定、赔付金额等要素</t>
  </si>
  <si>
    <r>
      <rPr>
        <sz val="11"/>
        <color theme="1"/>
        <rFont val="Noto Sans SC"/>
        <family val="2"/>
        <charset val="134"/>
      </rPr>
      <t xml:space="preserve">之前介绍</t>
    </r>
    <r>
      <rPr>
        <sz val="11"/>
        <color theme="1"/>
        <rFont val="Calibri"/>
        <family val="2"/>
        <charset val="1"/>
      </rPr>
      <t xml:space="preserve">Hold &amp; Spin</t>
    </r>
    <r>
      <rPr>
        <sz val="11"/>
        <color theme="1"/>
        <rFont val="Noto Sans SC"/>
        <family val="2"/>
        <charset val="134"/>
      </rPr>
      <t xml:space="preserve">的文章详见：</t>
    </r>
  </si>
  <si>
    <t xml:space="preserve">https://zhuanlan.zhihu.com/p/624676796</t>
  </si>
  <si>
    <t xml:space="preserve">https://zhuanlan.zhihu.com/p/624678060</t>
  </si>
  <si>
    <r>
      <rPr>
        <sz val="11"/>
        <color theme="1"/>
        <rFont val="Noto Sans SC"/>
        <family val="2"/>
        <charset val="134"/>
      </rPr>
      <t xml:space="preserve">这类</t>
    </r>
    <r>
      <rPr>
        <sz val="11"/>
        <color theme="1"/>
        <rFont val="Calibri"/>
        <family val="2"/>
        <charset val="1"/>
      </rPr>
      <t xml:space="preserve">Feature</t>
    </r>
    <r>
      <rPr>
        <sz val="11"/>
        <color theme="1"/>
        <rFont val="Noto Sans SC"/>
        <family val="2"/>
        <charset val="134"/>
      </rPr>
      <t xml:space="preserve">常被叫做</t>
    </r>
    <r>
      <rPr>
        <sz val="11"/>
        <color theme="1"/>
        <rFont val="Calibri"/>
        <family val="2"/>
        <charset val="1"/>
      </rPr>
      <t xml:space="preserve">Metamorphic Games</t>
    </r>
    <r>
      <rPr>
        <sz val="11"/>
        <color theme="1"/>
        <rFont val="Noto Sans SC"/>
        <family val="2"/>
        <charset val="134"/>
      </rPr>
      <t xml:space="preserve">，直译过来就是“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SC"/>
        <family val="2"/>
        <charset val="134"/>
      </rPr>
      <t xml:space="preserve">游戏”</t>
    </r>
  </si>
  <si>
    <r>
      <rPr>
        <sz val="11"/>
        <color theme="1"/>
        <rFont val="Noto Sans SC"/>
        <family val="2"/>
        <charset val="134"/>
      </rPr>
      <t xml:space="preserve">这里的</t>
    </r>
    <r>
      <rPr>
        <sz val="11"/>
        <color theme="1"/>
        <rFont val="Calibri"/>
        <family val="2"/>
        <charset val="1"/>
      </rPr>
      <t xml:space="preserve">Metamorphic</t>
    </r>
    <r>
      <rPr>
        <sz val="11"/>
        <color theme="1"/>
        <rFont val="Noto Sans SC"/>
        <family val="2"/>
        <charset val="134"/>
      </rPr>
      <t xml:space="preserve">更多的其实是表达“变态进化”的意思</t>
    </r>
  </si>
  <si>
    <r>
      <rPr>
        <sz val="11"/>
        <color theme="1"/>
        <rFont val="Noto Sans SC"/>
        <family val="2"/>
        <charset val="134"/>
      </rPr>
      <t xml:space="preserve">因为这类</t>
    </r>
    <r>
      <rPr>
        <sz val="11"/>
        <color theme="1"/>
        <rFont val="Calibri"/>
        <family val="2"/>
        <charset val="1"/>
      </rPr>
      <t xml:space="preserve">Feature</t>
    </r>
    <r>
      <rPr>
        <sz val="11"/>
        <color theme="1"/>
        <rFont val="Noto Sans SC"/>
        <family val="2"/>
        <charset val="134"/>
      </rPr>
      <t xml:space="preserve">在游戏过程中会随着游戏的进行不断地进化</t>
    </r>
  </si>
  <si>
    <t xml:space="preserve">每一局的结果和期望都和上一局的结果密切相关</t>
  </si>
  <si>
    <r>
      <rPr>
        <sz val="11"/>
        <color theme="1"/>
        <rFont val="Noto Sans SC"/>
        <family val="2"/>
        <charset val="134"/>
      </rPr>
      <t xml:space="preserve">除了</t>
    </r>
    <r>
      <rPr>
        <sz val="11"/>
        <color theme="1"/>
        <rFont val="Calibri"/>
        <family val="2"/>
        <charset val="1"/>
      </rPr>
      <t xml:space="preserve">Sticky Wild</t>
    </r>
    <r>
      <rPr>
        <sz val="11"/>
        <color theme="1"/>
        <rFont val="Noto Sans SC"/>
        <family val="2"/>
        <charset val="134"/>
      </rPr>
      <t xml:space="preserve">和 </t>
    </r>
    <r>
      <rPr>
        <sz val="11"/>
        <color theme="1"/>
        <rFont val="Calibri"/>
        <family val="2"/>
        <charset val="1"/>
      </rPr>
      <t xml:space="preserve">Hold &amp; Spin</t>
    </r>
  </si>
  <si>
    <r>
      <rPr>
        <sz val="11"/>
        <color theme="1"/>
        <rFont val="Noto Sans SC"/>
        <family val="2"/>
        <charset val="134"/>
      </rPr>
      <t xml:space="preserve">还有之前介绍过的</t>
    </r>
    <r>
      <rPr>
        <sz val="11"/>
        <color theme="1"/>
        <rFont val="Calibri"/>
        <family val="2"/>
        <charset val="1"/>
      </rPr>
      <t xml:space="preserve">Cascading Symbols</t>
    </r>
    <r>
      <rPr>
        <sz val="11"/>
        <color theme="1"/>
        <rFont val="Noto Sans SC"/>
        <family val="2"/>
        <charset val="134"/>
      </rPr>
      <t xml:space="preserve">（详见：</t>
    </r>
    <r>
      <rPr>
        <sz val="11"/>
        <color theme="1"/>
        <rFont val="Calibri"/>
        <family val="2"/>
        <charset val="1"/>
      </rPr>
      <t xml:space="preserve">https://zhuanlan.zhihu.com/p/626184549</t>
    </r>
    <r>
      <rPr>
        <sz val="11"/>
        <color theme="1"/>
        <rFont val="Noto Sans SC"/>
        <family val="2"/>
        <charset val="134"/>
      </rPr>
      <t xml:space="preserve">）</t>
    </r>
  </si>
  <si>
    <r>
      <rPr>
        <sz val="11"/>
        <color theme="1"/>
        <rFont val="Noto Sans SC"/>
        <family val="2"/>
        <charset val="134"/>
      </rPr>
      <t xml:space="preserve">以及会随着摇奖累加的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，都可以被算作</t>
    </r>
    <r>
      <rPr>
        <sz val="11"/>
        <color theme="1"/>
        <rFont val="Calibri"/>
        <family val="2"/>
        <charset val="1"/>
      </rPr>
      <t xml:space="preserve">Metamorphic Games</t>
    </r>
    <r>
      <rPr>
        <sz val="11"/>
        <color theme="1"/>
        <rFont val="Noto Sans SC"/>
        <family val="2"/>
        <charset val="134"/>
      </rPr>
      <t xml:space="preserve">的范畴</t>
    </r>
  </si>
  <si>
    <t xml:space="preserve">这类游戏随着游戏的进行，其赔付倍数、中奖率，甚至游戏机制都能出现一定的变化</t>
  </si>
  <si>
    <t xml:space="preserve">因此该类游戏的数值模型并不是一成不变的，需要依据具体情况具体分析</t>
  </si>
  <si>
    <r>
      <rPr>
        <sz val="11"/>
        <color theme="1"/>
        <rFont val="Noto Sans SC"/>
        <family val="2"/>
        <charset val="134"/>
      </rPr>
      <t xml:space="preserve">在大多数情况下，其预期的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都是无法通过数值计算得出的</t>
    </r>
  </si>
  <si>
    <r>
      <rPr>
        <sz val="11"/>
        <color theme="1"/>
        <rFont val="Noto Sans SC"/>
        <family val="2"/>
        <charset val="134"/>
      </rPr>
      <t xml:space="preserve">或者说计算其数值需要耗费的时间远远大于制作一个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模拟器需要的时间</t>
    </r>
  </si>
  <si>
    <r>
      <rPr>
        <sz val="11"/>
        <color theme="1"/>
        <rFont val="Noto Sans SC"/>
        <family val="2"/>
        <charset val="134"/>
      </rPr>
      <t xml:space="preserve">因此在实际工作中，游戏策划只要掌握好影响</t>
    </r>
    <r>
      <rPr>
        <sz val="11"/>
        <color theme="1"/>
        <rFont val="Calibri"/>
        <family val="2"/>
        <charset val="1"/>
      </rPr>
      <t xml:space="preserve">Metamorphic Game</t>
    </r>
    <r>
      <rPr>
        <sz val="11"/>
        <color theme="1"/>
        <rFont val="Noto Sans SC"/>
        <family val="2"/>
        <charset val="134"/>
      </rPr>
      <t xml:space="preserve">的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的因素，再配合开发跑数据即可</t>
    </r>
  </si>
  <si>
    <t xml:space="preserve">数值简介</t>
  </si>
  <si>
    <r>
      <rPr>
        <sz val="11"/>
        <color theme="1"/>
        <rFont val="Noto Sans SC"/>
        <family val="2"/>
        <charset val="134"/>
      </rPr>
      <t xml:space="preserve">如果需要自己计算的话，以</t>
    </r>
    <r>
      <rPr>
        <sz val="11"/>
        <color theme="1"/>
        <rFont val="Calibri"/>
        <family val="2"/>
        <charset val="1"/>
      </rPr>
      <t xml:space="preserve">Sticky Wild</t>
    </r>
    <r>
      <rPr>
        <sz val="11"/>
        <color theme="1"/>
        <rFont val="Noto Sans SC"/>
        <family val="2"/>
        <charset val="134"/>
      </rPr>
      <t xml:space="preserve">为例</t>
    </r>
  </si>
  <si>
    <r>
      <rPr>
        <sz val="11"/>
        <color theme="1"/>
        <rFont val="Noto Sans SC"/>
        <family val="2"/>
        <charset val="134"/>
      </rPr>
      <t xml:space="preserve">在一款</t>
    </r>
    <r>
      <rPr>
        <sz val="11"/>
        <color theme="1"/>
        <rFont val="Calibri"/>
        <family val="2"/>
        <charset val="1"/>
      </rPr>
      <t xml:space="preserve">3*</t>
    </r>
    <r>
      <rPr>
        <sz val="11"/>
        <color theme="1"/>
        <rFont val="Noto Sans SC"/>
        <family val="2"/>
        <charset val="134"/>
      </rPr>
      <t xml:space="preserve">的 </t>
    </r>
    <r>
      <rPr>
        <sz val="11"/>
        <color theme="1"/>
        <rFont val="Calibri"/>
        <family val="2"/>
        <charset val="1"/>
      </rPr>
      <t xml:space="preserve">Line Slots</t>
    </r>
    <r>
      <rPr>
        <sz val="11"/>
        <color theme="1"/>
        <rFont val="Noto Sans SC"/>
        <family val="2"/>
        <charset val="134"/>
      </rPr>
      <t xml:space="preserve">游戏中，就存在</t>
    </r>
    <r>
      <rPr>
        <sz val="11"/>
        <color theme="1"/>
        <rFont val="Calibri"/>
        <family val="2"/>
        <charset val="1"/>
      </rPr>
      <t xml:space="preserve">COMBIN(5,0) + COMBIN(5,1) + COMBIN(5,2) + COMBIN(5,3) + COMBIN(5,4) + COMBIN(5,5) = 32</t>
    </r>
    <r>
      <rPr>
        <sz val="11"/>
        <color theme="1"/>
        <rFont val="Noto Sans SC"/>
        <family val="2"/>
        <charset val="134"/>
      </rPr>
      <t xml:space="preserve">中图标附着情况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</si>
  <si>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07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628609256-07.jpg</t>
    </r>
  </si>
  <si>
    <r>
      <rPr>
        <sz val="11"/>
        <color theme="1"/>
        <rFont val="Noto Sans SC"/>
        <family val="2"/>
        <charset val="134"/>
      </rPr>
      <t xml:space="preserve">在计算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时，需要先计算出这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SC"/>
        <family val="2"/>
        <charset val="134"/>
      </rPr>
      <t xml:space="preserve">中情况下的标准图标</t>
    </r>
    <r>
      <rPr>
        <sz val="11"/>
        <color theme="1"/>
        <rFont val="Calibri"/>
        <family val="2"/>
        <charset val="1"/>
      </rPr>
      <t xml:space="preserve">RTP</t>
    </r>
  </si>
  <si>
    <t xml:space="preserve">然后再计算各情况出现的几率</t>
  </si>
  <si>
    <t xml:space="preserve">两个数值相乘得到各情况对应的期望赔付倍数</t>
  </si>
  <si>
    <t xml:space="preserve">这里计算各情况的出现几率时</t>
  </si>
  <si>
    <t xml:space="preserve">又因为每一局出现哪种情况与之前的图标分布有密切关系</t>
  </si>
  <si>
    <t xml:space="preserve">例如上一局四列上已经分布了五个图标</t>
  </si>
  <si>
    <r>
      <rPr>
        <sz val="11"/>
        <color theme="1"/>
        <rFont val="Noto Sans SC"/>
        <family val="2"/>
        <charset val="134"/>
      </rPr>
      <t xml:space="preserve">此时摇奖则所有列必定都是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图标</t>
    </r>
  </si>
  <si>
    <r>
      <rPr>
        <sz val="11"/>
        <color theme="1"/>
        <rFont val="Noto Sans SC"/>
        <family val="2"/>
        <charset val="134"/>
      </rPr>
      <t xml:space="preserve">因此在存在</t>
    </r>
    <r>
      <rPr>
        <sz val="11"/>
        <color theme="1"/>
        <rFont val="Calibri"/>
        <family val="2"/>
        <charset val="1"/>
      </rPr>
      <t xml:space="preserve">Sticky Wild</t>
    </r>
    <r>
      <rPr>
        <sz val="11"/>
        <color theme="1"/>
        <rFont val="Noto Sans SC"/>
        <family val="2"/>
        <charset val="134"/>
      </rPr>
      <t xml:space="preserve">的游戏中，每进行一局，以上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SC"/>
        <family val="2"/>
        <charset val="134"/>
      </rPr>
      <t xml:space="preserve">种情况出现的几率均不相同</t>
    </r>
  </si>
  <si>
    <t xml:space="preserve">因此需要从第一局开始，依次向后计算每一局出现该图标的几率</t>
  </si>
  <si>
    <t xml:space="preserve">详细的计算方法会在后续的数值篇进行介绍，这里只简单地展示数值计算表格。其结果如下：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</si>
  <si>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08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628609256-08.jpg</t>
    </r>
  </si>
  <si>
    <r>
      <rPr>
        <sz val="11"/>
        <color theme="1"/>
        <rFont val="Noto Sans SC"/>
        <family val="2"/>
        <charset val="134"/>
      </rPr>
      <t xml:space="preserve">得到了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SC"/>
        <family val="2"/>
        <charset val="134"/>
      </rPr>
      <t xml:space="preserve">种情况的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以及每一局各情况的出现该率后，即可使两者想乘，得到每一局的期望</t>
    </r>
  </si>
  <si>
    <t xml:space="preserve">送礼物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</si>
  <si>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628609256-09.jpg</t>
    </r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</si>
  <si>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人已送礼物</t>
    </r>
  </si>
  <si>
    <r>
      <rPr>
        <b val="true"/>
        <sz val="11"/>
        <rFont val="Noto Sans SC"/>
        <family val="2"/>
        <charset val="134"/>
      </rPr>
      <t xml:space="preserve">原文配图清单（共 </t>
    </r>
    <r>
      <rPr>
        <b val="true"/>
        <sz val="11"/>
        <rFont val="Cambria"/>
        <family val="0"/>
        <charset val="1"/>
      </rPr>
      <t xml:space="preserve">9 </t>
    </r>
    <r>
      <rPr>
        <b val="true"/>
        <sz val="11"/>
        <rFont val="Noto Sans SC"/>
        <family val="2"/>
        <charset val="134"/>
      </rPr>
      <t xml:space="preserve">张，已保存到 </t>
    </r>
    <r>
      <rPr>
        <b val="true"/>
        <sz val="11"/>
        <rFont val="Cambria"/>
        <family val="0"/>
        <charset val="1"/>
      </rPr>
      <t xml:space="preserve">images/slots/</t>
    </r>
    <r>
      <rPr>
        <b val="true"/>
        <sz val="11"/>
        <rFont val="Noto Sans SC"/>
        <family val="2"/>
        <charset val="134"/>
      </rPr>
      <t xml:space="preserve">）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</si>
  <si>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01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628609256-01.jpg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</si>
  <si>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02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628609256-02.jpg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</si>
  <si>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03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628609256-03.jpg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</si>
  <si>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04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628609256-04.jpg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</si>
  <si>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05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628609256-05.jpg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</si>
  <si>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06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628609256-06.jpg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</si>
  <si>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07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628609256-07.jpg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</si>
  <si>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08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628609256-08.jpg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</si>
  <si>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09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628609256-09.jpg</t>
    </r>
  </si>
  <si>
    <t xml:space="preserve">校验</t>
  </si>
  <si>
    <r>
      <rPr>
        <sz val="11"/>
        <color theme="1"/>
        <rFont val="Noto Sans SC"/>
        <family val="2"/>
        <charset val="134"/>
      </rPr>
      <t xml:space="preserve">① 本簿由 </t>
    </r>
    <r>
      <rPr>
        <sz val="11"/>
        <color theme="1"/>
        <rFont val="Calibri"/>
        <family val="2"/>
        <charset val="1"/>
      </rPr>
      <t xml:space="preserve">openpyxl </t>
    </r>
    <r>
      <rPr>
        <sz val="11"/>
        <color theme="1"/>
        <rFont val="Noto Sans SC"/>
        <family val="2"/>
        <charset val="134"/>
      </rPr>
      <t xml:space="preserve">生成并已开启打开时重算；② 另用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SC"/>
        <family val="2"/>
        <charset val="134"/>
      </rPr>
      <t xml:space="preserve">独立重算复核，公式错误值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SC"/>
        <family val="2"/>
        <charset val="134"/>
      </rPr>
      <t xml:space="preserve">个；</t>
    </r>
  </si>
  <si>
    <t xml:space="preserve">③ 正文与原文逐句一致（用户离线保存的网页原件），配图按正文出现顺序编号。</t>
  </si>
  <si>
    <t xml:space="preserve">说明</t>
  </si>
  <si>
    <t xml:space="preserve">本簿是原文的整理与配表实现，非原文替代品；原文未提供的数值一律标注来源，不臆造。</t>
  </si>
  <si>
    <r>
      <rPr>
        <sz val="11"/>
        <color theme="1"/>
        <rFont val="Noto Sans SC"/>
        <family val="2"/>
        <charset val="134"/>
      </rPr>
      <t xml:space="preserve">原文版权归作者 </t>
    </r>
    <r>
      <rPr>
        <sz val="11"/>
        <color theme="1"/>
        <rFont val="Calibri"/>
        <family val="2"/>
        <charset val="1"/>
      </rPr>
      <t xml:space="preserve">ASlot </t>
    </r>
    <r>
      <rPr>
        <sz val="11"/>
        <color theme="1"/>
        <rFont val="Noto Sans SC"/>
        <family val="2"/>
        <charset val="134"/>
      </rPr>
      <t xml:space="preserve">与知乎所有，本簿仅供个人学习整理使用。</t>
    </r>
  </si>
  <si>
    <r>
      <rPr>
        <sz val="11"/>
        <color rgb="FF808080"/>
        <rFont val="Cambria"/>
        <family val="0"/>
        <charset val="1"/>
      </rPr>
      <t xml:space="preserve">Source: zhihu.com</t>
    </r>
    <r>
      <rPr>
        <sz val="11"/>
        <color rgb="FF808080"/>
        <rFont val="Noto Sans SC"/>
        <family val="2"/>
        <charset val="134"/>
      </rPr>
      <t xml:space="preserve">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基础篇——</t>
    </r>
    <r>
      <rPr>
        <sz val="11"/>
        <color rgb="FF808080"/>
        <rFont val="Cambria"/>
        <family val="0"/>
        <charset val="1"/>
      </rPr>
      <t xml:space="preserve">Sticky Wild</t>
    </r>
    <r>
      <rPr>
        <sz val="11"/>
        <color rgb="FF808080"/>
        <rFont val="Noto Sans SC"/>
        <family val="2"/>
        <charset val="134"/>
      </rPr>
      <t xml:space="preserve">》</t>
    </r>
    <r>
      <rPr>
        <sz val="11"/>
        <color rgb="FF808080"/>
        <rFont val="Cambria"/>
        <family val="0"/>
        <charset val="1"/>
      </rPr>
      <t xml:space="preserve">, https://zhuanlan.zhihu.com/p/628609256</t>
    </r>
  </si>
  <si>
    <r>
      <rPr>
        <b val="true"/>
        <sz val="14"/>
        <color rgb="FF1F4E79"/>
        <rFont val="Noto Sans SC"/>
        <family val="2"/>
        <charset val="134"/>
      </rPr>
      <t xml:space="preserve">基础篇 </t>
    </r>
    <r>
      <rPr>
        <b val="true"/>
        <sz val="14"/>
        <color rgb="FF1F4E79"/>
        <rFont val="Cambria"/>
        <family val="0"/>
        <charset val="1"/>
      </rPr>
      <t xml:space="preserve">· Sticky Wild —— </t>
    </r>
    <r>
      <rPr>
        <b val="true"/>
        <sz val="14"/>
        <color rgb="FF1F4E79"/>
        <rFont val="Noto Sans SC"/>
        <family val="2"/>
        <charset val="134"/>
      </rPr>
      <t xml:space="preserve">数据配表（蓝字＝可改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黑字＝公式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黄底＝结果）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</si>
  <si>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1</t>
    </r>
    <r>
      <rPr>
        <b val="true"/>
        <sz val="11"/>
        <color rgb="FF1F4E79"/>
        <rFont val="Noto Sans SC"/>
        <family val="2"/>
        <charset val="134"/>
      </rPr>
      <t xml:space="preserve">】四种 </t>
    </r>
    <r>
      <rPr>
        <b val="true"/>
        <sz val="11"/>
        <color rgb="FF1F4E79"/>
        <rFont val="Cambria"/>
        <family val="0"/>
        <charset val="1"/>
      </rPr>
      <t xml:space="preserve">Wild </t>
    </r>
    <r>
      <rPr>
        <b val="true"/>
        <sz val="11"/>
        <color rgb="FF1F4E79"/>
        <rFont val="Noto Sans SC"/>
        <family val="2"/>
        <charset val="134"/>
      </rPr>
      <t xml:space="preserve">变体对照（原文）</t>
    </r>
  </si>
  <si>
    <t xml:space="preserve">变体</t>
  </si>
  <si>
    <t xml:space="preserve">英文</t>
  </si>
  <si>
    <t xml:space="preserve">机制</t>
  </si>
  <si>
    <t xml:space="preserve">对数值的影响</t>
  </si>
  <si>
    <t xml:space="preserve">扩展百搭</t>
  </si>
  <si>
    <t xml:space="preserve">Expanding Wild</t>
  </si>
  <si>
    <r>
      <rPr>
        <sz val="11"/>
        <color theme="1"/>
        <rFont val="Noto Sans SC"/>
        <family val="2"/>
        <charset val="134"/>
      </rPr>
      <t xml:space="preserve">出现的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向上下拓展，直到整列都变成 </t>
    </r>
    <r>
      <rPr>
        <sz val="11"/>
        <color theme="1"/>
        <rFont val="Calibri"/>
        <family val="2"/>
        <charset val="1"/>
      </rPr>
      <t xml:space="preserve">Wild</t>
    </r>
  </si>
  <si>
    <r>
      <rPr>
        <sz val="11"/>
        <color theme="1"/>
        <rFont val="Noto Sans SC"/>
        <family val="2"/>
        <charset val="134"/>
      </rPr>
      <t xml:space="preserve">该列出现几率视为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SC"/>
        <family val="2"/>
        <charset val="134"/>
      </rPr>
      <t xml:space="preserve">，中奖率大幅提升（见 </t>
    </r>
    <r>
      <rPr>
        <sz val="11"/>
        <color theme="1"/>
        <rFont val="Calibri"/>
        <family val="2"/>
        <charset val="1"/>
      </rPr>
      <t xml:space="preserve">33~35 </t>
    </r>
    <r>
      <rPr>
        <sz val="11"/>
        <color theme="1"/>
        <rFont val="Noto Sans SC"/>
        <family val="2"/>
        <charset val="134"/>
      </rPr>
      <t xml:space="preserve">篇）</t>
    </r>
  </si>
  <si>
    <t xml:space="preserve">巨型百搭</t>
  </si>
  <si>
    <t xml:space="preserve">Mega Wild Symbol</t>
  </si>
  <si>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图标本身占据多格，体积远大于普通图标</t>
    </r>
  </si>
  <si>
    <t xml:space="preserve">等价于多格同时为百搭，需按占位分别计入各列事件数</t>
  </si>
  <si>
    <t xml:space="preserve">随机倍数百搭</t>
  </si>
  <si>
    <t xml:space="preserve">Multiplier Wild</t>
  </si>
  <si>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带随机倍数，本次中奖赔付倍数乘该倍数</t>
    </r>
  </si>
  <si>
    <r>
      <rPr>
        <sz val="11"/>
        <color theme="1"/>
        <rFont val="Noto Sans SC"/>
        <family val="2"/>
        <charset val="134"/>
      </rPr>
      <t xml:space="preserve">期望 ＝ 基础期望 </t>
    </r>
    <r>
      <rPr>
        <sz val="11"/>
        <color theme="1"/>
        <rFont val="Calibri"/>
        <family val="2"/>
        <charset val="1"/>
      </rPr>
      <t xml:space="preserve">× E(</t>
    </r>
    <r>
      <rPr>
        <sz val="11"/>
        <color theme="1"/>
        <rFont val="Noto Sans SC"/>
        <family val="2"/>
        <charset val="134"/>
      </rPr>
      <t xml:space="preserve">倍数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SC"/>
        <family val="2"/>
        <charset val="134"/>
      </rPr>
      <t xml:space="preserve">，波动性明显上升</t>
    </r>
  </si>
  <si>
    <t xml:space="preserve">粘性百搭</t>
  </si>
  <si>
    <t xml:space="preserve">Sticky Wild</t>
  </si>
  <si>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出现后固定在原位，直到中奖或特殊模式结束</t>
    </r>
  </si>
  <si>
    <r>
      <rPr>
        <sz val="11"/>
        <color theme="1"/>
        <rFont val="Noto Sans SC"/>
        <family val="2"/>
        <charset val="134"/>
      </rPr>
      <t xml:space="preserve">下一局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分布依赖本局结果 → 逐局递推（见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SC"/>
        <family val="2"/>
        <charset val="134"/>
      </rPr>
      <t xml:space="preserve">篇）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</si>
  <si>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2</t>
    </r>
    <r>
      <rPr>
        <b val="true"/>
        <sz val="11"/>
        <color rgb="FF1F4E79"/>
        <rFont val="Noto Sans SC"/>
        <family val="2"/>
        <charset val="134"/>
      </rPr>
      <t xml:space="preserve">】</t>
    </r>
    <r>
      <rPr>
        <b val="true"/>
        <sz val="11"/>
        <color rgb="FF1F4E79"/>
        <rFont val="Cambria"/>
        <family val="0"/>
        <charset val="1"/>
      </rPr>
      <t xml:space="preserve">Sticky Wild </t>
    </r>
    <r>
      <rPr>
        <b val="true"/>
        <sz val="11"/>
        <color rgb="FF1F4E79"/>
        <rFont val="Noto Sans SC"/>
        <family val="2"/>
        <charset val="134"/>
      </rPr>
      <t xml:space="preserve">机制要点</t>
    </r>
  </si>
  <si>
    <t xml:space="preserve">环节</t>
  </si>
  <si>
    <t xml:space="preserve">内容</t>
  </si>
  <si>
    <t xml:space="preserve">固定时机</t>
  </si>
  <si>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出现在卷轴上后，立即固定在它出现的位置</t>
    </r>
  </si>
  <si>
    <t xml:space="preserve">解除时机</t>
  </si>
  <si>
    <r>
      <rPr>
        <sz val="11"/>
        <color theme="1"/>
        <rFont val="Noto Sans SC"/>
        <family val="2"/>
        <charset val="134"/>
      </rPr>
      <t xml:space="preserve">该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参与中奖连线后，或免费摇等特殊模式结束时解除黏贴</t>
    </r>
  </si>
  <si>
    <t xml:space="preserve">设计目的</t>
  </si>
  <si>
    <r>
      <rPr>
        <sz val="11"/>
        <color theme="1"/>
        <rFont val="Noto Sans SC"/>
        <family val="2"/>
        <charset val="134"/>
      </rPr>
      <t xml:space="preserve">保留已出现的 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，提升玩家下一次摇奖的中奖几率</t>
    </r>
  </si>
  <si>
    <t xml:space="preserve">玩家感知</t>
  </si>
  <si>
    <r>
      <rPr>
        <sz val="11"/>
        <color theme="1"/>
        <rFont val="Noto Sans SC"/>
        <family val="2"/>
        <charset val="134"/>
      </rPr>
      <t xml:space="preserve">机制直观、收益可见，因此被大量经典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采用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</si>
  <si>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3</t>
    </r>
    <r>
      <rPr>
        <b val="true"/>
        <sz val="11"/>
        <color rgb="FF1F4E79"/>
        <rFont val="Noto Sans SC"/>
        <family val="2"/>
        <charset val="134"/>
      </rPr>
      <t xml:space="preserve">】与 </t>
    </r>
    <r>
      <rPr>
        <b val="true"/>
        <sz val="11"/>
        <color rgb="FF1F4E79"/>
        <rFont val="Cambria"/>
        <family val="0"/>
        <charset val="1"/>
      </rPr>
      <t xml:space="preserve">Hold &amp; Spin </t>
    </r>
    <r>
      <rPr>
        <b val="true"/>
        <sz val="11"/>
        <color rgb="FF1F4E79"/>
        <rFont val="Noto Sans SC"/>
        <family val="2"/>
        <charset val="134"/>
      </rPr>
      <t xml:space="preserve">的异同（原文对照）</t>
    </r>
  </si>
  <si>
    <t xml:space="preserve">对比项</t>
  </si>
  <si>
    <t xml:space="preserve">Hold &amp; Spin</t>
  </si>
  <si>
    <t xml:space="preserve">固定对象</t>
  </si>
  <si>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图标</t>
    </r>
  </si>
  <si>
    <r>
      <rPr>
        <sz val="11"/>
        <color theme="1"/>
        <rFont val="Noto Sans SC"/>
        <family val="2"/>
        <charset val="134"/>
      </rPr>
      <t xml:space="preserve">指定图标（如 </t>
    </r>
    <r>
      <rPr>
        <sz val="11"/>
        <color theme="1"/>
        <rFont val="Calibri"/>
        <family val="2"/>
        <charset val="1"/>
      </rPr>
      <t xml:space="preserve">Coin / Orb</t>
    </r>
    <r>
      <rPr>
        <sz val="11"/>
        <color theme="1"/>
        <rFont val="Noto Sans SC"/>
        <family val="2"/>
        <charset val="134"/>
      </rPr>
      <t xml:space="preserve">）</t>
    </r>
  </si>
  <si>
    <t xml:space="preserve">固定后作用</t>
  </si>
  <si>
    <t xml:space="preserve">继续作为百搭替代任意标准图标</t>
  </si>
  <si>
    <t xml:space="preserve">通常承载金额或倍数，参与额外结算</t>
  </si>
  <si>
    <t xml:space="preserve">状态影响</t>
  </si>
  <si>
    <t xml:space="preserve">影响后续中奖判定与赔付</t>
  </si>
  <si>
    <t xml:space="preserve">数值共性</t>
  </si>
  <si>
    <r>
      <rPr>
        <sz val="11"/>
        <color theme="1"/>
        <rFont val="Noto Sans SC"/>
        <family val="2"/>
        <charset val="134"/>
      </rPr>
      <t xml:space="preserve">状态随局数演化 → 逐局递推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  <charset val="134"/>
      </rPr>
      <t xml:space="preserve">跑数据</t>
    </r>
  </si>
  <si>
    <t xml:space="preserve">同左</t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</si>
  <si>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4</t>
    </r>
    <r>
      <rPr>
        <b val="true"/>
        <sz val="11"/>
        <color rgb="FF1F4E79"/>
        <rFont val="Noto Sans SC"/>
        <family val="2"/>
        <charset val="134"/>
      </rPr>
      <t xml:space="preserve">】</t>
    </r>
    <r>
      <rPr>
        <b val="true"/>
        <sz val="11"/>
        <color rgb="FF1F4E79"/>
        <rFont val="Cambria"/>
        <family val="0"/>
        <charset val="1"/>
      </rPr>
      <t xml:space="preserve">Metamorphic Games </t>
    </r>
    <r>
      <rPr>
        <b val="true"/>
        <sz val="11"/>
        <color rgb="FF1F4E79"/>
        <rFont val="Noto Sans SC"/>
        <family val="2"/>
        <charset val="134"/>
      </rPr>
      <t xml:space="preserve">家族与「为什么要跑数据」</t>
    </r>
  </si>
  <si>
    <t xml:space="preserve">状态如何演化</t>
  </si>
  <si>
    <t xml:space="preserve">数值处理</t>
  </si>
  <si>
    <r>
      <rPr>
        <sz val="11"/>
        <color theme="1"/>
        <rFont val="Calibri"/>
        <family val="2"/>
        <charset val="1"/>
      </rPr>
      <t xml:space="preserve">Cascading </t>
    </r>
    <r>
      <rPr>
        <sz val="11"/>
        <color theme="1"/>
        <rFont val="Noto Sans SC"/>
        <family val="2"/>
        <charset val="134"/>
      </rPr>
      <t xml:space="preserve">消除</t>
    </r>
  </si>
  <si>
    <t xml:space="preserve">消除补位后的图标分布如何变化</t>
  </si>
  <si>
    <r>
      <rPr>
        <sz val="11"/>
        <color theme="1"/>
        <rFont val="Noto Sans SC"/>
        <family val="2"/>
        <charset val="134"/>
      </rPr>
      <t xml:space="preserve">无穷级数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  <charset val="134"/>
      </rPr>
      <t xml:space="preserve">马尔科夫链估算，再跑数据（见 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SC"/>
        <family val="2"/>
        <charset val="134"/>
      </rPr>
      <t xml:space="preserve">篇）</t>
    </r>
  </si>
  <si>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的固定位置随局数累积</t>
    </r>
  </si>
  <si>
    <r>
      <rPr>
        <sz val="11"/>
        <color theme="1"/>
        <rFont val="Noto Sans SC"/>
        <family val="2"/>
        <charset val="134"/>
      </rPr>
      <t xml:space="preserve">逐局递推（见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SC"/>
        <family val="2"/>
        <charset val="134"/>
      </rPr>
      <t xml:space="preserve">篇）</t>
    </r>
  </si>
  <si>
    <t xml:space="preserve">已固定的图标数量随重摇增加</t>
  </si>
  <si>
    <r>
      <rPr>
        <sz val="11"/>
        <color theme="1"/>
        <rFont val="Noto Sans SC"/>
        <family val="2"/>
        <charset val="134"/>
      </rPr>
      <t xml:space="preserve">逐局递推（见 </t>
    </r>
    <r>
      <rPr>
        <sz val="11"/>
        <color theme="1"/>
        <rFont val="Calibri"/>
        <family val="2"/>
        <charset val="1"/>
      </rPr>
      <t xml:space="preserve">21 / 22 </t>
    </r>
    <r>
      <rPr>
        <sz val="11"/>
        <color theme="1"/>
        <rFont val="Noto Sans SC"/>
        <family val="2"/>
        <charset val="134"/>
      </rPr>
      <t xml:space="preserve">篇）</t>
    </r>
  </si>
  <si>
    <r>
      <rPr>
        <sz val="11"/>
        <color theme="1"/>
        <rFont val="Noto Sans SC"/>
        <family val="2"/>
        <charset val="134"/>
      </rPr>
      <t xml:space="preserve">累加型 </t>
    </r>
    <r>
      <rPr>
        <sz val="11"/>
        <color theme="1"/>
        <rFont val="Calibri"/>
        <family val="2"/>
        <charset val="1"/>
      </rPr>
      <t xml:space="preserve">Jackpot</t>
    </r>
  </si>
  <si>
    <t xml:space="preserve">奖池随下注累加、随中奖释放</t>
  </si>
  <si>
    <t xml:space="preserve">期望与命中分布耦合</t>
  </si>
  <si>
    <r>
      <rPr>
        <sz val="11"/>
        <color rgb="FF808080"/>
        <rFont val="Noto Sans SC"/>
        <family val="2"/>
        <charset val="134"/>
      </rPr>
      <t xml:space="preserve">原文结论：这类玩法的 </t>
    </r>
    <r>
      <rPr>
        <sz val="11"/>
        <color rgb="FF808080"/>
        <rFont val="Cambria"/>
        <family val="0"/>
        <charset val="1"/>
      </rPr>
      <t xml:space="preserve">RTP </t>
    </r>
    <r>
      <rPr>
        <sz val="11"/>
        <color rgb="FF808080"/>
        <rFont val="Noto Sans SC"/>
        <family val="2"/>
        <charset val="134"/>
      </rPr>
      <t xml:space="preserve">在大多数情况下无法靠公式算准；掌握影响因素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配合开发跑数据，是更现实的做法。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</si>
  <si>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5</t>
    </r>
    <r>
      <rPr>
        <b val="true"/>
        <sz val="11"/>
        <color rgb="FF1F4E79"/>
        <rFont val="Noto Sans SC"/>
        <family val="2"/>
        <charset val="134"/>
      </rPr>
      <t xml:space="preserve">】组合数示例：为什么必须跑数据</t>
    </r>
  </si>
  <si>
    <t xml:space="preserve">可附着位置数</t>
  </si>
  <si>
    <t xml:space="preserve">公式</t>
  </si>
  <si>
    <t xml:space="preserve">情况数</t>
  </si>
  <si>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SC"/>
        <family val="2"/>
        <charset val="134"/>
      </rPr>
      <t xml:space="preserve">个位置附着（无 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）</t>
    </r>
  </si>
  <si>
    <t xml:space="preserve">C(5,0)</t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</si>
  <si>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个位置附着</t>
    </r>
  </si>
  <si>
    <t xml:space="preserve">C(5,1)</t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</si>
  <si>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个位置附着</t>
    </r>
  </si>
  <si>
    <t xml:space="preserve">C(5,2)</t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</si>
  <si>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  <charset val="134"/>
      </rPr>
      <t xml:space="preserve">个位置附着</t>
    </r>
  </si>
  <si>
    <t xml:space="preserve">C(5,3)</t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</si>
  <si>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SC"/>
        <family val="2"/>
        <charset val="134"/>
      </rPr>
      <t xml:space="preserve">个位置附着</t>
    </r>
  </si>
  <si>
    <t xml:space="preserve">C(5,4)</t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</si>
  <si>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  <charset val="134"/>
      </rPr>
      <t xml:space="preserve">个位置附着</t>
    </r>
  </si>
  <si>
    <t xml:space="preserve">C(5,5)</t>
  </si>
  <si>
    <t xml:space="preserve">合计（原文示例）</t>
  </si>
  <si>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SC"/>
        <family val="2"/>
        <charset val="134"/>
      </rPr>
      <t xml:space="preserve">种</t>
    </r>
  </si>
  <si>
    <r>
      <rPr>
        <b val="true"/>
        <sz val="11"/>
        <rFont val="Noto Sans SC"/>
        <family val="2"/>
        <charset val="134"/>
      </rPr>
      <t xml:space="preserve">对照：</t>
    </r>
    <r>
      <rPr>
        <b val="true"/>
        <sz val="11"/>
        <rFont val="Cambria"/>
        <family val="0"/>
        <charset val="1"/>
      </rPr>
      <t xml:space="preserve">3*5 </t>
    </r>
    <r>
      <rPr>
        <b val="true"/>
        <sz val="11"/>
        <rFont val="Noto Sans SC"/>
        <family val="2"/>
        <charset val="134"/>
      </rPr>
      <t xml:space="preserve">全 </t>
    </r>
    <r>
      <rPr>
        <b val="true"/>
        <sz val="11"/>
        <rFont val="Cambria"/>
        <family val="0"/>
        <charset val="1"/>
      </rPr>
      <t xml:space="preserve">15 </t>
    </r>
    <r>
      <rPr>
        <b val="true"/>
        <sz val="11"/>
        <rFont val="Noto Sans SC"/>
        <family val="2"/>
        <charset val="134"/>
      </rPr>
      <t xml:space="preserve">格都可附着</t>
    </r>
  </si>
  <si>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32,768 </t>
    </r>
    <r>
      <rPr>
        <sz val="11"/>
        <color theme="1"/>
        <rFont val="Noto Sans SC"/>
        <family val="2"/>
        <charset val="134"/>
      </rPr>
      <t xml:space="preserve">种 → 只能跑数据</t>
    </r>
  </si>
  <si>
    <r>
      <rPr>
        <sz val="11"/>
        <color rgb="FF808080"/>
        <rFont val="Noto Sans SC"/>
        <family val="2"/>
        <charset val="134"/>
      </rPr>
      <t xml:space="preserve">每种情况都要算：① 该情况下的标准图标 </t>
    </r>
    <r>
      <rPr>
        <sz val="11"/>
        <color rgb="FF808080"/>
        <rFont val="Cambria"/>
        <family val="0"/>
        <charset val="1"/>
      </rPr>
      <t xml:space="preserve">RTP</t>
    </r>
    <r>
      <rPr>
        <sz val="11"/>
        <color rgb="FF808080"/>
        <rFont val="Noto Sans SC"/>
        <family val="2"/>
        <charset val="134"/>
      </rPr>
      <t xml:space="preserve">；② 该情况在本局出现的概率。两者相乘再按局累加。而「本局概率」又取决于上一局的分布（例如上一局已经固定了 </t>
    </r>
    <r>
      <rPr>
        <sz val="11"/>
        <color rgb="FF808080"/>
        <rFont val="Cambria"/>
        <family val="0"/>
        <charset val="1"/>
      </rPr>
      <t xml:space="preserve">5 </t>
    </r>
    <r>
      <rPr>
        <sz val="11"/>
        <color rgb="FF808080"/>
        <rFont val="Noto Sans SC"/>
        <family val="2"/>
        <charset val="134"/>
      </rPr>
      <t xml:space="preserve">个图标，本局必然满屏 </t>
    </r>
    <r>
      <rPr>
        <sz val="11"/>
        <color rgb="FF808080"/>
        <rFont val="Cambria"/>
        <family val="0"/>
        <charset val="1"/>
      </rPr>
      <t xml:space="preserve">Wild</t>
    </r>
    <r>
      <rPr>
        <sz val="11"/>
        <color rgb="FF808080"/>
        <rFont val="Noto Sans SC"/>
        <family val="2"/>
        <charset val="134"/>
      </rPr>
      <t xml:space="preserve">），所以必须从第 </t>
    </r>
    <r>
      <rPr>
        <sz val="11"/>
        <color rgb="FF808080"/>
        <rFont val="Cambria"/>
        <family val="0"/>
        <charset val="1"/>
      </rPr>
      <t xml:space="preserve">1 </t>
    </r>
    <r>
      <rPr>
        <sz val="11"/>
        <color rgb="FF808080"/>
        <rFont val="Noto Sans SC"/>
        <family val="2"/>
        <charset val="134"/>
      </rPr>
      <t xml:space="preserve">局逐局往后推——这就是原文所说 </t>
    </r>
    <r>
      <rPr>
        <sz val="11"/>
        <color rgb="FF808080"/>
        <rFont val="Cambria"/>
        <family val="0"/>
        <charset val="1"/>
      </rPr>
      <t xml:space="preserve">Metamorphic Games </t>
    </r>
    <r>
      <rPr>
        <sz val="11"/>
        <color rgb="FF808080"/>
        <rFont val="Noto Sans SC"/>
        <family val="2"/>
        <charset val="134"/>
      </rPr>
      <t xml:space="preserve">数值模型的难点。</t>
    </r>
  </si>
  <si>
    <t xml:space="preserve">说明：本页为按原文方法落地的配表实现；表内示例数值取自原文，原文未给的部分沿用同项目示例（蓝字可改）。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</si>
</sst>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4"/>
      <color rgb="FF1F4E79"/>
      <name val="Noto Sans SC"/>
      <family val="2"/>
      <charset val="134"/>
    </font>
    <font>
      <b val="true"/>
      <sz val="14"/>
      <color rgb="FF1F4E79"/>
      <name val="Cambria"/>
      <family val="0"/>
      <charset val="1"/>
    </font>
    <font>
      <sz val="11"/>
      <color rgb="FF808080"/>
      <name val="Noto Sans SC"/>
      <family val="2"/>
      <charset val="134"/>
    </font>
    <font>
      <sz val="11"/>
      <color rgb="FF808080"/>
      <name val="Cambria"/>
      <family val="0"/>
      <charset val="1"/>
    </font>
    <font>
      <b val="true"/>
      <sz val="11"/>
      <name val="Noto Sans SC"/>
      <family val="2"/>
      <charset val="134"/>
    </font>
    <font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1"/>
      <color rgb="FF1F4E79"/>
      <name val="Noto Sans SC"/>
      <family val="2"/>
      <charset val="134"/>
    </font>
    <font>
      <b val="true"/>
      <sz val="11"/>
      <color rgb="FF1F4E79"/>
      <name val="Cambria"/>
      <family val="0"/>
      <charset val="1"/>
    </font>
    <font>
      <sz val="11"/>
      <color rgb="FF000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DE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0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42.14"/>
  </cols>
  <sheetData>
    <row r="1" customFormat="false" ht="19" hidden="false" customHeight="false" outlineLevel="0" collapsed="false">
      <c r="A1" s="1" t="s">
        <v>0</v>
      </c>
    </row>
    <row r="3" customFormat="false" ht="15.5" hidden="false" customHeight="false" outlineLevel="0" collapsed="false">
      <c r="A3" s="2" t="s">
        <v>1</v>
      </c>
    </row>
    <row r="4" customFormat="false" ht="15.5" hidden="false" customHeight="false" outlineLevel="0" collapsed="false">
      <c r="A4" s="2" t="s">
        <v>2</v>
      </c>
    </row>
    <row r="5" customFormat="false" ht="15.5" hidden="false" customHeight="false" outlineLevel="0" collapsed="false">
      <c r="A5" s="3" t="s">
        <v>3</v>
      </c>
      <c r="B5" s="3"/>
      <c r="C5" s="3"/>
      <c r="D5" s="3"/>
    </row>
    <row r="6" customFormat="false" ht="15.5" hidden="false" customHeight="false" outlineLevel="0" collapsed="false">
      <c r="A6" s="3" t="s">
        <v>4</v>
      </c>
      <c r="B6" s="3"/>
      <c r="C6" s="3"/>
    </row>
    <row r="8" customFormat="false" ht="15" hidden="false" customHeight="false" outlineLevel="0" collapsed="false">
      <c r="A8" s="4" t="s">
        <v>5</v>
      </c>
    </row>
    <row r="9" customFormat="false" ht="29" hidden="false" customHeight="false" outlineLevel="0" collapsed="false">
      <c r="A9" s="22" t="s">
        <v>6</v>
      </c>
    </row>
    <row r="10" customFormat="false" ht="29" hidden="false" customHeight="false" outlineLevel="0" collapsed="false">
      <c r="A10" s="22" t="s">
        <v>7</v>
      </c>
    </row>
    <row r="11" customFormat="false" ht="15" hidden="false" customHeight="false" outlineLevel="0" collapsed="false">
      <c r="A11" s="5"/>
    </row>
    <row r="12" customFormat="false" ht="15" hidden="false" customHeight="false" outlineLevel="0" collapsed="false">
      <c r="A12" s="4" t="s">
        <v>8</v>
      </c>
    </row>
    <row r="13" customFormat="false" ht="15" hidden="false" customHeight="1" outlineLevel="0" collapsed="false">
      <c r="A13" s="23" t="s">
        <v>9</v>
      </c>
      <c r="B13" s="6"/>
      <c r="C13" s="6"/>
    </row>
    <row r="14" customFormat="false" ht="42" hidden="false" customHeight="false" outlineLevel="0" collapsed="false">
      <c r="A14" s="22" t="s">
        <v>10</v>
      </c>
    </row>
    <row r="15" customFormat="false" ht="15" hidden="false" customHeight="1" outlineLevel="0" collapsed="false">
      <c r="A15" s="23" t="s">
        <v>11</v>
      </c>
      <c r="B15" s="6"/>
      <c r="C15" s="6"/>
    </row>
    <row r="16" customFormat="false" ht="15" hidden="false" customHeight="false" outlineLevel="0" collapsed="false">
      <c r="A16" s="5"/>
    </row>
    <row r="17" customFormat="false" ht="15" hidden="false" customHeight="false" outlineLevel="0" collapsed="false">
      <c r="A17" s="4" t="s">
        <v>12</v>
      </c>
    </row>
    <row r="18" customFormat="false" ht="30" hidden="false" customHeight="false" outlineLevel="0" collapsed="false">
      <c r="A18" s="22" t="s">
        <v>13</v>
      </c>
    </row>
    <row r="19" customFormat="false" ht="16" hidden="false" customHeight="false" outlineLevel="0" collapsed="false">
      <c r="A19" s="24" t="s">
        <v>14</v>
      </c>
    </row>
    <row r="20" customFormat="false" ht="42" hidden="false" customHeight="false" outlineLevel="0" collapsed="false">
      <c r="A20" s="22" t="s">
        <v>15</v>
      </c>
    </row>
    <row r="21" customFormat="false" ht="29" hidden="false" customHeight="false" outlineLevel="0" collapsed="false">
      <c r="A21" s="24" t="s">
        <v>16</v>
      </c>
    </row>
    <row r="22" customFormat="false" ht="29" hidden="false" customHeight="false" outlineLevel="0" collapsed="false">
      <c r="A22" s="22" t="s">
        <v>17</v>
      </c>
    </row>
    <row r="23" customFormat="false" ht="15" hidden="false" customHeight="1" outlineLevel="0" collapsed="false">
      <c r="A23" s="25" t="s">
        <v>18</v>
      </c>
      <c r="B23" s="8"/>
      <c r="C23" s="8"/>
    </row>
    <row r="24" customFormat="false" ht="29" hidden="false" customHeight="false" outlineLevel="0" collapsed="false">
      <c r="A24" s="22" t="s">
        <v>19</v>
      </c>
    </row>
    <row r="25" customFormat="false" ht="29" hidden="false" customHeight="false" outlineLevel="0" collapsed="false">
      <c r="A25" s="24" t="s">
        <v>20</v>
      </c>
    </row>
    <row r="26" customFormat="false" ht="29" hidden="false" customHeight="false" outlineLevel="0" collapsed="false">
      <c r="A26" s="24" t="s">
        <v>21</v>
      </c>
    </row>
    <row r="27" customFormat="false" ht="30" hidden="false" customHeight="false" outlineLevel="0" collapsed="false">
      <c r="A27" s="22" t="s">
        <v>22</v>
      </c>
    </row>
    <row r="28" customFormat="false" ht="42" hidden="false" customHeight="false" outlineLevel="0" collapsed="false">
      <c r="A28" s="24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7"/>
    </row>
    <row r="32" customFormat="false" ht="29" hidden="false" customHeight="false" outlineLevel="0" collapsed="false">
      <c r="A32" s="24" t="s">
        <v>25</v>
      </c>
    </row>
    <row r="33" customFormat="false" ht="30" hidden="false" customHeight="false" outlineLevel="0" collapsed="false">
      <c r="A33" s="24" t="s">
        <v>26</v>
      </c>
    </row>
    <row r="34" customFormat="false" ht="30" hidden="false" customHeight="false" outlineLevel="0" collapsed="false">
      <c r="A34" s="24" t="s">
        <v>27</v>
      </c>
    </row>
    <row r="35" customFormat="false" ht="15" hidden="false" customHeight="false" outlineLevel="0" collapsed="false">
      <c r="A35" s="7"/>
    </row>
    <row r="36" customFormat="false" ht="16" hidden="false" customHeight="false" outlineLevel="0" collapsed="false">
      <c r="A36" s="7" t="s">
        <v>28</v>
      </c>
    </row>
    <row r="37" customFormat="false" ht="15" hidden="false" customHeight="false" outlineLevel="0" collapsed="false">
      <c r="A37" s="7"/>
    </row>
    <row r="38" customFormat="false" ht="30" hidden="false" customHeight="false" outlineLevel="0" collapsed="false">
      <c r="A38" s="24" t="s">
        <v>29</v>
      </c>
    </row>
    <row r="39" customFormat="false" ht="15" hidden="false" customHeight="false" outlineLevel="0" collapsed="false">
      <c r="A39" s="7"/>
    </row>
    <row r="40" customFormat="false" ht="16" hidden="false" customHeight="false" outlineLevel="0" collapsed="false">
      <c r="A40" s="7" t="s">
        <v>30</v>
      </c>
    </row>
    <row r="41" customFormat="false" ht="15" hidden="false" customHeight="false" outlineLevel="0" collapsed="false">
      <c r="A41" s="7"/>
    </row>
    <row r="42" customFormat="false" ht="30" hidden="false" customHeight="false" outlineLevel="0" collapsed="false">
      <c r="A42" s="24" t="s">
        <v>31</v>
      </c>
    </row>
    <row r="43" customFormat="false" ht="15" hidden="false" customHeight="false" outlineLevel="0" collapsed="false">
      <c r="A43" s="7"/>
    </row>
    <row r="44" customFormat="false" ht="16" hidden="false" customHeight="false" outlineLevel="0" collapsed="false">
      <c r="A44" s="7" t="s">
        <v>32</v>
      </c>
    </row>
    <row r="45" customFormat="false" ht="15" hidden="false" customHeight="false" outlineLevel="0" collapsed="false">
      <c r="A45" s="7"/>
    </row>
    <row r="46" customFormat="false" ht="29" hidden="false" customHeight="false" outlineLevel="0" collapsed="false">
      <c r="A46" s="24" t="s">
        <v>33</v>
      </c>
    </row>
    <row r="47" customFormat="false" ht="29" hidden="false" customHeight="false" outlineLevel="0" collapsed="false">
      <c r="A47" s="24" t="s">
        <v>34</v>
      </c>
    </row>
    <row r="48" customFormat="false" ht="15" hidden="false" customHeight="false" outlineLevel="0" collapsed="false">
      <c r="A48" s="7"/>
    </row>
    <row r="49" customFormat="false" ht="16" hidden="false" customHeight="false" outlineLevel="0" collapsed="false">
      <c r="A49" s="7" t="s">
        <v>35</v>
      </c>
    </row>
    <row r="50" customFormat="false" ht="15" hidden="false" customHeight="false" outlineLevel="0" collapsed="false">
      <c r="A50" s="7"/>
    </row>
    <row r="51" customFormat="false" ht="15" hidden="false" customHeight="false" outlineLevel="0" collapsed="false">
      <c r="A51" s="7" t="s">
        <v>36</v>
      </c>
    </row>
    <row r="52" customFormat="false" ht="42" hidden="false" customHeight="false" outlineLevel="0" collapsed="false">
      <c r="A52" s="24" t="s">
        <v>37</v>
      </c>
    </row>
    <row r="53" customFormat="false" ht="30" hidden="false" customHeight="false" outlineLevel="0" collapsed="false">
      <c r="A53" s="24" t="s">
        <v>38</v>
      </c>
    </row>
    <row r="54" customFormat="false" ht="30" hidden="false" customHeight="false" outlineLevel="0" collapsed="false">
      <c r="A54" s="24" t="s">
        <v>39</v>
      </c>
    </row>
    <row r="55" customFormat="false" ht="15" hidden="false" customHeight="false" outlineLevel="0" collapsed="false">
      <c r="A55" s="7"/>
    </row>
    <row r="56" customFormat="false" ht="16" hidden="false" customHeight="false" outlineLevel="0" collapsed="false">
      <c r="A56" s="7" t="s">
        <v>40</v>
      </c>
    </row>
    <row r="57" customFormat="false" ht="15" hidden="false" customHeight="false" outlineLevel="0" collapsed="false">
      <c r="A57" s="7"/>
    </row>
    <row r="58" customFormat="false" ht="29" hidden="false" customHeight="false" outlineLevel="0" collapsed="false">
      <c r="A58" s="24" t="s">
        <v>41</v>
      </c>
    </row>
    <row r="59" customFormat="false" ht="16" hidden="false" customHeight="false" outlineLevel="0" collapsed="false">
      <c r="A59" s="7" t="s">
        <v>42</v>
      </c>
    </row>
    <row r="60" customFormat="false" ht="29" hidden="false" customHeight="false" outlineLevel="0" collapsed="false">
      <c r="A60" s="24" t="s">
        <v>43</v>
      </c>
    </row>
    <row r="61" customFormat="false" ht="16" hidden="false" customHeight="false" outlineLevel="0" collapsed="false">
      <c r="A61" s="22" t="s">
        <v>44</v>
      </c>
    </row>
    <row r="62" customFormat="false" ht="15" hidden="false" customHeight="false" outlineLevel="0" collapsed="false">
      <c r="A62" s="7"/>
    </row>
    <row r="63" customFormat="false" ht="16" hidden="false" customHeight="false" outlineLevel="0" collapsed="false">
      <c r="A63" s="7" t="s">
        <v>45</v>
      </c>
    </row>
    <row r="64" customFormat="false" ht="15" hidden="false" customHeight="false" outlineLevel="0" collapsed="false">
      <c r="A64" s="7"/>
    </row>
    <row r="65" customFormat="false" ht="28" hidden="false" customHeight="false" outlineLevel="0" collapsed="false">
      <c r="A65" s="24" t="s">
        <v>46</v>
      </c>
    </row>
    <row r="66" customFormat="false" ht="28" hidden="false" customHeight="false" outlineLevel="0" collapsed="false">
      <c r="A66" s="24" t="s">
        <v>47</v>
      </c>
    </row>
    <row r="67" customFormat="false" ht="16" hidden="false" customHeight="false" outlineLevel="0" collapsed="false">
      <c r="A67" s="7" t="s">
        <v>48</v>
      </c>
    </row>
    <row r="68" customFormat="false" ht="15" hidden="false" customHeight="false" outlineLevel="0" collapsed="false">
      <c r="A68" s="5" t="s">
        <v>49</v>
      </c>
    </row>
    <row r="69" customFormat="false" ht="15" hidden="false" customHeight="false" outlineLevel="0" collapsed="false">
      <c r="A69" s="5" t="s">
        <v>50</v>
      </c>
    </row>
    <row r="70" customFormat="false" ht="30" hidden="false" customHeight="false" outlineLevel="0" collapsed="false">
      <c r="A70" s="24" t="s">
        <v>51</v>
      </c>
    </row>
    <row r="71" customFormat="false" ht="29" hidden="false" customHeight="false" outlineLevel="0" collapsed="false">
      <c r="A71" s="24" t="s">
        <v>52</v>
      </c>
    </row>
    <row r="72" customFormat="false" ht="29" hidden="false" customHeight="false" outlineLevel="0" collapsed="false">
      <c r="A72" s="24" t="s">
        <v>53</v>
      </c>
    </row>
    <row r="73" customFormat="false" ht="15" hidden="false" customHeight="false" outlineLevel="0" collapsed="false">
      <c r="A73" s="24" t="s">
        <v>54</v>
      </c>
    </row>
    <row r="74" customFormat="false" ht="16" hidden="false" customHeight="false" outlineLevel="0" collapsed="false">
      <c r="A74" s="7" t="s">
        <v>55</v>
      </c>
    </row>
    <row r="75" customFormat="false" ht="30" hidden="false" customHeight="false" outlineLevel="0" collapsed="false">
      <c r="A75" s="24" t="s">
        <v>56</v>
      </c>
    </row>
    <row r="76" customFormat="false" ht="30" hidden="false" customHeight="false" outlineLevel="0" collapsed="false">
      <c r="A76" s="24" t="s">
        <v>57</v>
      </c>
    </row>
    <row r="77" customFormat="false" ht="28" hidden="false" customHeight="false" outlineLevel="0" collapsed="false">
      <c r="A77" s="24" t="s">
        <v>58</v>
      </c>
    </row>
    <row r="78" customFormat="false" ht="28" hidden="false" customHeight="false" outlineLevel="0" collapsed="false">
      <c r="A78" s="24" t="s">
        <v>59</v>
      </c>
    </row>
    <row r="79" customFormat="false" ht="29" hidden="false" customHeight="false" outlineLevel="0" collapsed="false">
      <c r="A79" s="24" t="s">
        <v>60</v>
      </c>
    </row>
    <row r="80" customFormat="false" ht="29" hidden="false" customHeight="false" outlineLevel="0" collapsed="false">
      <c r="A80" s="24" t="s">
        <v>61</v>
      </c>
    </row>
    <row r="81" customFormat="false" ht="42" hidden="false" customHeight="false" outlineLevel="0" collapsed="false">
      <c r="A81" s="24" t="s">
        <v>62</v>
      </c>
    </row>
    <row r="82" customFormat="false" ht="15" hidden="false" customHeight="false" outlineLevel="0" collapsed="false">
      <c r="A82" s="7" t="s">
        <v>63</v>
      </c>
    </row>
    <row r="83" customFormat="false" ht="16" hidden="false" customHeight="false" outlineLevel="0" collapsed="false">
      <c r="A83" s="7" t="s">
        <v>64</v>
      </c>
    </row>
    <row r="84" customFormat="false" ht="15" hidden="false" customHeight="1" outlineLevel="0" collapsed="false">
      <c r="A84" s="25" t="s">
        <v>65</v>
      </c>
      <c r="B84" s="8"/>
      <c r="C84" s="8"/>
      <c r="D84" s="8"/>
      <c r="E84" s="8"/>
    </row>
    <row r="85" customFormat="false" ht="15" hidden="false" customHeight="false" outlineLevel="0" collapsed="false">
      <c r="A85" s="7"/>
    </row>
    <row r="86" customFormat="false" ht="16" hidden="false" customHeight="false" outlineLevel="0" collapsed="false">
      <c r="A86" s="7" t="s">
        <v>66</v>
      </c>
    </row>
    <row r="87" customFormat="false" ht="15" hidden="false" customHeight="false" outlineLevel="0" collapsed="false">
      <c r="A87" s="7"/>
    </row>
    <row r="88" customFormat="false" ht="30" hidden="false" customHeight="false" outlineLevel="0" collapsed="false">
      <c r="A88" s="24" t="s">
        <v>67</v>
      </c>
    </row>
    <row r="89" customFormat="false" ht="15" hidden="false" customHeight="false" outlineLevel="0" collapsed="false">
      <c r="A89" s="7" t="s">
        <v>68</v>
      </c>
    </row>
    <row r="90" customFormat="false" ht="15" hidden="false" customHeight="false" outlineLevel="0" collapsed="false">
      <c r="A90" s="7" t="s">
        <v>69</v>
      </c>
    </row>
    <row r="91" customFormat="false" ht="15" hidden="false" customHeight="false" outlineLevel="0" collapsed="false">
      <c r="A91" s="7" t="s">
        <v>70</v>
      </c>
    </row>
    <row r="92" customFormat="false" ht="28" hidden="false" customHeight="false" outlineLevel="0" collapsed="false">
      <c r="A92" s="24" t="s">
        <v>71</v>
      </c>
    </row>
    <row r="93" customFormat="false" ht="15" hidden="false" customHeight="false" outlineLevel="0" collapsed="false">
      <c r="A93" s="7" t="s">
        <v>72</v>
      </c>
    </row>
    <row r="94" customFormat="false" ht="16" hidden="false" customHeight="false" outlineLevel="0" collapsed="false">
      <c r="A94" s="7" t="s">
        <v>73</v>
      </c>
    </row>
    <row r="95" customFormat="false" ht="30" hidden="false" customHeight="false" outlineLevel="0" collapsed="false">
      <c r="A95" s="24" t="s">
        <v>74</v>
      </c>
    </row>
    <row r="96" customFormat="false" ht="28" hidden="false" customHeight="false" outlineLevel="0" collapsed="false">
      <c r="A96" s="24" t="s">
        <v>75</v>
      </c>
    </row>
    <row r="97" customFormat="false" ht="28" hidden="false" customHeight="false" outlineLevel="0" collapsed="false">
      <c r="A97" s="24" t="s">
        <v>76</v>
      </c>
    </row>
    <row r="98" customFormat="false" ht="15" hidden="false" customHeight="false" outlineLevel="0" collapsed="false">
      <c r="A98" s="7"/>
    </row>
    <row r="99" customFormat="false" ht="16" hidden="false" customHeight="false" outlineLevel="0" collapsed="false">
      <c r="A99" s="7" t="s">
        <v>77</v>
      </c>
    </row>
    <row r="100" customFormat="false" ht="15" hidden="false" customHeight="false" outlineLevel="0" collapsed="false">
      <c r="A100" s="7"/>
    </row>
    <row r="101" customFormat="false" ht="29" hidden="false" customHeight="false" outlineLevel="0" collapsed="false">
      <c r="A101" s="24" t="s">
        <v>78</v>
      </c>
    </row>
    <row r="102" customFormat="false" ht="15" hidden="false" customHeight="false" outlineLevel="0" collapsed="false">
      <c r="A102" s="7"/>
    </row>
    <row r="103" customFormat="false" ht="15" hidden="false" customHeight="false" outlineLevel="0" collapsed="false">
      <c r="A103" s="7" t="s">
        <v>79</v>
      </c>
    </row>
    <row r="104" customFormat="false" ht="15" hidden="false" customHeight="false" outlineLevel="0" collapsed="false">
      <c r="A104" s="7"/>
    </row>
    <row r="105" customFormat="false" ht="16" hidden="false" customHeight="false" outlineLevel="0" collapsed="false">
      <c r="A105" s="7" t="s">
        <v>80</v>
      </c>
    </row>
    <row r="106" customFormat="false" ht="15" hidden="false" customHeight="false" outlineLevel="0" collapsed="false">
      <c r="A106" s="7"/>
    </row>
    <row r="107" customFormat="false" ht="16" hidden="false" customHeight="false" outlineLevel="0" collapsed="false">
      <c r="A107" s="27">
        <v>1</v>
      </c>
    </row>
    <row r="109" customFormat="false" ht="15.5" hidden="false" customHeight="false" outlineLevel="0" collapsed="false">
      <c r="A109" s="26" t="s">
        <v>82</v>
      </c>
    </row>
    <row r="110" customFormat="false" ht="15.5" hidden="false" customHeight="false" outlineLevel="0" collapsed="false">
      <c r="A110" s="2" t="s">
        <v>83</v>
      </c>
    </row>
    <row r="111" customFormat="false" ht="15.5" hidden="false" customHeight="false" outlineLevel="0" collapsed="false">
      <c r="A111" s="2" t="s">
        <v>84</v>
      </c>
    </row>
    <row r="112" customFormat="false" ht="15.5" hidden="false" customHeight="false" outlineLevel="0" collapsed="false">
      <c r="A112" s="2" t="s">
        <v>85</v>
      </c>
    </row>
    <row r="113" customFormat="false" ht="15.5" hidden="false" customHeight="false" outlineLevel="0" collapsed="false">
      <c r="A113" s="2" t="s">
        <v>86</v>
      </c>
    </row>
    <row r="114" customFormat="false" ht="15.5" hidden="false" customHeight="false" outlineLevel="0" collapsed="false">
      <c r="A114" s="2" t="s">
        <v>87</v>
      </c>
    </row>
    <row r="115" customFormat="false" ht="15.5" hidden="false" customHeight="false" outlineLevel="0" collapsed="false">
      <c r="A115" s="2" t="s">
        <v>88</v>
      </c>
    </row>
    <row r="116" customFormat="false" ht="15.5" hidden="false" customHeight="false" outlineLevel="0" collapsed="false">
      <c r="A116" s="2" t="s">
        <v>89</v>
      </c>
    </row>
    <row r="117" customFormat="false" ht="15.5" hidden="false" customHeight="false" outlineLevel="0" collapsed="false">
      <c r="A117" s="2" t="s">
        <v>90</v>
      </c>
    </row>
    <row r="118" customFormat="false" ht="15.5" hidden="false" customHeight="false" outlineLevel="0" collapsed="false">
      <c r="A118" s="2" t="s">
        <v>91</v>
      </c>
    </row>
    <row r="120" customFormat="false" ht="15" hidden="false" customHeight="false" outlineLevel="0" collapsed="false">
      <c r="A120" s="4" t="s">
        <v>92</v>
      </c>
    </row>
    <row r="121" customFormat="false" ht="30" hidden="false" customHeight="false" outlineLevel="0" collapsed="false">
      <c r="A121" s="24" t="s">
        <v>93</v>
      </c>
    </row>
    <row r="122" customFormat="false" ht="28" hidden="false" customHeight="false" outlineLevel="0" collapsed="false">
      <c r="A122" s="24" t="s">
        <v>94</v>
      </c>
    </row>
    <row r="123" customFormat="false" ht="15" hidden="false" customHeight="false" outlineLevel="0" collapsed="false">
      <c r="A123" s="7"/>
    </row>
    <row r="124" customFormat="false" ht="15" hidden="false" customHeight="false" outlineLevel="0" collapsed="false">
      <c r="A124" s="4" t="s">
        <v>95</v>
      </c>
    </row>
    <row r="125" customFormat="false" ht="28" hidden="false" customHeight="false" outlineLevel="0" collapsed="false">
      <c r="A125" s="24" t="s">
        <v>96</v>
      </c>
    </row>
    <row r="126" customFormat="false" ht="29" hidden="false" customHeight="false" outlineLevel="0" collapsed="false">
      <c r="A126" s="24" t="s">
        <v>97</v>
      </c>
    </row>
    <row r="128" customFormat="false" ht="15.5" hidden="false" customHeight="false" outlineLevel="0" collapsed="false">
      <c r="A128" s="9" t="s">
        <v>98</v>
      </c>
    </row>
  </sheetData>
  <mergeCells count="6">
    <mergeCell ref="A5:L5"/>
    <mergeCell ref="A6:J6"/>
    <mergeCell ref="A13:I13"/>
    <mergeCell ref="A15:J15"/>
    <mergeCell ref="A23:J23"/>
    <mergeCell ref="A84:M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J148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10" width="27.31"/>
    <col collapsed="false" customWidth="true" hidden="false" outlineLevel="0" max="7" min="2" style="10" width="14.56"/>
    <col collapsed="false" customWidth="true" hidden="false" outlineLevel="0" max="8" min="8" style="10" width="49.13"/>
  </cols>
  <sheetData>
    <row r="1" customFormat="false" ht="19" hidden="false" customHeight="false" outlineLevel="0" collapsed="false">
      <c r="A1" s="11" t="s">
        <v>99</v>
      </c>
      <c r="B1" s="11"/>
      <c r="C1" s="11"/>
      <c r="D1" s="11"/>
    </row>
    <row r="3" customFormat="false" ht="15.5" hidden="false" customHeight="false" outlineLevel="0" collapsed="false">
      <c r="A3" s="12" t="s">
        <v>100</v>
      </c>
      <c r="B3" s="12"/>
      <c r="C3" s="12"/>
      <c r="D3" s="12"/>
      <c r="E3" s="13"/>
      <c r="F3" s="13"/>
      <c r="G3" s="13"/>
      <c r="H3" s="13"/>
    </row>
    <row r="4" customFormat="false" ht="15" hidden="false" customHeight="false" outlineLevel="0" collapsed="false">
      <c r="A4" s="14" t="s">
        <v>101</v>
      </c>
      <c r="B4" s="14" t="s">
        <v>102</v>
      </c>
      <c r="C4" s="14" t="s">
        <v>103</v>
      </c>
      <c r="D4" s="14" t="s">
        <v>104</v>
      </c>
    </row>
    <row r="5" customFormat="false" ht="16" hidden="false" customHeight="false" outlineLevel="0" collapsed="false">
      <c r="A5" s="10" t="s">
        <v>105</v>
      </c>
      <c r="B5" s="15" t="s">
        <v>106</v>
      </c>
      <c r="C5" s="10" t="s">
        <v>107</v>
      </c>
      <c r="D5" s="16" t="s">
        <v>108</v>
      </c>
      <c r="E5" s="16"/>
      <c r="F5" s="16"/>
      <c r="G5" s="16"/>
      <c r="H5" s="16"/>
    </row>
    <row r="6" customFormat="false" ht="16" hidden="false" customHeight="false" outlineLevel="0" collapsed="false">
      <c r="A6" s="10" t="s">
        <v>109</v>
      </c>
      <c r="B6" s="15" t="s">
        <v>110</v>
      </c>
      <c r="C6" s="15" t="s">
        <v>111</v>
      </c>
      <c r="D6" s="16" t="s">
        <v>112</v>
      </c>
      <c r="E6" s="16"/>
      <c r="F6" s="16"/>
      <c r="G6" s="16"/>
      <c r="H6" s="16"/>
    </row>
    <row r="7" customFormat="false" ht="16" hidden="false" customHeight="false" outlineLevel="0" collapsed="false">
      <c r="A7" s="10" t="s">
        <v>113</v>
      </c>
      <c r="B7" s="15" t="s">
        <v>114</v>
      </c>
      <c r="C7" s="15" t="s">
        <v>115</v>
      </c>
      <c r="D7" s="16" t="s">
        <v>116</v>
      </c>
      <c r="E7" s="16"/>
      <c r="F7" s="16"/>
      <c r="G7" s="16"/>
    </row>
    <row r="8" customFormat="false" ht="16" hidden="false" customHeight="false" outlineLevel="0" collapsed="false">
      <c r="A8" s="10" t="s">
        <v>117</v>
      </c>
      <c r="B8" s="15" t="s">
        <v>118</v>
      </c>
      <c r="C8" s="15" t="s">
        <v>119</v>
      </c>
      <c r="D8" s="16" t="s">
        <v>120</v>
      </c>
      <c r="E8" s="16"/>
      <c r="F8" s="16"/>
      <c r="G8" s="16"/>
      <c r="H8" s="16"/>
    </row>
    <row r="10" customFormat="false" ht="15.5" hidden="false" customHeight="false" outlineLevel="0" collapsed="false">
      <c r="A10" s="12" t="s">
        <v>121</v>
      </c>
      <c r="B10" s="12"/>
      <c r="C10" s="12"/>
      <c r="D10" s="13"/>
      <c r="E10" s="13"/>
      <c r="F10" s="13"/>
      <c r="G10" s="13"/>
      <c r="H10" s="13"/>
    </row>
    <row r="11" customFormat="false" ht="15" hidden="false" customHeight="false" outlineLevel="0" collapsed="false">
      <c r="A11" s="14" t="s">
        <v>122</v>
      </c>
      <c r="B11" s="14" t="s">
        <v>123</v>
      </c>
      <c r="C11" s="14"/>
    </row>
    <row r="12" customFormat="false" ht="16" hidden="false" customHeight="false" outlineLevel="0" collapsed="false">
      <c r="A12" s="10" t="s">
        <v>124</v>
      </c>
      <c r="B12" s="17" t="s">
        <v>125</v>
      </c>
      <c r="C12" s="17"/>
      <c r="D12" s="17"/>
      <c r="E12" s="17"/>
    </row>
    <row r="13" customFormat="false" ht="16" hidden="false" customHeight="false" outlineLevel="0" collapsed="false">
      <c r="A13" s="10" t="s">
        <v>126</v>
      </c>
      <c r="B13" s="16" t="s">
        <v>127</v>
      </c>
      <c r="C13" s="16"/>
      <c r="D13" s="16"/>
      <c r="E13" s="16"/>
      <c r="F13" s="16"/>
    </row>
    <row r="14" customFormat="false" ht="16" hidden="false" customHeight="false" outlineLevel="0" collapsed="false">
      <c r="A14" s="10" t="s">
        <v>128</v>
      </c>
      <c r="B14" s="16" t="s">
        <v>129</v>
      </c>
      <c r="C14" s="16"/>
      <c r="D14" s="16"/>
      <c r="E14" s="16"/>
      <c r="F14" s="16"/>
    </row>
    <row r="15" customFormat="false" ht="16" hidden="false" customHeight="false" outlineLevel="0" collapsed="false">
      <c r="A15" s="10" t="s">
        <v>130</v>
      </c>
      <c r="B15" s="16" t="s">
        <v>131</v>
      </c>
      <c r="C15" s="16"/>
      <c r="D15" s="16"/>
      <c r="E15" s="16"/>
    </row>
    <row r="17" customFormat="false" ht="15.5" hidden="false" customHeight="false" outlineLevel="0" collapsed="false">
      <c r="A17" s="12" t="s">
        <v>132</v>
      </c>
      <c r="B17" s="12"/>
      <c r="C17" s="12"/>
      <c r="D17" s="13"/>
      <c r="E17" s="13"/>
      <c r="F17" s="13"/>
      <c r="G17" s="13"/>
      <c r="H17" s="13"/>
    </row>
    <row r="18" customFormat="false" ht="15" hidden="false" customHeight="false" outlineLevel="0" collapsed="false">
      <c r="A18" s="14" t="s">
        <v>133</v>
      </c>
      <c r="B18" s="18" t="s">
        <v>118</v>
      </c>
      <c r="C18" s="18" t="s">
        <v>134</v>
      </c>
      <c r="D18" s="14"/>
    </row>
    <row r="19" customFormat="false" ht="16" hidden="false" customHeight="false" outlineLevel="0" collapsed="false">
      <c r="A19" s="10" t="s">
        <v>135</v>
      </c>
      <c r="B19" s="15" t="s">
        <v>136</v>
      </c>
      <c r="C19" s="16" t="s">
        <v>137</v>
      </c>
      <c r="D19" s="16"/>
      <c r="E19" s="16"/>
    </row>
    <row r="20" customFormat="false" ht="15" hidden="false" customHeight="false" outlineLevel="0" collapsed="false">
      <c r="A20" s="10" t="s">
        <v>138</v>
      </c>
      <c r="B20" s="10" t="s">
        <v>139</v>
      </c>
      <c r="C20" s="16" t="s">
        <v>140</v>
      </c>
      <c r="D20" s="16"/>
      <c r="E20" s="16"/>
    </row>
    <row r="21" customFormat="false" ht="15" hidden="false" customHeight="false" outlineLevel="0" collapsed="false">
      <c r="A21" s="10" t="s">
        <v>141</v>
      </c>
      <c r="B21" s="10" t="s">
        <v>142</v>
      </c>
      <c r="C21" s="16" t="s">
        <v>142</v>
      </c>
      <c r="D21" s="16"/>
    </row>
    <row r="22" customFormat="false" ht="16" hidden="false" customHeight="false" outlineLevel="0" collapsed="false">
      <c r="A22" s="10" t="s">
        <v>143</v>
      </c>
      <c r="B22" s="10" t="s">
        <v>144</v>
      </c>
      <c r="C22" s="10" t="s">
        <v>145</v>
      </c>
    </row>
    <row r="24" customFormat="false" ht="15.5" hidden="false" customHeight="false" outlineLevel="0" collapsed="false">
      <c r="A24" s="12" t="s">
        <v>146</v>
      </c>
      <c r="B24" s="12"/>
      <c r="C24" s="12"/>
      <c r="D24" s="13"/>
      <c r="E24" s="13"/>
      <c r="F24" s="13"/>
      <c r="G24" s="13"/>
      <c r="H24" s="13"/>
    </row>
    <row r="25" customFormat="false" ht="15" hidden="false" customHeight="false" outlineLevel="0" collapsed="false">
      <c r="A25" s="14" t="s">
        <v>103</v>
      </c>
      <c r="B25" s="14" t="s">
        <v>147</v>
      </c>
      <c r="C25" s="14" t="s">
        <v>148</v>
      </c>
      <c r="D25" s="14"/>
    </row>
    <row r="26" customFormat="false" ht="16" hidden="false" customHeight="false" outlineLevel="0" collapsed="false">
      <c r="A26" s="15" t="s">
        <v>149</v>
      </c>
      <c r="B26" s="10" t="s">
        <v>150</v>
      </c>
      <c r="C26" s="16" t="s">
        <v>151</v>
      </c>
      <c r="D26" s="16"/>
      <c r="E26" s="16"/>
      <c r="F26" s="16"/>
      <c r="G26" s="16"/>
    </row>
    <row r="27" customFormat="false" ht="16" hidden="false" customHeight="false" outlineLevel="0" collapsed="false">
      <c r="A27" s="15" t="s">
        <v>118</v>
      </c>
      <c r="B27" s="15" t="s">
        <v>152</v>
      </c>
      <c r="C27" s="16" t="s">
        <v>153</v>
      </c>
      <c r="D27" s="16"/>
    </row>
    <row r="28" customFormat="false" ht="16" hidden="false" customHeight="false" outlineLevel="0" collapsed="false">
      <c r="A28" s="15" t="s">
        <v>134</v>
      </c>
      <c r="B28" s="10" t="s">
        <v>154</v>
      </c>
      <c r="C28" s="16" t="s">
        <v>155</v>
      </c>
      <c r="D28" s="16"/>
      <c r="E28" s="16"/>
    </row>
    <row r="29" customFormat="false" ht="16" hidden="false" customHeight="false" outlineLevel="0" collapsed="false">
      <c r="A29" s="10" t="s">
        <v>156</v>
      </c>
      <c r="B29" s="10" t="s">
        <v>157</v>
      </c>
      <c r="C29" s="16" t="s">
        <v>158</v>
      </c>
      <c r="D29" s="16"/>
    </row>
    <row r="30" customFormat="false" ht="15.5" hidden="false" customHeight="true" outlineLevel="0" collapsed="false">
      <c r="A30" s="19" t="s">
        <v>159</v>
      </c>
      <c r="B30" s="19"/>
      <c r="C30" s="19"/>
      <c r="D30" s="19"/>
      <c r="E30" s="19"/>
      <c r="F30" s="19"/>
      <c r="G30" s="19"/>
      <c r="H30" s="19"/>
    </row>
    <row r="32" customFormat="false" ht="15.5" hidden="false" customHeight="false" outlineLevel="0" collapsed="false">
      <c r="A32" s="12" t="s">
        <v>160</v>
      </c>
      <c r="B32" s="12"/>
      <c r="C32" s="12"/>
      <c r="D32" s="12"/>
      <c r="E32" s="13"/>
      <c r="F32" s="13"/>
      <c r="G32" s="13"/>
      <c r="H32" s="13"/>
    </row>
    <row r="33" customFormat="false" ht="15" hidden="false" customHeight="false" outlineLevel="0" collapsed="false">
      <c r="A33" s="14" t="s">
        <v>161</v>
      </c>
      <c r="B33" s="14" t="s">
        <v>162</v>
      </c>
      <c r="C33" s="14" t="s">
        <v>163</v>
      </c>
      <c r="D33" s="14"/>
    </row>
    <row r="34" customFormat="false" ht="16" hidden="false" customHeight="false" outlineLevel="0" collapsed="false">
      <c r="A34" s="28">
        <v>0</v>
      </c>
      <c r="B34" s="15" t="s">
        <v>165</v>
      </c>
      <c r="C34" s="20" t="n">
        <f aca="false">COMBIN(5,0)</f>
        <v>1</v>
      </c>
    </row>
    <row r="35" customFormat="false" ht="16" hidden="false" customHeight="false" outlineLevel="0" collapsed="false">
      <c r="A35" s="28">
        <v>1</v>
      </c>
      <c r="B35" s="15" t="s">
        <v>167</v>
      </c>
      <c r="C35" s="20" t="n">
        <f aca="false">COMBIN(5,1)</f>
        <v>5</v>
      </c>
    </row>
    <row r="36" customFormat="false" ht="16" hidden="false" customHeight="false" outlineLevel="0" collapsed="false">
      <c r="A36" s="28">
        <v>2</v>
      </c>
      <c r="B36" s="15" t="s">
        <v>169</v>
      </c>
      <c r="C36" s="20" t="n">
        <f aca="false">COMBIN(5,2)</f>
        <v>10</v>
      </c>
    </row>
    <row r="37" customFormat="false" ht="16" hidden="false" customHeight="false" outlineLevel="0" collapsed="false">
      <c r="A37" s="28">
        <v>3</v>
      </c>
      <c r="B37" s="15" t="s">
        <v>171</v>
      </c>
      <c r="C37" s="20" t="n">
        <f aca="false">COMBIN(5,3)</f>
        <v>10</v>
      </c>
    </row>
    <row r="38" customFormat="false" ht="16" hidden="false" customHeight="false" outlineLevel="0" collapsed="false">
      <c r="A38" s="28">
        <v>4</v>
      </c>
      <c r="B38" s="15" t="s">
        <v>173</v>
      </c>
      <c r="C38" s="20" t="n">
        <f aca="false">COMBIN(5,4)</f>
        <v>5</v>
      </c>
    </row>
    <row r="39" customFormat="false" ht="16" hidden="false" customHeight="false" outlineLevel="0" collapsed="false">
      <c r="A39" s="28">
        <v>5</v>
      </c>
      <c r="B39" s="15" t="s">
        <v>175</v>
      </c>
      <c r="C39" s="20" t="n">
        <f aca="false">COMBIN(5,5)</f>
        <v>1</v>
      </c>
    </row>
    <row r="40" customFormat="false" ht="16" hidden="false" customHeight="false" outlineLevel="0" collapsed="false">
      <c r="A40" s="21" t="s">
        <v>176</v>
      </c>
      <c r="B40" s="20" t="n">
        <f aca="false">SUM(C34:C39)</f>
        <v>32</v>
      </c>
      <c r="D40" s="10" t="s">
        <v>177</v>
      </c>
    </row>
    <row r="41" customFormat="false" ht="16" hidden="false" customHeight="false" outlineLevel="0" collapsed="false">
      <c r="A41" s="21" t="s">
        <v>178</v>
      </c>
      <c r="B41" s="20" t="n">
        <f aca="false">2^15</f>
        <v>32768</v>
      </c>
      <c r="D41" s="16" t="s">
        <v>179</v>
      </c>
      <c r="E41" s="16"/>
      <c r="F41" s="16"/>
    </row>
    <row r="42" customFormat="false" ht="28.5" hidden="false" customHeight="true" outlineLevel="0" collapsed="false">
      <c r="A42" s="19" t="s">
        <v>180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</row>
    <row r="44" customFormat="false" ht="28" hidden="false" customHeight="true" outlineLevel="0" collapsed="false">
      <c r="A44" s="19" t="s">
        <v>181</v>
      </c>
      <c r="B44" s="19"/>
      <c r="C44" s="19"/>
      <c r="D44" s="19"/>
    </row>
  </sheetData>
  <mergeCells count="25">
    <mergeCell ref="A1:D1"/>
    <mergeCell ref="A3:D3"/>
    <mergeCell ref="D5:H5"/>
    <mergeCell ref="D6:H6"/>
    <mergeCell ref="D7:G7"/>
    <mergeCell ref="D8:H8"/>
    <mergeCell ref="A10:C10"/>
    <mergeCell ref="B12:E12"/>
    <mergeCell ref="B13:F13"/>
    <mergeCell ref="B14:F14"/>
    <mergeCell ref="B15:E15"/>
    <mergeCell ref="A17:C17"/>
    <mergeCell ref="C19:E19"/>
    <mergeCell ref="C20:E20"/>
    <mergeCell ref="C21:D21"/>
    <mergeCell ref="A24:C24"/>
    <mergeCell ref="C26:G26"/>
    <mergeCell ref="C27:D27"/>
    <mergeCell ref="C28:E28"/>
    <mergeCell ref="C29:D29"/>
    <mergeCell ref="A30:H30"/>
    <mergeCell ref="A32:D32"/>
    <mergeCell ref="D41:F41"/>
    <mergeCell ref="A42:P42"/>
    <mergeCell ref="A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U64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2026-09-29T15:06:26Z</dcterms:created>
  <dc:creator>openpyxl</dc:creator>
  <dc:description/>
  <dc:language>zh-CN</dc:language>
  <cp:lastModifiedBy/>
  <dcterms:modified xsi:type="dcterms:W3CDTF">2026-09-29T15:06:26Z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