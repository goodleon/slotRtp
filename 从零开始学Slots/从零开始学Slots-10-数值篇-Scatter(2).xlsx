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<sst xmlns="http://schemas.openxmlformats.org/spreadsheetml/2006/main" count="124" uniqueCount="124">
  <si>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10 —— </t>
    </r>
    <r>
      <rPr>
        <b val="true"/>
        <sz val="14"/>
        <color rgb="FF1F4E79"/>
        <rFont val="Noto Sans SC"/>
        <family val="2"/>
        <charset val="134"/>
      </rPr>
      <t xml:space="preserve">数值篇：</t>
    </r>
    <r>
      <rPr>
        <b val="true"/>
        <sz val="14"/>
        <color rgb="FF1F4E79"/>
        <rFont val="Cambria"/>
        <family val="0"/>
        <charset val="1"/>
      </rPr>
      <t xml:space="preserve">Scatter(2)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</si>
  <si>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Scatter(2)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https://zhuanlan.zhihu.com/p/624381360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</si>
  <si>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</si>
  <si>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</si>
  <si>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</si>
  <si>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r>
      <rPr>
        <sz val="11"/>
        <color rgb="FF808080"/>
        <rFont val="Noto Sans SC"/>
        <family val="2"/>
        <charset val="134"/>
      </rPr>
      <t xml:space="preserve">配表说明：本篇参数（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3/16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3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5</t>
    </r>
    <r>
      <rPr>
        <sz val="11"/>
        <color rgb="FF808080"/>
        <rFont val="Noto Sans SC"/>
        <family val="2"/>
        <charset val="134"/>
      </rPr>
      <t xml:space="preserve">）与结论（</t>
    </r>
    <r>
      <rPr>
        <sz val="11"/>
        <color rgb="FF808080"/>
        <rFont val="Cambria"/>
        <family val="0"/>
        <charset val="1"/>
      </rPr>
      <t xml:space="preserve">4.8769%</t>
    </r>
    <r>
      <rPr>
        <sz val="11"/>
        <color rgb="FF808080"/>
        <rFont val="Noto Sans SC"/>
        <family val="2"/>
        <charset val="134"/>
      </rPr>
      <t xml:space="preserve">）均取自原文；【</t>
    </r>
    <r>
      <rPr>
        <sz val="11"/>
        <color rgb="FF808080"/>
        <rFont val="Cambria"/>
        <family val="0"/>
        <charset val="1"/>
      </rPr>
      <t xml:space="preserve">3</t>
    </r>
    <r>
      <rPr>
        <sz val="11"/>
        <color rgb="FF808080"/>
        <rFont val="Noto Sans SC"/>
        <family val="2"/>
        <charset val="134"/>
      </rPr>
      <t xml:space="preserve">】把二项分布概率 </t>
    </r>
    <r>
      <rPr>
        <sz val="11"/>
        <color rgb="FF808080"/>
        <rFont val="Cambria"/>
        <family val="0"/>
        <charset val="1"/>
      </rPr>
      <t xml:space="preserve">× </t>
    </r>
    <r>
      <rPr>
        <sz val="11"/>
        <color rgb="FF808080"/>
        <rFont val="Noto Sans SC"/>
        <family val="2"/>
        <charset val="134"/>
      </rPr>
      <t xml:space="preserve">总事件数 与 </t>
    </r>
    <r>
      <rPr>
        <sz val="11"/>
        <color rgb="FF808080"/>
        <rFont val="Cambria"/>
        <family val="0"/>
        <charset val="1"/>
      </rPr>
      <t xml:space="preserve">17 </t>
    </r>
    <r>
      <rPr>
        <sz val="11"/>
        <color rgb="FF808080"/>
        <rFont val="Noto Sans SC"/>
        <family val="2"/>
        <charset val="134"/>
      </rPr>
      <t xml:space="preserve">篇逐组合枚举的事件数逐项对照，两种算法结果一致。</t>
    </r>
  </si>
  <si>
    <r>
      <rPr>
        <sz val="11"/>
        <color rgb="FF808080"/>
        <rFont val="Cambria"/>
        <family val="0"/>
        <charset val="1"/>
      </rPr>
      <t xml:space="preserve">BINOM.DIST / BINOM.DIST.RANGE </t>
    </r>
    <r>
      <rPr>
        <sz val="11"/>
        <color rgb="FF808080"/>
        <rFont val="Noto Sans SC"/>
        <family val="2"/>
        <charset val="134"/>
      </rPr>
      <t xml:space="preserve">在新版 </t>
    </r>
    <r>
      <rPr>
        <sz val="11"/>
        <color rgb="FF808080"/>
        <rFont val="Cambria"/>
        <family val="0"/>
        <charset val="1"/>
      </rPr>
      <t xml:space="preserve">Excel </t>
    </r>
    <r>
      <rPr>
        <sz val="11"/>
        <color rgb="FF808080"/>
        <rFont val="Noto Sans SC"/>
        <family val="2"/>
        <charset val="134"/>
      </rPr>
      <t xml:space="preserve">与 </t>
    </r>
    <r>
      <rPr>
        <sz val="11"/>
        <color rgb="FF808080"/>
        <rFont val="Cambria"/>
        <family val="0"/>
        <charset val="1"/>
      </rPr>
      <t xml:space="preserve">LibreOffice </t>
    </r>
    <r>
      <rPr>
        <sz val="11"/>
        <color rgb="FF808080"/>
        <rFont val="Noto Sans SC"/>
        <family val="2"/>
        <charset val="134"/>
      </rPr>
      <t xml:space="preserve">中均可用（本簿写作 </t>
    </r>
    <r>
      <rPr>
        <sz val="11"/>
        <color rgb="FF808080"/>
        <rFont val="Cambria"/>
        <family val="0"/>
        <charset val="1"/>
      </rPr>
      <t xml:space="preserve">_xlfn.BINOM.DIST.RANGE</t>
    </r>
    <r>
      <rPr>
        <sz val="11"/>
        <color rgb="FF808080"/>
        <rFont val="Noto Sans SC"/>
        <family val="2"/>
        <charset val="134"/>
      </rPr>
      <t xml:space="preserve">）。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</si>
  <si>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</si>
  <si>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</si>
  <si>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</si>
  <si>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</si>
  <si>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images/slots/624381360-NN.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</si>
  <si>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</si>
  <si>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</si>
  <si>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</si>
  <si>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上篇用「逐个组合枚举」算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触发率；本篇改用二项分布函数，一步到位。</t>
    </r>
  </si>
  <si>
    <r>
      <rPr>
        <sz val="11"/>
        <color theme="1"/>
        <rFont val="Calibri"/>
        <family val="2"/>
        <charset val="1"/>
      </rPr>
      <t xml:space="preserve">· BINOM.DIST(number_s, trials, probability_s, cumulative)</t>
    </r>
    <r>
      <rPr>
        <sz val="11"/>
        <color theme="1"/>
        <rFont val="Noto Sans SC"/>
        <family val="2"/>
        <charset val="134"/>
      </rPr>
      <t xml:space="preserve">：单个个数（或累计）的概率。</t>
    </r>
  </si>
  <si>
    <r>
      <rPr>
        <sz val="11"/>
        <color theme="1"/>
        <rFont val="Calibri"/>
        <family val="2"/>
        <charset val="1"/>
      </rPr>
      <t xml:space="preserve">· BINOM.DIST.RANGE(trials, probability_s, number_s, [number_s2])</t>
    </r>
    <r>
      <rPr>
        <sz val="11"/>
        <color theme="1"/>
        <rFont val="Noto Sans SC"/>
        <family val="2"/>
        <charset val="134"/>
      </rPr>
      <t xml:space="preserve">：指定个数区间的概率；</t>
    </r>
  </si>
  <si>
    <r>
      <rPr>
        <sz val="11"/>
        <color theme="1"/>
        <rFont val="Calibri"/>
        <family val="2"/>
        <charset val="1"/>
      </rPr>
      <t xml:space="preserve">  [number_s2] </t>
    </r>
    <r>
      <rPr>
        <sz val="11"/>
        <color theme="1"/>
        <rFont val="Noto Sans SC"/>
        <family val="2"/>
        <charset val="134"/>
      </rPr>
      <t xml:space="preserve">留空即退化为单个个数。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</si>
  <si>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本例参数（原文）：</t>
    </r>
    <r>
      <rPr>
        <sz val="11"/>
        <color theme="1"/>
        <rFont val="Calibri"/>
        <family val="2"/>
        <charset val="1"/>
      </rPr>
      <t xml:space="preserve">trials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列各尝试一次）、</t>
    </r>
    <r>
      <rPr>
        <sz val="11"/>
        <color theme="1"/>
        <rFont val="Calibri"/>
        <family val="2"/>
        <charset val="1"/>
      </rPr>
      <t xml:space="preserve">probability_s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3/16</t>
    </r>
    <r>
      <rPr>
        <sz val="11"/>
        <color theme="1"/>
        <rFont val="Noto Sans SC"/>
        <family val="2"/>
        <charset val="134"/>
      </rPr>
      <t xml:space="preserve">（每列出现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的几率，</t>
    </r>
  </si>
  <si>
    <r>
      <rPr>
        <sz val="11"/>
        <color theme="1"/>
        <rFont val="Noto Sans SC"/>
        <family val="2"/>
        <charset val="134"/>
      </rPr>
      <t xml:space="preserve">  ＝单列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× 3 </t>
    </r>
    <r>
      <rPr>
        <sz val="11"/>
        <color theme="1"/>
        <rFont val="Noto Sans SC"/>
        <family val="2"/>
        <charset val="134"/>
      </rPr>
      <t xml:space="preserve">行 </t>
    </r>
    <r>
      <rPr>
        <sz val="11"/>
        <color theme="1"/>
        <rFont val="Calibri"/>
        <family val="2"/>
        <charset val="1"/>
      </rPr>
      <t xml:space="preserve">÷ 16 </t>
    </r>
    <r>
      <rPr>
        <sz val="11"/>
        <color theme="1"/>
        <rFont val="Noto Sans SC"/>
        <family val="2"/>
        <charset val="134"/>
      </rPr>
      <t xml:space="preserve">停）、</t>
    </r>
    <r>
      <rPr>
        <sz val="11"/>
        <color theme="1"/>
        <rFont val="Calibri"/>
        <family val="2"/>
        <charset val="1"/>
      </rPr>
      <t xml:space="preserve">number_s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number_s2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（</t>
    </r>
    <r>
      <rPr>
        <sz val="11"/>
        <color theme="1"/>
        <rFont val="Calibri"/>
        <family val="2"/>
        <charset val="1"/>
      </rPr>
      <t xml:space="preserve">3~5 </t>
    </r>
    <r>
      <rPr>
        <sz val="11"/>
        <color theme="1"/>
        <rFont val="Noto Sans SC"/>
        <family val="2"/>
        <charset val="134"/>
      </rPr>
      <t xml:space="preserve">个都能触发）。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</si>
  <si>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计算结果 ＝ </t>
    </r>
    <r>
      <rPr>
        <sz val="11"/>
        <color theme="1"/>
        <rFont val="Calibri"/>
        <family val="2"/>
        <charset val="1"/>
      </rPr>
      <t xml:space="preserve">**4.8769%**</t>
    </r>
    <r>
      <rPr>
        <sz val="11"/>
        <color theme="1"/>
        <rFont val="Noto Sans SC"/>
        <family val="2"/>
        <charset val="134"/>
      </rPr>
      <t xml:space="preserve">，与上篇逐组合枚举加总的结果完全一致。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</si>
  <si>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提醒：</t>
    </r>
    <r>
      <rPr>
        <sz val="11"/>
        <color theme="1"/>
        <rFont val="Calibri"/>
        <family val="2"/>
        <charset val="1"/>
      </rPr>
      <t xml:space="preserve">[number_s2] </t>
    </r>
    <r>
      <rPr>
        <sz val="11"/>
        <color theme="1"/>
        <rFont val="Noto Sans SC"/>
        <family val="2"/>
        <charset val="134"/>
      </rPr>
      <t xml:space="preserve">参数要按「次大值」给（</t>
    </r>
    <r>
      <rPr>
        <sz val="11"/>
        <color theme="1"/>
        <rFont val="Calibri"/>
        <family val="2"/>
        <charset val="1"/>
      </rPr>
      <t xml:space="preserve">BINOM.DIST.RANGE </t>
    </r>
    <r>
      <rPr>
        <sz val="11"/>
        <color theme="1"/>
        <rFont val="Noto Sans SC"/>
        <family val="2"/>
        <charset val="134"/>
      </rPr>
      <t xml:space="preserve">的写法是 最小个数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SC"/>
        <family val="2"/>
        <charset val="134"/>
      </rPr>
      <t xml:space="preserve">最大个数），</t>
    </r>
  </si>
  <si>
    <t xml:space="preserve">  若要算单个个数，把它留空即可。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</si>
  <si>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这两个函数在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数值里应用极广，尤其是随机卷轴产品的 </t>
    </r>
    <r>
      <rPr>
        <sz val="11"/>
        <color theme="1"/>
        <rFont val="Calibri"/>
        <family val="2"/>
        <charset val="1"/>
      </rPr>
      <t xml:space="preserve">Scatter / Feature </t>
    </r>
    <r>
      <rPr>
        <sz val="11"/>
        <color theme="1"/>
        <rFont val="Noto Sans SC"/>
        <family val="2"/>
        <charset val="134"/>
      </rPr>
      <t xml:space="preserve">触发计算。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</si>
  <si>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</si>
  <si>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上篇介绍了每列只有一个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固定卷轴 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的数值计算方法</t>
    </r>
  </si>
  <si>
    <r>
      <rPr>
        <sz val="11"/>
        <color theme="1"/>
        <rFont val="Noto Sans SC"/>
        <family val="2"/>
        <charset val="134"/>
      </rPr>
      <t xml:space="preserve">本期延续上篇的内容，本篇将介绍使用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和</t>
    </r>
    <r>
      <rPr>
        <sz val="11"/>
        <color theme="1"/>
        <rFont val="Calibri"/>
        <family val="2"/>
        <charset val="1"/>
      </rPr>
      <t xml:space="preserve">BINOM.DIST.RANGE</t>
    </r>
    <r>
      <rPr>
        <sz val="11"/>
        <color theme="1"/>
        <rFont val="Noto Sans SC"/>
        <family val="2"/>
        <charset val="134"/>
      </rPr>
      <t xml:space="preserve">函数计算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出现几率的方法</t>
    </r>
  </si>
  <si>
    <t xml:space="preserve">BINOM.DIST(number_s,trials,probability_s,cumulative)</t>
  </si>
  <si>
    <t xml:space="preserve">BINOM.DIST.RANGE(trials,probability_s,number_s,[number_s2])</t>
  </si>
  <si>
    <r>
      <rPr>
        <sz val="11"/>
        <color theme="1"/>
        <rFont val="Noto Sans SC"/>
        <family val="2"/>
        <charset val="134"/>
      </rPr>
      <t xml:space="preserve">本篇主要介绍该函数在计算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触发免费摇几率方面的使用方法</t>
    </r>
  </si>
  <si>
    <r>
      <rPr>
        <sz val="11"/>
        <color theme="1"/>
        <rFont val="Noto Sans SC"/>
        <family val="2"/>
        <charset val="134"/>
      </rPr>
      <t xml:space="preserve">希望了解更多函数的话，知乎搜索“</t>
    </r>
    <r>
      <rPr>
        <sz val="11"/>
        <color theme="1"/>
        <rFont val="Calibri"/>
        <family val="2"/>
        <charset val="1"/>
      </rPr>
      <t xml:space="preserve">BINOM.DIST”</t>
    </r>
    <r>
      <rPr>
        <sz val="11"/>
        <color theme="1"/>
        <rFont val="Noto Sans SC"/>
        <family val="2"/>
        <charset val="134"/>
      </rPr>
      <t xml:space="preserve">即可搜索到大量攻略</t>
    </r>
  </si>
  <si>
    <r>
      <rPr>
        <sz val="11"/>
        <color theme="1"/>
        <rFont val="Noto Sans SC"/>
        <family val="2"/>
        <charset val="134"/>
      </rPr>
      <t xml:space="preserve">在上篇中，对下方固定卷轴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出现几率进行了计算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</si>
  <si>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624381360-01.jpg</t>
    </r>
  </si>
  <si>
    <r>
      <rPr>
        <sz val="11"/>
        <color theme="1"/>
        <rFont val="Noto Sans SC"/>
        <family val="2"/>
        <charset val="134"/>
      </rPr>
      <t xml:space="preserve">读取每列的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个数后，考虑其出现在卷轴的任意位置都能中奖</t>
    </r>
  </si>
  <si>
    <r>
      <rPr>
        <sz val="11"/>
        <color theme="1"/>
        <rFont val="Noto Sans SC"/>
        <family val="2"/>
        <charset val="134"/>
      </rPr>
      <t xml:space="preserve">在单列出现该图标的事件数上 </t>
    </r>
    <r>
      <rPr>
        <sz val="11"/>
        <color theme="1"/>
        <rFont val="Calibri"/>
        <family val="2"/>
        <charset val="1"/>
      </rPr>
      <t xml:space="preserve">* 3</t>
    </r>
  </si>
  <si>
    <r>
      <rPr>
        <sz val="11"/>
        <color theme="1"/>
        <rFont val="Noto Sans SC"/>
        <family val="2"/>
        <charset val="134"/>
      </rPr>
      <t xml:space="preserve">再列明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各列出现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的可能性</t>
    </r>
  </si>
  <si>
    <t xml:space="preserve">计算出各可能性的出现概率</t>
  </si>
  <si>
    <t xml:space="preserve">再加总所有可能性</t>
  </si>
  <si>
    <r>
      <rPr>
        <sz val="11"/>
        <color theme="1"/>
        <rFont val="Noto Sans SC"/>
        <family val="2"/>
        <charset val="134"/>
      </rPr>
      <t xml:space="preserve">得到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触发免费摇的总概率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</si>
  <si>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624381360-02.jpg</t>
    </r>
  </si>
  <si>
    <r>
      <rPr>
        <sz val="11"/>
        <color theme="1"/>
        <rFont val="Noto Sans SC"/>
        <family val="2"/>
        <charset val="134"/>
      </rPr>
      <t xml:space="preserve">从该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的卷轴分布可知，每列出现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的几率是一致的</t>
    </r>
  </si>
  <si>
    <r>
      <rPr>
        <sz val="11"/>
        <color theme="1"/>
        <rFont val="Noto Sans SC"/>
        <family val="2"/>
        <charset val="134"/>
      </rPr>
      <t xml:space="preserve">此时就可以适用</t>
    </r>
    <r>
      <rPr>
        <sz val="11"/>
        <color theme="1"/>
        <rFont val="Calibri"/>
        <family val="2"/>
        <charset val="1"/>
      </rPr>
      <t xml:space="preserve">BINOM.DIST.RANGE</t>
    </r>
    <r>
      <rPr>
        <sz val="11"/>
        <color theme="1"/>
        <rFont val="Noto Sans SC"/>
        <family val="2"/>
        <charset val="134"/>
      </rPr>
      <t xml:space="preserve">函数进行计算。其中：</t>
    </r>
  </si>
  <si>
    <r>
      <rPr>
        <sz val="11"/>
        <color theme="1"/>
        <rFont val="Noto Sans SC"/>
        <family val="2"/>
        <charset val="134"/>
      </rPr>
      <t xml:space="preserve">参数</t>
    </r>
    <r>
      <rPr>
        <sz val="11"/>
        <color theme="1"/>
        <rFont val="Calibri"/>
        <family val="2"/>
        <charset val="1"/>
      </rPr>
      <t xml:space="preserve">trials</t>
    </r>
    <r>
      <rPr>
        <sz val="11"/>
        <color theme="1"/>
        <rFont val="Noto Sans SC"/>
        <family val="2"/>
        <charset val="134"/>
      </rPr>
      <t xml:space="preserve">处配置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，代表尝试次数，这里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列每列各尝试一次</t>
    </r>
  </si>
  <si>
    <r>
      <rPr>
        <sz val="11"/>
        <color theme="1"/>
        <rFont val="Noto Sans SC"/>
        <family val="2"/>
        <charset val="134"/>
      </rPr>
      <t xml:space="preserve">参数</t>
    </r>
    <r>
      <rPr>
        <sz val="11"/>
        <color theme="1"/>
        <rFont val="Calibri"/>
        <family val="2"/>
        <charset val="1"/>
      </rPr>
      <t xml:space="preserve">probability_s</t>
    </r>
    <r>
      <rPr>
        <sz val="11"/>
        <color theme="1"/>
        <rFont val="Noto Sans SC"/>
        <family val="2"/>
        <charset val="134"/>
      </rPr>
      <t xml:space="preserve">处配置</t>
    </r>
    <r>
      <rPr>
        <sz val="11"/>
        <color theme="1"/>
        <rFont val="Calibri"/>
        <family val="2"/>
        <charset val="1"/>
      </rPr>
      <t xml:space="preserve">3/16</t>
    </r>
    <r>
      <rPr>
        <sz val="11"/>
        <color theme="1"/>
        <rFont val="Noto Sans SC"/>
        <family val="2"/>
        <charset val="134"/>
      </rPr>
      <t xml:space="preserve">，代表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在每列的出现几率</t>
    </r>
  </si>
  <si>
    <r>
      <rPr>
        <sz val="11"/>
        <color theme="1"/>
        <rFont val="Noto Sans SC"/>
        <family val="2"/>
        <charset val="134"/>
      </rPr>
      <t xml:space="preserve">参数</t>
    </r>
    <r>
      <rPr>
        <sz val="11"/>
        <color theme="1"/>
        <rFont val="Calibri"/>
        <family val="2"/>
        <charset val="1"/>
      </rPr>
      <t xml:space="preserve">number_s</t>
    </r>
    <r>
      <rPr>
        <sz val="11"/>
        <color theme="1"/>
        <rFont val="Noto Sans SC"/>
        <family val="2"/>
        <charset val="134"/>
      </rPr>
      <t xml:space="preserve">处配置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，代表至少出现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个以上的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才会触发免费摇</t>
    </r>
  </si>
  <si>
    <r>
      <rPr>
        <sz val="11"/>
        <color theme="1"/>
        <rFont val="Noto Sans SC"/>
        <family val="2"/>
        <charset val="134"/>
      </rPr>
      <t xml:space="preserve">参数</t>
    </r>
    <r>
      <rPr>
        <sz val="11"/>
        <color theme="1"/>
        <rFont val="Calibri"/>
        <family val="2"/>
        <charset val="1"/>
      </rPr>
      <t xml:space="preserve">[number_s2]</t>
    </r>
    <r>
      <rPr>
        <sz val="11"/>
        <color theme="1"/>
        <rFont val="Noto Sans SC"/>
        <family val="2"/>
        <charset val="134"/>
      </rPr>
      <t xml:space="preserve">处配置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，代表</t>
    </r>
    <r>
      <rPr>
        <sz val="11"/>
        <color theme="1"/>
        <rFont val="Calibri"/>
        <family val="2"/>
        <charset val="1"/>
      </rPr>
      <t xml:space="preserve">3~5</t>
    </r>
    <r>
      <rPr>
        <sz val="11"/>
        <color theme="1"/>
        <rFont val="Noto Sans SC"/>
        <family val="2"/>
        <charset val="134"/>
      </rPr>
      <t xml:space="preserve">个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都能触发免费摇</t>
    </r>
  </si>
  <si>
    <r>
      <rPr>
        <sz val="11"/>
        <color theme="1"/>
        <rFont val="Noto Sans SC"/>
        <family val="2"/>
        <charset val="134"/>
      </rPr>
      <t xml:space="preserve">简单来说</t>
    </r>
    <r>
      <rPr>
        <sz val="11"/>
        <color theme="1"/>
        <rFont val="Calibri"/>
        <family val="2"/>
        <charset val="1"/>
      </rPr>
      <t xml:space="preserve">BINOM.DIST.RANGE</t>
    </r>
    <r>
      <rPr>
        <sz val="11"/>
        <color theme="1"/>
        <rFont val="Noto Sans SC"/>
        <family val="2"/>
        <charset val="134"/>
      </rPr>
      <t xml:space="preserve">函数能够对单一几率的图标出现指定范围个数的可能性进行计算</t>
    </r>
  </si>
  <si>
    <r>
      <rPr>
        <sz val="11"/>
        <color theme="1"/>
        <rFont val="Noto Sans SC"/>
        <family val="2"/>
        <charset val="134"/>
      </rPr>
      <t xml:space="preserve">在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SC"/>
        <family val="2"/>
        <charset val="134"/>
      </rPr>
      <t xml:space="preserve">中输入</t>
    </r>
    <r>
      <rPr>
        <sz val="11"/>
        <color theme="1"/>
        <rFont val="Calibri"/>
        <family val="2"/>
        <charset val="1"/>
      </rPr>
      <t xml:space="preserve">BINOM.DIST.RANGE</t>
    </r>
    <r>
      <rPr>
        <sz val="11"/>
        <color theme="1"/>
        <rFont val="Noto Sans SC"/>
        <family val="2"/>
        <charset val="134"/>
      </rPr>
      <t xml:space="preserve">函数，并带入上述数值</t>
    </r>
  </si>
  <si>
    <r>
      <rPr>
        <sz val="11"/>
        <color theme="1"/>
        <rFont val="Noto Sans SC"/>
        <family val="2"/>
        <charset val="134"/>
      </rPr>
      <t xml:space="preserve">得到该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中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触发免费摇的几率为</t>
    </r>
    <r>
      <rPr>
        <sz val="11"/>
        <color theme="1"/>
        <rFont val="Calibri"/>
        <family val="2"/>
        <charset val="1"/>
      </rPr>
      <t xml:space="preserve">4.8769%</t>
    </r>
  </si>
  <si>
    <t xml:space="preserve">和上篇中计算得到的答案一致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</si>
  <si>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624381360-03.jpg</t>
    </r>
  </si>
  <si>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函数和</t>
    </r>
    <r>
      <rPr>
        <sz val="11"/>
        <color theme="1"/>
        <rFont val="Calibri"/>
        <family val="2"/>
        <charset val="1"/>
      </rPr>
      <t xml:space="preserve">BINOM.DIST.RANGE</t>
    </r>
    <r>
      <rPr>
        <sz val="11"/>
        <color theme="1"/>
        <rFont val="Noto Sans SC"/>
        <family val="2"/>
        <charset val="134"/>
      </rPr>
      <t xml:space="preserve">相比是用来计算单个个数对应的概率</t>
    </r>
  </si>
  <si>
    <r>
      <rPr>
        <sz val="11"/>
        <color theme="1"/>
        <rFont val="Noto Sans SC"/>
        <family val="2"/>
        <charset val="134"/>
      </rPr>
      <t xml:space="preserve">例如</t>
    </r>
    <r>
      <rPr>
        <sz val="11"/>
        <color theme="1"/>
        <rFont val="Calibri"/>
        <family val="2"/>
        <charset val="1"/>
      </rPr>
      <t xml:space="preserve">BINOM.DIST(3,5,3/16,false)</t>
    </r>
    <r>
      <rPr>
        <sz val="11"/>
        <color theme="1"/>
        <rFont val="Noto Sans SC"/>
        <family val="2"/>
        <charset val="134"/>
      </rPr>
      <t xml:space="preserve">就代表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列中有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列均出现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的概率</t>
    </r>
  </si>
  <si>
    <r>
      <rPr>
        <sz val="11"/>
        <color theme="1"/>
        <rFont val="Noto Sans SC"/>
        <family val="2"/>
        <charset val="134"/>
      </rPr>
      <t xml:space="preserve">如果需要使用</t>
    </r>
    <r>
      <rPr>
        <sz val="11"/>
        <color theme="1"/>
        <rFont val="Calibri"/>
        <family val="2"/>
        <charset val="1"/>
      </rPr>
      <t xml:space="preserve">BINOM.DIST.RANGE</t>
    </r>
    <r>
      <rPr>
        <sz val="11"/>
        <color theme="1"/>
        <rFont val="Noto Sans SC"/>
        <family val="2"/>
        <charset val="134"/>
      </rPr>
      <t xml:space="preserve">函数实现单个个数的概率计算，</t>
    </r>
    <r>
      <rPr>
        <sz val="11"/>
        <color theme="1"/>
        <rFont val="Calibri"/>
        <family val="2"/>
        <charset val="1"/>
      </rPr>
      <t xml:space="preserve">[number_s2]</t>
    </r>
    <r>
      <rPr>
        <sz val="11"/>
        <color theme="1"/>
        <rFont val="Noto Sans SC"/>
        <family val="2"/>
        <charset val="134"/>
      </rPr>
      <t xml:space="preserve">参数留空即可</t>
    </r>
  </si>
  <si>
    <r>
      <rPr>
        <sz val="11"/>
        <color theme="1"/>
        <rFont val="Noto Sans SC"/>
        <family val="2"/>
        <charset val="134"/>
      </rPr>
      <t xml:space="preserve">不仅是概率合计，精确到各个数出现的几率也都能使用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函数和</t>
    </r>
    <r>
      <rPr>
        <sz val="11"/>
        <color theme="1"/>
        <rFont val="Calibri"/>
        <family val="2"/>
        <charset val="1"/>
      </rPr>
      <t xml:space="preserve">BINOM.DIST.RANGE</t>
    </r>
    <r>
      <rPr>
        <sz val="11"/>
        <color theme="1"/>
        <rFont val="Noto Sans SC"/>
        <family val="2"/>
        <charset val="134"/>
      </rPr>
      <t xml:space="preserve">函数计算</t>
    </r>
  </si>
  <si>
    <r>
      <rPr>
        <sz val="11"/>
        <color theme="1"/>
        <rFont val="Noto Sans SC"/>
        <family val="2"/>
        <charset val="134"/>
      </rPr>
      <t xml:space="preserve">例如下图中在上期中奖率的基础上将相同个数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的几率求和</t>
    </r>
  </si>
  <si>
    <r>
      <rPr>
        <sz val="11"/>
        <color theme="1"/>
        <rFont val="Noto Sans SC"/>
        <family val="2"/>
        <charset val="134"/>
      </rPr>
      <t xml:space="preserve">再使用</t>
    </r>
    <r>
      <rPr>
        <sz val="11"/>
        <color theme="1"/>
        <rFont val="Calibri"/>
        <family val="2"/>
        <charset val="1"/>
      </rPr>
      <t xml:space="preserve">BINOM.DIST.RANGE</t>
    </r>
    <r>
      <rPr>
        <sz val="11"/>
        <color theme="1"/>
        <rFont val="Noto Sans SC"/>
        <family val="2"/>
        <charset val="134"/>
      </rPr>
      <t xml:space="preserve">函数计算出各次数得到的几率</t>
    </r>
  </si>
  <si>
    <t xml:space="preserve">两者依旧相同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</si>
  <si>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624381360-04.jpg</t>
    </r>
  </si>
  <si>
    <r>
      <rPr>
        <sz val="11"/>
        <color theme="1"/>
        <rFont val="Noto Sans SC"/>
        <family val="2"/>
        <charset val="134"/>
      </rPr>
      <t xml:space="preserve">本篇介绍的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函数和</t>
    </r>
    <r>
      <rPr>
        <sz val="11"/>
        <color theme="1"/>
        <rFont val="Calibri"/>
        <family val="2"/>
        <charset val="1"/>
      </rPr>
      <t xml:space="preserve">BINOM.DIST.RANGE</t>
    </r>
    <r>
      <rPr>
        <sz val="11"/>
        <color theme="1"/>
        <rFont val="Noto Sans SC"/>
        <family val="2"/>
        <charset val="134"/>
      </rPr>
      <t xml:space="preserve">在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产品的计算上应用范围非常广</t>
    </r>
  </si>
  <si>
    <r>
      <rPr>
        <sz val="11"/>
        <color theme="1"/>
        <rFont val="Noto Sans SC"/>
        <family val="2"/>
        <charset val="134"/>
      </rPr>
      <t xml:space="preserve">特别是在随机卷轴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的数值计算方面</t>
    </r>
  </si>
  <si>
    <r>
      <rPr>
        <sz val="11"/>
        <color theme="1"/>
        <rFont val="Noto Sans SC"/>
        <family val="2"/>
        <charset val="134"/>
      </rPr>
      <t xml:space="preserve">后续有机会再详细介绍带有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的随机卷轴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的数值计算方法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</si>
  <si>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4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</si>
  <si>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624381360-01.jpg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</si>
  <si>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624381360-02.jpg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</si>
  <si>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624381360-03.jpg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</si>
  <si>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624381360-04.jpg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</si>
  <si>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</si>
  <si>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</si>
  <si>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</si>
  <si>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</si>
  <si>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</si>
  <si>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</si>
  <si>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Scatter(2)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https://zhuanlan.zhihu.com/p/624381360</t>
    </r>
  </si>
  <si>
    <r>
      <rPr>
        <b val="true"/>
        <sz val="14"/>
        <color rgb="FF1F4E79"/>
        <rFont val="Noto Sans SC"/>
        <family val="2"/>
        <charset val="134"/>
      </rPr>
      <t xml:space="preserve">数值篇 </t>
    </r>
    <r>
      <rPr>
        <b val="true"/>
        <sz val="14"/>
        <color rgb="FF1F4E79"/>
        <rFont val="Cambria"/>
        <family val="0"/>
        <charset val="1"/>
      </rPr>
      <t xml:space="preserve">· Scatter(2)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</si>
  <si>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】两个函数的签名与用途（原文）</t>
    </r>
  </si>
  <si>
    <t xml:space="preserve">函数</t>
  </si>
  <si>
    <t xml:space="preserve">参数</t>
  </si>
  <si>
    <t xml:space="preserve">用途</t>
  </si>
  <si>
    <t xml:space="preserve">BINOM.DIST</t>
  </si>
  <si>
    <t xml:space="preserve">number_s, trials, probability_s, cumulative</t>
  </si>
  <si>
    <r>
      <rPr>
        <sz val="11"/>
        <color theme="1"/>
        <rFont val="Noto Sans SC"/>
        <family val="2"/>
        <charset val="134"/>
      </rPr>
      <t xml:space="preserve">算「恰好出现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SC"/>
        <family val="2"/>
        <charset val="134"/>
      </rPr>
      <t xml:space="preserve">个」或「累计 ≤ </t>
    </r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SC"/>
        <family val="2"/>
        <charset val="134"/>
      </rPr>
      <t xml:space="preserve">个」的概率</t>
    </r>
  </si>
  <si>
    <t xml:space="preserve">BINOM.DIST.RANGE</t>
  </si>
  <si>
    <t xml:space="preserve">trials, probability_s, number_s, [number_s2]</t>
  </si>
  <si>
    <r>
      <rPr>
        <sz val="11"/>
        <color theme="1"/>
        <rFont val="Noto Sans SC"/>
        <family val="2"/>
        <charset val="134"/>
      </rPr>
      <t xml:space="preserve">算「</t>
    </r>
    <r>
      <rPr>
        <sz val="11"/>
        <color theme="1"/>
        <rFont val="Calibri"/>
        <family val="2"/>
        <charset val="1"/>
      </rPr>
      <t xml:space="preserve">n1 ~ n2 </t>
    </r>
    <r>
      <rPr>
        <sz val="11"/>
        <color theme="1"/>
        <rFont val="Noto Sans SC"/>
        <family val="2"/>
        <charset val="134"/>
      </rPr>
      <t xml:space="preserve">个」的合计概率；</t>
    </r>
    <r>
      <rPr>
        <sz val="11"/>
        <color theme="1"/>
        <rFont val="Calibri"/>
        <family val="2"/>
        <charset val="1"/>
      </rPr>
      <t xml:space="preserve">[number_s2] </t>
    </r>
    <r>
      <rPr>
        <sz val="11"/>
        <color theme="1"/>
        <rFont val="Noto Sans SC"/>
        <family val="2"/>
        <charset val="134"/>
      </rPr>
      <t xml:space="preserve">留空＝单个个数</t>
    </r>
  </si>
  <si>
    <r>
      <rPr>
        <sz val="11"/>
        <color theme="1"/>
        <rFont val="Noto Sans SC"/>
        <family val="2"/>
        <charset val="134"/>
      </rPr>
      <t xml:space="preserve">本例 </t>
    </r>
    <r>
      <rPr>
        <sz val="11"/>
        <color theme="1"/>
        <rFont val="Calibri"/>
        <family val="2"/>
        <charset val="1"/>
      </rPr>
      <t xml:space="preserve">trials</t>
    </r>
  </si>
  <si>
    <t xml:space="preserve">5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</si>
  <si>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列，每列各尝试一次（每列是否出现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</si>
  <si>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本例 </t>
    </r>
    <r>
      <rPr>
        <sz val="11"/>
        <color theme="1"/>
        <rFont val="Calibri"/>
        <family val="2"/>
        <charset val="1"/>
      </rPr>
      <t xml:space="preserve">probability_s</t>
    </r>
  </si>
  <si>
    <t xml:space="preserve">3/16</t>
  </si>
  <si>
    <r>
      <rPr>
        <sz val="11"/>
        <color theme="1"/>
        <rFont val="Noto Sans SC"/>
        <family val="2"/>
        <charset val="134"/>
      </rPr>
      <t xml:space="preserve">每列出现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的几率（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SC"/>
        <family val="2"/>
        <charset val="134"/>
      </rPr>
      <t xml:space="preserve">行 </t>
    </r>
    <r>
      <rPr>
        <sz val="11"/>
        <color theme="1"/>
        <rFont val="Calibri"/>
        <family val="2"/>
        <charset val="1"/>
      </rPr>
      <t xml:space="preserve">÷ 16 </t>
    </r>
    <r>
      <rPr>
        <sz val="11"/>
        <color theme="1"/>
        <rFont val="Noto Sans SC"/>
        <family val="2"/>
        <charset val="134"/>
      </rPr>
      <t xml:space="preserve">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</si>
  <si>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】用 </t>
    </r>
    <r>
      <rPr>
        <b val="true"/>
        <sz val="11"/>
        <color rgb="FF1F4E79"/>
        <rFont val="Cambria"/>
        <family val="0"/>
        <charset val="1"/>
      </rPr>
      <t xml:space="preserve">BINOM.DIST.RANGE </t>
    </r>
    <r>
      <rPr>
        <b val="true"/>
        <sz val="11"/>
        <color rgb="FF1F4E79"/>
        <rFont val="Noto Sans SC"/>
        <family val="2"/>
        <charset val="134"/>
      </rPr>
      <t xml:space="preserve">直接算触发率（参数可改）</t>
    </r>
  </si>
  <si>
    <t xml:space="preserve">取值</t>
  </si>
  <si>
    <r>
      <rPr>
        <sz val="11"/>
        <color theme="1"/>
        <rFont val="Calibri"/>
        <family val="2"/>
        <charset val="1"/>
      </rPr>
      <t xml:space="preserve">trials</t>
    </r>
    <r>
      <rPr>
        <sz val="11"/>
        <color theme="1"/>
        <rFont val="Noto Sans SC"/>
        <family val="2"/>
        <charset val="134"/>
      </rPr>
      <t xml:space="preserve">（列数）</t>
    </r>
  </si>
  <si>
    <r>
      <rPr>
        <sz val="11"/>
        <color theme="1"/>
        <rFont val="Calibri"/>
        <family val="2"/>
        <charset val="1"/>
      </rPr>
      <t xml:space="preserve">probability_s</t>
    </r>
    <r>
      <rPr>
        <sz val="11"/>
        <color theme="1"/>
        <rFont val="Noto Sans SC"/>
        <family val="2"/>
        <charset val="134"/>
      </rPr>
      <t xml:space="preserve">（单列出现几率）</t>
    </r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</si>
  <si>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× 3 </t>
    </r>
    <r>
      <rPr>
        <sz val="11"/>
        <color theme="1"/>
        <rFont val="Noto Sans SC"/>
        <family val="2"/>
        <charset val="134"/>
      </rPr>
      <t xml:space="preserve">行 </t>
    </r>
    <r>
      <rPr>
        <sz val="11"/>
        <color theme="1"/>
        <rFont val="Calibri"/>
        <family val="2"/>
        <charset val="1"/>
      </rPr>
      <t xml:space="preserve">÷ 16 </t>
    </r>
    <r>
      <rPr>
        <sz val="11"/>
        <color theme="1"/>
        <rFont val="Noto Sans SC"/>
        <family val="2"/>
        <charset val="134"/>
      </rPr>
      <t xml:space="preserve">停 ＝ </t>
    </r>
    <r>
      <rPr>
        <sz val="11"/>
        <color theme="1"/>
        <rFont val="Calibri"/>
        <family val="2"/>
        <charset val="1"/>
      </rPr>
      <t xml:space="preserve">18.75%</t>
    </r>
  </si>
  <si>
    <r>
      <rPr>
        <sz val="11"/>
        <color theme="1"/>
        <rFont val="Calibri"/>
        <family val="2"/>
        <charset val="1"/>
      </rPr>
      <t xml:space="preserve">number_s</t>
    </r>
    <r>
      <rPr>
        <sz val="11"/>
        <color theme="1"/>
        <rFont val="Noto Sans SC"/>
        <family val="2"/>
        <charset val="134"/>
      </rPr>
      <t xml:space="preserve">（最小触发个数）</t>
    </r>
  </si>
  <si>
    <r>
      <rPr>
        <sz val="11"/>
        <color theme="1"/>
        <rFont val="Calibri"/>
        <family val="2"/>
        <charset val="1"/>
      </rPr>
      <t xml:space="preserve">number_s2</t>
    </r>
    <r>
      <rPr>
        <sz val="11"/>
        <color theme="1"/>
        <rFont val="Noto Sans SC"/>
        <family val="2"/>
        <charset val="134"/>
      </rPr>
      <t xml:space="preserve">（最大触发个数）</t>
    </r>
  </si>
  <si>
    <r>
      <rPr>
        <sz val="11"/>
        <color theme="1"/>
        <rFont val="Noto Sans SC"/>
        <family val="2"/>
        <charset val="134"/>
      </rPr>
      <t xml:space="preserve">总事件数（</t>
    </r>
    <r>
      <rPr>
        <sz val="11"/>
        <color theme="1"/>
        <rFont val="Calibri"/>
        <family val="2"/>
        <charset val="1"/>
      </rPr>
      <t xml:space="preserve">16⁵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</si>
  <si>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与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SC"/>
        <family val="2"/>
        <charset val="134"/>
      </rPr>
      <t xml:space="preserve">篇的逐组合枚举对照用</t>
    </r>
  </si>
  <si>
    <r>
      <rPr>
        <b val="true"/>
        <sz val="11"/>
        <rFont val="Noto Sans SC"/>
        <family val="2"/>
        <charset val="134"/>
      </rPr>
      <t xml:space="preserve">触发免费摇几率（</t>
    </r>
    <r>
      <rPr>
        <b val="true"/>
        <sz val="11"/>
        <rFont val="Cambria"/>
        <family val="0"/>
        <charset val="1"/>
      </rPr>
      <t xml:space="preserve">BINOM.DIST.RANGE </t>
    </r>
    <r>
      <rPr>
        <b val="true"/>
        <sz val="11"/>
        <rFont val="Noto Sans SC"/>
        <family val="2"/>
        <charset val="134"/>
      </rPr>
      <t xml:space="preserve">口径）</t>
    </r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</si>
  <si>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BINOM.DIST.RANGE(5, 3/16, 3, 5)</t>
    </r>
    <r>
      <rPr>
        <sz val="11"/>
        <color theme="1"/>
        <rFont val="Noto Sans SC"/>
        <family val="2"/>
        <charset val="134"/>
      </rPr>
      <t xml:space="preserve">；本簿用「累计相减」等价写法（任一版本 </t>
    </r>
    <r>
      <rPr>
        <sz val="11"/>
        <color theme="1"/>
        <rFont val="Calibri"/>
        <family val="2"/>
        <charset val="1"/>
      </rPr>
      <t xml:space="preserve">Excel / LO </t>
    </r>
    <r>
      <rPr>
        <sz val="11"/>
        <color theme="1"/>
        <rFont val="Noto Sans SC"/>
        <family val="2"/>
        <charset val="134"/>
      </rPr>
      <t xml:space="preserve">均可算）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</si>
  <si>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】拆到单个个数（与 </t>
    </r>
    <r>
      <rPr>
        <b val="true"/>
        <sz val="11"/>
        <color rgb="FF1F4E79"/>
        <rFont val="Cambria"/>
        <family val="0"/>
        <charset val="1"/>
      </rPr>
      <t xml:space="preserve">17 </t>
    </r>
    <r>
      <rPr>
        <b val="true"/>
        <sz val="11"/>
        <color rgb="FF1F4E79"/>
        <rFont val="Noto Sans SC"/>
        <family val="2"/>
        <charset val="134"/>
      </rPr>
      <t xml:space="preserve">篇的逐组合枚举对照）</t>
    </r>
  </si>
  <si>
    <r>
      <rPr>
        <b val="true"/>
        <sz val="11"/>
        <color rgb="FF1F4E79"/>
        <rFont val="Cambria"/>
        <family val="0"/>
        <charset val="1"/>
      </rPr>
      <t xml:space="preserve">Scatter </t>
    </r>
    <r>
      <rPr>
        <b val="true"/>
        <sz val="11"/>
        <color rgb="FF1F4E79"/>
        <rFont val="Noto Sans SC"/>
        <family val="2"/>
        <charset val="134"/>
      </rPr>
      <t xml:space="preserve">个数</t>
    </r>
  </si>
  <si>
    <r>
      <rPr>
        <b val="true"/>
        <sz val="11"/>
        <color rgb="FF1F4E79"/>
        <rFont val="Cambria"/>
        <family val="0"/>
        <charset val="1"/>
      </rPr>
      <t xml:space="preserve">BINOM.DIST(</t>
    </r>
    <r>
      <rPr>
        <b val="true"/>
        <sz val="11"/>
        <color rgb="FF1F4E79"/>
        <rFont val="Noto Sans SC"/>
        <family val="2"/>
        <charset val="134"/>
      </rPr>
      <t xml:space="preserve">个数</t>
    </r>
    <r>
      <rPr>
        <b val="true"/>
        <sz val="11"/>
        <color rgb="FF1F4E79"/>
        <rFont val="Cambria"/>
        <family val="0"/>
        <charset val="1"/>
      </rPr>
      <t xml:space="preserve">,5,3/16,FALSE)</t>
    </r>
  </si>
  <si>
    <r>
      <rPr>
        <b val="true"/>
        <sz val="11"/>
        <color rgb="FF1F4E79"/>
        <rFont val="Noto Sans SC"/>
        <family val="2"/>
        <charset val="134"/>
      </rPr>
      <t xml:space="preserve">对应的组合数 </t>
    </r>
    <r>
      <rPr>
        <b val="true"/>
        <sz val="11"/>
        <color rgb="FF1F4E79"/>
        <rFont val="Cambria"/>
        <family val="0"/>
        <charset val="1"/>
      </rPr>
      <t xml:space="preserve">C(5,k)</t>
    </r>
  </si>
  <si>
    <r>
      <rPr>
        <b val="true"/>
        <sz val="11"/>
        <color rgb="FF1F4E79"/>
        <rFont val="Cambria"/>
        <family val="0"/>
        <charset val="1"/>
      </rPr>
      <t xml:space="preserve">17 </t>
    </r>
    <r>
      <rPr>
        <b val="true"/>
        <sz val="11"/>
        <color rgb="FF1F4E79"/>
        <rFont val="Noto Sans SC"/>
        <family val="2"/>
        <charset val="134"/>
      </rPr>
      <t xml:space="preserve">篇逐组合枚举的事件数</t>
    </r>
  </si>
  <si>
    <t xml:space="preserve">两者是否一致</t>
  </si>
  <si>
    <t xml:space="preserve">合计</t>
  </si>
  <si>
    <r>
      <rPr>
        <sz val="11"/>
        <color theme="1"/>
        <rFont val="Calibri"/>
        <family val="2"/>
        <charset val="1"/>
      </rPr>
      <t xml:space="preserve">10+5+1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SC"/>
        <family val="2"/>
        <charset val="134"/>
      </rPr>
      <t xml:space="preserve">种组合</t>
    </r>
  </si>
  <si>
    <r>
      <rPr>
        <sz val="11"/>
        <color rgb="FF808080"/>
        <rFont val="Noto Sans SC"/>
        <family val="2"/>
        <charset val="134"/>
      </rPr>
      <t xml:space="preserve">左列用 </t>
    </r>
    <r>
      <rPr>
        <sz val="11"/>
        <color rgb="FF808080"/>
        <rFont val="Cambria"/>
        <family val="0"/>
        <charset val="1"/>
      </rPr>
      <t xml:space="preserve">BINOM.DIST </t>
    </r>
    <r>
      <rPr>
        <sz val="11"/>
        <color rgb="FF808080"/>
        <rFont val="Noto Sans SC"/>
        <family val="2"/>
        <charset val="134"/>
      </rPr>
      <t xml:space="preserve">算出的「概率 </t>
    </r>
    <r>
      <rPr>
        <sz val="11"/>
        <color rgb="FF808080"/>
        <rFont val="Cambria"/>
        <family val="0"/>
        <charset val="1"/>
      </rPr>
      <t xml:space="preserve">× </t>
    </r>
    <r>
      <rPr>
        <sz val="11"/>
        <color rgb="FF808080"/>
        <rFont val="Noto Sans SC"/>
        <family val="2"/>
        <charset val="134"/>
      </rPr>
      <t xml:space="preserve">总事件数」应等于 </t>
    </r>
    <r>
      <rPr>
        <sz val="11"/>
        <color rgb="FF808080"/>
        <rFont val="Cambria"/>
        <family val="0"/>
        <charset val="1"/>
      </rPr>
      <t xml:space="preserve">17 </t>
    </r>
    <r>
      <rPr>
        <sz val="11"/>
        <color rgb="FF808080"/>
        <rFont val="Noto Sans SC"/>
        <family val="2"/>
        <charset val="134"/>
      </rPr>
      <t xml:space="preserve">篇逐组合枚举的「事件数合计」——两条路殊途同归，正好互相验算。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</si>
  <si>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</si>
  <si>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</si>
  <si>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</si>
  <si>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Noto Sans SC"/>
        <family val="2"/>
        <charset val="134"/>
      </rPr>
      <t xml:space="preserve">单列出现几率 ＝ </t>
    </r>
    <r>
      <rPr>
        <sz val="11"/>
        <color theme="1"/>
        <rFont val="Calibri"/>
        <family val="2"/>
        <charset val="1"/>
      </rPr>
      <t xml:space="preserve">3/16</t>
    </r>
  </si>
  <si>
    <t xml:space="preserve">1 × 3 ÷ 16</t>
  </si>
  <si>
    <r>
      <rPr>
        <sz val="11"/>
        <color theme="1"/>
        <rFont val="Calibri"/>
        <family val="2"/>
        <charset val="1"/>
      </rPr>
      <t xml:space="preserve">BINOM.DIST.RANGE </t>
    </r>
    <r>
      <rPr>
        <sz val="11"/>
        <color theme="1"/>
        <rFont val="Noto Sans SC"/>
        <family val="2"/>
        <charset val="134"/>
      </rPr>
      <t xml:space="preserve">结果 ＝ </t>
    </r>
    <r>
      <rPr>
        <sz val="11"/>
        <color theme="1"/>
        <rFont val="Calibri"/>
        <family val="2"/>
        <charset val="1"/>
      </rPr>
      <t xml:space="preserve">4.8769%</t>
    </r>
  </si>
  <si>
    <r>
      <rPr>
        <sz val="11"/>
        <color theme="1"/>
        <rFont val="Noto Sans SC"/>
        <family val="2"/>
        <charset val="134"/>
      </rPr>
      <t xml:space="preserve">与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SC"/>
        <family val="2"/>
        <charset val="134"/>
      </rPr>
      <t xml:space="preserve">篇一致</t>
    </r>
  </si>
  <si>
    <t xml:space="preserve">单个个数合计 ＝ 区间结果</t>
  </si>
  <si>
    <r>
      <rPr>
        <sz val="11"/>
        <color theme="1"/>
        <rFont val="Calibri"/>
        <family val="2"/>
        <charset val="1"/>
      </rPr>
      <t xml:space="preserve">10+5+1 </t>
    </r>
    <r>
      <rPr>
        <sz val="11"/>
        <color theme="1"/>
        <rFont val="Noto Sans SC"/>
        <family val="2"/>
        <charset val="134"/>
      </rPr>
      <t xml:space="preserve">种组合相加</t>
    </r>
  </si>
  <si>
    <r>
      <rPr>
        <sz val="11"/>
        <color theme="1"/>
        <rFont val="Noto Sans SC"/>
        <family val="2"/>
        <charset val="134"/>
      </rPr>
      <t xml:space="preserve">组合数合计 ＝ </t>
    </r>
    <r>
      <rPr>
        <sz val="11"/>
        <color theme="1"/>
        <rFont val="Calibri"/>
        <family val="2"/>
        <charset val="1"/>
      </rPr>
      <t xml:space="preserve">16</t>
    </r>
  </si>
  <si>
    <t xml:space="preserve">C(5,3)+C(5,4)+C(5,5)</t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</si>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</sst>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%"/>
    <numFmt numFmtId="166" formatCode="#,##0"/>
    <numFmt numFmtId="167" formatCode="0.0000000000%"/>
  </numFmts>
  <fonts count="16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applyNumberFormat="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applyNumberFormat="1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.5" hidden="false" customHeight="false" outlineLevel="0" collapsed="false">
      <c r="A7" s="3" t="s">
        <v>5</v>
      </c>
      <c r="B7" s="3"/>
      <c r="C7" s="3"/>
      <c r="D7" s="3"/>
      <c r="E7" s="3"/>
      <c r="F7" s="3"/>
    </row>
    <row r="8" customFormat="false" ht="15.5" hidden="false" customHeight="false" outlineLevel="0" collapsed="false">
      <c r="A8" s="4" t="s">
        <v>6</v>
      </c>
    </row>
    <row r="10" customFormat="false" ht="15" hidden="false" customHeight="false" outlineLevel="0" collapsed="false">
      <c r="A10" s="5" t="s">
        <v>7</v>
      </c>
    </row>
    <row r="11" customFormat="false" ht="29" hidden="false" customHeight="false" outlineLevel="0" collapsed="false">
      <c r="A11" s="26" t="s">
        <v>8</v>
      </c>
    </row>
    <row r="12" customFormat="false" ht="29" hidden="false" customHeight="false" outlineLevel="0" collapsed="false">
      <c r="A12" s="26" t="s">
        <v>9</v>
      </c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5" t="s">
        <v>10</v>
      </c>
    </row>
    <row r="15" customFormat="false" ht="15" hidden="false" customHeight="1" outlineLevel="0" collapsed="false">
      <c r="A15" s="27" t="s">
        <v>11</v>
      </c>
      <c r="B15" s="7"/>
      <c r="C15" s="7"/>
    </row>
    <row r="16" customFormat="false" ht="42" hidden="false" customHeight="false" outlineLevel="0" collapsed="false">
      <c r="A16" s="26" t="s">
        <v>12</v>
      </c>
    </row>
    <row r="17" customFormat="false" ht="15" hidden="false" customHeight="1" outlineLevel="0" collapsed="false">
      <c r="A17" s="27" t="s">
        <v>13</v>
      </c>
      <c r="B17" s="7"/>
      <c r="C17" s="7"/>
    </row>
    <row r="18" customFormat="false" ht="15" hidden="false" customHeight="false" outlineLevel="0" collapsed="false">
      <c r="A18" s="6"/>
    </row>
    <row r="19" customFormat="false" ht="15" hidden="false" customHeight="false" outlineLevel="0" collapsed="false">
      <c r="A19" s="5" t="s">
        <v>14</v>
      </c>
    </row>
    <row r="20" customFormat="false" ht="29" hidden="false" customHeight="false" outlineLevel="0" collapsed="false">
      <c r="A20" s="26" t="s">
        <v>15</v>
      </c>
    </row>
    <row r="21" customFormat="false" ht="27.5" hidden="false" customHeight="false" outlineLevel="0" collapsed="false">
      <c r="A21" s="26" t="s">
        <v>16</v>
      </c>
    </row>
    <row r="22" customFormat="false" ht="27.5" hidden="false" customHeight="false" outlineLevel="0" collapsed="false">
      <c r="A22" s="26" t="s">
        <v>17</v>
      </c>
    </row>
    <row r="23" customFormat="false" ht="16" hidden="false" customHeight="false" outlineLevel="0" collapsed="false">
      <c r="A23" s="6" t="s">
        <v>18</v>
      </c>
    </row>
    <row r="24" customFormat="false" ht="30" hidden="false" customHeight="false" outlineLevel="0" collapsed="false">
      <c r="A24" s="26" t="s">
        <v>19</v>
      </c>
    </row>
    <row r="25" customFormat="false" ht="30" hidden="false" customHeight="false" outlineLevel="0" collapsed="false">
      <c r="A25" s="28" t="s">
        <v>20</v>
      </c>
    </row>
    <row r="26" customFormat="false" ht="29" hidden="false" customHeight="false" outlineLevel="0" collapsed="false">
      <c r="A26" s="26" t="s">
        <v>21</v>
      </c>
    </row>
    <row r="27" customFormat="false" ht="43" hidden="false" customHeight="false" outlineLevel="0" collapsed="false">
      <c r="A27" s="26" t="s">
        <v>22</v>
      </c>
    </row>
    <row r="28" customFormat="false" ht="15" hidden="false" customHeight="false" outlineLevel="0" collapsed="false">
      <c r="A28" s="8" t="s">
        <v>23</v>
      </c>
    </row>
    <row r="29" customFormat="false" ht="30" hidden="false" customHeight="false" outlineLevel="0" collapsed="false">
      <c r="A29" s="26" t="s">
        <v>24</v>
      </c>
    </row>
    <row r="31" customFormat="false" ht="15" hidden="false" customHeight="false" outlineLevel="0" collapsed="false">
      <c r="A31" s="5" t="s">
        <v>25</v>
      </c>
    </row>
    <row r="32" customFormat="false" ht="15" hidden="false" customHeight="false" outlineLevel="0" collapsed="false">
      <c r="A32" s="8"/>
    </row>
    <row r="33" customFormat="false" ht="29" hidden="false" customHeight="false" outlineLevel="0" collapsed="false">
      <c r="A33" s="28" t="s">
        <v>26</v>
      </c>
    </row>
    <row r="34" customFormat="false" ht="43" hidden="false" customHeight="false" outlineLevel="0" collapsed="false">
      <c r="A34" s="28" t="s">
        <v>27</v>
      </c>
    </row>
    <row r="35" customFormat="false" ht="15" hidden="false" customHeight="false" outlineLevel="0" collapsed="false">
      <c r="A35" s="26" t="s">
        <v>28</v>
      </c>
    </row>
    <row r="36" customFormat="false" ht="25" hidden="false" customHeight="false" outlineLevel="0" collapsed="false">
      <c r="A36" s="26" t="s">
        <v>29</v>
      </c>
    </row>
    <row r="37" customFormat="false" ht="29" hidden="false" customHeight="false" outlineLevel="0" collapsed="false">
      <c r="A37" s="28" t="s">
        <v>30</v>
      </c>
    </row>
    <row r="38" customFormat="false" ht="29" hidden="false" customHeight="false" outlineLevel="0" collapsed="false">
      <c r="A38" s="28" t="s">
        <v>31</v>
      </c>
    </row>
    <row r="39" customFormat="false" ht="29" hidden="false" customHeight="false" outlineLevel="0" collapsed="false">
      <c r="A39" s="28" t="s">
        <v>32</v>
      </c>
    </row>
    <row r="40" customFormat="false" ht="15" hidden="false" customHeight="false" outlineLevel="0" collapsed="false">
      <c r="A40" s="8"/>
    </row>
    <row r="41" customFormat="false" ht="16" hidden="false" customHeight="false" outlineLevel="0" collapsed="false">
      <c r="A41" s="8" t="s">
        <v>33</v>
      </c>
    </row>
    <row r="42" customFormat="false" ht="15" hidden="false" customHeight="false" outlineLevel="0" collapsed="false">
      <c r="A42" s="8"/>
    </row>
    <row r="43" customFormat="false" ht="29" hidden="false" customHeight="false" outlineLevel="0" collapsed="false">
      <c r="A43" s="28" t="s">
        <v>34</v>
      </c>
    </row>
    <row r="44" customFormat="false" ht="16" hidden="false" customHeight="false" outlineLevel="0" collapsed="false">
      <c r="A44" s="8" t="s">
        <v>35</v>
      </c>
    </row>
    <row r="45" customFormat="false" ht="16" hidden="false" customHeight="false" outlineLevel="0" collapsed="false">
      <c r="A45" s="8" t="s">
        <v>36</v>
      </c>
    </row>
    <row r="46" customFormat="false" ht="15" hidden="false" customHeight="false" outlineLevel="0" collapsed="false">
      <c r="A46" s="8" t="s">
        <v>37</v>
      </c>
    </row>
    <row r="47" customFormat="false" ht="15" hidden="false" customHeight="false" outlineLevel="0" collapsed="false">
      <c r="A47" s="8" t="s">
        <v>38</v>
      </c>
    </row>
    <row r="48" customFormat="false" ht="16" hidden="false" customHeight="false" outlineLevel="0" collapsed="false">
      <c r="A48" s="8" t="s">
        <v>39</v>
      </c>
    </row>
    <row r="49" customFormat="false" ht="15" hidden="false" customHeight="false" outlineLevel="0" collapsed="false">
      <c r="A49" s="8"/>
    </row>
    <row r="50" customFormat="false" ht="16" hidden="false" customHeight="false" outlineLevel="0" collapsed="false">
      <c r="A50" s="8" t="s">
        <v>40</v>
      </c>
    </row>
    <row r="51" customFormat="false" ht="15" hidden="false" customHeight="false" outlineLevel="0" collapsed="false">
      <c r="A51" s="8"/>
    </row>
    <row r="52" customFormat="false" ht="29" hidden="false" customHeight="false" outlineLevel="0" collapsed="false">
      <c r="A52" s="28" t="s">
        <v>41</v>
      </c>
    </row>
    <row r="53" customFormat="false" ht="29" hidden="false" customHeight="false" outlineLevel="0" collapsed="false">
      <c r="A53" s="28" t="s">
        <v>42</v>
      </c>
    </row>
    <row r="54" customFormat="false" ht="29" hidden="false" customHeight="false" outlineLevel="0" collapsed="false">
      <c r="A54" s="28" t="s">
        <v>43</v>
      </c>
    </row>
    <row r="55" customFormat="false" ht="29" hidden="false" customHeight="false" outlineLevel="0" collapsed="false">
      <c r="A55" s="28" t="s">
        <v>44</v>
      </c>
    </row>
    <row r="56" customFormat="false" ht="30" hidden="false" customHeight="false" outlineLevel="0" collapsed="false">
      <c r="A56" s="28" t="s">
        <v>45</v>
      </c>
    </row>
    <row r="57" customFormat="false" ht="29" hidden="false" customHeight="false" outlineLevel="0" collapsed="false">
      <c r="A57" s="28" t="s">
        <v>46</v>
      </c>
    </row>
    <row r="58" customFormat="false" ht="29" hidden="false" customHeight="false" outlineLevel="0" collapsed="false">
      <c r="A58" s="28" t="s">
        <v>47</v>
      </c>
    </row>
    <row r="59" customFormat="false" ht="29" hidden="false" customHeight="false" outlineLevel="0" collapsed="false">
      <c r="A59" s="28" t="s">
        <v>48</v>
      </c>
    </row>
    <row r="60" customFormat="false" ht="16" hidden="false" customHeight="false" outlineLevel="0" collapsed="false">
      <c r="A60" s="28" t="s">
        <v>49</v>
      </c>
    </row>
    <row r="61" customFormat="false" ht="15" hidden="false" customHeight="false" outlineLevel="0" collapsed="false">
      <c r="A61" s="8" t="s">
        <v>50</v>
      </c>
    </row>
    <row r="62" customFormat="false" ht="15" hidden="false" customHeight="false" outlineLevel="0" collapsed="false">
      <c r="A62" s="8"/>
    </row>
    <row r="63" customFormat="false" ht="16" hidden="false" customHeight="false" outlineLevel="0" collapsed="false">
      <c r="A63" s="8" t="s">
        <v>51</v>
      </c>
    </row>
    <row r="64" customFormat="false" ht="15" hidden="false" customHeight="false" outlineLevel="0" collapsed="false">
      <c r="A64" s="8"/>
    </row>
    <row r="65" customFormat="false" ht="29" hidden="false" customHeight="false" outlineLevel="0" collapsed="false">
      <c r="A65" s="26" t="s">
        <v>52</v>
      </c>
    </row>
    <row r="66" customFormat="false" ht="30" hidden="false" customHeight="false" outlineLevel="0" collapsed="false">
      <c r="A66" s="28" t="s">
        <v>53</v>
      </c>
    </row>
    <row r="67" customFormat="false" ht="30" hidden="false" customHeight="false" outlineLevel="0" collapsed="false">
      <c r="A67" s="28" t="s">
        <v>54</v>
      </c>
    </row>
    <row r="68" customFormat="false" ht="29" hidden="false" customHeight="false" outlineLevel="0" collapsed="false">
      <c r="A68" s="28" t="s">
        <v>55</v>
      </c>
    </row>
    <row r="69" customFormat="false" ht="29" hidden="false" customHeight="false" outlineLevel="0" collapsed="false">
      <c r="A69" s="28" t="s">
        <v>56</v>
      </c>
    </row>
    <row r="70" customFormat="false" ht="29" hidden="false" customHeight="false" outlineLevel="0" collapsed="false">
      <c r="A70" s="28" t="s">
        <v>57</v>
      </c>
    </row>
    <row r="71" customFormat="false" ht="15" hidden="false" customHeight="false" outlineLevel="0" collapsed="false">
      <c r="A71" s="8" t="s">
        <v>58</v>
      </c>
    </row>
    <row r="72" customFormat="false" ht="15" hidden="false" customHeight="false" outlineLevel="0" collapsed="false">
      <c r="A72" s="8"/>
    </row>
    <row r="73" customFormat="false" ht="16" hidden="false" customHeight="false" outlineLevel="0" collapsed="false">
      <c r="A73" s="8" t="s">
        <v>59</v>
      </c>
    </row>
    <row r="74" customFormat="false" ht="15" hidden="false" customHeight="false" outlineLevel="0" collapsed="false">
      <c r="A74" s="8"/>
    </row>
    <row r="75" customFormat="false" ht="30" hidden="false" customHeight="false" outlineLevel="0" collapsed="false">
      <c r="A75" s="28" t="s">
        <v>60</v>
      </c>
    </row>
    <row r="76" customFormat="false" ht="16" hidden="false" customHeight="false" outlineLevel="0" collapsed="false">
      <c r="A76" s="8" t="s">
        <v>61</v>
      </c>
    </row>
    <row r="77" customFormat="false" ht="30" hidden="false" customHeight="false" outlineLevel="0" collapsed="false">
      <c r="A77" s="28" t="s">
        <v>62</v>
      </c>
    </row>
    <row r="79" customFormat="false" ht="15.5" hidden="false" customHeight="false" outlineLevel="0" collapsed="false">
      <c r="A79" s="29" t="s">
        <v>63</v>
      </c>
    </row>
    <row r="80" customFormat="false" ht="15.5" hidden="false" customHeight="false" outlineLevel="0" collapsed="false">
      <c r="A80" s="2" t="s">
        <v>64</v>
      </c>
    </row>
    <row r="81" customFormat="false" ht="15.5" hidden="false" customHeight="false" outlineLevel="0" collapsed="false">
      <c r="A81" s="2" t="s">
        <v>65</v>
      </c>
    </row>
    <row r="82" customFormat="false" ht="15.5" hidden="false" customHeight="false" outlineLevel="0" collapsed="false">
      <c r="A82" s="2" t="s">
        <v>66</v>
      </c>
    </row>
    <row r="83" customFormat="false" ht="15.5" hidden="false" customHeight="false" outlineLevel="0" collapsed="false">
      <c r="A83" s="2" t="s">
        <v>67</v>
      </c>
    </row>
    <row r="85" customFormat="false" ht="15" hidden="false" customHeight="false" outlineLevel="0" collapsed="false">
      <c r="A85" s="5" t="s">
        <v>68</v>
      </c>
    </row>
    <row r="86" customFormat="false" ht="30" hidden="false" customHeight="false" outlineLevel="0" collapsed="false">
      <c r="A86" s="28" t="s">
        <v>69</v>
      </c>
    </row>
    <row r="87" customFormat="false" ht="28" hidden="false" customHeight="false" outlineLevel="0" collapsed="false">
      <c r="A87" s="28" t="s">
        <v>70</v>
      </c>
    </row>
    <row r="88" customFormat="false" ht="15" hidden="false" customHeight="false" outlineLevel="0" collapsed="false">
      <c r="A88" s="8"/>
    </row>
    <row r="89" customFormat="false" ht="15" hidden="false" customHeight="false" outlineLevel="0" collapsed="false">
      <c r="A89" s="5" t="s">
        <v>71</v>
      </c>
    </row>
    <row r="90" customFormat="false" ht="28" hidden="false" customHeight="false" outlineLevel="0" collapsed="false">
      <c r="A90" s="28" t="s">
        <v>72</v>
      </c>
    </row>
    <row r="91" customFormat="false" ht="29" hidden="false" customHeight="false" outlineLevel="0" collapsed="false">
      <c r="A91" s="28" t="s">
        <v>73</v>
      </c>
    </row>
    <row r="93" customFormat="false" ht="15.5" hidden="false" customHeight="false" outlineLevel="0" collapsed="false">
      <c r="A93" s="4" t="s">
        <v>74</v>
      </c>
    </row>
  </sheetData>
  <mergeCells count="5">
    <mergeCell ref="A5:L5"/>
    <mergeCell ref="A6:J6"/>
    <mergeCell ref="A7:N7"/>
    <mergeCell ref="A15:I15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K113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9" width="27.31"/>
    <col collapsed="false" customWidth="true" hidden="false" outlineLevel="0" max="7" min="2" style="9" width="14.56"/>
    <col collapsed="false" customWidth="true" hidden="false" outlineLevel="0" max="8" min="8" style="9" width="49.13"/>
  </cols>
  <sheetData>
    <row r="1" customFormat="false" ht="19" hidden="false" customHeight="false" outlineLevel="0" collapsed="false">
      <c r="A1" s="10" t="s">
        <v>75</v>
      </c>
      <c r="B1" s="10"/>
      <c r="C1" s="10"/>
      <c r="D1" s="10"/>
      <c r="E1" s="10"/>
    </row>
    <row r="3" customFormat="false" ht="15.5" hidden="false" customHeight="false" outlineLevel="0" collapsed="false">
      <c r="A3" s="11" t="s">
        <v>76</v>
      </c>
      <c r="B3" s="11"/>
      <c r="C3" s="11"/>
      <c r="D3" s="12"/>
      <c r="E3" s="12"/>
      <c r="F3" s="12"/>
      <c r="G3" s="12"/>
      <c r="H3" s="12"/>
    </row>
    <row r="4" customFormat="false" ht="15" hidden="false" customHeight="false" outlineLevel="0" collapsed="false">
      <c r="A4" s="13" t="s">
        <v>77</v>
      </c>
      <c r="B4" s="13" t="s">
        <v>78</v>
      </c>
      <c r="C4" s="13" t="s">
        <v>79</v>
      </c>
      <c r="D4" s="13"/>
    </row>
    <row r="5" customFormat="false" ht="16" hidden="false" customHeight="false" outlineLevel="0" collapsed="false">
      <c r="A5" s="14" t="s">
        <v>80</v>
      </c>
      <c r="B5" s="14" t="s">
        <v>81</v>
      </c>
      <c r="C5" s="15" t="s">
        <v>82</v>
      </c>
      <c r="D5" s="15"/>
      <c r="E5" s="15"/>
      <c r="F5" s="15"/>
    </row>
    <row r="6" customFormat="false" ht="16" hidden="false" customHeight="false" outlineLevel="0" collapsed="false">
      <c r="A6" s="14" t="s">
        <v>83</v>
      </c>
      <c r="B6" s="14" t="s">
        <v>84</v>
      </c>
      <c r="C6" s="15" t="s">
        <v>85</v>
      </c>
      <c r="D6" s="15"/>
      <c r="E6" s="15"/>
      <c r="F6" s="15"/>
      <c r="G6" s="15"/>
    </row>
    <row r="7" customFormat="false" ht="16" hidden="false" customHeight="false" outlineLevel="0" collapsed="false">
      <c r="A7" s="9" t="s">
        <v>86</v>
      </c>
      <c r="B7" s="30">
        <v>5</v>
      </c>
      <c r="C7" s="31">
        <v>5</v>
      </c>
      <c r="D7" s="16"/>
      <c r="E7" s="16"/>
      <c r="F7" s="16"/>
    </row>
    <row r="8" customFormat="false" ht="16" hidden="false" customHeight="false" outlineLevel="0" collapsed="false">
      <c r="A8" s="9" t="s">
        <v>89</v>
      </c>
      <c r="B8" s="14" t="s">
        <v>90</v>
      </c>
      <c r="C8" s="15" t="s">
        <v>91</v>
      </c>
      <c r="D8" s="15"/>
      <c r="E8" s="15"/>
      <c r="F8" s="15"/>
      <c r="G8" s="15"/>
    </row>
    <row r="10" customFormat="false" ht="15.5" hidden="false" customHeight="false" outlineLevel="0" collapsed="false">
      <c r="A10" s="11" t="s">
        <v>92</v>
      </c>
      <c r="B10" s="11"/>
      <c r="C10" s="11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13" t="s">
        <v>78</v>
      </c>
      <c r="B11" s="13" t="s">
        <v>93</v>
      </c>
      <c r="C11" s="13" t="s">
        <v>71</v>
      </c>
      <c r="D11" s="13"/>
      <c r="E11" s="13"/>
      <c r="F11" s="13"/>
      <c r="G11" s="13"/>
      <c r="H11" s="13"/>
    </row>
    <row r="12" customFormat="false" ht="16" hidden="false" customHeight="false" outlineLevel="0" collapsed="false">
      <c r="A12" s="14" t="s">
        <v>94</v>
      </c>
      <c r="B12" s="17" t="n">
        <v>5</v>
      </c>
    </row>
    <row r="13" customFormat="false" ht="16" hidden="false" customHeight="false" outlineLevel="0" collapsed="false">
      <c r="A13" s="14" t="s">
        <v>95</v>
      </c>
      <c r="B13" s="33" t="n">
        <f aca="false">3/16</f>
        <v>0.1875</v>
      </c>
      <c r="C13" s="15" t="s">
        <v>96</v>
      </c>
      <c r="D13" s="15"/>
      <c r="E13" s="15"/>
      <c r="F13" s="15"/>
    </row>
    <row r="14" customFormat="false" ht="16" hidden="false" customHeight="false" outlineLevel="0" collapsed="false">
      <c r="A14" s="14" t="s">
        <v>97</v>
      </c>
      <c r="B14" s="17" t="n">
        <v>3</v>
      </c>
    </row>
    <row r="15" customFormat="false" ht="16" hidden="false" customHeight="false" outlineLevel="0" collapsed="false">
      <c r="A15" s="14" t="s">
        <v>98</v>
      </c>
      <c r="B15" s="17" t="n">
        <v>5</v>
      </c>
    </row>
    <row r="16" customFormat="false" ht="16" hidden="false" customHeight="false" outlineLevel="0" collapsed="false">
      <c r="A16" s="9" t="s">
        <v>99</v>
      </c>
      <c r="B16" s="19" t="n">
        <f aca="false">16^5</f>
        <v>1048576</v>
      </c>
      <c r="C16" s="15" t="s">
        <v>100</v>
      </c>
      <c r="D16" s="15"/>
      <c r="E16" s="15"/>
    </row>
    <row r="17" customFormat="false" ht="16" hidden="false" customHeight="false" outlineLevel="0" collapsed="false">
      <c r="A17" s="20" t="s">
        <v>101</v>
      </c>
      <c r="B17" s="34" t="n">
        <f aca="false">BINOMDIST(B15,B12,B13,TRUE())-BINOMDIST(B14-1,B12,B13,TRUE())</f>
        <v>0.0487689971923829</v>
      </c>
      <c r="C17" s="15" t="s">
        <v>102</v>
      </c>
      <c r="D17" s="15"/>
      <c r="E17" s="15"/>
      <c r="F17" s="15"/>
      <c r="G17" s="15"/>
      <c r="H17" s="15"/>
    </row>
    <row r="19" customFormat="false" ht="15.5" hidden="false" customHeight="false" outlineLevel="0" collapsed="false">
      <c r="A19" s="11" t="s">
        <v>103</v>
      </c>
      <c r="B19" s="11"/>
      <c r="C19" s="11"/>
      <c r="D19" s="11"/>
      <c r="E19" s="11"/>
      <c r="F19" s="12"/>
      <c r="G19" s="12"/>
      <c r="H19" s="12"/>
    </row>
    <row r="20" customFormat="false" ht="15.5" hidden="false" customHeight="false" outlineLevel="0" collapsed="false">
      <c r="A20" s="22" t="s">
        <v>104</v>
      </c>
      <c r="B20" s="22" t="s">
        <v>105</v>
      </c>
      <c r="C20" s="13" t="s">
        <v>106</v>
      </c>
      <c r="D20" s="32">
        <v>17</v>
      </c>
      <c r="E20" s="13" t="s">
        <v>108</v>
      </c>
    </row>
    <row r="21" customFormat="false" ht="15" hidden="false" customHeight="false" outlineLevel="0" collapsed="false">
      <c r="A21" s="9" t="n">
        <v>3</v>
      </c>
      <c r="B21" s="33" t="n">
        <f aca="false">BINOMDIST(A21,$B$12,$B$13,FALSE())</f>
        <v>0.0435161590576172</v>
      </c>
      <c r="C21" s="19" t="n">
        <f aca="false">COMBIN(5,3)</f>
        <v>10</v>
      </c>
      <c r="D21" s="23" t="n">
        <v>45630</v>
      </c>
      <c r="E21" s="24" t="str">
        <f aca="false">IF(ABS(B21*$B$16-D21)&lt;1,"✓","✗")</f>
        <v>✓</v>
      </c>
    </row>
    <row r="22" customFormat="false" ht="15" hidden="false" customHeight="false" outlineLevel="0" collapsed="false">
      <c r="A22" s="9" t="n">
        <v>4</v>
      </c>
      <c r="B22" s="33" t="n">
        <f aca="false">BINOMDIST(A22,$B$12,$B$13,FALSE())</f>
        <v>0.00502109527587891</v>
      </c>
      <c r="C22" s="19" t="n">
        <f aca="false">COMBIN(5,4)</f>
        <v>5</v>
      </c>
      <c r="D22" s="23" t="n">
        <v>5265</v>
      </c>
      <c r="E22" s="24" t="str">
        <f aca="false">IF(ABS(B22*$B$16-D22)&lt;1,"✓","✗")</f>
        <v>✓</v>
      </c>
    </row>
    <row r="23" customFormat="false" ht="15" hidden="false" customHeight="false" outlineLevel="0" collapsed="false">
      <c r="A23" s="9" t="n">
        <v>5</v>
      </c>
      <c r="B23" s="33" t="n">
        <f aca="false">BINOMDIST(A23,$B$12,$B$13,FALSE())</f>
        <v>0.000231742858886719</v>
      </c>
      <c r="C23" s="19" t="n">
        <f aca="false">COMBIN(5,5)</f>
        <v>1</v>
      </c>
      <c r="D23" s="23" t="n">
        <v>243</v>
      </c>
      <c r="E23" s="24" t="str">
        <f aca="false">IF(ABS(B23*$B$16-D23)&lt;1,"✓","✗")</f>
        <v>✓</v>
      </c>
    </row>
    <row r="24" customFormat="false" ht="16" hidden="false" customHeight="false" outlineLevel="0" collapsed="false">
      <c r="A24" s="20" t="s">
        <v>109</v>
      </c>
      <c r="B24" s="34" t="n">
        <f aca="false">SUM(B21:B23)</f>
        <v>0.0487689971923828</v>
      </c>
      <c r="C24" s="19" t="n">
        <f aca="false">SUM(C21:C23)</f>
        <v>16</v>
      </c>
      <c r="D24" s="19" t="n">
        <f aca="false">SUM(D21:D23)</f>
        <v>51138</v>
      </c>
      <c r="E24" s="16" t="s">
        <v>110</v>
      </c>
      <c r="F24" s="16"/>
    </row>
    <row r="25" customFormat="false" ht="15.5" hidden="false" customHeight="true" outlineLevel="0" collapsed="false">
      <c r="A25" s="25" t="s">
        <v>111</v>
      </c>
      <c r="B25" s="25"/>
      <c r="C25" s="25"/>
      <c r="D25" s="25"/>
      <c r="E25" s="25"/>
      <c r="F25" s="25"/>
      <c r="G25" s="25"/>
      <c r="H25" s="25"/>
    </row>
    <row r="27" customFormat="false" ht="15.5" hidden="false" customHeight="false" outlineLevel="0" collapsed="false">
      <c r="A27" s="11" t="s">
        <v>112</v>
      </c>
      <c r="B27" s="11"/>
      <c r="C27" s="11"/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13" t="s">
        <v>113</v>
      </c>
      <c r="B28" s="13" t="s">
        <v>114</v>
      </c>
      <c r="C28" s="13" t="s">
        <v>71</v>
      </c>
      <c r="D28" s="13"/>
      <c r="E28" s="13"/>
      <c r="F28" s="13"/>
      <c r="G28" s="13"/>
      <c r="H28" s="13"/>
    </row>
    <row r="29" customFormat="false" ht="16" hidden="false" customHeight="false" outlineLevel="0" collapsed="false">
      <c r="A29" s="9" t="s">
        <v>115</v>
      </c>
      <c r="B29" s="24" t="str">
        <f aca="false">IF(ABS(B13-0.1875)&lt;0.000001,"✓","✗")</f>
        <v>✓</v>
      </c>
      <c r="C29" s="14" t="s">
        <v>116</v>
      </c>
    </row>
    <row r="30" customFormat="false" ht="16" hidden="false" customHeight="false" outlineLevel="0" collapsed="false">
      <c r="A30" s="14" t="s">
        <v>117</v>
      </c>
      <c r="B30" s="24" t="str">
        <f aca="false">IF(ABS(B17-0.048769)&lt;0.000001,"✓","✗")</f>
        <v>✓</v>
      </c>
      <c r="C30" s="9" t="s">
        <v>118</v>
      </c>
    </row>
    <row r="31" customFormat="false" ht="16" hidden="false" customHeight="false" outlineLevel="0" collapsed="false">
      <c r="A31" s="9" t="s">
        <v>119</v>
      </c>
      <c r="B31" s="24" t="str">
        <f aca="false">IF(ABS(B24-B17)&lt;0.000001,"✓","✗")</f>
        <v>✓</v>
      </c>
      <c r="C31" s="16" t="s">
        <v>120</v>
      </c>
      <c r="D31" s="16"/>
    </row>
    <row r="32" customFormat="false" ht="16" hidden="false" customHeight="false" outlineLevel="0" collapsed="false">
      <c r="A32" s="9" t="s">
        <v>121</v>
      </c>
      <c r="B32" s="24" t="str">
        <f aca="false">IF(C24=16,"✓","✗")</f>
        <v>✓</v>
      </c>
      <c r="C32" s="16" t="s">
        <v>122</v>
      </c>
      <c r="D32" s="16"/>
    </row>
    <row r="34" customFormat="false" ht="28" hidden="false" customHeight="true" outlineLevel="0" collapsed="false">
      <c r="A34" s="25" t="s">
        <v>123</v>
      </c>
      <c r="B34" s="25"/>
      <c r="C34" s="25"/>
      <c r="D34" s="25"/>
      <c r="E34" s="25"/>
    </row>
  </sheetData>
  <mergeCells count="17">
    <mergeCell ref="A1:E1"/>
    <mergeCell ref="A3:C3"/>
    <mergeCell ref="C5:F5"/>
    <mergeCell ref="C6:G6"/>
    <mergeCell ref="C7:F7"/>
    <mergeCell ref="C8:G8"/>
    <mergeCell ref="A10:C10"/>
    <mergeCell ref="C13:F13"/>
    <mergeCell ref="C16:E16"/>
    <mergeCell ref="C17:H17"/>
    <mergeCell ref="A19:E19"/>
    <mergeCell ref="E24:F24"/>
    <mergeCell ref="A25:H25"/>
    <mergeCell ref="A27:C27"/>
    <mergeCell ref="C31:D31"/>
    <mergeCell ref="C32:D32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M54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2026-09-29T15:06:25Z</dcterms:created>
  <dc:creator>openpyxl</dc:creator>
  <dc:description/>
  <dc:language>zh-CN</dc:language>
  <cp:lastModifiedBy/>
  <dcterms:modified xsi:type="dcterms:W3CDTF">2026-09-29T15:06:25Z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