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7680" activeTab="1"/>
  </bookViews>
  <sheets>
    <sheet name="说明" sheetId="1" r:id="rId1"/>
    <sheet name="数据配表的实现" sheetId="2" r:id="rId2"/>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<sst xmlns="http://schemas.openxmlformats.org/spreadsheetml/2006/main" count="551" uniqueCount="415">
  <si>
    <r>
      <rPr>
        <b/>
        <sz val="14"/>
        <color rgb="FF1F4E79"/>
        <rFont val="Noto Sans SC"/>
        <charset val="134"/>
      </rPr>
      <t>从零开始学</t>
    </r>
    <r>
      <rPr>
        <b/>
        <sz val="14"/>
        <color rgb="FF1F4E79"/>
        <rFont val="Cambria"/>
        <charset val="1"/>
      </rPr>
      <t xml:space="preserve">Slots 01 —— </t>
    </r>
    <r>
      <rPr>
        <b/>
        <sz val="14"/>
        <color rgb="FF1F4E79"/>
        <rFont val="Noto Sans SC"/>
        <charset val="134"/>
      </rPr>
      <t>基础篇：基础构成</t>
    </r>
  </si>
  <si>
    <r>
      <rPr>
        <sz val="11"/>
        <color rgb="FF808080"/>
        <rFont val="Noto Sans SC"/>
        <charset val="134"/>
      </rPr>
      <t>来源：知乎《</t>
    </r>
    <r>
      <rPr>
        <sz val="11"/>
        <color rgb="FF808080"/>
        <rFont val="Cambria"/>
        <charset val="1"/>
      </rPr>
      <t>Slots</t>
    </r>
    <r>
      <rPr>
        <sz val="11"/>
        <color rgb="FF808080"/>
        <rFont val="Noto Sans SC"/>
        <charset val="134"/>
      </rPr>
      <t xml:space="preserve">基础篇—— 基础构成》 </t>
    </r>
    <r>
      <rPr>
        <sz val="11"/>
        <color rgb="FF808080"/>
        <rFont val="Cambria"/>
        <charset val="1"/>
      </rPr>
      <t>https://zhuanlan.zhihu.com/p/623535430</t>
    </r>
  </si>
  <si>
    <r>
      <rPr>
        <sz val="11"/>
        <color rgb="FF808080"/>
        <rFont val="Noto Sans SC"/>
        <charset val="134"/>
      </rPr>
      <t>专栏：从零开始学</t>
    </r>
    <r>
      <rPr>
        <sz val="11"/>
        <color rgb="FF808080"/>
        <rFont val="Cambria"/>
        <charset val="1"/>
      </rPr>
      <t xml:space="preserve">Slots https://zhuanlan.zhihu.com/c_1645024821070356480 </t>
    </r>
    <r>
      <rPr>
        <sz val="11"/>
        <color rgb="FF808080"/>
        <rFont val="Noto Sans SC"/>
        <charset val="134"/>
      </rPr>
      <t>｜ 作者：</t>
    </r>
    <r>
      <rPr>
        <sz val="11"/>
        <color rgb="FF808080"/>
        <rFont val="Cambria"/>
        <charset val="1"/>
      </rPr>
      <t>ASlot</t>
    </r>
    <r>
      <rPr>
        <sz val="11"/>
        <color rgb="FF808080"/>
        <rFont val="Noto Sans SC"/>
        <charset val="134"/>
      </rPr>
      <t>（</t>
    </r>
    <r>
      <rPr>
        <sz val="11"/>
        <color rgb="FF808080"/>
        <rFont val="Cambria"/>
        <charset val="1"/>
      </rPr>
      <t>Slot Mathematician</t>
    </r>
    <r>
      <rPr>
        <sz val="11"/>
        <color rgb="FF808080"/>
        <rFont val="Noto Sans SC"/>
        <charset val="134"/>
      </rPr>
      <t>｜</t>
    </r>
    <r>
      <rPr>
        <sz val="11"/>
        <color rgb="FF808080"/>
        <rFont val="Cambria"/>
        <charset val="1"/>
      </rPr>
      <t>Freelance</t>
    </r>
    <r>
      <rPr>
        <sz val="11"/>
        <color rgb="FF808080"/>
        <rFont val="Noto Sans SC"/>
        <charset val="134"/>
      </rPr>
      <t>）</t>
    </r>
  </si>
  <si>
    <r>
      <rPr>
        <sz val="11"/>
        <color rgb="FF808080"/>
        <rFont val="Noto Sans SC"/>
        <charset val="134"/>
      </rPr>
      <t>样式模板：捕鱼游戏数学</t>
    </r>
    <r>
      <rPr>
        <sz val="11"/>
        <color rgb="FF808080"/>
        <rFont val="Cambria"/>
        <charset val="1"/>
      </rPr>
      <t>-PartII-</t>
    </r>
    <r>
      <rPr>
        <sz val="11"/>
        <color rgb="FF808080"/>
        <rFont val="Noto Sans SC"/>
        <charset val="134"/>
      </rPr>
      <t>特殊炮模型</t>
    </r>
    <r>
      <rPr>
        <sz val="11"/>
        <color rgb="FF808080"/>
        <rFont val="Cambria"/>
        <charset val="1"/>
      </rPr>
      <t>.xlsx</t>
    </r>
    <r>
      <rPr>
        <sz val="11"/>
        <color rgb="FF808080"/>
        <rFont val="Noto Sans SC"/>
        <charset val="134"/>
      </rPr>
      <t xml:space="preserve">（分节深蓝底 </t>
    </r>
    <r>
      <rPr>
        <sz val="11"/>
        <color rgb="FF808080"/>
        <rFont val="Cambria"/>
        <charset val="1"/>
      </rPr>
      <t xml:space="preserve">+ </t>
    </r>
    <r>
      <rPr>
        <sz val="11"/>
        <color rgb="FF808080"/>
        <rFont val="Noto Sans SC"/>
        <charset val="134"/>
      </rPr>
      <t xml:space="preserve">表头浅蓝底 </t>
    </r>
    <r>
      <rPr>
        <sz val="11"/>
        <color rgb="FF808080"/>
        <rFont val="Cambria"/>
        <charset val="1"/>
      </rPr>
      <t xml:space="preserve">+ </t>
    </r>
    <r>
      <rPr>
        <sz val="11"/>
        <color rgb="FF808080"/>
        <rFont val="Noto Sans SC"/>
        <charset val="134"/>
      </rPr>
      <t xml:space="preserve">蓝字可改输入 </t>
    </r>
    <r>
      <rPr>
        <sz val="11"/>
        <color rgb="FF808080"/>
        <rFont val="Cambria"/>
        <charset val="1"/>
      </rPr>
      <t xml:space="preserve">+ </t>
    </r>
    <r>
      <rPr>
        <sz val="11"/>
        <color rgb="FF808080"/>
        <rFont val="Noto Sans SC"/>
        <charset val="134"/>
      </rPr>
      <t xml:space="preserve">黑字公式 </t>
    </r>
    <r>
      <rPr>
        <sz val="11"/>
        <color rgb="FF808080"/>
        <rFont val="Cambria"/>
        <charset val="1"/>
      </rPr>
      <t xml:space="preserve">+ </t>
    </r>
    <r>
      <rPr>
        <sz val="11"/>
        <color rgb="FF808080"/>
        <rFont val="Noto Sans SC"/>
        <charset val="134"/>
      </rPr>
      <t>黄底关键结果）</t>
    </r>
  </si>
  <si>
    <t>正文来源：本篇为用户在本机离线保存的知乎页面（网页另存为「网页，全部」），正文与配图均为原文原件。</t>
  </si>
  <si>
    <t>页签</t>
  </si>
  <si>
    <r>
      <rPr>
        <sz val="11"/>
        <color theme="1"/>
        <rFont val="Calibri"/>
        <charset val="1"/>
      </rPr>
      <t xml:space="preserve">· </t>
    </r>
    <r>
      <rPr>
        <sz val="11"/>
        <color theme="1"/>
        <rFont val="Noto Sans SC"/>
        <charset val="134"/>
      </rPr>
      <t xml:space="preserve">数据配表的实现：要做出这台 </t>
    </r>
    <r>
      <rPr>
        <sz val="11"/>
        <color theme="1"/>
        <rFont val="Calibri"/>
        <charset val="1"/>
      </rPr>
      <t>3*5 Line Slot</t>
    </r>
    <r>
      <rPr>
        <sz val="11"/>
        <color theme="1"/>
        <rFont val="Noto Sans SC"/>
        <charset val="134"/>
      </rPr>
      <t>，需要落地的全部配表 —— 卷轴条带、符号表、赔付表、中奖线、</t>
    </r>
  </si>
  <si>
    <r>
      <rPr>
        <sz val="11"/>
        <color theme="1"/>
        <rFont val="Noto Sans SC"/>
        <charset val="134"/>
      </rPr>
      <t xml:space="preserve">  百搭替换、</t>
    </r>
    <r>
      <rPr>
        <sz val="11"/>
        <color theme="1"/>
        <rFont val="Calibri"/>
        <charset val="1"/>
      </rPr>
      <t>Feature Game</t>
    </r>
    <r>
      <rPr>
        <sz val="11"/>
        <color theme="1"/>
        <rFont val="Noto Sans SC"/>
        <charset val="134"/>
      </rPr>
      <t>、</t>
    </r>
    <r>
      <rPr>
        <sz val="11"/>
        <color theme="1"/>
        <rFont val="Calibri"/>
        <charset val="1"/>
      </rPr>
      <t>UI/</t>
    </r>
    <r>
      <rPr>
        <sz val="11"/>
        <color theme="1"/>
        <rFont val="Noto Sans SC"/>
        <charset val="134"/>
      </rPr>
      <t>操作区，最后附配表自检与术语对照。</t>
    </r>
  </si>
  <si>
    <t>用法</t>
  </si>
  <si>
    <r>
      <rPr>
        <sz val="11"/>
        <color theme="1"/>
        <rFont val="Calibri"/>
        <charset val="1"/>
      </rPr>
      <t xml:space="preserve">1) </t>
    </r>
    <r>
      <rPr>
        <sz val="11"/>
        <color theme="1"/>
        <rFont val="Noto Sans SC"/>
        <charset val="134"/>
      </rPr>
      <t>本页是文章整理：记下原文对「基础构成」七个部分的定义与设计要点。</t>
    </r>
  </si>
  <si>
    <r>
      <rPr>
        <sz val="11"/>
        <color theme="1"/>
        <rFont val="Calibri"/>
        <charset val="1"/>
      </rPr>
      <t xml:space="preserve">2) </t>
    </r>
    <r>
      <rPr>
        <sz val="11"/>
        <color theme="1"/>
        <rFont val="Noto Sans SC"/>
        <charset val="134"/>
      </rPr>
      <t xml:space="preserve">第 </t>
    </r>
    <r>
      <rPr>
        <sz val="11"/>
        <color theme="1"/>
        <rFont val="Calibri"/>
        <charset val="1"/>
      </rPr>
      <t xml:space="preserve">2 </t>
    </r>
    <r>
      <rPr>
        <sz val="11"/>
        <color theme="1"/>
        <rFont val="Noto Sans SC"/>
        <charset val="134"/>
      </rPr>
      <t>个页签是配表落地：蓝字＝可改配置，黑字＝公式，黄底＝结果；改滚轴／赔率／线数后各表自动联动。</t>
    </r>
  </si>
  <si>
    <r>
      <rPr>
        <sz val="11"/>
        <color theme="1"/>
        <rFont val="Calibri"/>
        <charset val="1"/>
      </rPr>
      <t xml:space="preserve">3) </t>
    </r>
    <r>
      <rPr>
        <sz val="11"/>
        <color theme="1"/>
        <rFont val="Noto Sans SC"/>
        <charset val="134"/>
      </rPr>
      <t xml:space="preserve">卷轴条带与赔付倍数沿用同项目《老虎机数学入门 </t>
    </r>
    <r>
      <rPr>
        <sz val="11"/>
        <color theme="1"/>
        <rFont val="Calibri"/>
        <charset val="1"/>
      </rPr>
      <t>Part Ⅰ/Ⅱ</t>
    </r>
    <r>
      <rPr>
        <sz val="11"/>
        <color theme="1"/>
        <rFont val="Noto Sans SC"/>
        <charset val="134"/>
      </rPr>
      <t>》的示例（</t>
    </r>
    <r>
      <rPr>
        <sz val="11"/>
        <color theme="1"/>
        <rFont val="Calibri"/>
        <charset val="1"/>
      </rPr>
      <t xml:space="preserve">5 </t>
    </r>
    <r>
      <rPr>
        <sz val="11"/>
        <color theme="1"/>
        <rFont val="Noto Sans SC"/>
        <charset val="134"/>
      </rPr>
      <t xml:space="preserve">列 </t>
    </r>
    <r>
      <rPr>
        <sz val="11"/>
        <color theme="1"/>
        <rFont val="Calibri"/>
        <charset val="1"/>
      </rPr>
      <t xml:space="preserve">× 20 </t>
    </r>
    <r>
      <rPr>
        <sz val="11"/>
        <color theme="1"/>
        <rFont val="Noto Sans SC"/>
        <charset val="134"/>
      </rPr>
      <t>停），可与那两本逐格对照。</t>
    </r>
  </si>
  <si>
    <t>本篇在专栏里的位置</t>
  </si>
  <si>
    <r>
      <rPr>
        <sz val="11"/>
        <color theme="1"/>
        <rFont val="Noto Sans SC"/>
        <charset val="134"/>
      </rPr>
      <t>导读把「</t>
    </r>
    <r>
      <rPr>
        <sz val="11"/>
        <color theme="1"/>
        <rFont val="Calibri"/>
        <charset val="1"/>
      </rPr>
      <t xml:space="preserve">Slots </t>
    </r>
    <r>
      <rPr>
        <sz val="11"/>
        <color theme="1"/>
        <rFont val="Noto Sans SC"/>
        <charset val="134"/>
      </rPr>
      <t>基础介绍（新人必读）」列为整条学习路径的起点，本篇正是这一组的第一篇：</t>
    </r>
  </si>
  <si>
    <t>先把卷轴、窗口、图标、操作区、赔付表这五件事讲清楚，后面才有「数值模型」可谈。</t>
  </si>
  <si>
    <t>文章整理（原文要点）</t>
  </si>
  <si>
    <t>一、基础构成的组成</t>
  </si>
  <si>
    <r>
      <rPr>
        <sz val="11"/>
        <color theme="1"/>
        <rFont val="Noto Sans SC"/>
        <charset val="134"/>
      </rPr>
      <t xml:space="preserve">先说「什么是 </t>
    </r>
    <r>
      <rPr>
        <sz val="11"/>
        <color theme="1"/>
        <rFont val="Calibri"/>
        <charset val="1"/>
      </rPr>
      <t>Slot</t>
    </r>
    <r>
      <rPr>
        <sz val="11"/>
        <color theme="1"/>
        <rFont val="Noto Sans SC"/>
        <charset val="134"/>
      </rPr>
      <t xml:space="preserve">」：常作为抽奖活动的 </t>
    </r>
    <r>
      <rPr>
        <sz val="11"/>
        <color theme="1"/>
        <rFont val="Calibri"/>
        <charset val="1"/>
      </rPr>
      <t>1-3 Slot</t>
    </r>
    <r>
      <rPr>
        <sz val="11"/>
        <color theme="1"/>
        <rFont val="Noto Sans SC"/>
        <charset val="134"/>
      </rPr>
      <t xml:space="preserve">、街机厅的跑圈水果机都可以算 </t>
    </r>
    <r>
      <rPr>
        <sz val="11"/>
        <color theme="1"/>
        <rFont val="Calibri"/>
        <charset val="1"/>
      </rPr>
      <t xml:space="preserve">Slot </t>
    </r>
    <r>
      <rPr>
        <sz val="11"/>
        <color theme="1"/>
        <rFont val="Noto Sans SC"/>
        <charset val="134"/>
      </rPr>
      <t>的范畴。</t>
    </r>
  </si>
  <si>
    <r>
      <rPr>
        <sz val="11"/>
        <color theme="1"/>
        <rFont val="Noto Sans SC"/>
        <charset val="134"/>
      </rPr>
      <t>严格说，</t>
    </r>
    <r>
      <rPr>
        <sz val="11"/>
        <color theme="1"/>
        <rFont val="Calibri"/>
        <charset val="1"/>
      </rPr>
      <t xml:space="preserve">Slot </t>
    </r>
    <r>
      <rPr>
        <sz val="11"/>
        <color theme="1"/>
        <rFont val="Noto Sans SC"/>
        <charset val="134"/>
      </rPr>
      <t>玩法指「通过带有图标的卷轴转动抽取图标，并依据最终停留在窗口上的图标判断中奖情况」的玩法，</t>
    </r>
  </si>
  <si>
    <r>
      <rPr>
        <sz val="11"/>
        <color theme="1"/>
        <rFont val="Noto Sans SC"/>
        <charset val="134"/>
      </rPr>
      <t xml:space="preserve">包括 </t>
    </r>
    <r>
      <rPr>
        <sz val="11"/>
        <color theme="1"/>
        <rFont val="Calibri"/>
        <charset val="1"/>
      </rPr>
      <t>1-3</t>
    </r>
    <r>
      <rPr>
        <sz val="11"/>
        <color theme="1"/>
        <rFont val="Noto Sans SC"/>
        <charset val="134"/>
      </rPr>
      <t>、</t>
    </r>
    <r>
      <rPr>
        <sz val="11"/>
        <color theme="1"/>
        <rFont val="Calibri"/>
        <charset val="1"/>
      </rPr>
      <t>3-3</t>
    </r>
    <r>
      <rPr>
        <sz val="11"/>
        <color theme="1"/>
        <rFont val="Noto Sans SC"/>
        <charset val="134"/>
      </rPr>
      <t>、</t>
    </r>
    <r>
      <rPr>
        <sz val="11"/>
        <color theme="1"/>
        <rFont val="Calibri"/>
        <charset val="1"/>
      </rPr>
      <t xml:space="preserve">3-5 </t>
    </r>
    <r>
      <rPr>
        <sz val="11"/>
        <color theme="1"/>
        <rFont val="Noto Sans SC"/>
        <charset val="134"/>
      </rPr>
      <t xml:space="preserve">等变形，甚至包括水果机这种已经看不到卷轴的类型。本篇以 </t>
    </r>
    <r>
      <rPr>
        <sz val="11"/>
        <color theme="1"/>
        <rFont val="Calibri"/>
        <charset val="1"/>
      </rPr>
      <t xml:space="preserve">3*5 </t>
    </r>
    <r>
      <rPr>
        <sz val="11"/>
        <color theme="1"/>
        <rFont val="Noto Sans SC"/>
        <charset val="134"/>
      </rPr>
      <t xml:space="preserve">的 </t>
    </r>
    <r>
      <rPr>
        <sz val="11"/>
        <color theme="1"/>
        <rFont val="Calibri"/>
        <charset val="1"/>
      </rPr>
      <t xml:space="preserve">Line Slot </t>
    </r>
    <r>
      <rPr>
        <sz val="11"/>
        <color theme="1"/>
        <rFont val="Noto Sans SC"/>
        <charset val="134"/>
      </rPr>
      <t>为例。</t>
    </r>
  </si>
  <si>
    <r>
      <rPr>
        <sz val="11"/>
        <color theme="1"/>
        <rFont val="Noto Sans SC"/>
        <charset val="134"/>
      </rPr>
      <t xml:space="preserve">原文把基础构成拆成：卷轴 </t>
    </r>
    <r>
      <rPr>
        <sz val="11"/>
        <color theme="1"/>
        <rFont val="Calibri"/>
        <charset val="1"/>
      </rPr>
      <t>/ Reels</t>
    </r>
    <r>
      <rPr>
        <sz val="11"/>
        <color theme="1"/>
        <rFont val="Noto Sans SC"/>
        <charset val="134"/>
      </rPr>
      <t xml:space="preserve">、窗口 </t>
    </r>
    <r>
      <rPr>
        <sz val="11"/>
        <color theme="1"/>
        <rFont val="Calibri"/>
        <charset val="1"/>
      </rPr>
      <t>/ Windows</t>
    </r>
    <r>
      <rPr>
        <sz val="11"/>
        <color theme="1"/>
        <rFont val="Noto Sans SC"/>
        <charset val="134"/>
      </rPr>
      <t xml:space="preserve">、图标 </t>
    </r>
    <r>
      <rPr>
        <sz val="11"/>
        <color theme="1"/>
        <rFont val="Calibri"/>
        <charset val="1"/>
      </rPr>
      <t>/ Symbols</t>
    </r>
    <r>
      <rPr>
        <sz val="11"/>
        <color theme="1"/>
        <rFont val="Noto Sans SC"/>
        <charset val="134"/>
      </rPr>
      <t xml:space="preserve">、操作区域、赔付表 </t>
    </r>
    <r>
      <rPr>
        <sz val="11"/>
        <color theme="1"/>
        <rFont val="Calibri"/>
        <charset val="1"/>
      </rPr>
      <t>/ Paytable</t>
    </r>
    <r>
      <rPr>
        <sz val="11"/>
        <color theme="1"/>
        <rFont val="Noto Sans SC"/>
        <charset val="134"/>
      </rPr>
      <t>，</t>
    </r>
  </si>
  <si>
    <r>
      <rPr>
        <sz val="11"/>
        <color theme="1"/>
        <rFont val="Noto Sans SC"/>
        <charset val="134"/>
      </rPr>
      <t xml:space="preserve">并补充「其他元素」：自动摇 </t>
    </r>
    <r>
      <rPr>
        <sz val="11"/>
        <color theme="1"/>
        <rFont val="Calibri"/>
        <charset val="1"/>
      </rPr>
      <t>/ Autoplay</t>
    </r>
    <r>
      <rPr>
        <sz val="11"/>
        <color theme="1"/>
        <rFont val="Noto Sans SC"/>
        <charset val="134"/>
      </rPr>
      <t>、</t>
    </r>
    <r>
      <rPr>
        <sz val="11"/>
        <color theme="1"/>
        <rFont val="Calibri"/>
        <charset val="1"/>
      </rPr>
      <t>Feature</t>
    </r>
    <r>
      <rPr>
        <sz val="11"/>
        <color theme="1"/>
        <rFont val="Noto Sans SC"/>
        <charset val="134"/>
      </rPr>
      <t xml:space="preserve">（含百搭 </t>
    </r>
    <r>
      <rPr>
        <sz val="11"/>
        <color theme="1"/>
        <rFont val="Calibri"/>
        <charset val="1"/>
      </rPr>
      <t>Wild</t>
    </r>
    <r>
      <rPr>
        <sz val="11"/>
        <color theme="1"/>
        <rFont val="Noto Sans SC"/>
        <charset val="134"/>
      </rPr>
      <t xml:space="preserve">、特殊模式 </t>
    </r>
    <r>
      <rPr>
        <sz val="11"/>
        <color theme="1"/>
        <rFont val="Calibri"/>
        <charset val="1"/>
      </rPr>
      <t>Feature Game</t>
    </r>
    <r>
      <rPr>
        <sz val="11"/>
        <color theme="1"/>
        <rFont val="Noto Sans SC"/>
        <charset val="134"/>
      </rPr>
      <t>）。</t>
    </r>
  </si>
  <si>
    <r>
      <rPr>
        <b/>
        <sz val="11"/>
        <rFont val="Noto Sans SC"/>
        <charset val="134"/>
      </rPr>
      <t xml:space="preserve">二、卷轴 </t>
    </r>
    <r>
      <rPr>
        <b/>
        <sz val="11"/>
        <rFont val="Cambria"/>
        <charset val="1"/>
      </rPr>
      <t>/ Reels</t>
    </r>
  </si>
  <si>
    <r>
      <rPr>
        <sz val="11"/>
        <color theme="1"/>
        <rFont val="Calibri"/>
        <charset val="1"/>
      </rPr>
      <t xml:space="preserve">· Reel </t>
    </r>
    <r>
      <rPr>
        <sz val="11"/>
        <color theme="1"/>
        <rFont val="Noto Sans SC"/>
        <charset val="134"/>
      </rPr>
      <t xml:space="preserve">指一列带图标的卷轴；多列卷轴整合在一起就构成 </t>
    </r>
    <r>
      <rPr>
        <sz val="11"/>
        <color theme="1"/>
        <rFont val="Calibri"/>
        <charset val="1"/>
      </rPr>
      <t xml:space="preserve">Slot </t>
    </r>
    <r>
      <rPr>
        <sz val="11"/>
        <color theme="1"/>
        <rFont val="Noto Sans SC"/>
        <charset val="134"/>
      </rPr>
      <t xml:space="preserve">的窗口 </t>
    </r>
    <r>
      <rPr>
        <sz val="11"/>
        <color theme="1"/>
        <rFont val="Calibri"/>
        <charset val="1"/>
      </rPr>
      <t>/ Windows</t>
    </r>
    <r>
      <rPr>
        <sz val="11"/>
        <color theme="1"/>
        <rFont val="Noto Sans SC"/>
        <charset val="134"/>
      </rPr>
      <t>。</t>
    </r>
  </si>
  <si>
    <r>
      <rPr>
        <sz val="11"/>
        <color theme="1"/>
        <rFont val="Calibri"/>
        <charset val="1"/>
      </rPr>
      <t xml:space="preserve">· </t>
    </r>
    <r>
      <rPr>
        <sz val="11"/>
        <color theme="1"/>
        <rFont val="Noto Sans SC"/>
        <charset val="134"/>
      </rPr>
      <t>卷轴的尺寸常远大于窗口的限制，可理解为「图标的库存」：每次摇奖就是从库存中抽取图标放到台面上。</t>
    </r>
  </si>
  <si>
    <r>
      <rPr>
        <sz val="11"/>
        <color theme="1"/>
        <rFont val="Calibri"/>
        <charset val="1"/>
      </rPr>
      <t xml:space="preserve">· </t>
    </r>
    <r>
      <rPr>
        <sz val="11"/>
        <color theme="1"/>
        <rFont val="Noto Sans SC"/>
        <charset val="134"/>
      </rPr>
      <t>只有被抽到的图标参与中奖判定；没被抽到的图标对输赢结果没有影响。</t>
    </r>
  </si>
  <si>
    <r>
      <rPr>
        <sz val="11"/>
        <color theme="1"/>
        <rFont val="Calibri"/>
        <charset val="1"/>
      </rPr>
      <t xml:space="preserve">· </t>
    </r>
    <r>
      <rPr>
        <sz val="11"/>
        <color theme="1"/>
        <rFont val="Noto Sans SC"/>
        <charset val="134"/>
      </rPr>
      <t>最原始的老虎机用固定卷轴，能抽到的中奖组合是固定的；移植到线上后大部分产品不再设定固定图标卷轴，</t>
    </r>
  </si>
  <si>
    <r>
      <rPr>
        <sz val="11"/>
        <color theme="1"/>
        <rFont val="Noto Sans SC"/>
        <charset val="134"/>
      </rPr>
      <t xml:space="preserve">  此时卷轴更多起装饰作用 —— 但大部分国家的合法 </t>
    </r>
    <r>
      <rPr>
        <sz val="11"/>
        <color theme="1"/>
        <rFont val="Calibri"/>
        <charset val="1"/>
      </rPr>
      <t xml:space="preserve">Slot </t>
    </r>
    <r>
      <rPr>
        <sz val="11"/>
        <color theme="1"/>
        <rFont val="Noto Sans SC"/>
        <charset val="134"/>
      </rPr>
      <t>仍需提供公平概率的证明。</t>
    </r>
  </si>
  <si>
    <r>
      <rPr>
        <b/>
        <sz val="11"/>
        <rFont val="Noto Sans SC"/>
        <charset val="134"/>
      </rPr>
      <t xml:space="preserve">三、窗口 </t>
    </r>
    <r>
      <rPr>
        <b/>
        <sz val="11"/>
        <rFont val="Cambria"/>
        <charset val="1"/>
      </rPr>
      <t>/ Windows</t>
    </r>
  </si>
  <si>
    <r>
      <rPr>
        <sz val="11"/>
        <color theme="1"/>
        <rFont val="Calibri"/>
        <charset val="1"/>
      </rPr>
      <t xml:space="preserve">· </t>
    </r>
    <r>
      <rPr>
        <sz val="11"/>
        <color theme="1"/>
        <rFont val="Noto Sans SC"/>
        <charset val="134"/>
      </rPr>
      <t xml:space="preserve">大多用 </t>
    </r>
    <r>
      <rPr>
        <sz val="11"/>
        <color theme="1"/>
        <rFont val="Calibri"/>
        <charset val="1"/>
      </rPr>
      <t>1-3</t>
    </r>
    <r>
      <rPr>
        <sz val="11"/>
        <color theme="1"/>
        <rFont val="Noto Sans SC"/>
        <charset val="134"/>
      </rPr>
      <t>、</t>
    </r>
    <r>
      <rPr>
        <sz val="11"/>
        <color theme="1"/>
        <rFont val="Calibri"/>
        <charset val="1"/>
      </rPr>
      <t>3-3</t>
    </r>
    <r>
      <rPr>
        <sz val="11"/>
        <color theme="1"/>
        <rFont val="Noto Sans SC"/>
        <charset val="134"/>
      </rPr>
      <t>、</t>
    </r>
    <r>
      <rPr>
        <sz val="11"/>
        <color theme="1"/>
        <rFont val="Calibri"/>
        <charset val="1"/>
      </rPr>
      <t xml:space="preserve">3-5 </t>
    </r>
    <r>
      <rPr>
        <sz val="11"/>
        <color theme="1"/>
        <rFont val="Noto Sans SC"/>
        <charset val="134"/>
      </rPr>
      <t>的长方形：因为最初是多线老虎机，发展基于中奖线，长方形更便于设置中奖线，</t>
    </r>
  </si>
  <si>
    <t xml:space="preserve">  于是成为最常见的窗口形态。</t>
  </si>
  <si>
    <r>
      <rPr>
        <sz val="11"/>
        <color theme="1"/>
        <rFont val="Calibri"/>
        <charset val="1"/>
      </rPr>
      <t xml:space="preserve">· </t>
    </r>
    <r>
      <rPr>
        <sz val="11"/>
        <color theme="1"/>
        <rFont val="Noto Sans SC"/>
        <charset val="134"/>
      </rPr>
      <t>随玩法发展，很多设计已不受中奖线限制，窗口区域出现较大差异。原文举了四种窗口对应的玩法：</t>
    </r>
  </si>
  <si>
    <r>
      <rPr>
        <sz val="11"/>
        <color theme="1"/>
        <rFont val="Calibri"/>
        <charset val="1"/>
      </rPr>
      <t xml:space="preserve">  Legion Gold</t>
    </r>
    <r>
      <rPr>
        <sz val="11"/>
        <color theme="1"/>
        <rFont val="Noto Sans SC"/>
        <charset val="134"/>
      </rPr>
      <t xml:space="preserve">（左上）＝ </t>
    </r>
    <r>
      <rPr>
        <sz val="11"/>
        <color theme="1"/>
        <rFont val="Calibri"/>
        <charset val="1"/>
      </rPr>
      <t>Line Slot</t>
    </r>
    <r>
      <rPr>
        <sz val="11"/>
        <color theme="1"/>
        <rFont val="Noto Sans SC"/>
        <charset val="134"/>
      </rPr>
      <t>；</t>
    </r>
    <r>
      <rPr>
        <sz val="11"/>
        <color theme="1"/>
        <rFont val="Calibri"/>
        <charset val="1"/>
      </rPr>
      <t>Pizza</t>
    </r>
    <r>
      <rPr>
        <sz val="11"/>
        <color theme="1"/>
        <rFont val="Noto Sans SC"/>
        <charset val="134"/>
      </rPr>
      <t>！</t>
    </r>
    <r>
      <rPr>
        <sz val="11"/>
        <color theme="1"/>
        <rFont val="Calibri"/>
        <charset val="1"/>
      </rPr>
      <t>Pizza</t>
    </r>
    <r>
      <rPr>
        <sz val="11"/>
        <color theme="1"/>
        <rFont val="Noto Sans SC"/>
        <charset val="134"/>
      </rPr>
      <t>？</t>
    </r>
    <r>
      <rPr>
        <sz val="11"/>
        <color theme="1"/>
        <rFont val="Calibri"/>
        <charset val="1"/>
      </rPr>
      <t>Pizza</t>
    </r>
    <r>
      <rPr>
        <sz val="11"/>
        <color theme="1"/>
        <rFont val="Noto Sans SC"/>
        <charset val="134"/>
      </rPr>
      <t xml:space="preserve">！（右上）＝ </t>
    </r>
    <r>
      <rPr>
        <sz val="11"/>
        <color theme="1"/>
        <rFont val="Calibri"/>
        <charset val="1"/>
      </rPr>
      <t>Ways Slot</t>
    </r>
    <r>
      <rPr>
        <sz val="11"/>
        <color theme="1"/>
        <rFont val="Noto Sans SC"/>
        <charset val="134"/>
      </rPr>
      <t>；</t>
    </r>
  </si>
  <si>
    <r>
      <rPr>
        <sz val="11"/>
        <color theme="1"/>
        <rFont val="Calibri"/>
        <charset val="1"/>
      </rPr>
      <t xml:space="preserve">  Lucky Fishing</t>
    </r>
    <r>
      <rPr>
        <sz val="11"/>
        <color theme="1"/>
        <rFont val="Noto Sans SC"/>
        <charset val="134"/>
      </rPr>
      <t xml:space="preserve">（左下）＝ </t>
    </r>
    <r>
      <rPr>
        <sz val="11"/>
        <color theme="1"/>
        <rFont val="Calibri"/>
        <charset val="1"/>
      </rPr>
      <t>Megaways Slot</t>
    </r>
    <r>
      <rPr>
        <sz val="11"/>
        <color theme="1"/>
        <rFont val="Noto Sans SC"/>
        <charset val="134"/>
      </rPr>
      <t>；</t>
    </r>
    <r>
      <rPr>
        <sz val="11"/>
        <color theme="1"/>
        <rFont val="Calibri"/>
        <charset val="1"/>
      </rPr>
      <t>Gate of Olympus</t>
    </r>
    <r>
      <rPr>
        <sz val="11"/>
        <color theme="1"/>
        <rFont val="Noto Sans SC"/>
        <charset val="134"/>
      </rPr>
      <t xml:space="preserve">（右下）＝ </t>
    </r>
    <r>
      <rPr>
        <sz val="11"/>
        <color theme="1"/>
        <rFont val="Calibri"/>
        <charset val="1"/>
      </rPr>
      <t>Grid Slot</t>
    </r>
    <r>
      <rPr>
        <sz val="11"/>
        <color theme="1"/>
        <rFont val="Noto Sans SC"/>
        <charset val="134"/>
      </rPr>
      <t>。</t>
    </r>
  </si>
  <si>
    <r>
      <rPr>
        <sz val="11"/>
        <color theme="1"/>
        <rFont val="Calibri"/>
        <charset val="1"/>
      </rPr>
      <t xml:space="preserve">· </t>
    </r>
    <r>
      <rPr>
        <sz val="11"/>
        <color theme="1"/>
        <rFont val="Noto Sans SC"/>
        <charset val="134"/>
      </rPr>
      <t>判断标准：只要窗口不影响玩家对规则和玩法的理解，一般都可以接受。</t>
    </r>
  </si>
  <si>
    <r>
      <rPr>
        <b/>
        <sz val="11"/>
        <rFont val="Noto Sans SC"/>
        <charset val="134"/>
      </rPr>
      <t xml:space="preserve">四、图标 </t>
    </r>
    <r>
      <rPr>
        <b/>
        <sz val="11"/>
        <rFont val="Cambria"/>
        <charset val="1"/>
      </rPr>
      <t>/ Symbols</t>
    </r>
  </si>
  <si>
    <r>
      <rPr>
        <sz val="11"/>
        <color theme="1"/>
        <rFont val="Calibri"/>
        <charset val="1"/>
      </rPr>
      <t xml:space="preserve">· </t>
    </r>
    <r>
      <rPr>
        <sz val="11"/>
        <color theme="1"/>
        <rFont val="Noto Sans SC"/>
        <charset val="134"/>
      </rPr>
      <t xml:space="preserve">卷轴上方展示的内容即图标，常见要素为 </t>
    </r>
    <r>
      <rPr>
        <sz val="11"/>
        <color theme="1"/>
        <rFont val="Calibri"/>
        <charset val="1"/>
      </rPr>
      <t>9</t>
    </r>
    <r>
      <rPr>
        <sz val="11"/>
        <color theme="1"/>
        <rFont val="Noto Sans SC"/>
        <charset val="134"/>
      </rPr>
      <t>、</t>
    </r>
    <r>
      <rPr>
        <sz val="11"/>
        <color theme="1"/>
        <rFont val="Calibri"/>
        <charset val="1"/>
      </rPr>
      <t>10</t>
    </r>
    <r>
      <rPr>
        <sz val="11"/>
        <color theme="1"/>
        <rFont val="Noto Sans SC"/>
        <charset val="134"/>
      </rPr>
      <t>、</t>
    </r>
    <r>
      <rPr>
        <sz val="11"/>
        <color theme="1"/>
        <rFont val="Calibri"/>
        <charset val="1"/>
      </rPr>
      <t>J</t>
    </r>
    <r>
      <rPr>
        <sz val="11"/>
        <color theme="1"/>
        <rFont val="Noto Sans SC"/>
        <charset val="134"/>
      </rPr>
      <t>、</t>
    </r>
    <r>
      <rPr>
        <sz val="11"/>
        <color theme="1"/>
        <rFont val="Calibri"/>
        <charset val="1"/>
      </rPr>
      <t>Q</t>
    </r>
    <r>
      <rPr>
        <sz val="11"/>
        <color theme="1"/>
        <rFont val="Noto Sans SC"/>
        <charset val="134"/>
      </rPr>
      <t>、</t>
    </r>
    <r>
      <rPr>
        <sz val="11"/>
        <color theme="1"/>
        <rFont val="Calibri"/>
        <charset val="1"/>
      </rPr>
      <t>K</t>
    </r>
    <r>
      <rPr>
        <sz val="11"/>
        <color theme="1"/>
        <rFont val="Noto Sans SC"/>
        <charset val="134"/>
      </rPr>
      <t>、</t>
    </r>
    <r>
      <rPr>
        <sz val="11"/>
        <color theme="1"/>
        <rFont val="Calibri"/>
        <charset val="1"/>
      </rPr>
      <t>A</t>
    </r>
    <r>
      <rPr>
        <sz val="11"/>
        <color theme="1"/>
        <rFont val="Noto Sans SC"/>
        <charset val="134"/>
      </rPr>
      <t xml:space="preserve">、黑桃红桃梅花方块等扑克要素，以及 </t>
    </r>
    <r>
      <rPr>
        <sz val="11"/>
        <color theme="1"/>
        <rFont val="Calibri"/>
        <charset val="1"/>
      </rPr>
      <t>7</t>
    </r>
    <r>
      <rPr>
        <sz val="11"/>
        <color theme="1"/>
        <rFont val="Noto Sans SC"/>
        <charset val="134"/>
      </rPr>
      <t>、</t>
    </r>
    <r>
      <rPr>
        <sz val="11"/>
        <color theme="1"/>
        <rFont val="Calibri"/>
        <charset val="1"/>
      </rPr>
      <t>777</t>
    </r>
    <r>
      <rPr>
        <sz val="11"/>
        <color theme="1"/>
        <rFont val="Noto Sans SC"/>
        <charset val="134"/>
      </rPr>
      <t>、</t>
    </r>
    <r>
      <rPr>
        <sz val="11"/>
        <color theme="1"/>
        <rFont val="Calibri"/>
        <charset val="1"/>
      </rPr>
      <t xml:space="preserve">BAR </t>
    </r>
    <r>
      <rPr>
        <sz val="11"/>
        <color theme="1"/>
        <rFont val="Noto Sans SC"/>
        <charset val="134"/>
      </rPr>
      <t>等。</t>
    </r>
  </si>
  <si>
    <r>
      <rPr>
        <sz val="11"/>
        <color theme="1"/>
        <rFont val="Calibri"/>
        <charset val="1"/>
      </rPr>
      <t xml:space="preserve">· </t>
    </r>
    <r>
      <rPr>
        <sz val="11"/>
        <color theme="1"/>
        <rFont val="Noto Sans SC"/>
        <charset val="134"/>
      </rPr>
      <t>图标设计没有强硬规定，主要考虑三点：与主题的适应程度、玩家对图标的熟悉程度、不同赔付倍数图标之间是否区分清楚。</t>
    </r>
  </si>
  <si>
    <r>
      <rPr>
        <sz val="11"/>
        <color theme="1"/>
        <rFont val="Calibri"/>
        <charset val="1"/>
      </rPr>
      <t xml:space="preserve">· </t>
    </r>
    <r>
      <rPr>
        <sz val="11"/>
        <color theme="1"/>
        <rFont val="Noto Sans SC"/>
        <charset val="134"/>
      </rPr>
      <t xml:space="preserve">原文举例 </t>
    </r>
    <r>
      <rPr>
        <sz val="11"/>
        <color theme="1"/>
        <rFont val="Calibri"/>
        <charset val="1"/>
      </rPr>
      <t>Hot Rod Racers</t>
    </r>
    <r>
      <rPr>
        <sz val="11"/>
        <color theme="1"/>
        <rFont val="Noto Sans SC"/>
        <charset val="134"/>
      </rPr>
      <t>：用没有边框的黑红梅方代表低额度图标、带边框的汽车图标作高额赔付图标，</t>
    </r>
  </si>
  <si>
    <t xml:space="preserve">  并在黑红梅方上使用较多直线条使它更适应赛车主题。</t>
  </si>
  <si>
    <t>五、操作区域</t>
  </si>
  <si>
    <r>
      <rPr>
        <sz val="11"/>
        <color theme="1"/>
        <rFont val="Calibri"/>
        <charset val="1"/>
      </rPr>
      <t xml:space="preserve">· </t>
    </r>
    <r>
      <rPr>
        <sz val="11"/>
        <color theme="1"/>
        <rFont val="Noto Sans SC"/>
        <charset val="134"/>
      </rPr>
      <t>线下产品中，</t>
    </r>
    <r>
      <rPr>
        <sz val="11"/>
        <color theme="1"/>
        <rFont val="Calibri"/>
        <charset val="1"/>
      </rPr>
      <t xml:space="preserve">Slot </t>
    </r>
    <r>
      <rPr>
        <sz val="11"/>
        <color theme="1"/>
        <rFont val="Noto Sans SC"/>
        <charset val="134"/>
      </rPr>
      <t>下方的一整排按钮就是操作区。</t>
    </r>
  </si>
  <si>
    <r>
      <rPr>
        <sz val="11"/>
        <color theme="1"/>
        <rFont val="Calibri"/>
        <charset val="1"/>
      </rPr>
      <t xml:space="preserve">· </t>
    </r>
    <r>
      <rPr>
        <sz val="11"/>
        <color theme="1"/>
        <rFont val="Noto Sans SC"/>
        <charset val="134"/>
      </rPr>
      <t>线上操作按钮的功能远超「开始摇奖」：切换下注、最大下注、提现、客服；</t>
    </r>
  </si>
  <si>
    <t xml:space="preserve">  老版本多线老虎机还有「选择中奖线」与「选择每条线下注额」的按钮，现在多改为「多个档位自动算好单线下注」以降低理解门槛。</t>
  </si>
  <si>
    <r>
      <rPr>
        <sz val="11"/>
        <color theme="1"/>
        <rFont val="Calibri"/>
        <charset val="1"/>
      </rPr>
      <t xml:space="preserve">· </t>
    </r>
    <r>
      <rPr>
        <sz val="11"/>
        <color theme="1"/>
        <rFont val="Noto Sans SC"/>
        <charset val="134"/>
      </rPr>
      <t xml:space="preserve">原文特意点出 </t>
    </r>
    <r>
      <rPr>
        <sz val="11"/>
        <color theme="1"/>
        <rFont val="Calibri"/>
        <charset val="1"/>
      </rPr>
      <t>BET ONE</t>
    </r>
    <r>
      <rPr>
        <sz val="11"/>
        <color theme="1"/>
        <rFont val="Noto Sans SC"/>
        <charset val="134"/>
      </rPr>
      <t xml:space="preserve">（点一次切一档）与 </t>
    </r>
    <r>
      <rPr>
        <sz val="11"/>
        <color theme="1"/>
        <rFont val="Calibri"/>
        <charset val="1"/>
      </rPr>
      <t xml:space="preserve">MAX BET </t>
    </r>
    <r>
      <rPr>
        <sz val="11"/>
        <color theme="1"/>
        <rFont val="Noto Sans SC"/>
        <charset val="134"/>
      </rPr>
      <t xml:space="preserve">的组合：要减小下注得连按 </t>
    </r>
    <r>
      <rPr>
        <sz val="11"/>
        <color theme="1"/>
        <rFont val="Calibri"/>
        <charset val="1"/>
      </rPr>
      <t xml:space="preserve">BET ONE </t>
    </r>
    <r>
      <rPr>
        <sz val="11"/>
        <color theme="1"/>
        <rFont val="Noto Sans SC"/>
        <charset val="134"/>
      </rPr>
      <t>直到超过最大额才回到最小额，</t>
    </r>
  </si>
  <si>
    <t xml:space="preserve">  目的是引导玩家使用更大的下注额。</t>
  </si>
  <si>
    <r>
      <rPr>
        <sz val="11"/>
        <color theme="1"/>
        <rFont val="Calibri"/>
        <charset val="1"/>
      </rPr>
      <t xml:space="preserve">· </t>
    </r>
    <r>
      <rPr>
        <sz val="11"/>
        <color theme="1"/>
        <rFont val="Noto Sans SC"/>
        <charset val="134"/>
      </rPr>
      <t>线上还不受操作空间限制，可直接加减下注；部分产品在点满最大下注后继续加注会弹付费引导，</t>
    </r>
  </si>
  <si>
    <t xml:space="preserve">  相当于解锁所有下注额前无法自由切换 —— 原文建议：除非对留存与竞争力很有自信，谨慎使用。</t>
  </si>
  <si>
    <r>
      <rPr>
        <sz val="11"/>
        <color theme="1"/>
        <rFont val="Calibri"/>
        <charset val="1"/>
      </rPr>
      <t xml:space="preserve">· </t>
    </r>
    <r>
      <rPr>
        <sz val="11"/>
        <color theme="1"/>
        <rFont val="Noto Sans SC"/>
        <charset val="134"/>
      </rPr>
      <t>系统功能（线上）：大厅、玩家筹码、</t>
    </r>
    <r>
      <rPr>
        <sz val="11"/>
        <color theme="1"/>
        <rFont val="Calibri"/>
        <charset val="1"/>
      </rPr>
      <t xml:space="preserve">Bonus </t>
    </r>
    <r>
      <rPr>
        <sz val="11"/>
        <color theme="1"/>
        <rFont val="Noto Sans SC"/>
        <charset val="134"/>
      </rPr>
      <t>奖池、等级与经验值、系统设置（音效／震动等）。</t>
    </r>
  </si>
  <si>
    <r>
      <rPr>
        <sz val="11"/>
        <color theme="1"/>
        <rFont val="Noto Sans SC"/>
        <charset val="134"/>
      </rPr>
      <t xml:space="preserve">  原文提醒：设计 </t>
    </r>
    <r>
      <rPr>
        <sz val="11"/>
        <color theme="1"/>
        <rFont val="Calibri"/>
        <charset val="1"/>
      </rPr>
      <t xml:space="preserve">Slot </t>
    </r>
    <r>
      <rPr>
        <sz val="11"/>
        <color theme="1"/>
        <rFont val="Noto Sans SC"/>
        <charset val="134"/>
      </rPr>
      <t xml:space="preserve">的 </t>
    </r>
    <r>
      <rPr>
        <sz val="11"/>
        <color theme="1"/>
        <rFont val="Calibri"/>
        <charset val="1"/>
      </rPr>
      <t xml:space="preserve">UI </t>
    </r>
    <r>
      <rPr>
        <sz val="11"/>
        <color theme="1"/>
        <rFont val="Noto Sans SC"/>
        <charset val="134"/>
      </rPr>
      <t xml:space="preserve">时可以多参考消消乐等休闲产品的 </t>
    </r>
    <r>
      <rPr>
        <sz val="11"/>
        <color theme="1"/>
        <rFont val="Calibri"/>
        <charset val="1"/>
      </rPr>
      <t>UI</t>
    </r>
    <r>
      <rPr>
        <sz val="11"/>
        <color theme="1"/>
        <rFont val="Noto Sans SC"/>
        <charset val="134"/>
      </rPr>
      <t>。</t>
    </r>
  </si>
  <si>
    <r>
      <rPr>
        <b/>
        <sz val="11"/>
        <rFont val="Noto Sans SC"/>
        <charset val="134"/>
      </rPr>
      <t xml:space="preserve">六、赔付表 </t>
    </r>
    <r>
      <rPr>
        <b/>
        <sz val="11"/>
        <rFont val="Cambria"/>
        <charset val="1"/>
      </rPr>
      <t>/ Paytable</t>
    </r>
  </si>
  <si>
    <r>
      <rPr>
        <sz val="11"/>
        <color theme="1"/>
        <rFont val="Calibri"/>
        <charset val="1"/>
      </rPr>
      <t xml:space="preserve">· </t>
    </r>
    <r>
      <rPr>
        <sz val="11"/>
        <color theme="1"/>
        <rFont val="Noto Sans SC"/>
        <charset val="134"/>
      </rPr>
      <t>规则的主要构成部分，用来告诉玩家图标赔付倍数；线下并不在主游戏界面，一般写在机身或其他屏幕上。</t>
    </r>
  </si>
  <si>
    <r>
      <rPr>
        <sz val="11"/>
        <color theme="1"/>
        <rFont val="Calibri"/>
        <charset val="1"/>
      </rPr>
      <t xml:space="preserve">· </t>
    </r>
    <r>
      <rPr>
        <sz val="11"/>
        <color theme="1"/>
        <rFont val="Noto Sans SC"/>
        <charset val="134"/>
      </rPr>
      <t>线上一般由规则按钮打开，移动端常用带「</t>
    </r>
    <r>
      <rPr>
        <sz val="11"/>
        <color theme="1"/>
        <rFont val="Calibri"/>
        <charset val="1"/>
      </rPr>
      <t>i</t>
    </r>
    <r>
      <rPr>
        <sz val="11"/>
        <color theme="1"/>
        <rFont val="Noto Sans SC"/>
        <charset val="134"/>
      </rPr>
      <t xml:space="preserve">」的按钮代表包含 </t>
    </r>
    <r>
      <rPr>
        <sz val="11"/>
        <color theme="1"/>
        <rFont val="Calibri"/>
        <charset val="1"/>
      </rPr>
      <t xml:space="preserve">Paytable </t>
    </r>
    <r>
      <rPr>
        <sz val="11"/>
        <color theme="1"/>
        <rFont val="Noto Sans SC"/>
        <charset val="134"/>
      </rPr>
      <t>的游戏规则。</t>
    </r>
  </si>
  <si>
    <r>
      <rPr>
        <sz val="11"/>
        <color theme="1"/>
        <rFont val="Calibri"/>
        <charset val="1"/>
      </rPr>
      <t xml:space="preserve">· </t>
    </r>
    <r>
      <rPr>
        <sz val="11"/>
        <color theme="1"/>
        <rFont val="Noto Sans SC"/>
        <charset val="134"/>
      </rPr>
      <t xml:space="preserve">重点：展示该 </t>
    </r>
    <r>
      <rPr>
        <sz val="11"/>
        <color theme="1"/>
        <rFont val="Calibri"/>
        <charset val="1"/>
      </rPr>
      <t xml:space="preserve">Slot </t>
    </r>
    <r>
      <rPr>
        <sz val="11"/>
        <color theme="1"/>
        <rFont val="Noto Sans SC"/>
        <charset val="134"/>
      </rPr>
      <t>的中奖组合与对应赔付倍数；结算时按玩家中奖组合找到对应赔付倍数。</t>
    </r>
  </si>
  <si>
    <r>
      <rPr>
        <sz val="11"/>
        <color theme="1"/>
        <rFont val="Calibri"/>
        <charset val="1"/>
      </rPr>
      <t xml:space="preserve">· </t>
    </r>
    <r>
      <rPr>
        <sz val="11"/>
        <color theme="1"/>
        <rFont val="Noto Sans SC"/>
        <charset val="134"/>
      </rPr>
      <t xml:space="preserve">原文结论：完成卷轴、图标、操作区域和赔付表的设计后，一个 </t>
    </r>
    <r>
      <rPr>
        <sz val="11"/>
        <color theme="1"/>
        <rFont val="Calibri"/>
        <charset val="1"/>
      </rPr>
      <t xml:space="preserve">Slot </t>
    </r>
    <r>
      <rPr>
        <sz val="11"/>
        <color theme="1"/>
        <rFont val="Noto Sans SC"/>
        <charset val="134"/>
      </rPr>
      <t>的基础模型就设计完成了。</t>
    </r>
  </si>
  <si>
    <r>
      <rPr>
        <b/>
        <sz val="11"/>
        <rFont val="Noto Sans SC"/>
        <charset val="134"/>
      </rPr>
      <t xml:space="preserve">七、其他元素：自动摇 </t>
    </r>
    <r>
      <rPr>
        <b/>
        <sz val="11"/>
        <rFont val="Cambria"/>
        <charset val="1"/>
      </rPr>
      <t>/ Autoplay</t>
    </r>
  </si>
  <si>
    <r>
      <rPr>
        <sz val="11"/>
        <color theme="1"/>
        <rFont val="Calibri"/>
        <charset val="1"/>
      </rPr>
      <t xml:space="preserve">· </t>
    </r>
    <r>
      <rPr>
        <sz val="11"/>
        <color theme="1"/>
        <rFont val="Noto Sans SC"/>
        <charset val="134"/>
      </rPr>
      <t>本质仍是普通摇，只是系统帮玩家自动执行；选中局数后开始摇奖，界面一般会展示剩余次数。</t>
    </r>
  </si>
  <si>
    <r>
      <rPr>
        <sz val="11"/>
        <color theme="1"/>
        <rFont val="Calibri"/>
        <charset val="1"/>
      </rPr>
      <t xml:space="preserve">· </t>
    </r>
    <r>
      <rPr>
        <sz val="11"/>
        <color theme="1"/>
        <rFont val="Noto Sans SC"/>
        <charset val="134"/>
      </rPr>
      <t xml:space="preserve">部分 </t>
    </r>
    <r>
      <rPr>
        <sz val="11"/>
        <color theme="1"/>
        <rFont val="Calibri"/>
        <charset val="1"/>
      </rPr>
      <t xml:space="preserve">Slot </t>
    </r>
    <r>
      <rPr>
        <sz val="11"/>
        <color theme="1"/>
        <rFont val="Noto Sans SC"/>
        <charset val="134"/>
      </rPr>
      <t>还能设置「次数之外」的停止阈值：触发特殊模式停止、止损停止、止盈停止；</t>
    </r>
  </si>
  <si>
    <t xml:space="preserve">  线上产品的这方面设定一般比移动端复杂得多，是否需要该功能要看玩法定位。</t>
  </si>
  <si>
    <r>
      <rPr>
        <b/>
        <sz val="11"/>
        <rFont val="Noto Sans SC"/>
        <charset val="134"/>
      </rPr>
      <t>八、</t>
    </r>
    <r>
      <rPr>
        <b/>
        <sz val="11"/>
        <rFont val="Cambria"/>
        <charset val="1"/>
      </rPr>
      <t xml:space="preserve">Feature </t>
    </r>
    <r>
      <rPr>
        <b/>
        <sz val="11"/>
        <rFont val="Noto Sans SC"/>
        <charset val="134"/>
      </rPr>
      <t xml:space="preserve">与百搭 </t>
    </r>
    <r>
      <rPr>
        <b/>
        <sz val="11"/>
        <rFont val="Cambria"/>
        <charset val="1"/>
      </rPr>
      <t>/ Wild</t>
    </r>
  </si>
  <si>
    <r>
      <rPr>
        <sz val="11"/>
        <color theme="1"/>
        <rFont val="Calibri"/>
        <charset val="1"/>
      </rPr>
      <t xml:space="preserve">· Feature </t>
    </r>
    <r>
      <rPr>
        <sz val="11"/>
        <color theme="1"/>
        <rFont val="Noto Sans SC"/>
        <charset val="134"/>
      </rPr>
      <t xml:space="preserve">是宽泛概念：普通摇之外的所有游戏内容都算 </t>
    </r>
    <r>
      <rPr>
        <sz val="11"/>
        <color theme="1"/>
        <rFont val="Calibri"/>
        <charset val="1"/>
      </rPr>
      <t>Feature</t>
    </r>
    <r>
      <rPr>
        <sz val="11"/>
        <color theme="1"/>
        <rFont val="Noto Sans SC"/>
        <charset val="134"/>
      </rPr>
      <t xml:space="preserve">，属于附加设计，常见有 </t>
    </r>
    <r>
      <rPr>
        <sz val="11"/>
        <color theme="1"/>
        <rFont val="Calibri"/>
        <charset val="1"/>
      </rPr>
      <t>Wild</t>
    </r>
    <r>
      <rPr>
        <sz val="11"/>
        <color theme="1"/>
        <rFont val="Noto Sans SC"/>
        <charset val="134"/>
      </rPr>
      <t>、</t>
    </r>
    <r>
      <rPr>
        <sz val="11"/>
        <color theme="1"/>
        <rFont val="Calibri"/>
        <charset val="1"/>
      </rPr>
      <t>Feature Game</t>
    </r>
    <r>
      <rPr>
        <sz val="11"/>
        <color theme="1"/>
        <rFont val="Noto Sans SC"/>
        <charset val="134"/>
      </rPr>
      <t>、</t>
    </r>
    <r>
      <rPr>
        <sz val="11"/>
        <color theme="1"/>
        <rFont val="Calibri"/>
        <charset val="1"/>
      </rPr>
      <t xml:space="preserve">Jackpot </t>
    </r>
    <r>
      <rPr>
        <sz val="11"/>
        <color theme="1"/>
        <rFont val="Noto Sans SC"/>
        <charset val="134"/>
      </rPr>
      <t>等。</t>
    </r>
  </si>
  <si>
    <r>
      <rPr>
        <sz val="11"/>
        <color theme="1"/>
        <rFont val="Calibri"/>
        <charset val="1"/>
      </rPr>
      <t xml:space="preserve">· Feature </t>
    </r>
    <r>
      <rPr>
        <sz val="11"/>
        <color theme="1"/>
        <rFont val="Noto Sans SC"/>
        <charset val="134"/>
      </rPr>
      <t xml:space="preserve">不是必要部分，不含 </t>
    </r>
    <r>
      <rPr>
        <sz val="11"/>
        <color theme="1"/>
        <rFont val="Calibri"/>
        <charset val="1"/>
      </rPr>
      <t xml:space="preserve">Feature </t>
    </r>
    <r>
      <rPr>
        <sz val="11"/>
        <color theme="1"/>
        <rFont val="Noto Sans SC"/>
        <charset val="134"/>
      </rPr>
      <t>也完全可行；它的价值在于让玩法在趣味性与博弈性上覆盖基础摇奖够不到的部分。</t>
    </r>
  </si>
  <si>
    <r>
      <rPr>
        <sz val="11"/>
        <color theme="1"/>
        <rFont val="Calibri"/>
        <charset val="1"/>
      </rPr>
      <t xml:space="preserve">· </t>
    </r>
    <r>
      <rPr>
        <sz val="11"/>
        <color theme="1"/>
        <rFont val="Noto Sans SC"/>
        <charset val="134"/>
      </rPr>
      <t xml:space="preserve">百搭 </t>
    </r>
    <r>
      <rPr>
        <sz val="11"/>
        <color theme="1"/>
        <rFont val="Calibri"/>
        <charset val="1"/>
      </rPr>
      <t>/ Wild</t>
    </r>
    <r>
      <rPr>
        <sz val="11"/>
        <color theme="1"/>
        <rFont val="Noto Sans SC"/>
        <charset val="134"/>
      </rPr>
      <t xml:space="preserve">：带 </t>
    </r>
    <r>
      <rPr>
        <sz val="11"/>
        <color theme="1"/>
        <rFont val="Calibri"/>
        <charset val="1"/>
      </rPr>
      <t xml:space="preserve">Wild </t>
    </r>
    <r>
      <rPr>
        <sz val="11"/>
        <color theme="1"/>
        <rFont val="Noto Sans SC"/>
        <charset val="134"/>
      </rPr>
      <t xml:space="preserve">或 </t>
    </r>
    <r>
      <rPr>
        <sz val="11"/>
        <color theme="1"/>
        <rFont val="Calibri"/>
        <charset val="1"/>
      </rPr>
      <t xml:space="preserve">W </t>
    </r>
    <r>
      <rPr>
        <sz val="11"/>
        <color theme="1"/>
        <rFont val="Noto Sans SC"/>
        <charset val="134"/>
      </rPr>
      <t>字样的图标，摇奖过程中可被视为任意其他图标参与中奖连线，从而降低中奖难度。</t>
    </r>
  </si>
  <si>
    <r>
      <rPr>
        <sz val="11"/>
        <color theme="1"/>
        <rFont val="Noto Sans SC"/>
        <charset val="134"/>
      </rPr>
      <t xml:space="preserve">  原文举例：图标 </t>
    </r>
    <r>
      <rPr>
        <sz val="11"/>
        <color theme="1"/>
        <rFont val="Calibri"/>
        <charset val="1"/>
      </rPr>
      <t xml:space="preserve">A </t>
    </r>
    <r>
      <rPr>
        <sz val="11"/>
        <color theme="1"/>
        <rFont val="Noto Sans SC"/>
        <charset val="134"/>
      </rPr>
      <t>未满足「从第一列开始连续出现在 ≥</t>
    </r>
    <r>
      <rPr>
        <sz val="11"/>
        <color theme="1"/>
        <rFont val="Calibri"/>
        <charset val="1"/>
      </rPr>
      <t xml:space="preserve">3 </t>
    </r>
    <r>
      <rPr>
        <sz val="11"/>
        <color theme="1"/>
        <rFont val="Noto Sans SC"/>
        <charset val="134"/>
      </rPr>
      <t xml:space="preserve">列」，但第二列出现 </t>
    </r>
    <r>
      <rPr>
        <sz val="11"/>
        <color theme="1"/>
        <rFont val="Calibri"/>
        <charset val="1"/>
      </rPr>
      <t>Wild</t>
    </r>
    <r>
      <rPr>
        <sz val="11"/>
        <color theme="1"/>
        <rFont val="Noto Sans SC"/>
        <charset val="134"/>
      </rPr>
      <t xml:space="preserve">，玩家即可获得 </t>
    </r>
    <r>
      <rPr>
        <sz val="11"/>
        <color theme="1"/>
        <rFont val="Calibri"/>
        <charset val="1"/>
      </rPr>
      <t xml:space="preserve">A </t>
    </r>
    <r>
      <rPr>
        <sz val="11"/>
        <color theme="1"/>
        <rFont val="Noto Sans SC"/>
        <charset val="134"/>
      </rPr>
      <t>三连的对应奖励；</t>
    </r>
  </si>
  <si>
    <r>
      <rPr>
        <sz val="11"/>
        <color theme="1"/>
        <rFont val="Noto Sans SC"/>
        <charset val="134"/>
      </rPr>
      <t xml:space="preserve">  是否中奖仍与 </t>
    </r>
    <r>
      <rPr>
        <sz val="11"/>
        <color theme="1"/>
        <rFont val="Calibri"/>
        <charset val="1"/>
      </rPr>
      <t xml:space="preserve">Pay Lines </t>
    </r>
    <r>
      <rPr>
        <sz val="11"/>
        <color theme="1"/>
        <rFont val="Noto Sans SC"/>
        <charset val="134"/>
      </rPr>
      <t xml:space="preserve">相关，但 </t>
    </r>
    <r>
      <rPr>
        <sz val="11"/>
        <color theme="1"/>
        <rFont val="Calibri"/>
        <charset val="1"/>
      </rPr>
      <t xml:space="preserve">Wild </t>
    </r>
    <r>
      <rPr>
        <sz val="11"/>
        <color theme="1"/>
        <rFont val="Noto Sans SC"/>
        <charset val="134"/>
      </rPr>
      <t>的出现确实增加了中奖可能性。</t>
    </r>
  </si>
  <si>
    <r>
      <rPr>
        <b/>
        <sz val="11"/>
        <rFont val="Noto Sans SC"/>
        <charset val="134"/>
      </rPr>
      <t xml:space="preserve">九、特殊模式 </t>
    </r>
    <r>
      <rPr>
        <b/>
        <sz val="11"/>
        <rFont val="Cambria"/>
        <charset val="1"/>
      </rPr>
      <t>/ Feature Game</t>
    </r>
  </si>
  <si>
    <r>
      <rPr>
        <sz val="11"/>
        <color theme="1"/>
        <rFont val="Calibri"/>
        <charset val="1"/>
      </rPr>
      <t xml:space="preserve">· </t>
    </r>
    <r>
      <rPr>
        <sz val="11"/>
        <color theme="1"/>
        <rFont val="Noto Sans SC"/>
        <charset val="134"/>
      </rPr>
      <t xml:space="preserve">相对 </t>
    </r>
    <r>
      <rPr>
        <sz val="11"/>
        <color theme="1"/>
        <rFont val="Calibri"/>
        <charset val="1"/>
      </rPr>
      <t xml:space="preserve">Normal Spin </t>
    </r>
    <r>
      <rPr>
        <sz val="11"/>
        <color theme="1"/>
        <rFont val="Noto Sans SC"/>
        <charset val="134"/>
      </rPr>
      <t xml:space="preserve">的概念，指普通摇奖之外的游戏模式，常见以免费摇 </t>
    </r>
    <r>
      <rPr>
        <sz val="11"/>
        <color theme="1"/>
        <rFont val="Calibri"/>
        <charset val="1"/>
      </rPr>
      <t xml:space="preserve">/ Free Spin </t>
    </r>
    <r>
      <rPr>
        <sz val="11"/>
        <color theme="1"/>
        <rFont val="Noto Sans SC"/>
        <charset val="134"/>
      </rPr>
      <t>为基础，一般次数有限。</t>
    </r>
  </si>
  <si>
    <r>
      <rPr>
        <sz val="11"/>
        <color theme="1"/>
        <rFont val="Calibri"/>
        <charset val="1"/>
      </rPr>
      <t xml:space="preserve">· </t>
    </r>
    <r>
      <rPr>
        <sz val="11"/>
        <color theme="1"/>
        <rFont val="Noto Sans SC"/>
        <charset val="134"/>
      </rPr>
      <t>基础免费摇只是不消耗筹码；「无需投入但有几率获得回报」让免费摇收益明显高于普通摇。</t>
    </r>
  </si>
  <si>
    <r>
      <rPr>
        <sz val="11"/>
        <color theme="1"/>
        <rFont val="Calibri"/>
        <charset val="1"/>
      </rPr>
      <t xml:space="preserve">· </t>
    </r>
    <r>
      <rPr>
        <sz val="11"/>
        <color theme="1"/>
        <rFont val="Noto Sans SC"/>
        <charset val="134"/>
      </rPr>
      <t xml:space="preserve">可在基础上再叠加其他 </t>
    </r>
    <r>
      <rPr>
        <sz val="11"/>
        <color theme="1"/>
        <rFont val="Calibri"/>
        <charset val="1"/>
      </rPr>
      <t>Feature</t>
    </r>
    <r>
      <rPr>
        <sz val="11"/>
        <color theme="1"/>
        <rFont val="Noto Sans SC"/>
        <charset val="134"/>
      </rPr>
      <t>：更容易出现指定图标、不出现低额度赔付图标、粘性图标、</t>
    </r>
  </si>
  <si>
    <r>
      <rPr>
        <sz val="11"/>
        <color theme="1"/>
        <rFont val="Calibri"/>
        <charset val="1"/>
      </rPr>
      <t xml:space="preserve">  Hold &amp; Spin</t>
    </r>
    <r>
      <rPr>
        <sz val="11"/>
        <color theme="1"/>
        <rFont val="Noto Sans SC"/>
        <charset val="134"/>
      </rPr>
      <t>、</t>
    </r>
    <r>
      <rPr>
        <sz val="11"/>
        <color theme="1"/>
        <rFont val="Calibri"/>
        <charset val="1"/>
      </rPr>
      <t>Mega Symbols</t>
    </r>
    <r>
      <rPr>
        <sz val="11"/>
        <color theme="1"/>
        <rFont val="Noto Sans SC"/>
        <charset val="134"/>
      </rPr>
      <t>、</t>
    </r>
    <r>
      <rPr>
        <sz val="11"/>
        <color theme="1"/>
        <rFont val="Calibri"/>
        <charset val="1"/>
      </rPr>
      <t xml:space="preserve">Splitting Symbols </t>
    </r>
    <r>
      <rPr>
        <sz val="11"/>
        <color theme="1"/>
        <rFont val="Noto Sans SC"/>
        <charset val="134"/>
      </rPr>
      <t>等。</t>
    </r>
  </si>
  <si>
    <r>
      <rPr>
        <sz val="11"/>
        <color theme="1"/>
        <rFont val="Calibri"/>
        <charset val="1"/>
      </rPr>
      <t xml:space="preserve">· </t>
    </r>
    <r>
      <rPr>
        <sz val="11"/>
        <color theme="1"/>
        <rFont val="Noto Sans SC"/>
        <charset val="134"/>
      </rPr>
      <t>无论机制如何，都要注意与普通摇的区别：触发响铃提示、特殊结算动画、背景调整等画面设计都要突出两者的差异。</t>
    </r>
  </si>
  <si>
    <r>
      <rPr>
        <b/>
        <sz val="11"/>
        <rFont val="Noto Sans SC"/>
        <charset val="134"/>
      </rPr>
      <t xml:space="preserve">配图清单（已下载到 </t>
    </r>
    <r>
      <rPr>
        <b/>
        <sz val="11"/>
        <rFont val="Cambria"/>
        <charset val="1"/>
      </rPr>
      <t>images/slots/</t>
    </r>
    <r>
      <rPr>
        <b/>
        <sz val="11"/>
        <rFont val="Noto Sans SC"/>
        <charset val="134"/>
      </rPr>
      <t xml:space="preserve">，可用原始 </t>
    </r>
    <r>
      <rPr>
        <b/>
        <sz val="11"/>
        <rFont val="Cambria"/>
        <charset val="1"/>
      </rPr>
      <t xml:space="preserve">URL </t>
    </r>
    <r>
      <rPr>
        <b/>
        <sz val="11"/>
        <rFont val="Noto Sans SC"/>
        <charset val="134"/>
      </rPr>
      <t>复核）</t>
    </r>
  </si>
  <si>
    <r>
      <rPr>
        <sz val="11"/>
        <color theme="1"/>
        <rFont val="Calibri"/>
        <charset val="1"/>
      </rPr>
      <t xml:space="preserve">· 1-3 Slot </t>
    </r>
    <r>
      <rPr>
        <sz val="11"/>
        <color theme="1"/>
        <rFont val="Noto Sans SC"/>
        <charset val="134"/>
      </rPr>
      <t>与水果机对照：</t>
    </r>
    <r>
      <rPr>
        <sz val="11"/>
        <color theme="1"/>
        <rFont val="Calibri"/>
        <charset val="1"/>
      </rPr>
      <t>v2-710523197992b39340de680ef3f65ac8.jpg</t>
    </r>
    <r>
      <rPr>
        <sz val="11"/>
        <color theme="1"/>
        <rFont val="Noto Sans SC"/>
        <charset val="134"/>
      </rPr>
      <t xml:space="preserve">（原文 </t>
    </r>
    <r>
      <rPr>
        <sz val="11"/>
        <color theme="1"/>
        <rFont val="Calibri"/>
        <charset val="1"/>
      </rPr>
      <t xml:space="preserve">image-? </t>
    </r>
    <r>
      <rPr>
        <sz val="11"/>
        <color theme="1"/>
        <rFont val="Noto Sans SC"/>
        <charset val="134"/>
      </rPr>
      <t>）</t>
    </r>
  </si>
  <si>
    <r>
      <rPr>
        <sz val="11"/>
        <color theme="1"/>
        <rFont val="Calibri"/>
        <charset val="1"/>
      </rPr>
      <t xml:space="preserve">· </t>
    </r>
    <r>
      <rPr>
        <sz val="11"/>
        <color theme="1"/>
        <rFont val="Noto Sans SC"/>
        <charset val="134"/>
      </rPr>
      <t>卷轴与窗口关系示意：</t>
    </r>
    <r>
      <rPr>
        <sz val="11"/>
        <color theme="1"/>
        <rFont val="Calibri"/>
        <charset val="1"/>
      </rPr>
      <t>v2-8d7021f674045cba16312f845045f5f5.jpg</t>
    </r>
  </si>
  <si>
    <r>
      <rPr>
        <sz val="11"/>
        <color theme="1"/>
        <rFont val="Calibri"/>
        <charset val="1"/>
      </rPr>
      <t xml:space="preserve">· </t>
    </r>
    <r>
      <rPr>
        <sz val="11"/>
        <color theme="1"/>
        <rFont val="Noto Sans SC"/>
        <charset val="134"/>
      </rPr>
      <t>四种窗口（</t>
    </r>
    <r>
      <rPr>
        <sz val="11"/>
        <color theme="1"/>
        <rFont val="Calibri"/>
        <charset val="1"/>
      </rPr>
      <t>Line / Ways / Megaways / Grid</t>
    </r>
    <r>
      <rPr>
        <sz val="11"/>
        <color theme="1"/>
        <rFont val="Noto Sans SC"/>
        <charset val="134"/>
      </rPr>
      <t>）：</t>
    </r>
    <r>
      <rPr>
        <sz val="11"/>
        <color theme="1"/>
        <rFont val="Calibri"/>
        <charset val="1"/>
      </rPr>
      <t>v2-65db9f2496a78c17d3bcb83b431d387e.jpg</t>
    </r>
    <r>
      <rPr>
        <sz val="11"/>
        <color theme="1"/>
        <rFont val="Noto Sans SC"/>
        <charset val="134"/>
      </rPr>
      <t>（已嵌入本页）</t>
    </r>
  </si>
  <si>
    <r>
      <rPr>
        <sz val="11"/>
        <color theme="1"/>
        <rFont val="Calibri"/>
        <charset val="1"/>
      </rPr>
      <t xml:space="preserve">· </t>
    </r>
    <r>
      <rPr>
        <sz val="11"/>
        <color theme="1"/>
        <rFont val="Noto Sans SC"/>
        <charset val="134"/>
      </rPr>
      <t>常见扑克／</t>
    </r>
    <r>
      <rPr>
        <sz val="11"/>
        <color theme="1"/>
        <rFont val="Calibri"/>
        <charset val="1"/>
      </rPr>
      <t xml:space="preserve">BAR </t>
    </r>
    <r>
      <rPr>
        <sz val="11"/>
        <color theme="1"/>
        <rFont val="Noto Sans SC"/>
        <charset val="134"/>
      </rPr>
      <t>类图标：</t>
    </r>
    <r>
      <rPr>
        <sz val="11"/>
        <color theme="1"/>
        <rFont val="Calibri"/>
        <charset val="1"/>
      </rPr>
      <t>v2-2b57df3ae0f218af8b88a014db73e354.jpg</t>
    </r>
  </si>
  <si>
    <r>
      <rPr>
        <sz val="11"/>
        <color theme="1"/>
        <rFont val="Calibri"/>
        <charset val="1"/>
      </rPr>
      <t xml:space="preserve">· Hot Rod Racers </t>
    </r>
    <r>
      <rPr>
        <sz val="11"/>
        <color theme="1"/>
        <rFont val="Noto Sans SC"/>
        <charset val="134"/>
      </rPr>
      <t>高低额度图标对比：</t>
    </r>
    <r>
      <rPr>
        <sz val="11"/>
        <color theme="1"/>
        <rFont val="Calibri"/>
        <charset val="1"/>
      </rPr>
      <t>v2-2ac32fea40cd9b2d20712a361a74df59.jpg</t>
    </r>
  </si>
  <si>
    <r>
      <rPr>
        <sz val="11"/>
        <color theme="1"/>
        <rFont val="Calibri"/>
        <charset val="1"/>
      </rPr>
      <t xml:space="preserve">· </t>
    </r>
    <r>
      <rPr>
        <sz val="11"/>
        <color theme="1"/>
        <rFont val="Noto Sans SC"/>
        <charset val="134"/>
      </rPr>
      <t>线下操作区按钮：</t>
    </r>
    <r>
      <rPr>
        <sz val="11"/>
        <color theme="1"/>
        <rFont val="Calibri"/>
        <charset val="1"/>
      </rPr>
      <t>v2-d6c91899fa2e29a87e458c6bddb18142.jpg</t>
    </r>
  </si>
  <si>
    <r>
      <rPr>
        <sz val="11"/>
        <color theme="1"/>
        <rFont val="Calibri"/>
        <charset val="1"/>
      </rPr>
      <t xml:space="preserve">· </t>
    </r>
    <r>
      <rPr>
        <sz val="11"/>
        <color theme="1"/>
        <rFont val="Noto Sans SC"/>
        <charset val="134"/>
      </rPr>
      <t>线上系统功能按钮：</t>
    </r>
    <r>
      <rPr>
        <sz val="11"/>
        <color theme="1"/>
        <rFont val="Calibri"/>
        <charset val="1"/>
      </rPr>
      <t>v2-ffb2986b2f93a38125efabe5787051aa.jpg</t>
    </r>
  </si>
  <si>
    <r>
      <rPr>
        <sz val="11"/>
        <color theme="1"/>
        <rFont val="Calibri"/>
        <charset val="1"/>
      </rPr>
      <t xml:space="preserve">· </t>
    </r>
    <r>
      <rPr>
        <sz val="11"/>
        <color theme="1"/>
        <rFont val="Noto Sans SC"/>
        <charset val="134"/>
      </rPr>
      <t>线下赔付表（机身）：</t>
    </r>
    <r>
      <rPr>
        <sz val="11"/>
        <color theme="1"/>
        <rFont val="Calibri"/>
        <charset val="1"/>
      </rPr>
      <t>v2-4731bba8147cf0834a9a48acf301aaff.jpg</t>
    </r>
  </si>
  <si>
    <r>
      <rPr>
        <sz val="11"/>
        <color theme="1"/>
        <rFont val="Calibri"/>
        <charset val="1"/>
      </rPr>
      <t xml:space="preserve">· </t>
    </r>
    <r>
      <rPr>
        <sz val="11"/>
        <color theme="1"/>
        <rFont val="Noto Sans SC"/>
        <charset val="134"/>
      </rPr>
      <t>线上「</t>
    </r>
    <r>
      <rPr>
        <sz val="11"/>
        <color theme="1"/>
        <rFont val="Calibri"/>
        <charset val="1"/>
      </rPr>
      <t>i</t>
    </r>
    <r>
      <rPr>
        <sz val="11"/>
        <color theme="1"/>
        <rFont val="Noto Sans SC"/>
        <charset val="134"/>
      </rPr>
      <t>」按钮打开规则：</t>
    </r>
    <r>
      <rPr>
        <sz val="11"/>
        <color theme="1"/>
        <rFont val="Calibri"/>
        <charset val="1"/>
      </rPr>
      <t>v2-1cd1a41cf03b1c7ab1fcf5dc8420d87c.jpg</t>
    </r>
  </si>
  <si>
    <r>
      <rPr>
        <sz val="11"/>
        <color theme="1"/>
        <rFont val="Calibri"/>
        <charset val="1"/>
      </rPr>
      <t xml:space="preserve">· </t>
    </r>
    <r>
      <rPr>
        <sz val="11"/>
        <color theme="1"/>
        <rFont val="Noto Sans SC"/>
        <charset val="134"/>
      </rPr>
      <t>自动摇与剩余次数：</t>
    </r>
    <r>
      <rPr>
        <sz val="11"/>
        <color theme="1"/>
        <rFont val="Calibri"/>
        <charset val="1"/>
      </rPr>
      <t>v2-dca24dc21dc7e6cbb0990ac8fd4bd002.jpg</t>
    </r>
  </si>
  <si>
    <r>
      <rPr>
        <sz val="11"/>
        <color theme="1"/>
        <rFont val="Calibri"/>
        <charset val="1"/>
      </rPr>
      <t xml:space="preserve">· Wild </t>
    </r>
    <r>
      <rPr>
        <sz val="11"/>
        <color theme="1"/>
        <rFont val="Noto Sans SC"/>
        <charset val="134"/>
      </rPr>
      <t>连线示例（</t>
    </r>
    <r>
      <rPr>
        <sz val="11"/>
        <color theme="1"/>
        <rFont val="Calibri"/>
        <charset val="1"/>
      </rPr>
      <t>Wild West Gold</t>
    </r>
    <r>
      <rPr>
        <sz val="11"/>
        <color theme="1"/>
        <rFont val="Noto Sans SC"/>
        <charset val="134"/>
      </rPr>
      <t>）：</t>
    </r>
    <r>
      <rPr>
        <sz val="11"/>
        <color theme="1"/>
        <rFont val="Calibri"/>
        <charset val="1"/>
      </rPr>
      <t>v2-59191d9fab9d4e2d573a69ce86b68425.jpg</t>
    </r>
    <r>
      <rPr>
        <sz val="11"/>
        <color theme="1"/>
        <rFont val="Noto Sans SC"/>
        <charset val="134"/>
      </rPr>
      <t>（已嵌入本页）</t>
    </r>
  </si>
  <si>
    <r>
      <rPr>
        <sz val="11"/>
        <color theme="1"/>
        <rFont val="Calibri"/>
        <charset val="1"/>
      </rPr>
      <t xml:space="preserve">· Feature Game </t>
    </r>
    <r>
      <rPr>
        <sz val="11"/>
        <color theme="1"/>
        <rFont val="Noto Sans SC"/>
        <charset val="134"/>
      </rPr>
      <t>表现：</t>
    </r>
    <r>
      <rPr>
        <sz val="11"/>
        <color theme="1"/>
        <rFont val="Calibri"/>
        <charset val="1"/>
      </rPr>
      <t>v2-f05c574dbe3e2b2294181937bdcd5b31.jpg</t>
    </r>
  </si>
  <si>
    <t>校验</t>
  </si>
  <si>
    <r>
      <rPr>
        <sz val="11"/>
        <color theme="1"/>
        <rFont val="Calibri"/>
        <charset val="1"/>
      </rPr>
      <t xml:space="preserve">36 </t>
    </r>
    <r>
      <rPr>
        <sz val="11"/>
        <color theme="1"/>
        <rFont val="Noto Sans SC"/>
        <charset val="134"/>
      </rPr>
      <t xml:space="preserve">本簿由 </t>
    </r>
    <r>
      <rPr>
        <sz val="11"/>
        <color theme="1"/>
        <rFont val="Calibri"/>
        <charset val="1"/>
      </rPr>
      <t xml:space="preserve">openpyxl </t>
    </r>
    <r>
      <rPr>
        <sz val="11"/>
        <color theme="1"/>
        <rFont val="Noto Sans SC"/>
        <charset val="134"/>
      </rPr>
      <t xml:space="preserve">生成并已开 </t>
    </r>
    <r>
      <rPr>
        <sz val="11"/>
        <color theme="1"/>
        <rFont val="Calibri"/>
        <charset val="1"/>
      </rPr>
      <t>fullCalcOnLoad</t>
    </r>
    <r>
      <rPr>
        <sz val="11"/>
        <color theme="1"/>
        <rFont val="Noto Sans SC"/>
        <charset val="134"/>
      </rPr>
      <t>；</t>
    </r>
    <r>
      <rPr>
        <sz val="11"/>
        <color theme="1"/>
        <rFont val="Calibri"/>
        <charset val="1"/>
      </rPr>
      <t xml:space="preserve">37 </t>
    </r>
    <r>
      <rPr>
        <sz val="11"/>
        <color theme="1"/>
        <rFont val="Noto Sans SC"/>
        <charset val="134"/>
      </rPr>
      <t xml:space="preserve">另用 </t>
    </r>
    <r>
      <rPr>
        <sz val="11"/>
        <color theme="1"/>
        <rFont val="Calibri"/>
        <charset val="1"/>
      </rPr>
      <t xml:space="preserve">LibreOffice </t>
    </r>
    <r>
      <rPr>
        <sz val="11"/>
        <color theme="1"/>
        <rFont val="Noto Sans SC"/>
        <charset val="134"/>
      </rPr>
      <t>独立重算复核：</t>
    </r>
    <r>
      <rPr>
        <sz val="11"/>
        <color theme="1"/>
        <rFont val="Calibri"/>
        <charset val="1"/>
      </rPr>
      <t xml:space="preserve">0 </t>
    </r>
    <r>
      <rPr>
        <sz val="11"/>
        <color theme="1"/>
        <rFont val="Noto Sans SC"/>
        <charset val="134"/>
      </rPr>
      <t>个公式错误值；</t>
    </r>
  </si>
  <si>
    <r>
      <rPr>
        <sz val="11"/>
        <color theme="1"/>
        <rFont val="Calibri"/>
        <charset val="1"/>
      </rPr>
      <t xml:space="preserve">40 </t>
    </r>
    <r>
      <rPr>
        <sz val="11"/>
        <color theme="1"/>
        <rFont val="Noto Sans SC"/>
        <charset val="134"/>
      </rPr>
      <t xml:space="preserve">第 </t>
    </r>
    <r>
      <rPr>
        <sz val="11"/>
        <color theme="1"/>
        <rFont val="Calibri"/>
        <charset val="1"/>
      </rPr>
      <t xml:space="preserve">2 </t>
    </r>
    <r>
      <rPr>
        <sz val="11"/>
        <color theme="1"/>
        <rFont val="Noto Sans SC"/>
        <charset val="134"/>
      </rPr>
      <t>个页签的「配表自检」区用公式核对各列格数、赔付递增、百搭是否在赔付表、线数与线表是否一致。</t>
    </r>
  </si>
  <si>
    <t>说明</t>
  </si>
  <si>
    <r>
      <rPr>
        <sz val="11"/>
        <color theme="1"/>
        <rFont val="Noto Sans SC"/>
        <charset val="134"/>
      </rPr>
      <t xml:space="preserve">原文为「基础构成」说明文，未给任何数值与赔率表；第 </t>
    </r>
    <r>
      <rPr>
        <sz val="11"/>
        <color theme="1"/>
        <rFont val="Calibri"/>
        <charset val="1"/>
      </rPr>
      <t xml:space="preserve">2 </t>
    </r>
    <r>
      <rPr>
        <sz val="11"/>
        <color theme="1"/>
        <rFont val="Noto Sans SC"/>
        <charset val="134"/>
      </rPr>
      <t>个页签是照原文列出的构成要件落地的配表实现，</t>
    </r>
  </si>
  <si>
    <r>
      <rPr>
        <sz val="11"/>
        <color theme="1"/>
        <rFont val="Noto Sans SC"/>
        <charset val="134"/>
      </rPr>
      <t xml:space="preserve">滚轴／赔率沿用同项目 </t>
    </r>
    <r>
      <rPr>
        <sz val="11"/>
        <color theme="1"/>
        <rFont val="Calibri"/>
        <charset val="1"/>
      </rPr>
      <t xml:space="preserve">Part Ⅰ/Ⅱ </t>
    </r>
    <r>
      <rPr>
        <sz val="11"/>
        <color theme="1"/>
        <rFont val="Noto Sans SC"/>
        <charset val="134"/>
      </rPr>
      <t>示例数值（蓝字可改），</t>
    </r>
    <r>
      <rPr>
        <sz val="11"/>
        <color theme="1"/>
        <rFont val="Calibri"/>
        <charset val="1"/>
      </rPr>
      <t xml:space="preserve">RTP </t>
    </r>
    <r>
      <rPr>
        <sz val="11"/>
        <color theme="1"/>
        <rFont val="Noto Sans SC"/>
        <charset val="134"/>
      </rPr>
      <t>类计算留给《</t>
    </r>
    <r>
      <rPr>
        <sz val="11"/>
        <color theme="1"/>
        <rFont val="Calibri"/>
        <charset val="1"/>
      </rPr>
      <t>Part Ⅰ/Ⅱ</t>
    </r>
    <r>
      <rPr>
        <sz val="11"/>
        <color theme="1"/>
        <rFont val="Noto Sans SC"/>
        <charset val="134"/>
      </rPr>
      <t>》与专栏的「数值篇」，本簿不重复推导。</t>
    </r>
  </si>
  <si>
    <r>
      <rPr>
        <sz val="11"/>
        <color rgb="FF808080"/>
        <rFont val="Cambria"/>
        <charset val="1"/>
      </rPr>
      <t>Source: zhihu.com</t>
    </r>
    <r>
      <rPr>
        <sz val="11"/>
        <color rgb="FF808080"/>
        <rFont val="Noto Sans SC"/>
        <charset val="134"/>
      </rPr>
      <t>《</t>
    </r>
    <r>
      <rPr>
        <sz val="11"/>
        <color rgb="FF808080"/>
        <rFont val="Cambria"/>
        <charset val="1"/>
      </rPr>
      <t>Slots</t>
    </r>
    <r>
      <rPr>
        <sz val="11"/>
        <color rgb="FF808080"/>
        <rFont val="Noto Sans SC"/>
        <charset val="134"/>
      </rPr>
      <t>基础篇—— 基础构成》</t>
    </r>
    <r>
      <rPr>
        <sz val="11"/>
        <color rgb="FF808080"/>
        <rFont val="Cambria"/>
        <charset val="1"/>
      </rPr>
      <t>, https://zhuanlan.zhihu.com/p/623535430, 2023-06-09</t>
    </r>
  </si>
  <si>
    <t>原文整理（全文，按原文小标题分段）</t>
  </si>
  <si>
    <r>
      <rPr>
        <sz val="11"/>
        <color theme="1"/>
        <rFont val="Noto Sans SC"/>
        <charset val="134"/>
      </rPr>
      <t xml:space="preserve">在解释 </t>
    </r>
    <r>
      <rPr>
        <sz val="11"/>
        <color theme="1"/>
        <rFont val="Calibri"/>
        <charset val="1"/>
      </rPr>
      <t xml:space="preserve">Slot </t>
    </r>
    <r>
      <rPr>
        <sz val="11"/>
        <color theme="1"/>
        <rFont val="Noto Sans SC"/>
        <charset val="134"/>
      </rPr>
      <t xml:space="preserve">的数值模型前，首先需要了解 </t>
    </r>
    <r>
      <rPr>
        <sz val="11"/>
        <color theme="1"/>
        <rFont val="Calibri"/>
        <charset val="1"/>
      </rPr>
      <t xml:space="preserve">Slot </t>
    </r>
    <r>
      <rPr>
        <sz val="11"/>
        <color theme="1"/>
        <rFont val="Noto Sans SC"/>
        <charset val="134"/>
      </rPr>
      <t>的基础构成要素</t>
    </r>
  </si>
  <si>
    <r>
      <rPr>
        <sz val="11"/>
        <color theme="1"/>
        <rFont val="Noto Sans SC"/>
        <charset val="134"/>
      </rPr>
      <t xml:space="preserve">［配图 </t>
    </r>
    <r>
      <rPr>
        <sz val="11"/>
        <color theme="1"/>
        <rFont val="Calibri"/>
        <charset val="1"/>
      </rPr>
      <t>01</t>
    </r>
    <r>
      <rPr>
        <sz val="11"/>
        <color theme="1"/>
        <rFont val="Noto Sans SC"/>
        <charset val="134"/>
      </rPr>
      <t>］</t>
    </r>
    <r>
      <rPr>
        <sz val="11"/>
        <color theme="1"/>
        <rFont val="Calibri"/>
        <charset val="1"/>
      </rPr>
      <t>623535430-01.jpg</t>
    </r>
  </si>
  <si>
    <t>基础构成</t>
  </si>
  <si>
    <r>
      <rPr>
        <sz val="11"/>
        <color theme="1"/>
        <rFont val="Noto Sans SC"/>
        <charset val="134"/>
      </rPr>
      <t>说起</t>
    </r>
    <r>
      <rPr>
        <sz val="11"/>
        <color theme="1"/>
        <rFont val="Calibri"/>
        <charset val="1"/>
      </rPr>
      <t>Slot</t>
    </r>
    <r>
      <rPr>
        <sz val="11"/>
        <color theme="1"/>
        <rFont val="Noto Sans SC"/>
        <charset val="134"/>
      </rPr>
      <t>，大家可能都有不同的认知，例如常作为抽奖活动的</t>
    </r>
    <r>
      <rPr>
        <sz val="11"/>
        <color theme="1"/>
        <rFont val="Calibri"/>
        <charset val="1"/>
      </rPr>
      <t>1-3Slot</t>
    </r>
    <r>
      <rPr>
        <sz val="11"/>
        <color theme="1"/>
        <rFont val="Noto Sans SC"/>
        <charset val="134"/>
      </rPr>
      <t>，又或者是街机厅里面摆放的跑圈水果机</t>
    </r>
  </si>
  <si>
    <r>
      <rPr>
        <sz val="11"/>
        <color theme="1"/>
        <rFont val="Noto Sans SC"/>
        <charset val="134"/>
      </rPr>
      <t xml:space="preserve">［配图 </t>
    </r>
    <r>
      <rPr>
        <sz val="11"/>
        <color theme="1"/>
        <rFont val="Calibri"/>
        <charset val="1"/>
      </rPr>
      <t>02</t>
    </r>
    <r>
      <rPr>
        <sz val="11"/>
        <color theme="1"/>
        <rFont val="Noto Sans SC"/>
        <charset val="134"/>
      </rPr>
      <t>］</t>
    </r>
    <r>
      <rPr>
        <sz val="11"/>
        <color theme="1"/>
        <rFont val="Calibri"/>
        <charset val="1"/>
      </rPr>
      <t>623535430-02.jpg</t>
    </r>
  </si>
  <si>
    <r>
      <rPr>
        <sz val="11"/>
        <color theme="1"/>
        <rFont val="Noto Sans SC"/>
        <charset val="134"/>
      </rPr>
      <t>左边的一般叫</t>
    </r>
    <r>
      <rPr>
        <sz val="11"/>
        <color theme="1"/>
        <rFont val="Calibri"/>
        <charset val="1"/>
      </rPr>
      <t>Slot</t>
    </r>
    <r>
      <rPr>
        <sz val="11"/>
        <color theme="1"/>
        <rFont val="Noto Sans SC"/>
        <charset val="134"/>
      </rPr>
      <t>，右边的叫</t>
    </r>
    <r>
      <rPr>
        <sz val="11"/>
        <color theme="1"/>
        <rFont val="Calibri"/>
        <charset val="1"/>
      </rPr>
      <t>Fruit Machine</t>
    </r>
    <r>
      <rPr>
        <sz val="11"/>
        <color theme="1"/>
        <rFont val="Noto Sans SC"/>
        <charset val="134"/>
      </rPr>
      <t>，但是这个分类并不是很严谨，混用也没问题</t>
    </r>
  </si>
  <si>
    <r>
      <rPr>
        <sz val="11"/>
        <color theme="1"/>
        <rFont val="Noto Sans SC"/>
        <charset val="134"/>
      </rPr>
      <t>这两种玩法都可以算作是</t>
    </r>
    <r>
      <rPr>
        <sz val="11"/>
        <color theme="1"/>
        <rFont val="Calibri"/>
        <charset val="1"/>
      </rPr>
      <t>Slot</t>
    </r>
    <r>
      <rPr>
        <sz val="11"/>
        <color theme="1"/>
        <rFont val="Noto Sans SC"/>
        <charset val="134"/>
      </rPr>
      <t>的范畴</t>
    </r>
  </si>
  <si>
    <r>
      <rPr>
        <sz val="11"/>
        <color theme="1"/>
        <rFont val="Noto Sans SC"/>
        <charset val="134"/>
      </rPr>
      <t>一般来说，</t>
    </r>
    <r>
      <rPr>
        <sz val="11"/>
        <color theme="1"/>
        <rFont val="Calibri"/>
        <charset val="1"/>
      </rPr>
      <t>Slot</t>
    </r>
    <r>
      <rPr>
        <sz val="11"/>
        <color theme="1"/>
        <rFont val="Noto Sans SC"/>
        <charset val="134"/>
      </rPr>
      <t>玩法指的是通过带有图标的卷轴转动抽取图标，并依据最终停留在窗口上的图标判断中奖情况的玩法</t>
    </r>
  </si>
  <si>
    <r>
      <rPr>
        <sz val="11"/>
        <color theme="1"/>
        <rFont val="Noto Sans SC"/>
        <charset val="134"/>
      </rPr>
      <t>其包括多种变形，例如</t>
    </r>
    <r>
      <rPr>
        <sz val="11"/>
        <color theme="1"/>
        <rFont val="Calibri"/>
        <charset val="1"/>
      </rPr>
      <t>1-3</t>
    </r>
    <r>
      <rPr>
        <sz val="11"/>
        <color theme="1"/>
        <rFont val="Noto Sans SC"/>
        <charset val="134"/>
      </rPr>
      <t>、</t>
    </r>
    <r>
      <rPr>
        <sz val="11"/>
        <color theme="1"/>
        <rFont val="Calibri"/>
        <charset val="1"/>
      </rPr>
      <t>3-3</t>
    </r>
    <r>
      <rPr>
        <sz val="11"/>
        <color theme="1"/>
        <rFont val="Noto Sans SC"/>
        <charset val="134"/>
      </rPr>
      <t>或者</t>
    </r>
    <r>
      <rPr>
        <sz val="11"/>
        <color theme="1"/>
        <rFont val="Calibri"/>
        <charset val="1"/>
      </rPr>
      <t>3-5</t>
    </r>
    <r>
      <rPr>
        <sz val="11"/>
        <color theme="1"/>
        <rFont val="Noto Sans SC"/>
        <charset val="134"/>
      </rPr>
      <t>或者类似水果机这种已经看不到卷轴的类型</t>
    </r>
  </si>
  <si>
    <r>
      <rPr>
        <sz val="11"/>
        <color theme="1"/>
        <rFont val="Noto Sans SC"/>
        <charset val="134"/>
      </rPr>
      <t>本篇以</t>
    </r>
    <r>
      <rPr>
        <sz val="11"/>
        <color theme="1"/>
        <rFont val="Calibri"/>
        <charset val="1"/>
      </rPr>
      <t>3*5</t>
    </r>
    <r>
      <rPr>
        <sz val="11"/>
        <color theme="1"/>
        <rFont val="Noto Sans SC"/>
        <charset val="134"/>
      </rPr>
      <t>的</t>
    </r>
    <r>
      <rPr>
        <sz val="11"/>
        <color theme="1"/>
        <rFont val="Calibri"/>
        <charset val="1"/>
      </rPr>
      <t>Line Slot</t>
    </r>
    <r>
      <rPr>
        <sz val="11"/>
        <color theme="1"/>
        <rFont val="Noto Sans SC"/>
        <charset val="134"/>
      </rPr>
      <t xml:space="preserve">为例，介绍 </t>
    </r>
    <r>
      <rPr>
        <sz val="11"/>
        <color theme="1"/>
        <rFont val="Calibri"/>
        <charset val="1"/>
      </rPr>
      <t>Slot</t>
    </r>
    <r>
      <rPr>
        <sz val="11"/>
        <color theme="1"/>
        <rFont val="Noto Sans SC"/>
        <charset val="134"/>
      </rPr>
      <t>的基础组成部分</t>
    </r>
  </si>
  <si>
    <r>
      <rPr>
        <sz val="11"/>
        <color theme="1"/>
        <rFont val="Noto Sans SC"/>
        <charset val="134"/>
      </rPr>
      <t xml:space="preserve">卷轴 </t>
    </r>
    <r>
      <rPr>
        <sz val="11"/>
        <color theme="1"/>
        <rFont val="Calibri"/>
        <charset val="1"/>
      </rPr>
      <t>/ Reels</t>
    </r>
  </si>
  <si>
    <r>
      <rPr>
        <sz val="11"/>
        <color theme="1"/>
        <rFont val="Noto Sans SC"/>
        <charset val="134"/>
      </rPr>
      <t>常见的</t>
    </r>
    <r>
      <rPr>
        <sz val="11"/>
        <color theme="1"/>
        <rFont val="Calibri"/>
        <charset val="1"/>
      </rPr>
      <t>Slot</t>
    </r>
    <r>
      <rPr>
        <sz val="11"/>
        <color theme="1"/>
        <rFont val="Noto Sans SC"/>
        <charset val="134"/>
      </rPr>
      <t>中心那条有图标并且会转动抽奖的部分，就是</t>
    </r>
    <r>
      <rPr>
        <sz val="11"/>
        <color theme="1"/>
        <rFont val="Calibri"/>
        <charset val="1"/>
      </rPr>
      <t>Slot</t>
    </r>
    <r>
      <rPr>
        <sz val="11"/>
        <color theme="1"/>
        <rFont val="Noto Sans SC"/>
        <charset val="134"/>
      </rPr>
      <t>的卷轴</t>
    </r>
  </si>
  <si>
    <r>
      <rPr>
        <sz val="11"/>
        <color theme="1"/>
        <rFont val="Calibri"/>
        <charset val="1"/>
      </rPr>
      <t>Reel</t>
    </r>
    <r>
      <rPr>
        <sz val="11"/>
        <color theme="1"/>
        <rFont val="Noto Sans SC"/>
        <charset val="134"/>
      </rPr>
      <t>指的是一列带有图标的卷轴，当多列卷轴整合在一起后就构成了</t>
    </r>
    <r>
      <rPr>
        <sz val="11"/>
        <color theme="1"/>
        <rFont val="Calibri"/>
        <charset val="1"/>
      </rPr>
      <t>Slot</t>
    </r>
    <r>
      <rPr>
        <sz val="11"/>
        <color theme="1"/>
        <rFont val="Noto Sans SC"/>
        <charset val="134"/>
      </rPr>
      <t>的窗口</t>
    </r>
    <r>
      <rPr>
        <sz val="11"/>
        <color theme="1"/>
        <rFont val="Calibri"/>
        <charset val="1"/>
      </rPr>
      <t>/Windows</t>
    </r>
  </si>
  <si>
    <t>卷轴的尺寸常常远大于窗口的限制，可以理解为图标的库存</t>
  </si>
  <si>
    <t>每次摇奖就是从库存中抽取图标，放到台面上</t>
  </si>
  <si>
    <t>只有被抽取到的图标会参与中奖情况的判定，没被抽取到的图标对输赢结果没有影响</t>
  </si>
  <si>
    <t>最原始的老虎机使用的是固定卷轴的方式，能够从中抽取到的中奖组合都是固定的</t>
  </si>
  <si>
    <r>
      <rPr>
        <sz val="11"/>
        <color theme="1"/>
        <rFont val="Calibri"/>
        <charset val="1"/>
      </rPr>
      <t>Slot</t>
    </r>
    <r>
      <rPr>
        <sz val="11"/>
        <color theme="1"/>
        <rFont val="Noto Sans SC"/>
        <charset val="134"/>
      </rPr>
      <t>玩法移植到先上后，大部分产品都没有遵循线下的要求设定固定图标的卷轴</t>
    </r>
  </si>
  <si>
    <t>此时在卷轴本身更多起到了一个装饰的作用</t>
  </si>
  <si>
    <r>
      <rPr>
        <sz val="11"/>
        <color theme="1"/>
        <rFont val="Noto Sans SC"/>
        <charset val="134"/>
      </rPr>
      <t xml:space="preserve">［配图 </t>
    </r>
    <r>
      <rPr>
        <sz val="11"/>
        <color theme="1"/>
        <rFont val="Calibri"/>
        <charset val="1"/>
      </rPr>
      <t>03</t>
    </r>
    <r>
      <rPr>
        <sz val="11"/>
        <color theme="1"/>
        <rFont val="Noto Sans SC"/>
        <charset val="134"/>
      </rPr>
      <t>］</t>
    </r>
    <r>
      <rPr>
        <sz val="11"/>
        <color theme="1"/>
        <rFont val="Calibri"/>
        <charset val="1"/>
      </rPr>
      <t>623535430-03.jpg</t>
    </r>
  </si>
  <si>
    <r>
      <rPr>
        <sz val="11"/>
        <color theme="1"/>
        <rFont val="Noto Sans SC"/>
        <charset val="134"/>
      </rPr>
      <t>虽然不要求固定卷轴，但是在大部分国家合法的</t>
    </r>
    <r>
      <rPr>
        <sz val="11"/>
        <color theme="1"/>
        <rFont val="Calibri"/>
        <charset val="1"/>
      </rPr>
      <t>Slot</t>
    </r>
    <r>
      <rPr>
        <sz val="11"/>
        <color theme="1"/>
        <rFont val="Noto Sans SC"/>
        <charset val="134"/>
      </rPr>
      <t>都是需要提供公平概率的证明的</t>
    </r>
  </si>
  <si>
    <r>
      <rPr>
        <sz val="11"/>
        <color theme="1"/>
        <rFont val="Noto Sans SC"/>
        <charset val="134"/>
      </rPr>
      <t xml:space="preserve">窗口 </t>
    </r>
    <r>
      <rPr>
        <sz val="11"/>
        <color theme="1"/>
        <rFont val="Calibri"/>
        <charset val="1"/>
      </rPr>
      <t>/ Windows</t>
    </r>
  </si>
  <si>
    <r>
      <rPr>
        <sz val="11"/>
        <color theme="1"/>
        <rFont val="Noto Sans SC"/>
        <charset val="134"/>
      </rPr>
      <t>大多数的</t>
    </r>
    <r>
      <rPr>
        <sz val="11"/>
        <color theme="1"/>
        <rFont val="Calibri"/>
        <charset val="1"/>
      </rPr>
      <t>Slot</t>
    </r>
    <r>
      <rPr>
        <sz val="11"/>
        <color theme="1"/>
        <rFont val="Noto Sans SC"/>
        <charset val="134"/>
      </rPr>
      <t>都使用</t>
    </r>
    <r>
      <rPr>
        <sz val="11"/>
        <color theme="1"/>
        <rFont val="Calibri"/>
        <charset val="1"/>
      </rPr>
      <t>1-3</t>
    </r>
    <r>
      <rPr>
        <sz val="11"/>
        <color theme="1"/>
        <rFont val="Noto Sans SC"/>
        <charset val="134"/>
      </rPr>
      <t>、</t>
    </r>
    <r>
      <rPr>
        <sz val="11"/>
        <color theme="1"/>
        <rFont val="Calibri"/>
        <charset val="1"/>
      </rPr>
      <t>3-3</t>
    </r>
    <r>
      <rPr>
        <sz val="11"/>
        <color theme="1"/>
        <rFont val="Noto Sans SC"/>
        <charset val="134"/>
      </rPr>
      <t>或者</t>
    </r>
    <r>
      <rPr>
        <sz val="11"/>
        <color theme="1"/>
        <rFont val="Calibri"/>
        <charset val="1"/>
      </rPr>
      <t>3-5</t>
    </r>
    <r>
      <rPr>
        <sz val="11"/>
        <color theme="1"/>
        <rFont val="Noto Sans SC"/>
        <charset val="134"/>
      </rPr>
      <t>的长方形作为窗口</t>
    </r>
  </si>
  <si>
    <r>
      <rPr>
        <sz val="11"/>
        <color theme="1"/>
        <rFont val="Noto Sans SC"/>
        <charset val="134"/>
      </rPr>
      <t>这是因为最初的</t>
    </r>
    <r>
      <rPr>
        <sz val="11"/>
        <color theme="1"/>
        <rFont val="Calibri"/>
        <charset val="1"/>
      </rPr>
      <t>Slot</t>
    </r>
    <r>
      <rPr>
        <sz val="11"/>
        <color theme="1"/>
        <rFont val="Noto Sans SC"/>
        <charset val="134"/>
      </rPr>
      <t>类型为多线老虎机，早期的发展也是基于中奖线的基础上进行的</t>
    </r>
  </si>
  <si>
    <r>
      <rPr>
        <sz val="11"/>
        <color theme="1"/>
        <rFont val="Noto Sans SC"/>
        <charset val="134"/>
      </rPr>
      <t>这样子使用长方形的结构，更便于中奖线的设置，因此长方形的窗口也就成了</t>
    </r>
    <r>
      <rPr>
        <sz val="11"/>
        <color theme="1"/>
        <rFont val="Calibri"/>
        <charset val="1"/>
      </rPr>
      <t>Slot</t>
    </r>
    <r>
      <rPr>
        <sz val="11"/>
        <color theme="1"/>
        <rFont val="Noto Sans SC"/>
        <charset val="134"/>
      </rPr>
      <t>产品中最常见的窗口</t>
    </r>
  </si>
  <si>
    <r>
      <rPr>
        <sz val="11"/>
        <color theme="1"/>
        <rFont val="Noto Sans SC"/>
        <charset val="134"/>
      </rPr>
      <t xml:space="preserve">但随着 </t>
    </r>
    <r>
      <rPr>
        <sz val="11"/>
        <color theme="1"/>
        <rFont val="Calibri"/>
        <charset val="1"/>
      </rPr>
      <t xml:space="preserve">Slot </t>
    </r>
    <r>
      <rPr>
        <sz val="11"/>
        <color theme="1"/>
        <rFont val="Noto Sans SC"/>
        <charset val="134"/>
      </rPr>
      <t>的发展，许多的</t>
    </r>
    <r>
      <rPr>
        <sz val="11"/>
        <color theme="1"/>
        <rFont val="Calibri"/>
        <charset val="1"/>
      </rPr>
      <t>Slot</t>
    </r>
    <r>
      <rPr>
        <sz val="11"/>
        <color theme="1"/>
        <rFont val="Noto Sans SC"/>
        <charset val="134"/>
      </rPr>
      <t>在设计的时候已经不再受到中奖线的限制</t>
    </r>
  </si>
  <si>
    <r>
      <rPr>
        <sz val="11"/>
        <color theme="1"/>
        <rFont val="Noto Sans SC"/>
        <charset val="134"/>
      </rPr>
      <t>因此当</t>
    </r>
    <r>
      <rPr>
        <sz val="11"/>
        <color theme="1"/>
        <rFont val="Calibri"/>
        <charset val="1"/>
      </rPr>
      <t>Slot</t>
    </r>
    <r>
      <rPr>
        <sz val="11"/>
        <color theme="1"/>
        <rFont val="Noto Sans SC"/>
        <charset val="134"/>
      </rPr>
      <t>本身的定位和类型不同时 ，其窗口区域也会出现较大的差异</t>
    </r>
  </si>
  <si>
    <r>
      <rPr>
        <sz val="11"/>
        <color theme="1"/>
        <rFont val="Noto Sans SC"/>
        <charset val="134"/>
      </rPr>
      <t xml:space="preserve">［配图 </t>
    </r>
    <r>
      <rPr>
        <sz val="11"/>
        <color theme="1"/>
        <rFont val="Calibri"/>
        <charset val="1"/>
      </rPr>
      <t>04</t>
    </r>
    <r>
      <rPr>
        <sz val="11"/>
        <color theme="1"/>
        <rFont val="Noto Sans SC"/>
        <charset val="134"/>
      </rPr>
      <t>］</t>
    </r>
    <r>
      <rPr>
        <sz val="11"/>
        <color theme="1"/>
        <rFont val="Calibri"/>
        <charset val="1"/>
      </rPr>
      <t>623535430-04.jpg</t>
    </r>
  </si>
  <si>
    <r>
      <rPr>
        <sz val="11"/>
        <color theme="1"/>
        <rFont val="Noto Sans SC"/>
        <charset val="134"/>
      </rPr>
      <t xml:space="preserve">以上玩法分别代表四种 </t>
    </r>
    <r>
      <rPr>
        <sz val="11"/>
        <color theme="1"/>
        <rFont val="Calibri"/>
        <charset val="1"/>
      </rPr>
      <t xml:space="preserve">Slot </t>
    </r>
    <r>
      <rPr>
        <sz val="11"/>
        <color theme="1"/>
        <rFont val="Noto Sans SC"/>
        <charset val="134"/>
      </rPr>
      <t>：</t>
    </r>
  </si>
  <si>
    <r>
      <rPr>
        <sz val="11"/>
        <color theme="1"/>
        <rFont val="Calibri"/>
        <charset val="1"/>
      </rPr>
      <t>- Legion Gold</t>
    </r>
    <r>
      <rPr>
        <sz val="11"/>
        <color theme="1"/>
        <rFont val="Noto Sans SC"/>
        <charset val="134"/>
      </rPr>
      <t>：</t>
    </r>
    <r>
      <rPr>
        <sz val="11"/>
        <color theme="1"/>
        <rFont val="Calibri"/>
        <charset val="1"/>
      </rPr>
      <t xml:space="preserve">Line Slot </t>
    </r>
    <r>
      <rPr>
        <sz val="11"/>
        <color theme="1"/>
        <rFont val="Noto Sans SC"/>
        <charset val="134"/>
      </rPr>
      <t>（左上）</t>
    </r>
  </si>
  <si>
    <r>
      <rPr>
        <sz val="11"/>
        <color theme="1"/>
        <rFont val="Calibri"/>
        <charset val="1"/>
      </rPr>
      <t>- Pizza</t>
    </r>
    <r>
      <rPr>
        <sz val="11"/>
        <color theme="1"/>
        <rFont val="Noto Sans SC"/>
        <charset val="134"/>
      </rPr>
      <t>！</t>
    </r>
    <r>
      <rPr>
        <sz val="11"/>
        <color theme="1"/>
        <rFont val="Calibri"/>
        <charset val="1"/>
      </rPr>
      <t>Pizza</t>
    </r>
    <r>
      <rPr>
        <sz val="11"/>
        <color theme="1"/>
        <rFont val="Noto Sans SC"/>
        <charset val="134"/>
      </rPr>
      <t>？</t>
    </r>
    <r>
      <rPr>
        <sz val="11"/>
        <color theme="1"/>
        <rFont val="Calibri"/>
        <charset val="1"/>
      </rPr>
      <t>Pizza</t>
    </r>
    <r>
      <rPr>
        <sz val="11"/>
        <color theme="1"/>
        <rFont val="Noto Sans SC"/>
        <charset val="134"/>
      </rPr>
      <t>！：</t>
    </r>
    <r>
      <rPr>
        <sz val="11"/>
        <color theme="1"/>
        <rFont val="Calibri"/>
        <charset val="1"/>
      </rPr>
      <t>Ways Slot</t>
    </r>
    <r>
      <rPr>
        <sz val="11"/>
        <color theme="1"/>
        <rFont val="Noto Sans SC"/>
        <charset val="134"/>
      </rPr>
      <t>（右上）</t>
    </r>
  </si>
  <si>
    <r>
      <rPr>
        <sz val="11"/>
        <color theme="1"/>
        <rFont val="Calibri"/>
        <charset val="1"/>
      </rPr>
      <t>- Lucky Fishing</t>
    </r>
    <r>
      <rPr>
        <sz val="11"/>
        <color theme="1"/>
        <rFont val="Noto Sans SC"/>
        <charset val="134"/>
      </rPr>
      <t>：</t>
    </r>
    <r>
      <rPr>
        <sz val="11"/>
        <color theme="1"/>
        <rFont val="Calibri"/>
        <charset val="1"/>
      </rPr>
      <t>Megaways Slot</t>
    </r>
    <r>
      <rPr>
        <sz val="11"/>
        <color theme="1"/>
        <rFont val="Noto Sans SC"/>
        <charset val="134"/>
      </rPr>
      <t>（左下）</t>
    </r>
  </si>
  <si>
    <r>
      <rPr>
        <sz val="11"/>
        <color theme="1"/>
        <rFont val="Calibri"/>
        <charset val="1"/>
      </rPr>
      <t>- Gate of Olympus</t>
    </r>
    <r>
      <rPr>
        <sz val="11"/>
        <color theme="1"/>
        <rFont val="Noto Sans SC"/>
        <charset val="134"/>
      </rPr>
      <t>：</t>
    </r>
    <r>
      <rPr>
        <sz val="11"/>
        <color theme="1"/>
        <rFont val="Calibri"/>
        <charset val="1"/>
      </rPr>
      <t xml:space="preserve">Grid Slot </t>
    </r>
    <r>
      <rPr>
        <sz val="11"/>
        <color theme="1"/>
        <rFont val="Noto Sans SC"/>
        <charset val="134"/>
      </rPr>
      <t>（右下）</t>
    </r>
  </si>
  <si>
    <r>
      <rPr>
        <sz val="11"/>
        <color theme="1"/>
        <rFont val="Noto Sans SC"/>
        <charset val="134"/>
      </rPr>
      <t>虽然大部分</t>
    </r>
    <r>
      <rPr>
        <sz val="11"/>
        <color theme="1"/>
        <rFont val="Calibri"/>
        <charset val="1"/>
      </rPr>
      <t>Slot</t>
    </r>
    <r>
      <rPr>
        <sz val="11"/>
        <color theme="1"/>
        <rFont val="Noto Sans SC"/>
        <charset val="134"/>
      </rPr>
      <t>的窗口都还是能被称为“方形”，但是其结构和最初的</t>
    </r>
    <r>
      <rPr>
        <sz val="11"/>
        <color theme="1"/>
        <rFont val="Calibri"/>
        <charset val="1"/>
      </rPr>
      <t>Slot</t>
    </r>
    <r>
      <rPr>
        <sz val="11"/>
        <color theme="1"/>
        <rFont val="Noto Sans SC"/>
        <charset val="134"/>
      </rPr>
      <t>已经有了比较大的差异</t>
    </r>
  </si>
  <si>
    <t>但无论使用了什么样的窗口，只要该窗口不会影响到玩家对规则和玩法理解，这个窗口一般都是可以接受的</t>
  </si>
  <si>
    <r>
      <rPr>
        <sz val="11"/>
        <color theme="1"/>
        <rFont val="Noto Sans SC"/>
        <charset val="134"/>
      </rPr>
      <t xml:space="preserve">图标 </t>
    </r>
    <r>
      <rPr>
        <sz val="11"/>
        <color theme="1"/>
        <rFont val="Calibri"/>
        <charset val="1"/>
      </rPr>
      <t>/ Symbols</t>
    </r>
  </si>
  <si>
    <r>
      <rPr>
        <sz val="11"/>
        <color theme="1"/>
        <rFont val="Noto Sans SC"/>
        <charset val="134"/>
      </rPr>
      <t xml:space="preserve">卷轴上方展示的内容即为 </t>
    </r>
    <r>
      <rPr>
        <sz val="11"/>
        <color theme="1"/>
        <rFont val="Calibri"/>
        <charset val="1"/>
      </rPr>
      <t xml:space="preserve">Slot </t>
    </r>
    <r>
      <rPr>
        <sz val="11"/>
        <color theme="1"/>
        <rFont val="Noto Sans SC"/>
        <charset val="134"/>
      </rPr>
      <t>的图标</t>
    </r>
  </si>
  <si>
    <r>
      <rPr>
        <sz val="11"/>
        <color theme="1"/>
        <rFont val="Noto Sans SC"/>
        <charset val="134"/>
      </rPr>
      <t>常见的图标要素为</t>
    </r>
    <r>
      <rPr>
        <sz val="11"/>
        <color theme="1"/>
        <rFont val="Calibri"/>
        <charset val="1"/>
      </rPr>
      <t>9</t>
    </r>
    <r>
      <rPr>
        <sz val="11"/>
        <color theme="1"/>
        <rFont val="Noto Sans SC"/>
        <charset val="134"/>
      </rPr>
      <t>、</t>
    </r>
    <r>
      <rPr>
        <sz val="11"/>
        <color theme="1"/>
        <rFont val="Calibri"/>
        <charset val="1"/>
      </rPr>
      <t>10</t>
    </r>
    <r>
      <rPr>
        <sz val="11"/>
        <color theme="1"/>
        <rFont val="Noto Sans SC"/>
        <charset val="134"/>
      </rPr>
      <t>、</t>
    </r>
    <r>
      <rPr>
        <sz val="11"/>
        <color theme="1"/>
        <rFont val="Calibri"/>
        <charset val="1"/>
      </rPr>
      <t>J</t>
    </r>
    <r>
      <rPr>
        <sz val="11"/>
        <color theme="1"/>
        <rFont val="Noto Sans SC"/>
        <charset val="134"/>
      </rPr>
      <t>、</t>
    </r>
    <r>
      <rPr>
        <sz val="11"/>
        <color theme="1"/>
        <rFont val="Calibri"/>
        <charset val="1"/>
      </rPr>
      <t>Q</t>
    </r>
    <r>
      <rPr>
        <sz val="11"/>
        <color theme="1"/>
        <rFont val="Noto Sans SC"/>
        <charset val="134"/>
      </rPr>
      <t>、</t>
    </r>
    <r>
      <rPr>
        <sz val="11"/>
        <color theme="1"/>
        <rFont val="Calibri"/>
        <charset val="1"/>
      </rPr>
      <t>K</t>
    </r>
    <r>
      <rPr>
        <sz val="11"/>
        <color theme="1"/>
        <rFont val="Noto Sans SC"/>
        <charset val="134"/>
      </rPr>
      <t>、</t>
    </r>
    <r>
      <rPr>
        <sz val="11"/>
        <color theme="1"/>
        <rFont val="Calibri"/>
        <charset val="1"/>
      </rPr>
      <t>A</t>
    </r>
    <r>
      <rPr>
        <sz val="11"/>
        <color theme="1"/>
        <rFont val="Noto Sans SC"/>
        <charset val="134"/>
      </rPr>
      <t>、黑桃、红桃、梅花、方块等扑克要素和</t>
    </r>
    <r>
      <rPr>
        <sz val="11"/>
        <color theme="1"/>
        <rFont val="Calibri"/>
        <charset val="1"/>
      </rPr>
      <t>7</t>
    </r>
    <r>
      <rPr>
        <sz val="11"/>
        <color theme="1"/>
        <rFont val="Noto Sans SC"/>
        <charset val="134"/>
      </rPr>
      <t>、</t>
    </r>
    <r>
      <rPr>
        <sz val="11"/>
        <color theme="1"/>
        <rFont val="Calibri"/>
        <charset val="1"/>
      </rPr>
      <t>777</t>
    </r>
    <r>
      <rPr>
        <sz val="11"/>
        <color theme="1"/>
        <rFont val="Noto Sans SC"/>
        <charset val="134"/>
      </rPr>
      <t>、</t>
    </r>
    <r>
      <rPr>
        <sz val="11"/>
        <color theme="1"/>
        <rFont val="Calibri"/>
        <charset val="1"/>
      </rPr>
      <t>BAR</t>
    </r>
    <r>
      <rPr>
        <sz val="11"/>
        <color theme="1"/>
        <rFont val="Noto Sans SC"/>
        <charset val="134"/>
      </rPr>
      <t>等图标</t>
    </r>
  </si>
  <si>
    <r>
      <rPr>
        <sz val="11"/>
        <color theme="1"/>
        <rFont val="Noto Sans SC"/>
        <charset val="134"/>
      </rPr>
      <t xml:space="preserve">［配图 </t>
    </r>
    <r>
      <rPr>
        <sz val="11"/>
        <color theme="1"/>
        <rFont val="Calibri"/>
        <charset val="1"/>
      </rPr>
      <t>05</t>
    </r>
    <r>
      <rPr>
        <sz val="11"/>
        <color theme="1"/>
        <rFont val="Noto Sans SC"/>
        <charset val="134"/>
      </rPr>
      <t>］</t>
    </r>
    <r>
      <rPr>
        <sz val="11"/>
        <color theme="1"/>
        <rFont val="Calibri"/>
        <charset val="1"/>
      </rPr>
      <t>623535430-05.jpg</t>
    </r>
  </si>
  <si>
    <r>
      <rPr>
        <sz val="11"/>
        <color theme="1"/>
        <rFont val="Calibri"/>
        <charset val="1"/>
      </rPr>
      <t>Slot</t>
    </r>
    <r>
      <rPr>
        <sz val="11"/>
        <color theme="1"/>
        <rFont val="Noto Sans SC"/>
        <charset val="134"/>
      </rPr>
      <t>图标的设计并没有特别强硬的规定，一般在选择图标的时候主要考虑图标和主题的适应程度、玩家对图标的熟悉程度、不同赔付倍数图标之间是否区分清楚这三点</t>
    </r>
  </si>
  <si>
    <r>
      <rPr>
        <sz val="11"/>
        <color theme="1"/>
        <rFont val="Noto Sans SC"/>
        <charset val="134"/>
      </rPr>
      <t>例如线上产品</t>
    </r>
    <r>
      <rPr>
        <sz val="11"/>
        <color theme="1"/>
        <rFont val="Calibri"/>
        <charset val="1"/>
      </rPr>
      <t>Hot Rod Racers</t>
    </r>
    <r>
      <rPr>
        <sz val="11"/>
        <color theme="1"/>
        <rFont val="Noto Sans SC"/>
        <charset val="134"/>
      </rPr>
      <t>中就用没有边框的黑红梅方代表低额度图标，带边框的汽车图标作为高额赔付图标</t>
    </r>
  </si>
  <si>
    <t>并在在黑红梅方的设计上使用了比较多的直线条，使黑红梅方图标更适应赛车主题</t>
  </si>
  <si>
    <r>
      <rPr>
        <sz val="11"/>
        <color theme="1"/>
        <rFont val="Noto Sans SC"/>
        <charset val="134"/>
      </rPr>
      <t xml:space="preserve">［配图 </t>
    </r>
    <r>
      <rPr>
        <sz val="11"/>
        <color theme="1"/>
        <rFont val="Calibri"/>
        <charset val="1"/>
      </rPr>
      <t>06</t>
    </r>
    <r>
      <rPr>
        <sz val="11"/>
        <color theme="1"/>
        <rFont val="Noto Sans SC"/>
        <charset val="134"/>
      </rPr>
      <t>］</t>
    </r>
    <r>
      <rPr>
        <sz val="11"/>
        <color theme="1"/>
        <rFont val="Calibri"/>
        <charset val="1"/>
      </rPr>
      <t>623535430-06.jpg</t>
    </r>
  </si>
  <si>
    <t>操作区域</t>
  </si>
  <si>
    <r>
      <rPr>
        <sz val="11"/>
        <color theme="1"/>
        <rFont val="Noto Sans SC"/>
        <charset val="134"/>
      </rPr>
      <t xml:space="preserve">在线下产品中， </t>
    </r>
    <r>
      <rPr>
        <sz val="11"/>
        <color theme="1"/>
        <rFont val="Calibri"/>
        <charset val="1"/>
      </rPr>
      <t xml:space="preserve">Slot </t>
    </r>
    <r>
      <rPr>
        <sz val="11"/>
        <color theme="1"/>
        <rFont val="Noto Sans SC"/>
        <charset val="134"/>
      </rPr>
      <t xml:space="preserve">下方的一整排按钮就是 </t>
    </r>
    <r>
      <rPr>
        <sz val="11"/>
        <color theme="1"/>
        <rFont val="Calibri"/>
        <charset val="1"/>
      </rPr>
      <t xml:space="preserve">Slot </t>
    </r>
    <r>
      <rPr>
        <sz val="11"/>
        <color theme="1"/>
        <rFont val="Noto Sans SC"/>
        <charset val="134"/>
      </rPr>
      <t>的操作区域</t>
    </r>
  </si>
  <si>
    <r>
      <rPr>
        <sz val="11"/>
        <color theme="1"/>
        <rFont val="Noto Sans SC"/>
        <charset val="134"/>
      </rPr>
      <t>虽然</t>
    </r>
    <r>
      <rPr>
        <sz val="11"/>
        <color theme="1"/>
        <rFont val="Calibri"/>
        <charset val="1"/>
      </rPr>
      <t>Slot</t>
    </r>
    <r>
      <rPr>
        <sz val="11"/>
        <color theme="1"/>
        <rFont val="Noto Sans SC"/>
        <charset val="134"/>
      </rPr>
      <t>玩法比较简单，但是出于例如优化操作、持续游玩引导、引导下注等目的，操作按钮的功能范围已经远远不止开始摇奖这么简单</t>
    </r>
  </si>
  <si>
    <r>
      <rPr>
        <sz val="11"/>
        <color theme="1"/>
        <rFont val="Noto Sans SC"/>
        <charset val="134"/>
      </rPr>
      <t>以下图为例，最上方一排的按钮比较好理解，分别对应</t>
    </r>
    <r>
      <rPr>
        <sz val="11"/>
        <color theme="1"/>
        <rFont val="Calibri"/>
        <charset val="1"/>
      </rPr>
      <t>Slot</t>
    </r>
    <r>
      <rPr>
        <sz val="11"/>
        <color theme="1"/>
        <rFont val="Noto Sans SC"/>
        <charset val="134"/>
      </rPr>
      <t>玩法中的切换下注、选择最大下注额、提现和咨询客服四项功能，基本就是字面上的意思。下半部分则是比较老版本的多线老虎机的选择中奖线的按钮和选择每条线的下注额的按钮，这样的操作在时下比较流行的</t>
    </r>
    <r>
      <rPr>
        <sz val="11"/>
        <color theme="1"/>
        <rFont val="Calibri"/>
        <charset val="1"/>
      </rPr>
      <t>Slot</t>
    </r>
    <r>
      <rPr>
        <sz val="11"/>
        <color theme="1"/>
        <rFont val="Noto Sans SC"/>
        <charset val="134"/>
      </rPr>
      <t>产品中已经不太常见了，现在一般都采用多个档位自动计算好单线下注的方式，降低玩家的理解门槛</t>
    </r>
  </si>
  <si>
    <r>
      <rPr>
        <sz val="11"/>
        <color theme="1"/>
        <rFont val="Noto Sans SC"/>
        <charset val="134"/>
      </rPr>
      <t xml:space="preserve">［配图 </t>
    </r>
    <r>
      <rPr>
        <sz val="11"/>
        <color theme="1"/>
        <rFont val="Calibri"/>
        <charset val="1"/>
      </rPr>
      <t>07</t>
    </r>
    <r>
      <rPr>
        <sz val="11"/>
        <color theme="1"/>
        <rFont val="Noto Sans SC"/>
        <charset val="134"/>
      </rPr>
      <t>］</t>
    </r>
    <r>
      <rPr>
        <sz val="11"/>
        <color theme="1"/>
        <rFont val="Calibri"/>
        <charset val="1"/>
      </rPr>
      <t>623535430-07.jpg</t>
    </r>
  </si>
  <si>
    <r>
      <rPr>
        <sz val="11"/>
        <color theme="1"/>
        <rFont val="Noto Sans SC"/>
        <charset val="134"/>
      </rPr>
      <t>比较值得注意的是这里使用的是点一次切换一次下注档位的“</t>
    </r>
    <r>
      <rPr>
        <sz val="11"/>
        <color theme="1"/>
        <rFont val="Calibri"/>
        <charset val="1"/>
      </rPr>
      <t>BET ONE”</t>
    </r>
    <r>
      <rPr>
        <sz val="11"/>
        <color theme="1"/>
        <rFont val="Noto Sans SC"/>
        <charset val="134"/>
      </rPr>
      <t>按钮和直接选中最大下注额的“</t>
    </r>
    <r>
      <rPr>
        <sz val="11"/>
        <color theme="1"/>
        <rFont val="Calibri"/>
        <charset val="1"/>
      </rPr>
      <t>MAX BET”</t>
    </r>
    <r>
      <rPr>
        <sz val="11"/>
        <color theme="1"/>
        <rFont val="Noto Sans SC"/>
        <charset val="134"/>
      </rPr>
      <t>按钮，需要减少下注额的话需要连按</t>
    </r>
    <r>
      <rPr>
        <sz val="11"/>
        <color theme="1"/>
        <rFont val="Calibri"/>
        <charset val="1"/>
      </rPr>
      <t>Bet one</t>
    </r>
    <r>
      <rPr>
        <sz val="11"/>
        <color theme="1"/>
        <rFont val="Noto Sans SC"/>
        <charset val="134"/>
      </rPr>
      <t>按钮直至超过最大下注额才能再次回到最小下注额。这样设计的目的自然是为了引导玩家使用更大的下注额参与游戏</t>
    </r>
  </si>
  <si>
    <t>当前部分线上的产品也有类似的操作</t>
  </si>
  <si>
    <r>
      <rPr>
        <sz val="11"/>
        <color theme="1"/>
        <rFont val="Noto Sans SC"/>
        <charset val="134"/>
      </rPr>
      <t>因为线上</t>
    </r>
    <r>
      <rPr>
        <sz val="11"/>
        <color theme="1"/>
        <rFont val="Calibri"/>
        <charset val="1"/>
      </rPr>
      <t>Slot</t>
    </r>
    <r>
      <rPr>
        <sz val="11"/>
        <color theme="1"/>
        <rFont val="Noto Sans SC"/>
        <charset val="134"/>
      </rPr>
      <t>产品不再受限于操作空间的限制，可以设置相对更细的操作按钮，增加和减少下注额是当前线上产品的基本操作</t>
    </r>
  </si>
  <si>
    <t>部分产品为了引导玩家使用更大的下注，在点击最大下注额之后，继续增加下注额并不会回到最小下注额，而是弹出付费引导玩家充值解锁更高等级的下注额</t>
  </si>
  <si>
    <r>
      <rPr>
        <sz val="11"/>
        <color theme="1"/>
        <rFont val="Noto Sans SC"/>
        <charset val="134"/>
      </rPr>
      <t>这样的操作可能对付费的确有一定的提升作用，但是这样设计相当于玩家在解锁所有下注额前都不能自由切换下注额，如果不是对自己的用户留存和市场竞争力足够有自信的话，这样的设计还是建议谨慎使用，毕竟现在海外</t>
    </r>
    <r>
      <rPr>
        <sz val="11"/>
        <color theme="1"/>
        <rFont val="Calibri"/>
        <charset val="1"/>
      </rPr>
      <t>Slot</t>
    </r>
    <r>
      <rPr>
        <sz val="11"/>
        <color theme="1"/>
        <rFont val="Noto Sans SC"/>
        <charset val="134"/>
      </rPr>
      <t>市场大得很，玩家粘性比较有限</t>
    </r>
  </si>
  <si>
    <r>
      <rPr>
        <sz val="11"/>
        <color theme="1"/>
        <rFont val="Noto Sans SC"/>
        <charset val="134"/>
      </rPr>
      <t>除去操作功能外，线上</t>
    </r>
    <r>
      <rPr>
        <sz val="11"/>
        <color theme="1"/>
        <rFont val="Calibri"/>
        <charset val="1"/>
      </rPr>
      <t>Slot</t>
    </r>
    <r>
      <rPr>
        <sz val="11"/>
        <color theme="1"/>
        <rFont val="Noto Sans SC"/>
        <charset val="134"/>
      </rPr>
      <t>产品还得有部分系统功能，例如下图中上方的各个图标</t>
    </r>
  </si>
  <si>
    <r>
      <rPr>
        <sz val="11"/>
        <color theme="1"/>
        <rFont val="Noto Sans SC"/>
        <charset val="134"/>
      </rPr>
      <t>从左往右分别是大厅、玩家持有筹码、</t>
    </r>
    <r>
      <rPr>
        <sz val="11"/>
        <color theme="1"/>
        <rFont val="Calibri"/>
        <charset val="1"/>
      </rPr>
      <t>Bonus</t>
    </r>
    <r>
      <rPr>
        <sz val="11"/>
        <color theme="1"/>
        <rFont val="Noto Sans SC"/>
        <charset val="134"/>
      </rPr>
      <t>奖池、玩家等级和经验值以及系统设置</t>
    </r>
  </si>
  <si>
    <t>系统设置中大多是一些例如音效和震动功能的简单设置</t>
  </si>
  <si>
    <r>
      <rPr>
        <sz val="11"/>
        <color theme="1"/>
        <rFont val="Noto Sans SC"/>
        <charset val="134"/>
      </rPr>
      <t>由此不难看出，</t>
    </r>
    <r>
      <rPr>
        <sz val="11"/>
        <color theme="1"/>
        <rFont val="Calibri"/>
        <charset val="1"/>
      </rPr>
      <t>Slot</t>
    </r>
    <r>
      <rPr>
        <sz val="11"/>
        <color theme="1"/>
        <rFont val="Noto Sans SC"/>
        <charset val="134"/>
      </rPr>
      <t>移植到线上之后，除了玩法上的优化，在操作系统上也吸收了不少休闲游戏的优点</t>
    </r>
  </si>
  <si>
    <r>
      <rPr>
        <sz val="11"/>
        <color theme="1"/>
        <rFont val="Noto Sans SC"/>
        <charset val="134"/>
      </rPr>
      <t>在设计</t>
    </r>
    <r>
      <rPr>
        <sz val="11"/>
        <color theme="1"/>
        <rFont val="Calibri"/>
        <charset val="1"/>
      </rPr>
      <t>Slot</t>
    </r>
    <r>
      <rPr>
        <sz val="11"/>
        <color theme="1"/>
        <rFont val="Noto Sans SC"/>
        <charset val="134"/>
      </rPr>
      <t>产品的</t>
    </r>
    <r>
      <rPr>
        <sz val="11"/>
        <color theme="1"/>
        <rFont val="Calibri"/>
        <charset val="1"/>
      </rPr>
      <t>UI</t>
    </r>
    <r>
      <rPr>
        <sz val="11"/>
        <color theme="1"/>
        <rFont val="Noto Sans SC"/>
        <charset val="134"/>
      </rPr>
      <t>时不妨看看例如消消乐等休闲产品的</t>
    </r>
    <r>
      <rPr>
        <sz val="11"/>
        <color theme="1"/>
        <rFont val="Calibri"/>
        <charset val="1"/>
      </rPr>
      <t>UI</t>
    </r>
    <r>
      <rPr>
        <sz val="11"/>
        <color theme="1"/>
        <rFont val="Noto Sans SC"/>
        <charset val="134"/>
      </rPr>
      <t>设计，看看当前玩法的功能是否足够满足玩家对于一款流畅并且体验不错的手游的要求</t>
    </r>
  </si>
  <si>
    <r>
      <rPr>
        <sz val="11"/>
        <color theme="1"/>
        <rFont val="Noto Sans SC"/>
        <charset val="134"/>
      </rPr>
      <t xml:space="preserve">［配图 </t>
    </r>
    <r>
      <rPr>
        <sz val="11"/>
        <color theme="1"/>
        <rFont val="Calibri"/>
        <charset val="1"/>
      </rPr>
      <t>08</t>
    </r>
    <r>
      <rPr>
        <sz val="11"/>
        <color theme="1"/>
        <rFont val="Noto Sans SC"/>
        <charset val="134"/>
      </rPr>
      <t>］</t>
    </r>
    <r>
      <rPr>
        <sz val="11"/>
        <color theme="1"/>
        <rFont val="Calibri"/>
        <charset val="1"/>
      </rPr>
      <t>623535430-08.jpg</t>
    </r>
  </si>
  <si>
    <r>
      <rPr>
        <sz val="11"/>
        <color theme="1"/>
        <rFont val="Noto Sans SC"/>
        <charset val="134"/>
      </rPr>
      <t xml:space="preserve">赔付表 </t>
    </r>
    <r>
      <rPr>
        <sz val="11"/>
        <color theme="1"/>
        <rFont val="Calibri"/>
        <charset val="1"/>
      </rPr>
      <t>/ Paytable</t>
    </r>
  </si>
  <si>
    <r>
      <rPr>
        <sz val="11"/>
        <color theme="1"/>
        <rFont val="Calibri"/>
        <charset val="1"/>
      </rPr>
      <t xml:space="preserve"> Slot</t>
    </r>
    <r>
      <rPr>
        <sz val="11"/>
        <color theme="1"/>
        <rFont val="Noto Sans SC"/>
        <charset val="134"/>
      </rPr>
      <t xml:space="preserve">规则的主要构成部分，用来告诉玩家这款 </t>
    </r>
    <r>
      <rPr>
        <sz val="11"/>
        <color theme="1"/>
        <rFont val="Calibri"/>
        <charset val="1"/>
      </rPr>
      <t>Slot</t>
    </r>
    <r>
      <rPr>
        <sz val="11"/>
        <color theme="1"/>
        <rFont val="Noto Sans SC"/>
        <charset val="134"/>
      </rPr>
      <t>的图标赔付倍数</t>
    </r>
  </si>
  <si>
    <r>
      <rPr>
        <sz val="11"/>
        <color theme="1"/>
        <rFont val="Noto Sans SC"/>
        <charset val="134"/>
      </rPr>
      <t xml:space="preserve">赔付表并不存在于 </t>
    </r>
    <r>
      <rPr>
        <sz val="11"/>
        <color theme="1"/>
        <rFont val="Calibri"/>
        <charset val="1"/>
      </rPr>
      <t>Slot</t>
    </r>
    <r>
      <rPr>
        <sz val="11"/>
        <color theme="1"/>
        <rFont val="Noto Sans SC"/>
        <charset val="134"/>
      </rPr>
      <t xml:space="preserve">的主要游戏界面，一般写在 </t>
    </r>
    <r>
      <rPr>
        <sz val="11"/>
        <color theme="1"/>
        <rFont val="Calibri"/>
        <charset val="1"/>
      </rPr>
      <t>Slot</t>
    </r>
    <r>
      <rPr>
        <sz val="11"/>
        <color theme="1"/>
        <rFont val="Noto Sans SC"/>
        <charset val="134"/>
      </rPr>
      <t>的机身或其他屏幕上</t>
    </r>
  </si>
  <si>
    <r>
      <rPr>
        <sz val="11"/>
        <color theme="1"/>
        <rFont val="Noto Sans SC"/>
        <charset val="134"/>
      </rPr>
      <t xml:space="preserve">［配图 </t>
    </r>
    <r>
      <rPr>
        <sz val="11"/>
        <color theme="1"/>
        <rFont val="Calibri"/>
        <charset val="1"/>
      </rPr>
      <t>09</t>
    </r>
    <r>
      <rPr>
        <sz val="11"/>
        <color theme="1"/>
        <rFont val="Noto Sans SC"/>
        <charset val="134"/>
      </rPr>
      <t>］</t>
    </r>
    <r>
      <rPr>
        <sz val="11"/>
        <color theme="1"/>
        <rFont val="Calibri"/>
        <charset val="1"/>
      </rPr>
      <t>623535430-09.jpg</t>
    </r>
  </si>
  <si>
    <r>
      <rPr>
        <sz val="11"/>
        <color theme="1"/>
        <rFont val="Noto Sans SC"/>
        <charset val="134"/>
      </rPr>
      <t xml:space="preserve">转移到线上后，一般是由规则按钮打开 </t>
    </r>
    <r>
      <rPr>
        <sz val="11"/>
        <color theme="1"/>
        <rFont val="Calibri"/>
        <charset val="1"/>
      </rPr>
      <t>Slot</t>
    </r>
    <r>
      <rPr>
        <sz val="11"/>
        <color theme="1"/>
        <rFont val="Noto Sans SC"/>
        <charset val="134"/>
      </rPr>
      <t>的</t>
    </r>
    <r>
      <rPr>
        <sz val="11"/>
        <color theme="1"/>
        <rFont val="Calibri"/>
        <charset val="1"/>
      </rPr>
      <t>Paytable</t>
    </r>
  </si>
  <si>
    <r>
      <rPr>
        <sz val="11"/>
        <color theme="1"/>
        <rFont val="Noto Sans SC"/>
        <charset val="134"/>
      </rPr>
      <t>例如移动端常用带 “</t>
    </r>
    <r>
      <rPr>
        <sz val="11"/>
        <color theme="1"/>
        <rFont val="Calibri"/>
        <charset val="1"/>
      </rPr>
      <t xml:space="preserve">i” </t>
    </r>
    <r>
      <rPr>
        <sz val="11"/>
        <color theme="1"/>
        <rFont val="Noto Sans SC"/>
        <charset val="134"/>
      </rPr>
      <t>的按钮代表包含</t>
    </r>
    <r>
      <rPr>
        <sz val="11"/>
        <color theme="1"/>
        <rFont val="Calibri"/>
        <charset val="1"/>
      </rPr>
      <t>Paytable</t>
    </r>
    <r>
      <rPr>
        <sz val="11"/>
        <color theme="1"/>
        <rFont val="Noto Sans SC"/>
        <charset val="134"/>
      </rPr>
      <t>的游戏规则的开启按钮</t>
    </r>
  </si>
  <si>
    <r>
      <rPr>
        <sz val="11"/>
        <color theme="1"/>
        <rFont val="Noto Sans SC"/>
        <charset val="134"/>
      </rPr>
      <t xml:space="preserve">［配图 </t>
    </r>
    <r>
      <rPr>
        <sz val="11"/>
        <color theme="1"/>
        <rFont val="Calibri"/>
        <charset val="1"/>
      </rPr>
      <t>10</t>
    </r>
    <r>
      <rPr>
        <sz val="11"/>
        <color theme="1"/>
        <rFont val="Noto Sans SC"/>
        <charset val="134"/>
      </rPr>
      <t>］</t>
    </r>
    <r>
      <rPr>
        <sz val="11"/>
        <color theme="1"/>
        <rFont val="Calibri"/>
        <charset val="1"/>
      </rPr>
      <t>623535430-10.jpg</t>
    </r>
  </si>
  <si>
    <r>
      <rPr>
        <sz val="11"/>
        <color theme="1"/>
        <rFont val="Calibri"/>
        <charset val="1"/>
      </rPr>
      <t>Paytable</t>
    </r>
    <r>
      <rPr>
        <sz val="11"/>
        <color theme="1"/>
        <rFont val="Noto Sans SC"/>
        <charset val="134"/>
      </rPr>
      <t xml:space="preserve">的重点是要展示该 </t>
    </r>
    <r>
      <rPr>
        <sz val="11"/>
        <color theme="1"/>
        <rFont val="Calibri"/>
        <charset val="1"/>
      </rPr>
      <t>Slot</t>
    </r>
    <r>
      <rPr>
        <sz val="11"/>
        <color theme="1"/>
        <rFont val="Noto Sans SC"/>
        <charset val="134"/>
      </rPr>
      <t>的中奖组合和赔付倍数</t>
    </r>
  </si>
  <si>
    <t>每个中奖组合都对应一个赔付倍数</t>
  </si>
  <si>
    <t>在结算时，依据玩家的中奖组合找到对应的赔付倍数</t>
  </si>
  <si>
    <r>
      <rPr>
        <sz val="11"/>
        <color theme="1"/>
        <rFont val="Noto Sans SC"/>
        <charset val="134"/>
      </rPr>
      <t xml:space="preserve">当完成卷轴、图标、操作区域和赔付表的设计后，一个 </t>
    </r>
    <r>
      <rPr>
        <sz val="11"/>
        <color theme="1"/>
        <rFont val="Calibri"/>
        <charset val="1"/>
      </rPr>
      <t>Slot</t>
    </r>
    <r>
      <rPr>
        <sz val="11"/>
        <color theme="1"/>
        <rFont val="Noto Sans SC"/>
        <charset val="134"/>
      </rPr>
      <t>的基础模型就设计完成了</t>
    </r>
  </si>
  <si>
    <t>其他元素</t>
  </si>
  <si>
    <r>
      <rPr>
        <sz val="11"/>
        <color theme="1"/>
        <rFont val="Noto Sans SC"/>
        <charset val="134"/>
      </rPr>
      <t xml:space="preserve">除去 </t>
    </r>
    <r>
      <rPr>
        <sz val="11"/>
        <color theme="1"/>
        <rFont val="Calibri"/>
        <charset val="1"/>
      </rPr>
      <t>Slot</t>
    </r>
    <r>
      <rPr>
        <sz val="11"/>
        <color theme="1"/>
        <rFont val="Noto Sans SC"/>
        <charset val="134"/>
      </rPr>
      <t xml:space="preserve">的基础功能，还能够添加部分辅助功能提升 </t>
    </r>
    <r>
      <rPr>
        <sz val="11"/>
        <color theme="1"/>
        <rFont val="Calibri"/>
        <charset val="1"/>
      </rPr>
      <t>Slot</t>
    </r>
    <r>
      <rPr>
        <sz val="11"/>
        <color theme="1"/>
        <rFont val="Noto Sans SC"/>
        <charset val="134"/>
      </rPr>
      <t>的操作体验，常用的有：</t>
    </r>
  </si>
  <si>
    <r>
      <rPr>
        <sz val="11"/>
        <color theme="1"/>
        <rFont val="Noto Sans SC"/>
        <charset val="134"/>
      </rPr>
      <t xml:space="preserve">自动摇 </t>
    </r>
    <r>
      <rPr>
        <sz val="11"/>
        <color theme="1"/>
        <rFont val="Calibri"/>
        <charset val="1"/>
      </rPr>
      <t>/ Autoplay</t>
    </r>
  </si>
  <si>
    <t>自动摇可以理解为系统帮玩家自动执行普通摇奖，本质上还是普通摇</t>
  </si>
  <si>
    <t>玩家选中指定的摇奖局数后，就可以开始摇奖</t>
  </si>
  <si>
    <r>
      <rPr>
        <sz val="11"/>
        <color theme="1"/>
        <rFont val="Noto Sans SC"/>
        <charset val="134"/>
      </rPr>
      <t xml:space="preserve">［配图 </t>
    </r>
    <r>
      <rPr>
        <sz val="11"/>
        <color theme="1"/>
        <rFont val="Calibri"/>
        <charset val="1"/>
      </rPr>
      <t>11</t>
    </r>
    <r>
      <rPr>
        <sz val="11"/>
        <color theme="1"/>
        <rFont val="Noto Sans SC"/>
        <charset val="134"/>
      </rPr>
      <t>］</t>
    </r>
    <r>
      <rPr>
        <sz val="11"/>
        <color theme="1"/>
        <rFont val="Calibri"/>
        <charset val="1"/>
      </rPr>
      <t>623535430-11.jpg</t>
    </r>
  </si>
  <si>
    <t>开始摇奖后，自动摇奖或者操作按钮上一般会展示剩余的摇奖次数</t>
  </si>
  <si>
    <r>
      <rPr>
        <sz val="11"/>
        <color theme="1"/>
        <rFont val="Noto Sans SC"/>
        <charset val="134"/>
      </rPr>
      <t xml:space="preserve">为了适应更多玩家的要求，部分 </t>
    </r>
    <r>
      <rPr>
        <sz val="11"/>
        <color theme="1"/>
        <rFont val="Calibri"/>
        <charset val="1"/>
      </rPr>
      <t xml:space="preserve">Slot </t>
    </r>
    <r>
      <rPr>
        <sz val="11"/>
        <color theme="1"/>
        <rFont val="Noto Sans SC"/>
        <charset val="134"/>
      </rPr>
      <t>还可以设置次数之外的自动摇奖停止阈值。常见的有触发特殊模式停止、止损停止、止盈停止</t>
    </r>
  </si>
  <si>
    <r>
      <rPr>
        <sz val="11"/>
        <color theme="1"/>
        <rFont val="Noto Sans SC"/>
        <charset val="134"/>
      </rPr>
      <t xml:space="preserve">线上的 </t>
    </r>
    <r>
      <rPr>
        <sz val="11"/>
        <color theme="1"/>
        <rFont val="Calibri"/>
        <charset val="1"/>
      </rPr>
      <t xml:space="preserve">Slot </t>
    </r>
    <r>
      <rPr>
        <sz val="11"/>
        <color theme="1"/>
        <rFont val="Noto Sans SC"/>
        <charset val="134"/>
      </rPr>
      <t>产品在这方面的设定一般比移动端的产品要复杂得多</t>
    </r>
  </si>
  <si>
    <t>是否需要该功能还是要以玩法的定位进行区分</t>
  </si>
  <si>
    <t>Feature</t>
  </si>
  <si>
    <r>
      <rPr>
        <sz val="11"/>
        <color theme="1"/>
        <rFont val="Calibri"/>
        <charset val="1"/>
      </rPr>
      <t>Features</t>
    </r>
    <r>
      <rPr>
        <sz val="11"/>
        <color theme="1"/>
        <rFont val="Noto Sans SC"/>
        <charset val="134"/>
      </rPr>
      <t xml:space="preserve">在 </t>
    </r>
    <r>
      <rPr>
        <sz val="11"/>
        <color theme="1"/>
        <rFont val="Calibri"/>
        <charset val="1"/>
      </rPr>
      <t xml:space="preserve">Slot </t>
    </r>
    <r>
      <rPr>
        <sz val="11"/>
        <color theme="1"/>
        <rFont val="Noto Sans SC"/>
        <charset val="134"/>
      </rPr>
      <t>产品中是一个很宽泛的概念，普通摇之外的所有游戏内容都可算到</t>
    </r>
    <r>
      <rPr>
        <sz val="11"/>
        <color theme="1"/>
        <rFont val="Calibri"/>
        <charset val="1"/>
      </rPr>
      <t>Feature</t>
    </r>
    <r>
      <rPr>
        <sz val="11"/>
        <color theme="1"/>
        <rFont val="Noto Sans SC"/>
        <charset val="134"/>
      </rPr>
      <t xml:space="preserve">中，属于 </t>
    </r>
    <r>
      <rPr>
        <sz val="11"/>
        <color theme="1"/>
        <rFont val="Calibri"/>
        <charset val="1"/>
      </rPr>
      <t xml:space="preserve">Slot </t>
    </r>
    <r>
      <rPr>
        <sz val="11"/>
        <color theme="1"/>
        <rFont val="Noto Sans SC"/>
        <charset val="134"/>
      </rPr>
      <t>的附加设计</t>
    </r>
  </si>
  <si>
    <r>
      <rPr>
        <sz val="11"/>
        <color theme="1"/>
        <rFont val="Noto Sans SC"/>
        <charset val="134"/>
      </rPr>
      <t>常见的有</t>
    </r>
    <r>
      <rPr>
        <sz val="11"/>
        <color theme="1"/>
        <rFont val="Calibri"/>
        <charset val="1"/>
      </rPr>
      <t>Wild</t>
    </r>
    <r>
      <rPr>
        <sz val="11"/>
        <color theme="1"/>
        <rFont val="Noto Sans SC"/>
        <charset val="134"/>
      </rPr>
      <t>、</t>
    </r>
    <r>
      <rPr>
        <sz val="11"/>
        <color theme="1"/>
        <rFont val="Calibri"/>
        <charset val="1"/>
      </rPr>
      <t>Feature Game</t>
    </r>
    <r>
      <rPr>
        <sz val="11"/>
        <color theme="1"/>
        <rFont val="Noto Sans SC"/>
        <charset val="134"/>
      </rPr>
      <t>、</t>
    </r>
    <r>
      <rPr>
        <sz val="11"/>
        <color theme="1"/>
        <rFont val="Calibri"/>
        <charset val="1"/>
      </rPr>
      <t>Jackpot</t>
    </r>
    <r>
      <rPr>
        <sz val="11"/>
        <color theme="1"/>
        <rFont val="Noto Sans SC"/>
        <charset val="134"/>
      </rPr>
      <t>等</t>
    </r>
  </si>
  <si>
    <r>
      <rPr>
        <sz val="11"/>
        <color theme="1"/>
        <rFont val="Calibri"/>
        <charset val="1"/>
      </rPr>
      <t>Features</t>
    </r>
    <r>
      <rPr>
        <sz val="11"/>
        <color theme="1"/>
        <rFont val="Noto Sans SC"/>
        <charset val="134"/>
      </rPr>
      <t xml:space="preserve">的设计让 </t>
    </r>
    <r>
      <rPr>
        <sz val="11"/>
        <color theme="1"/>
        <rFont val="Calibri"/>
        <charset val="1"/>
      </rPr>
      <t xml:space="preserve">Slot </t>
    </r>
    <r>
      <rPr>
        <sz val="11"/>
        <color theme="1"/>
        <rFont val="Noto Sans SC"/>
        <charset val="134"/>
      </rPr>
      <t>玩法有了更多的可能性，不仅是趣味性上的提升，在博弈性上也创造出了基础摇奖无法覆盖的部分</t>
    </r>
  </si>
  <si>
    <r>
      <rPr>
        <sz val="11"/>
        <color theme="1"/>
        <rFont val="Noto Sans SC"/>
        <charset val="134"/>
      </rPr>
      <t>当然</t>
    </r>
    <r>
      <rPr>
        <sz val="11"/>
        <color theme="1"/>
        <rFont val="Calibri"/>
        <charset val="1"/>
      </rPr>
      <t>Feature</t>
    </r>
    <r>
      <rPr>
        <sz val="11"/>
        <color theme="1"/>
        <rFont val="Noto Sans SC"/>
        <charset val="134"/>
      </rPr>
      <t xml:space="preserve">并不是 </t>
    </r>
    <r>
      <rPr>
        <sz val="11"/>
        <color theme="1"/>
        <rFont val="Calibri"/>
        <charset val="1"/>
      </rPr>
      <t xml:space="preserve">Slot </t>
    </r>
    <r>
      <rPr>
        <sz val="11"/>
        <color theme="1"/>
        <rFont val="Noto Sans SC"/>
        <charset val="134"/>
      </rPr>
      <t>的必要部分，在设计时不包含</t>
    </r>
    <r>
      <rPr>
        <sz val="11"/>
        <color theme="1"/>
        <rFont val="Calibri"/>
        <charset val="1"/>
      </rPr>
      <t>Feature</t>
    </r>
    <r>
      <rPr>
        <sz val="11"/>
        <color theme="1"/>
        <rFont val="Noto Sans SC"/>
        <charset val="134"/>
      </rPr>
      <t>也是完全可行的</t>
    </r>
  </si>
  <si>
    <r>
      <rPr>
        <sz val="11"/>
        <color theme="1"/>
        <rFont val="Calibri"/>
        <charset val="1"/>
      </rPr>
      <t>Feature——</t>
    </r>
    <r>
      <rPr>
        <sz val="11"/>
        <color theme="1"/>
        <rFont val="Noto Sans SC"/>
        <charset val="134"/>
      </rPr>
      <t xml:space="preserve">百搭 </t>
    </r>
    <r>
      <rPr>
        <sz val="11"/>
        <color theme="1"/>
        <rFont val="Calibri"/>
        <charset val="1"/>
      </rPr>
      <t>/ Wild</t>
    </r>
  </si>
  <si>
    <r>
      <rPr>
        <sz val="11"/>
        <color theme="1"/>
        <rFont val="Noto Sans SC"/>
        <charset val="134"/>
      </rPr>
      <t xml:space="preserve">在 </t>
    </r>
    <r>
      <rPr>
        <sz val="11"/>
        <color theme="1"/>
        <rFont val="Calibri"/>
        <charset val="1"/>
      </rPr>
      <t xml:space="preserve">Slot </t>
    </r>
    <r>
      <rPr>
        <sz val="11"/>
        <color theme="1"/>
        <rFont val="Noto Sans SC"/>
        <charset val="134"/>
      </rPr>
      <t>产品中经常能看到带有</t>
    </r>
    <r>
      <rPr>
        <sz val="11"/>
        <color theme="1"/>
        <rFont val="Calibri"/>
        <charset val="1"/>
      </rPr>
      <t>Wild</t>
    </r>
    <r>
      <rPr>
        <sz val="11"/>
        <color theme="1"/>
        <rFont val="Noto Sans SC"/>
        <charset val="134"/>
      </rPr>
      <t>或</t>
    </r>
    <r>
      <rPr>
        <sz val="11"/>
        <color theme="1"/>
        <rFont val="Calibri"/>
        <charset val="1"/>
      </rPr>
      <t>W</t>
    </r>
    <r>
      <rPr>
        <sz val="11"/>
        <color theme="1"/>
        <rFont val="Noto Sans SC"/>
        <charset val="134"/>
      </rPr>
      <t xml:space="preserve">字样的图标，这些图标就是 </t>
    </r>
    <r>
      <rPr>
        <sz val="11"/>
        <color theme="1"/>
        <rFont val="Calibri"/>
        <charset val="1"/>
      </rPr>
      <t xml:space="preserve">Slot </t>
    </r>
    <r>
      <rPr>
        <sz val="11"/>
        <color theme="1"/>
        <rFont val="Noto Sans SC"/>
        <charset val="134"/>
      </rPr>
      <t>中的百搭图标</t>
    </r>
  </si>
  <si>
    <r>
      <rPr>
        <sz val="11"/>
        <color theme="1"/>
        <rFont val="Noto Sans SC"/>
        <charset val="134"/>
      </rPr>
      <t xml:space="preserve">［配图 </t>
    </r>
    <r>
      <rPr>
        <sz val="11"/>
        <color theme="1"/>
        <rFont val="Calibri"/>
        <charset val="1"/>
      </rPr>
      <t>12</t>
    </r>
    <r>
      <rPr>
        <sz val="11"/>
        <color theme="1"/>
        <rFont val="Noto Sans SC"/>
        <charset val="134"/>
      </rPr>
      <t>］</t>
    </r>
    <r>
      <rPr>
        <sz val="11"/>
        <color theme="1"/>
        <rFont val="Calibri"/>
        <charset val="1"/>
      </rPr>
      <t>623535430-12.jpg</t>
    </r>
  </si>
  <si>
    <t>百搭图标在摇奖过程中能够被视为任意其他图标参与中奖连线</t>
  </si>
  <si>
    <t>加入百搭图标，降低了玩家中奖的难度</t>
  </si>
  <si>
    <r>
      <rPr>
        <sz val="11"/>
        <color theme="1"/>
        <rFont val="Noto Sans SC"/>
        <charset val="134"/>
      </rPr>
      <t>例如上图中，按照</t>
    </r>
    <r>
      <rPr>
        <sz val="11"/>
        <color theme="1"/>
        <rFont val="Calibri"/>
        <charset val="1"/>
      </rPr>
      <t>3*5</t>
    </r>
    <r>
      <rPr>
        <sz val="11"/>
        <color theme="1"/>
        <rFont val="Noto Sans SC"/>
        <charset val="134"/>
      </rPr>
      <t>常见中奖条件，图标</t>
    </r>
    <r>
      <rPr>
        <sz val="11"/>
        <color theme="1"/>
        <rFont val="Calibri"/>
        <charset val="1"/>
      </rPr>
      <t>A</t>
    </r>
    <r>
      <rPr>
        <sz val="11"/>
        <color theme="1"/>
        <rFont val="Noto Sans SC"/>
        <charset val="134"/>
      </rPr>
      <t xml:space="preserve">并没有满足从第一列开始连续出现在大于等于 </t>
    </r>
    <r>
      <rPr>
        <sz val="11"/>
        <color theme="1"/>
        <rFont val="Calibri"/>
        <charset val="1"/>
      </rPr>
      <t xml:space="preserve">3 </t>
    </r>
    <r>
      <rPr>
        <sz val="11"/>
        <color theme="1"/>
        <rFont val="Noto Sans SC"/>
        <charset val="134"/>
      </rPr>
      <t>列中</t>
    </r>
  </si>
  <si>
    <r>
      <rPr>
        <sz val="11"/>
        <color theme="1"/>
        <rFont val="Noto Sans SC"/>
        <charset val="134"/>
      </rPr>
      <t>但是由于第二列出现了</t>
    </r>
    <r>
      <rPr>
        <sz val="11"/>
        <color theme="1"/>
        <rFont val="Calibri"/>
        <charset val="1"/>
      </rPr>
      <t>Wild</t>
    </r>
    <r>
      <rPr>
        <sz val="11"/>
        <color theme="1"/>
        <rFont val="Noto Sans SC"/>
        <charset val="134"/>
      </rPr>
      <t>图标，因此玩家本局可以获得</t>
    </r>
    <r>
      <rPr>
        <sz val="11"/>
        <color theme="1"/>
        <rFont val="Calibri"/>
        <charset val="1"/>
      </rPr>
      <t>A</t>
    </r>
    <r>
      <rPr>
        <sz val="11"/>
        <color theme="1"/>
        <rFont val="Noto Sans SC"/>
        <charset val="134"/>
      </rPr>
      <t>图标三连对应倍数的奖励</t>
    </r>
  </si>
  <si>
    <r>
      <rPr>
        <sz val="11"/>
        <color theme="1"/>
        <rFont val="Noto Sans SC"/>
        <charset val="134"/>
      </rPr>
      <t>当然是否中奖还和玩法的</t>
    </r>
    <r>
      <rPr>
        <sz val="11"/>
        <color theme="1"/>
        <rFont val="Calibri"/>
        <charset val="1"/>
      </rPr>
      <t>Pay lines</t>
    </r>
    <r>
      <rPr>
        <sz val="11"/>
        <color theme="1"/>
        <rFont val="Noto Sans SC"/>
        <charset val="134"/>
      </rPr>
      <t>相关，但是</t>
    </r>
    <r>
      <rPr>
        <sz val="11"/>
        <color theme="1"/>
        <rFont val="Calibri"/>
        <charset val="1"/>
      </rPr>
      <t>Wild</t>
    </r>
    <r>
      <rPr>
        <sz val="11"/>
        <color theme="1"/>
        <rFont val="Noto Sans SC"/>
        <charset val="134"/>
      </rPr>
      <t>的出现的确增加了中奖的可能性</t>
    </r>
  </si>
  <si>
    <r>
      <rPr>
        <sz val="11"/>
        <color theme="1"/>
        <rFont val="Noto Sans SC"/>
        <charset val="134"/>
      </rPr>
      <t xml:space="preserve">特殊模式 </t>
    </r>
    <r>
      <rPr>
        <sz val="11"/>
        <color theme="1"/>
        <rFont val="Calibri"/>
        <charset val="1"/>
      </rPr>
      <t>/ Feature Game</t>
    </r>
  </si>
  <si>
    <r>
      <rPr>
        <sz val="11"/>
        <color theme="1"/>
        <rFont val="Calibri"/>
        <charset val="1"/>
      </rPr>
      <t>Feature Game</t>
    </r>
    <r>
      <rPr>
        <sz val="11"/>
        <color theme="1"/>
        <rFont val="Noto Sans SC"/>
        <charset val="134"/>
      </rPr>
      <t>是相较于</t>
    </r>
    <r>
      <rPr>
        <sz val="11"/>
        <color theme="1"/>
        <rFont val="Calibri"/>
        <charset val="1"/>
      </rPr>
      <t>Normal Spin</t>
    </r>
    <r>
      <rPr>
        <sz val="11"/>
        <color theme="1"/>
        <rFont val="Noto Sans SC"/>
        <charset val="134"/>
      </rPr>
      <t>的概念，指普通摇奖之外的游戏模式</t>
    </r>
  </si>
  <si>
    <r>
      <rPr>
        <sz val="11"/>
        <color theme="1"/>
        <rFont val="Noto Sans SC"/>
        <charset val="134"/>
      </rPr>
      <t>常见的</t>
    </r>
    <r>
      <rPr>
        <sz val="11"/>
        <color theme="1"/>
        <rFont val="Calibri"/>
        <charset val="1"/>
      </rPr>
      <t>Feature Game</t>
    </r>
    <r>
      <rPr>
        <sz val="11"/>
        <color theme="1"/>
        <rFont val="Noto Sans SC"/>
        <charset val="134"/>
      </rPr>
      <t>都以免费摇</t>
    </r>
    <r>
      <rPr>
        <sz val="11"/>
        <color theme="1"/>
        <rFont val="Calibri"/>
        <charset val="1"/>
      </rPr>
      <t>/Free Spin</t>
    </r>
    <r>
      <rPr>
        <sz val="11"/>
        <color theme="1"/>
        <rFont val="Noto Sans SC"/>
        <charset val="134"/>
      </rPr>
      <t>作为基础进行设计</t>
    </r>
  </si>
  <si>
    <t>免费摇是指无需消耗筹码的摇奖，一般都次数有限</t>
  </si>
  <si>
    <r>
      <rPr>
        <sz val="11"/>
        <color theme="1"/>
        <rFont val="Noto Sans SC"/>
        <charset val="134"/>
      </rPr>
      <t xml:space="preserve">［配图 </t>
    </r>
    <r>
      <rPr>
        <sz val="11"/>
        <color theme="1"/>
        <rFont val="Calibri"/>
        <charset val="1"/>
      </rPr>
      <t>13</t>
    </r>
    <r>
      <rPr>
        <sz val="11"/>
        <color theme="1"/>
        <rFont val="Noto Sans SC"/>
        <charset val="134"/>
      </rPr>
      <t>］</t>
    </r>
    <r>
      <rPr>
        <sz val="11"/>
        <color theme="1"/>
        <rFont val="Calibri"/>
        <charset val="1"/>
      </rPr>
      <t>623535430-13.jpg</t>
    </r>
  </si>
  <si>
    <t>基础的免费摇只是单纯不消耗玩家筹码</t>
  </si>
  <si>
    <t>无需投入，但有几率获得回报得机制让免费摇的收益明显高于普通摇</t>
  </si>
  <si>
    <r>
      <rPr>
        <sz val="11"/>
        <color theme="1"/>
        <rFont val="Noto Sans SC"/>
        <charset val="134"/>
      </rPr>
      <t>在基础免费摇上还可以添加其他</t>
    </r>
    <r>
      <rPr>
        <sz val="11"/>
        <color theme="1"/>
        <rFont val="Calibri"/>
        <charset val="1"/>
      </rPr>
      <t>Feature</t>
    </r>
    <r>
      <rPr>
        <sz val="11"/>
        <color theme="1"/>
        <rFont val="Noto Sans SC"/>
        <charset val="134"/>
      </rPr>
      <t>，例如更容易出现指定图标、不会出现低额度赔付图标、粘性图标、</t>
    </r>
    <r>
      <rPr>
        <sz val="11"/>
        <color theme="1"/>
        <rFont val="Calibri"/>
        <charset val="1"/>
      </rPr>
      <t>Hold &amp; Spin</t>
    </r>
    <r>
      <rPr>
        <sz val="11"/>
        <color theme="1"/>
        <rFont val="Noto Sans SC"/>
        <charset val="134"/>
      </rPr>
      <t>、</t>
    </r>
    <r>
      <rPr>
        <sz val="11"/>
        <color theme="1"/>
        <rFont val="Calibri"/>
        <charset val="1"/>
      </rPr>
      <t>Mega Symbols</t>
    </r>
    <r>
      <rPr>
        <sz val="11"/>
        <color theme="1"/>
        <rFont val="Noto Sans SC"/>
        <charset val="134"/>
      </rPr>
      <t>、</t>
    </r>
    <r>
      <rPr>
        <sz val="11"/>
        <color theme="1"/>
        <rFont val="Calibri"/>
        <charset val="1"/>
      </rPr>
      <t>Splitting Symbols</t>
    </r>
    <r>
      <rPr>
        <sz val="11"/>
        <color theme="1"/>
        <rFont val="Noto Sans SC"/>
        <charset val="134"/>
      </rPr>
      <t>等等</t>
    </r>
  </si>
  <si>
    <r>
      <rPr>
        <sz val="11"/>
        <color theme="1"/>
        <rFont val="Noto Sans SC"/>
        <charset val="134"/>
      </rPr>
      <t>无论</t>
    </r>
    <r>
      <rPr>
        <sz val="11"/>
        <color theme="1"/>
        <rFont val="Calibri"/>
        <charset val="1"/>
      </rPr>
      <t>Feature Game</t>
    </r>
    <r>
      <rPr>
        <sz val="11"/>
        <color theme="1"/>
        <rFont val="Noto Sans SC"/>
        <charset val="134"/>
      </rPr>
      <t>中具体的机制如何设计，都需要注意其与普通摇之间的区别</t>
    </r>
  </si>
  <si>
    <r>
      <rPr>
        <sz val="11"/>
        <color theme="1"/>
        <rFont val="Noto Sans SC"/>
        <charset val="134"/>
      </rPr>
      <t>触发时的响铃提示、特殊的结算动画、游戏背景的调整等画面设计都需要突出</t>
    </r>
    <r>
      <rPr>
        <sz val="11"/>
        <color theme="1"/>
        <rFont val="Calibri"/>
        <charset val="1"/>
      </rPr>
      <t>Feature Game</t>
    </r>
    <r>
      <rPr>
        <sz val="11"/>
        <color theme="1"/>
        <rFont val="Noto Sans SC"/>
        <charset val="134"/>
      </rPr>
      <t>与</t>
    </r>
    <r>
      <rPr>
        <sz val="11"/>
        <color theme="1"/>
        <rFont val="Calibri"/>
        <charset val="1"/>
      </rPr>
      <t>Normal Game</t>
    </r>
    <r>
      <rPr>
        <sz val="11"/>
        <color theme="1"/>
        <rFont val="Noto Sans SC"/>
        <charset val="134"/>
      </rPr>
      <t>之间的区别</t>
    </r>
  </si>
  <si>
    <r>
      <rPr>
        <b/>
        <sz val="11"/>
        <color rgb="FF1F4E79"/>
        <rFont val="Noto Sans SC"/>
        <charset val="134"/>
      </rPr>
      <t xml:space="preserve">原文配图清单（共 </t>
    </r>
    <r>
      <rPr>
        <b/>
        <sz val="11"/>
        <color rgb="FF1F4E79"/>
        <rFont val="Cambria"/>
        <charset val="1"/>
      </rPr>
      <t xml:space="preserve">13 </t>
    </r>
    <r>
      <rPr>
        <b/>
        <sz val="11"/>
        <color rgb="FF1F4E79"/>
        <rFont val="Noto Sans SC"/>
        <charset val="134"/>
      </rPr>
      <t xml:space="preserve">张，已保存到 </t>
    </r>
    <r>
      <rPr>
        <b/>
        <sz val="11"/>
        <color rgb="FF1F4E79"/>
        <rFont val="Cambria"/>
        <charset val="1"/>
      </rPr>
      <t>images/slots/</t>
    </r>
    <r>
      <rPr>
        <b/>
        <sz val="11"/>
        <color rgb="FF1F4E79"/>
        <rFont val="Noto Sans SC"/>
        <charset val="134"/>
      </rPr>
      <t>）</t>
    </r>
  </si>
  <si>
    <r>
      <rPr>
        <b/>
        <sz val="11"/>
        <color rgb="FF1F4E79"/>
        <rFont val="Noto Sans SC"/>
        <charset val="134"/>
      </rPr>
      <t>修订说明（</t>
    </r>
    <r>
      <rPr>
        <b/>
        <sz val="11"/>
        <color rgb="FF1F4E79"/>
        <rFont val="Cambria"/>
        <charset val="1"/>
      </rPr>
      <t>2026-09-29</t>
    </r>
    <r>
      <rPr>
        <b/>
        <sz val="11"/>
        <color rgb="FF1F4E79"/>
        <rFont val="Noto Sans SC"/>
        <charset val="134"/>
      </rPr>
      <t>）</t>
    </r>
  </si>
  <si>
    <r>
      <rPr>
        <sz val="11"/>
        <color theme="1"/>
        <rFont val="Calibri"/>
        <charset val="1"/>
      </rPr>
      <t xml:space="preserve">· </t>
    </r>
    <r>
      <rPr>
        <sz val="11"/>
        <color theme="1"/>
        <rFont val="Noto Sans SC"/>
        <charset val="134"/>
      </rPr>
      <t>原文网页原件（浏览器「另存为 → 网页，全部」）已取得，故补入全文与配图清单；</t>
    </r>
  </si>
  <si>
    <r>
      <rPr>
        <sz val="11"/>
        <color theme="1"/>
        <rFont val="Calibri"/>
        <charset val="1"/>
      </rPr>
      <t xml:space="preserve">· </t>
    </r>
    <r>
      <rPr>
        <sz val="11"/>
        <color theme="1"/>
        <rFont val="Noto Sans SC"/>
        <charset val="134"/>
      </rPr>
      <t xml:space="preserve">本簿页签 </t>
    </r>
    <r>
      <rPr>
        <sz val="11"/>
        <color theme="1"/>
        <rFont val="Calibri"/>
        <charset val="1"/>
      </rPr>
      <t xml:space="preserve">2 </t>
    </r>
    <r>
      <rPr>
        <sz val="11"/>
        <color theme="1"/>
        <rFont val="Noto Sans SC"/>
        <charset val="134"/>
      </rPr>
      <t>的配表为依据原文方法</t>
    </r>
    <r>
      <rPr>
        <sz val="11"/>
        <color theme="1"/>
        <rFont val="Calibri"/>
        <charset val="1"/>
      </rPr>
      <t>/</t>
    </r>
    <r>
      <rPr>
        <sz val="11"/>
        <color theme="1"/>
        <rFont val="Noto Sans SC"/>
        <charset val="134"/>
      </rPr>
      <t>示例搭成的可改参数表（原文给出数值的部分见配表自检区）。</t>
    </r>
  </si>
  <si>
    <r>
      <rPr>
        <b/>
        <sz val="14"/>
        <color rgb="FF1F4E79"/>
        <rFont val="Noto Sans SC"/>
        <charset val="134"/>
      </rPr>
      <t xml:space="preserve">基础篇 </t>
    </r>
    <r>
      <rPr>
        <b/>
        <sz val="14"/>
        <color rgb="FF1F4E79"/>
        <rFont val="Cambria"/>
        <charset val="1"/>
      </rPr>
      <t xml:space="preserve">· 3*5 Line Slot </t>
    </r>
    <r>
      <rPr>
        <b/>
        <sz val="14"/>
        <color rgb="FF1F4E79"/>
        <rFont val="Noto Sans SC"/>
        <charset val="134"/>
      </rPr>
      <t xml:space="preserve">的数据配表（蓝字＝可改配置 </t>
    </r>
    <r>
      <rPr>
        <b/>
        <sz val="14"/>
        <color rgb="FF1F4E79"/>
        <rFont val="Cambria"/>
        <charset val="1"/>
      </rPr>
      <t xml:space="preserve">/ </t>
    </r>
    <r>
      <rPr>
        <b/>
        <sz val="14"/>
        <color rgb="FF1F4E79"/>
        <rFont val="Noto Sans SC"/>
        <charset val="134"/>
      </rPr>
      <t xml:space="preserve">黑字＝公式 </t>
    </r>
    <r>
      <rPr>
        <b/>
        <sz val="14"/>
        <color rgb="FF1F4E79"/>
        <rFont val="Cambria"/>
        <charset val="1"/>
      </rPr>
      <t xml:space="preserve">/ </t>
    </r>
    <r>
      <rPr>
        <b/>
        <sz val="14"/>
        <color rgb="FF1F4E79"/>
        <rFont val="Noto Sans SC"/>
        <charset val="134"/>
      </rPr>
      <t>黄底＝结果）</t>
    </r>
  </si>
  <si>
    <r>
      <rPr>
        <b/>
        <sz val="11"/>
        <color rgb="FF1F4E79"/>
        <rFont val="Noto Sans SC"/>
        <charset val="134"/>
      </rPr>
      <t>【</t>
    </r>
    <r>
      <rPr>
        <b/>
        <sz val="11"/>
        <color rgb="FF1F4E79"/>
        <rFont val="Cambria"/>
        <charset val="1"/>
      </rPr>
      <t>1</t>
    </r>
    <r>
      <rPr>
        <b/>
        <sz val="11"/>
        <color rgb="FF1F4E79"/>
        <rFont val="Noto Sans SC"/>
        <charset val="134"/>
      </rPr>
      <t>】基本参数</t>
    </r>
  </si>
  <si>
    <t>项目</t>
  </si>
  <si>
    <t>配置值</t>
  </si>
  <si>
    <t>玩法类型</t>
  </si>
  <si>
    <t>Line Slot</t>
  </si>
  <si>
    <r>
      <rPr>
        <sz val="11"/>
        <color theme="1"/>
        <rFont val="Noto Sans SC"/>
        <charset val="134"/>
      </rPr>
      <t>原文示例：</t>
    </r>
    <r>
      <rPr>
        <sz val="11"/>
        <color theme="1"/>
        <rFont val="Calibri"/>
        <charset val="1"/>
      </rPr>
      <t xml:space="preserve">3*5 </t>
    </r>
    <r>
      <rPr>
        <sz val="11"/>
        <color theme="1"/>
        <rFont val="Noto Sans SC"/>
        <charset val="134"/>
      </rPr>
      <t xml:space="preserve">的 </t>
    </r>
    <r>
      <rPr>
        <sz val="11"/>
        <color theme="1"/>
        <rFont val="Calibri"/>
        <charset val="1"/>
      </rPr>
      <t>Line Slot</t>
    </r>
  </si>
  <si>
    <t>卷轴列数</t>
  </si>
  <si>
    <r>
      <rPr>
        <sz val="11"/>
        <color theme="1"/>
        <rFont val="Calibri"/>
        <charset val="1"/>
      </rPr>
      <t xml:space="preserve">Reel </t>
    </r>
    <r>
      <rPr>
        <sz val="11"/>
        <color theme="1"/>
        <rFont val="Noto Sans SC"/>
        <charset val="134"/>
      </rPr>
      <t>的列数</t>
    </r>
  </si>
  <si>
    <t>窗口行数</t>
  </si>
  <si>
    <r>
      <rPr>
        <sz val="11"/>
        <color theme="1"/>
        <rFont val="Calibri"/>
        <charset val="1"/>
      </rPr>
      <t xml:space="preserve">Windows </t>
    </r>
    <r>
      <rPr>
        <sz val="11"/>
        <color theme="1"/>
        <rFont val="Noto Sans SC"/>
        <charset val="134"/>
      </rPr>
      <t>的高</t>
    </r>
  </si>
  <si>
    <t>窗口格数</t>
  </si>
  <si>
    <r>
      <rPr>
        <sz val="11"/>
        <color theme="1"/>
        <rFont val="Noto Sans SC"/>
        <charset val="134"/>
      </rPr>
      <t xml:space="preserve">＝ 卷轴列数 </t>
    </r>
    <r>
      <rPr>
        <sz val="11"/>
        <color theme="1"/>
        <rFont val="Calibri"/>
        <charset val="1"/>
      </rPr>
      <t xml:space="preserve">× </t>
    </r>
    <r>
      <rPr>
        <sz val="11"/>
        <color theme="1"/>
        <rFont val="Noto Sans SC"/>
        <charset val="134"/>
      </rPr>
      <t>窗口行数</t>
    </r>
  </si>
  <si>
    <t>中奖线数</t>
  </si>
  <si>
    <r>
      <rPr>
        <sz val="11"/>
        <color theme="1"/>
        <rFont val="Noto Sans SC"/>
        <charset val="134"/>
      </rPr>
      <t>与【</t>
    </r>
    <r>
      <rPr>
        <sz val="11"/>
        <color theme="1"/>
        <rFont val="Calibri"/>
        <charset val="1"/>
      </rPr>
      <t>6</t>
    </r>
    <r>
      <rPr>
        <sz val="11"/>
        <color theme="1"/>
        <rFont val="Noto Sans SC"/>
        <charset val="134"/>
      </rPr>
      <t>】线表行数保持一致</t>
    </r>
  </si>
  <si>
    <t>单线下注</t>
  </si>
  <si>
    <t>每条中奖线的下注额</t>
  </si>
  <si>
    <t>总注</t>
  </si>
  <si>
    <r>
      <rPr>
        <sz val="11"/>
        <color theme="1"/>
        <rFont val="Noto Sans SC"/>
        <charset val="134"/>
      </rPr>
      <t xml:space="preserve">＝ 中奖线数 </t>
    </r>
    <r>
      <rPr>
        <sz val="11"/>
        <color theme="1"/>
        <rFont val="Calibri"/>
        <charset val="1"/>
      </rPr>
      <t xml:space="preserve">× </t>
    </r>
    <r>
      <rPr>
        <sz val="11"/>
        <color theme="1"/>
        <rFont val="Noto Sans SC"/>
        <charset val="134"/>
      </rPr>
      <t>单线下注</t>
    </r>
  </si>
  <si>
    <t>卷轴类型</t>
  </si>
  <si>
    <t>随机卷轴</t>
  </si>
  <si>
    <t>原文：原始老虎机为固定卷轴，线上多为随机卷轴</t>
  </si>
  <si>
    <r>
      <rPr>
        <b/>
        <sz val="11"/>
        <color rgb="FF1F4E79"/>
        <rFont val="Noto Sans SC"/>
        <charset val="134"/>
      </rPr>
      <t>【</t>
    </r>
    <r>
      <rPr>
        <b/>
        <sz val="11"/>
        <color rgb="FF1F4E79"/>
        <rFont val="Cambria"/>
        <charset val="1"/>
      </rPr>
      <t>2</t>
    </r>
    <r>
      <rPr>
        <b/>
        <sz val="11"/>
        <color rgb="FF1F4E79"/>
        <rFont val="Noto Sans SC"/>
        <charset val="134"/>
      </rPr>
      <t>】基础构成要件对照表（原文七个部分 → 落地配表）</t>
    </r>
  </si>
  <si>
    <t>构成要件</t>
  </si>
  <si>
    <t>原文定义要点</t>
  </si>
  <si>
    <t>落地到哪张配表</t>
  </si>
  <si>
    <t>一列带图标的卷轴；尺寸远大于窗口，是「图标库存」，每次摇奖从中抽取</t>
  </si>
  <si>
    <r>
      <rPr>
        <sz val="11"/>
        <color theme="1"/>
        <rFont val="Noto Sans SC"/>
        <charset val="134"/>
      </rPr>
      <t>【</t>
    </r>
    <r>
      <rPr>
        <sz val="11"/>
        <color theme="1"/>
        <rFont val="Calibri"/>
        <charset val="1"/>
      </rPr>
      <t>3</t>
    </r>
    <r>
      <rPr>
        <sz val="11"/>
        <color theme="1"/>
        <rFont val="Noto Sans SC"/>
        <charset val="134"/>
      </rPr>
      <t>】卷轴条带表</t>
    </r>
  </si>
  <si>
    <r>
      <rPr>
        <sz val="11"/>
        <color theme="1"/>
        <rFont val="Noto Sans SC"/>
        <charset val="134"/>
      </rPr>
      <t>多列卷轴整合即窗口；</t>
    </r>
    <r>
      <rPr>
        <sz val="11"/>
        <color theme="1"/>
        <rFont val="Calibri"/>
        <charset val="1"/>
      </rPr>
      <t xml:space="preserve">1-3 / 3-3 / 3-5 </t>
    </r>
    <r>
      <rPr>
        <sz val="11"/>
        <color theme="1"/>
        <rFont val="Noto Sans SC"/>
        <charset val="134"/>
      </rPr>
      <t>长方形最常见，便于设置中奖线</t>
    </r>
  </si>
  <si>
    <r>
      <rPr>
        <sz val="11"/>
        <color theme="1"/>
        <rFont val="Noto Sans SC"/>
        <charset val="134"/>
      </rPr>
      <t>【</t>
    </r>
    <r>
      <rPr>
        <sz val="11"/>
        <color theme="1"/>
        <rFont val="Calibri"/>
        <charset val="1"/>
      </rPr>
      <t>1</t>
    </r>
    <r>
      <rPr>
        <sz val="11"/>
        <color theme="1"/>
        <rFont val="Noto Sans SC"/>
        <charset val="134"/>
      </rPr>
      <t xml:space="preserve">】卷轴列数 </t>
    </r>
    <r>
      <rPr>
        <sz val="11"/>
        <color theme="1"/>
        <rFont val="Calibri"/>
        <charset val="1"/>
      </rPr>
      <t xml:space="preserve">× </t>
    </r>
    <r>
      <rPr>
        <sz val="11"/>
        <color theme="1"/>
        <rFont val="Noto Sans SC"/>
        <charset val="134"/>
      </rPr>
      <t>窗口行数</t>
    </r>
  </si>
  <si>
    <t>卷轴上方展示的内容；需区分高／低额度，与主题适应、玩家熟悉</t>
  </si>
  <si>
    <r>
      <rPr>
        <sz val="11"/>
        <color theme="1"/>
        <rFont val="Noto Sans SC"/>
        <charset val="134"/>
      </rPr>
      <t>【</t>
    </r>
    <r>
      <rPr>
        <sz val="11"/>
        <color theme="1"/>
        <rFont val="Calibri"/>
        <charset val="1"/>
      </rPr>
      <t>4</t>
    </r>
    <r>
      <rPr>
        <sz val="11"/>
        <color theme="1"/>
        <rFont val="Noto Sans SC"/>
        <charset val="134"/>
      </rPr>
      <t>】符号表</t>
    </r>
  </si>
  <si>
    <t>线下机身按钮；线上含切换下注／最大下注／提现／客服，另有系统功能</t>
  </si>
  <si>
    <r>
      <rPr>
        <sz val="11"/>
        <color theme="1"/>
        <rFont val="Noto Sans SC"/>
        <charset val="134"/>
      </rPr>
      <t>【</t>
    </r>
    <r>
      <rPr>
        <sz val="11"/>
        <color theme="1"/>
        <rFont val="Calibri"/>
        <charset val="1"/>
      </rPr>
      <t>9</t>
    </r>
    <r>
      <rPr>
        <sz val="11"/>
        <color theme="1"/>
        <rFont val="Noto Sans SC"/>
        <charset val="134"/>
      </rPr>
      <t>】操作区与系统功能表</t>
    </r>
  </si>
  <si>
    <t>规则的主要构成，展示中奖组合与赔付倍数，结算时据此取值</t>
  </si>
  <si>
    <r>
      <rPr>
        <sz val="11"/>
        <color theme="1"/>
        <rFont val="Noto Sans SC"/>
        <charset val="134"/>
      </rPr>
      <t>【</t>
    </r>
    <r>
      <rPr>
        <sz val="11"/>
        <color theme="1"/>
        <rFont val="Calibri"/>
        <charset val="1"/>
      </rPr>
      <t>5</t>
    </r>
    <r>
      <rPr>
        <sz val="11"/>
        <color theme="1"/>
        <rFont val="Noto Sans SC"/>
        <charset val="134"/>
      </rPr>
      <t>】赔付表</t>
    </r>
  </si>
  <si>
    <r>
      <rPr>
        <sz val="11"/>
        <color theme="1"/>
        <rFont val="Noto Sans SC"/>
        <charset val="134"/>
      </rPr>
      <t xml:space="preserve">普通摇之外的所有内容都算 </t>
    </r>
    <r>
      <rPr>
        <sz val="11"/>
        <color theme="1"/>
        <rFont val="Calibri"/>
        <charset val="1"/>
      </rPr>
      <t>Feature</t>
    </r>
    <r>
      <rPr>
        <sz val="11"/>
        <color theme="1"/>
        <rFont val="Noto Sans SC"/>
        <charset val="134"/>
      </rPr>
      <t>，非必要设计</t>
    </r>
  </si>
  <si>
    <r>
      <rPr>
        <sz val="11"/>
        <color theme="1"/>
        <rFont val="Noto Sans SC"/>
        <charset val="134"/>
      </rPr>
      <t>【</t>
    </r>
    <r>
      <rPr>
        <sz val="11"/>
        <color theme="1"/>
        <rFont val="Calibri"/>
        <charset val="1"/>
      </rPr>
      <t>7</t>
    </r>
    <r>
      <rPr>
        <sz val="11"/>
        <color theme="1"/>
        <rFont val="Noto Sans SC"/>
        <charset val="134"/>
      </rPr>
      <t xml:space="preserve">】百搭替换表 </t>
    </r>
    <r>
      <rPr>
        <sz val="11"/>
        <color theme="1"/>
        <rFont val="Calibri"/>
        <charset val="1"/>
      </rPr>
      <t>/</t>
    </r>
    <r>
      <rPr>
        <sz val="11"/>
        <color theme="1"/>
        <rFont val="Noto Sans SC"/>
        <charset val="134"/>
      </rPr>
      <t>【</t>
    </r>
    <r>
      <rPr>
        <sz val="11"/>
        <color theme="1"/>
        <rFont val="Calibri"/>
        <charset val="1"/>
      </rPr>
      <t>8</t>
    </r>
    <r>
      <rPr>
        <sz val="11"/>
        <color theme="1"/>
        <rFont val="Noto Sans SC"/>
        <charset val="134"/>
      </rPr>
      <t>】</t>
    </r>
    <r>
      <rPr>
        <sz val="11"/>
        <color theme="1"/>
        <rFont val="Calibri"/>
        <charset val="1"/>
      </rPr>
      <t>Feature Game</t>
    </r>
  </si>
  <si>
    <r>
      <rPr>
        <sz val="11"/>
        <color theme="1"/>
        <rFont val="Noto Sans SC"/>
        <charset val="134"/>
      </rPr>
      <t>其他：</t>
    </r>
    <r>
      <rPr>
        <sz val="11"/>
        <color theme="1"/>
        <rFont val="Calibri"/>
        <charset val="1"/>
      </rPr>
      <t>Autoplay</t>
    </r>
  </si>
  <si>
    <t>本质仍是普通摇，另可设停止阈值（特殊模式／止损／止盈）</t>
  </si>
  <si>
    <r>
      <rPr>
        <sz val="11"/>
        <color theme="1"/>
        <rFont val="Noto Sans SC"/>
        <charset val="134"/>
      </rPr>
      <t>【</t>
    </r>
    <r>
      <rPr>
        <sz val="11"/>
        <color theme="1"/>
        <rFont val="Calibri"/>
        <charset val="1"/>
      </rPr>
      <t>9</t>
    </r>
    <r>
      <rPr>
        <sz val="11"/>
        <color theme="1"/>
        <rFont val="Noto Sans SC"/>
        <charset val="134"/>
      </rPr>
      <t>】操作区表</t>
    </r>
  </si>
  <si>
    <r>
      <rPr>
        <b/>
        <sz val="11"/>
        <color rgb="FF1F4E79"/>
        <rFont val="Noto Sans SC"/>
        <charset val="134"/>
      </rPr>
      <t>【</t>
    </r>
    <r>
      <rPr>
        <b/>
        <sz val="11"/>
        <color rgb="FF1F4E79"/>
        <rFont val="Cambria"/>
        <charset val="1"/>
      </rPr>
      <t>3</t>
    </r>
    <r>
      <rPr>
        <b/>
        <sz val="11"/>
        <color rgb="FF1F4E79"/>
        <rFont val="Noto Sans SC"/>
        <charset val="134"/>
      </rPr>
      <t xml:space="preserve">】卷轴条带表（示例 </t>
    </r>
    <r>
      <rPr>
        <b/>
        <sz val="11"/>
        <color rgb="FF1F4E79"/>
        <rFont val="Cambria"/>
        <charset val="1"/>
      </rPr>
      <t xml:space="preserve">5 </t>
    </r>
    <r>
      <rPr>
        <b/>
        <sz val="11"/>
        <color rgb="FF1F4E79"/>
        <rFont val="Noto Sans SC"/>
        <charset val="134"/>
      </rPr>
      <t xml:space="preserve">列 </t>
    </r>
    <r>
      <rPr>
        <b/>
        <sz val="11"/>
        <color rgb="FF1F4E79"/>
        <rFont val="Cambria"/>
        <charset val="1"/>
      </rPr>
      <t xml:space="preserve">× 20 </t>
    </r>
    <r>
      <rPr>
        <b/>
        <sz val="11"/>
        <color rgb="FF1F4E79"/>
        <rFont val="Noto Sans SC"/>
        <charset val="134"/>
      </rPr>
      <t xml:space="preserve">停，沿用 </t>
    </r>
    <r>
      <rPr>
        <b/>
        <sz val="11"/>
        <color rgb="FF1F4E79"/>
        <rFont val="Cambria"/>
        <charset val="1"/>
      </rPr>
      <t xml:space="preserve">Part Ⅰ/Ⅱ </t>
    </r>
    <r>
      <rPr>
        <b/>
        <sz val="11"/>
        <color rgb="FF1F4E79"/>
        <rFont val="Noto Sans SC"/>
        <charset val="134"/>
      </rPr>
      <t>示例滚轴；蓝字可改）</t>
    </r>
  </si>
  <si>
    <t>位置</t>
  </si>
  <si>
    <r>
      <rPr>
        <b/>
        <sz val="11"/>
        <color rgb="FF1F4E79"/>
        <rFont val="Noto Sans SC"/>
        <charset val="134"/>
      </rPr>
      <t>第</t>
    </r>
    <r>
      <rPr>
        <b/>
        <sz val="11"/>
        <color rgb="FF1F4E79"/>
        <rFont val="Cambria"/>
        <charset val="1"/>
      </rPr>
      <t>1</t>
    </r>
    <r>
      <rPr>
        <b/>
        <sz val="11"/>
        <color rgb="FF1F4E79"/>
        <rFont val="Noto Sans SC"/>
        <charset val="134"/>
      </rPr>
      <t>列</t>
    </r>
  </si>
  <si>
    <r>
      <rPr>
        <b/>
        <sz val="11"/>
        <color rgb="FF1F4E79"/>
        <rFont val="Noto Sans SC"/>
        <charset val="134"/>
      </rPr>
      <t>第</t>
    </r>
    <r>
      <rPr>
        <b/>
        <sz val="11"/>
        <color rgb="FF1F4E79"/>
        <rFont val="Cambria"/>
        <charset val="1"/>
      </rPr>
      <t>2</t>
    </r>
    <r>
      <rPr>
        <b/>
        <sz val="11"/>
        <color rgb="FF1F4E79"/>
        <rFont val="Noto Sans SC"/>
        <charset val="134"/>
      </rPr>
      <t>列</t>
    </r>
  </si>
  <si>
    <r>
      <rPr>
        <b/>
        <sz val="11"/>
        <color rgb="FF1F4E79"/>
        <rFont val="Noto Sans SC"/>
        <charset val="134"/>
      </rPr>
      <t>第</t>
    </r>
    <r>
      <rPr>
        <b/>
        <sz val="11"/>
        <color rgb="FF1F4E79"/>
        <rFont val="Cambria"/>
        <charset val="1"/>
      </rPr>
      <t>3</t>
    </r>
    <r>
      <rPr>
        <b/>
        <sz val="11"/>
        <color rgb="FF1F4E79"/>
        <rFont val="Noto Sans SC"/>
        <charset val="134"/>
      </rPr>
      <t>列</t>
    </r>
  </si>
  <si>
    <r>
      <rPr>
        <b/>
        <sz val="11"/>
        <color rgb="FF1F4E79"/>
        <rFont val="Noto Sans SC"/>
        <charset val="134"/>
      </rPr>
      <t>第</t>
    </r>
    <r>
      <rPr>
        <b/>
        <sz val="11"/>
        <color rgb="FF1F4E79"/>
        <rFont val="Cambria"/>
        <charset val="1"/>
      </rPr>
      <t>4</t>
    </r>
    <r>
      <rPr>
        <b/>
        <sz val="11"/>
        <color rgb="FF1F4E79"/>
        <rFont val="Noto Sans SC"/>
        <charset val="134"/>
      </rPr>
      <t>列</t>
    </r>
  </si>
  <si>
    <r>
      <rPr>
        <b/>
        <sz val="11"/>
        <color rgb="FF1F4E79"/>
        <rFont val="Noto Sans SC"/>
        <charset val="134"/>
      </rPr>
      <t>第</t>
    </r>
    <r>
      <rPr>
        <b/>
        <sz val="11"/>
        <color rgb="FF1F4E79"/>
        <rFont val="Cambria"/>
        <charset val="1"/>
      </rPr>
      <t>5</t>
    </r>
    <r>
      <rPr>
        <b/>
        <sz val="11"/>
        <color rgb="FF1F4E79"/>
        <rFont val="Noto Sans SC"/>
        <charset val="134"/>
      </rPr>
      <t>列</t>
    </r>
  </si>
  <si>
    <t>K</t>
  </si>
  <si>
    <t>Q</t>
  </si>
  <si>
    <t>W</t>
  </si>
  <si>
    <t>J</t>
  </si>
  <si>
    <t>10</t>
  </si>
  <si>
    <t>9</t>
  </si>
  <si>
    <t>S</t>
  </si>
  <si>
    <t>每列格数</t>
  </si>
  <si>
    <t>卷轴长度（库存）</t>
  </si>
  <si>
    <r>
      <rPr>
        <b/>
        <sz val="11"/>
        <color rgb="FF1F4E79"/>
        <rFont val="Noto Sans SC"/>
        <charset val="134"/>
      </rPr>
      <t>【</t>
    </r>
    <r>
      <rPr>
        <b/>
        <sz val="11"/>
        <color rgb="FF1F4E79"/>
        <rFont val="Cambria"/>
        <charset val="1"/>
      </rPr>
      <t>4</t>
    </r>
    <r>
      <rPr>
        <b/>
        <sz val="11"/>
        <color rgb="FF1F4E79"/>
        <rFont val="Noto Sans SC"/>
        <charset val="134"/>
      </rPr>
      <t xml:space="preserve">】符号表（含各列出现次数 </t>
    </r>
    <r>
      <rPr>
        <b/>
        <sz val="11"/>
        <color rgb="FF1F4E79"/>
        <rFont val="Cambria"/>
        <charset val="1"/>
      </rPr>
      <t xml:space="preserve">COUNTIF </t>
    </r>
    <r>
      <rPr>
        <b/>
        <sz val="11"/>
        <color rgb="FF1F4E79"/>
        <rFont val="Noto Sans SC"/>
        <charset val="134"/>
      </rPr>
      <t>自动统计；合计应等于每列格数）</t>
    </r>
  </si>
  <si>
    <t>符号</t>
  </si>
  <si>
    <t>类型</t>
  </si>
  <si>
    <t>标准</t>
  </si>
  <si>
    <t>标准赔付图标</t>
  </si>
  <si>
    <t>百搭</t>
  </si>
  <si>
    <t>参与连线，可替代任意标准图标</t>
  </si>
  <si>
    <t>特殊</t>
  </si>
  <si>
    <r>
      <rPr>
        <sz val="11"/>
        <color theme="1"/>
        <rFont val="Noto Sans SC"/>
        <charset val="134"/>
      </rPr>
      <t xml:space="preserve">触发 </t>
    </r>
    <r>
      <rPr>
        <sz val="11"/>
        <color theme="1"/>
        <rFont val="Calibri"/>
        <charset val="1"/>
      </rPr>
      <t>Feature Game</t>
    </r>
    <r>
      <rPr>
        <sz val="11"/>
        <color theme="1"/>
        <rFont val="Noto Sans SC"/>
        <charset val="134"/>
      </rPr>
      <t>，不参与连线</t>
    </r>
  </si>
  <si>
    <t>合计</t>
  </si>
  <si>
    <r>
      <rPr>
        <sz val="11"/>
        <color theme="1"/>
        <rFont val="Noto Sans SC"/>
        <charset val="134"/>
      </rPr>
      <t>应等于【</t>
    </r>
    <r>
      <rPr>
        <sz val="11"/>
        <color theme="1"/>
        <rFont val="Calibri"/>
        <charset val="1"/>
      </rPr>
      <t>3</t>
    </r>
    <r>
      <rPr>
        <sz val="11"/>
        <color theme="1"/>
        <rFont val="Noto Sans SC"/>
        <charset val="134"/>
      </rPr>
      <t>】的每列格数</t>
    </r>
  </si>
  <si>
    <r>
      <rPr>
        <b/>
        <sz val="11"/>
        <color rgb="FF1F4E79"/>
        <rFont val="Noto Sans SC"/>
        <charset val="134"/>
      </rPr>
      <t>【</t>
    </r>
    <r>
      <rPr>
        <b/>
        <sz val="11"/>
        <color rgb="FF1F4E79"/>
        <rFont val="Cambria"/>
        <charset val="1"/>
      </rPr>
      <t>5</t>
    </r>
    <r>
      <rPr>
        <b/>
        <sz val="11"/>
        <color rgb="FF1F4E79"/>
        <rFont val="Noto Sans SC"/>
        <charset val="134"/>
      </rPr>
      <t xml:space="preserve">】赔付表 </t>
    </r>
    <r>
      <rPr>
        <b/>
        <sz val="11"/>
        <color rgb="FF1F4E79"/>
        <rFont val="Cambria"/>
        <charset val="1"/>
      </rPr>
      <t>/ Paytable</t>
    </r>
    <r>
      <rPr>
        <b/>
        <sz val="11"/>
        <color rgb="FF1F4E79"/>
        <rFont val="Noto Sans SC"/>
        <charset val="134"/>
      </rPr>
      <t>（单位＝倍注；</t>
    </r>
    <r>
      <rPr>
        <b/>
        <sz val="11"/>
        <color rgb="FF1F4E79"/>
        <rFont val="Cambria"/>
        <charset val="1"/>
      </rPr>
      <t xml:space="preserve">3/4/5 </t>
    </r>
    <r>
      <rPr>
        <b/>
        <sz val="11"/>
        <color rgb="FF1F4E79"/>
        <rFont val="Noto Sans SC"/>
        <charset val="134"/>
      </rPr>
      <t>连）</t>
    </r>
  </si>
  <si>
    <r>
      <rPr>
        <b/>
        <sz val="11"/>
        <color rgb="FF1F4E79"/>
        <rFont val="Cambria"/>
        <charset val="1"/>
      </rPr>
      <t xml:space="preserve">3 </t>
    </r>
    <r>
      <rPr>
        <b/>
        <sz val="11"/>
        <color rgb="FF1F4E79"/>
        <rFont val="Noto Sans SC"/>
        <charset val="134"/>
      </rPr>
      <t>连</t>
    </r>
  </si>
  <si>
    <r>
      <rPr>
        <b/>
        <sz val="11"/>
        <color rgb="FF1F4E79"/>
        <rFont val="Cambria"/>
        <charset val="1"/>
      </rPr>
      <t xml:space="preserve">4 </t>
    </r>
    <r>
      <rPr>
        <b/>
        <sz val="11"/>
        <color rgb="FF1F4E79"/>
        <rFont val="Noto Sans SC"/>
        <charset val="134"/>
      </rPr>
      <t>连</t>
    </r>
  </si>
  <si>
    <r>
      <rPr>
        <b/>
        <sz val="11"/>
        <color rgb="FF1F4E79"/>
        <rFont val="Cambria"/>
        <charset val="1"/>
      </rPr>
      <t xml:space="preserve">5 </t>
    </r>
    <r>
      <rPr>
        <b/>
        <sz val="11"/>
        <color rgb="FF1F4E79"/>
        <rFont val="Noto Sans SC"/>
        <charset val="134"/>
      </rPr>
      <t>连</t>
    </r>
  </si>
  <si>
    <t>是否递增</t>
  </si>
  <si>
    <r>
      <rPr>
        <sz val="11"/>
        <color theme="1"/>
        <rFont val="Calibri"/>
        <charset val="1"/>
      </rPr>
      <t>K</t>
    </r>
    <r>
      <rPr>
        <sz val="11"/>
        <color theme="1"/>
        <rFont val="Noto Sans SC"/>
        <charset val="134"/>
      </rPr>
      <t>（高）</t>
    </r>
  </si>
  <si>
    <r>
      <rPr>
        <sz val="11"/>
        <color theme="1"/>
        <rFont val="Calibri"/>
        <charset val="1"/>
      </rPr>
      <t>Q</t>
    </r>
    <r>
      <rPr>
        <sz val="11"/>
        <color theme="1"/>
        <rFont val="Noto Sans SC"/>
        <charset val="134"/>
      </rPr>
      <t>（高）</t>
    </r>
  </si>
  <si>
    <r>
      <rPr>
        <sz val="11"/>
        <color theme="1"/>
        <rFont val="Calibri"/>
        <charset val="1"/>
      </rPr>
      <t>J</t>
    </r>
    <r>
      <rPr>
        <sz val="11"/>
        <color theme="1"/>
        <rFont val="Noto Sans SC"/>
        <charset val="134"/>
      </rPr>
      <t>（中）</t>
    </r>
  </si>
  <si>
    <r>
      <rPr>
        <sz val="11"/>
        <color theme="1"/>
        <rFont val="Calibri"/>
        <charset val="1"/>
      </rPr>
      <t>10</t>
    </r>
    <r>
      <rPr>
        <sz val="11"/>
        <color theme="1"/>
        <rFont val="Noto Sans SC"/>
        <charset val="134"/>
      </rPr>
      <t>（中）</t>
    </r>
  </si>
  <si>
    <r>
      <rPr>
        <sz val="11"/>
        <color theme="1"/>
        <rFont val="Calibri"/>
        <charset val="1"/>
      </rPr>
      <t>9</t>
    </r>
    <r>
      <rPr>
        <sz val="11"/>
        <color theme="1"/>
        <rFont val="Noto Sans SC"/>
        <charset val="134"/>
      </rPr>
      <t>（低）</t>
    </r>
  </si>
  <si>
    <r>
      <rPr>
        <sz val="11"/>
        <color theme="1"/>
        <rFont val="Calibri"/>
        <charset val="1"/>
      </rPr>
      <t>W</t>
    </r>
    <r>
      <rPr>
        <sz val="11"/>
        <color theme="1"/>
        <rFont val="Noto Sans SC"/>
        <charset val="134"/>
      </rPr>
      <t>（百搭）</t>
    </r>
  </si>
  <si>
    <t>—</t>
  </si>
  <si>
    <r>
      <rPr>
        <sz val="11"/>
        <color theme="1"/>
        <rFont val="Noto Sans SC"/>
        <charset val="134"/>
      </rPr>
      <t>原文：</t>
    </r>
    <r>
      <rPr>
        <sz val="11"/>
        <color theme="1"/>
        <rFont val="Calibri"/>
        <charset val="1"/>
      </rPr>
      <t xml:space="preserve">Wild </t>
    </r>
    <r>
      <rPr>
        <sz val="11"/>
        <color theme="1"/>
        <rFont val="Noto Sans SC"/>
        <charset val="134"/>
      </rPr>
      <t>可被视为任意其他图标参与连线</t>
    </r>
  </si>
  <si>
    <r>
      <rPr>
        <b/>
        <sz val="11"/>
        <color rgb="FF1F4E79"/>
        <rFont val="Noto Sans SC"/>
        <charset val="134"/>
      </rPr>
      <t>【</t>
    </r>
    <r>
      <rPr>
        <b/>
        <sz val="11"/>
        <color rgb="FF1F4E79"/>
        <rFont val="Cambria"/>
        <charset val="1"/>
      </rPr>
      <t>6</t>
    </r>
    <r>
      <rPr>
        <b/>
        <sz val="11"/>
        <color rgb="FF1F4E79"/>
        <rFont val="Noto Sans SC"/>
        <charset val="134"/>
      </rPr>
      <t xml:space="preserve">】中奖线表 </t>
    </r>
    <r>
      <rPr>
        <b/>
        <sz val="11"/>
        <color rgb="FF1F4E79"/>
        <rFont val="Cambria"/>
        <charset val="1"/>
      </rPr>
      <t>/ Paylines</t>
    </r>
    <r>
      <rPr>
        <b/>
        <sz val="11"/>
        <color rgb="FF1F4E79"/>
        <rFont val="Noto Sans SC"/>
        <charset val="134"/>
      </rPr>
      <t xml:space="preserve">（线号 → 每一列取第几行；行数 </t>
    </r>
    <r>
      <rPr>
        <b/>
        <sz val="11"/>
        <color rgb="FF1F4E79"/>
        <rFont val="Cambria"/>
        <charset val="1"/>
      </rPr>
      <t xml:space="preserve">= </t>
    </r>
    <r>
      <rPr>
        <b/>
        <sz val="11"/>
        <color rgb="FF1F4E79"/>
        <rFont val="Noto Sans SC"/>
        <charset val="134"/>
      </rPr>
      <t>窗口行数）</t>
    </r>
  </si>
  <si>
    <t>线号</t>
  </si>
  <si>
    <t>中横线</t>
  </si>
  <si>
    <t>上横线</t>
  </si>
  <si>
    <t>下横线</t>
  </si>
  <si>
    <r>
      <rPr>
        <sz val="11"/>
        <color theme="1"/>
        <rFont val="Calibri"/>
        <charset val="1"/>
      </rPr>
      <t xml:space="preserve">V </t>
    </r>
    <r>
      <rPr>
        <sz val="11"/>
        <color theme="1"/>
        <rFont val="Noto Sans SC"/>
        <charset val="134"/>
      </rPr>
      <t>字线</t>
    </r>
  </si>
  <si>
    <r>
      <rPr>
        <sz val="11"/>
        <color theme="1"/>
        <rFont val="Noto Sans SC"/>
        <charset val="134"/>
      </rPr>
      <t xml:space="preserve">倒 </t>
    </r>
    <r>
      <rPr>
        <sz val="11"/>
        <color theme="1"/>
        <rFont val="Calibri"/>
        <charset val="1"/>
      </rPr>
      <t xml:space="preserve">V </t>
    </r>
    <r>
      <rPr>
        <sz val="11"/>
        <color theme="1"/>
        <rFont val="Noto Sans SC"/>
        <charset val="134"/>
      </rPr>
      <t>字线</t>
    </r>
  </si>
  <si>
    <r>
      <rPr>
        <b/>
        <sz val="11"/>
        <color rgb="FF1F4E79"/>
        <rFont val="Noto Sans SC"/>
        <charset val="134"/>
      </rPr>
      <t>【</t>
    </r>
    <r>
      <rPr>
        <b/>
        <sz val="11"/>
        <color rgb="FF1F4E79"/>
        <rFont val="Cambria"/>
        <charset val="1"/>
      </rPr>
      <t>7</t>
    </r>
    <r>
      <rPr>
        <b/>
        <sz val="11"/>
        <color rgb="FF1F4E79"/>
        <rFont val="Noto Sans SC"/>
        <charset val="134"/>
      </rPr>
      <t>】百搭（</t>
    </r>
    <r>
      <rPr>
        <b/>
        <sz val="11"/>
        <color rgb="FF1F4E79"/>
        <rFont val="Cambria"/>
        <charset val="1"/>
      </rPr>
      <t>Wild</t>
    </r>
    <r>
      <rPr>
        <b/>
        <sz val="11"/>
        <color rgb="FF1F4E79"/>
        <rFont val="Noto Sans SC"/>
        <charset val="134"/>
      </rPr>
      <t xml:space="preserve">）替换表 —— 结算时 </t>
    </r>
    <r>
      <rPr>
        <b/>
        <sz val="11"/>
        <color rgb="FF1F4E79"/>
        <rFont val="Cambria"/>
        <charset val="1"/>
      </rPr>
      <t xml:space="preserve">Wild </t>
    </r>
    <r>
      <rPr>
        <b/>
        <sz val="11"/>
        <color rgb="FF1F4E79"/>
        <rFont val="Noto Sans SC"/>
        <charset val="134"/>
      </rPr>
      <t>可替代哪些符号</t>
    </r>
  </si>
  <si>
    <t>被替代符号</t>
  </si>
  <si>
    <r>
      <rPr>
        <b/>
        <sz val="11"/>
        <color rgb="FF1F4E79"/>
        <rFont val="Noto Sans SC"/>
        <charset val="134"/>
      </rPr>
      <t xml:space="preserve">是否允许 </t>
    </r>
    <r>
      <rPr>
        <b/>
        <sz val="11"/>
        <color rgb="FF1F4E79"/>
        <rFont val="Cambria"/>
        <charset val="1"/>
      </rPr>
      <t xml:space="preserve">Wild </t>
    </r>
    <r>
      <rPr>
        <b/>
        <sz val="11"/>
        <color rgb="FF1F4E79"/>
        <rFont val="Noto Sans SC"/>
        <charset val="134"/>
      </rPr>
      <t>替代</t>
    </r>
  </si>
  <si>
    <t>允许</t>
  </si>
  <si>
    <r>
      <rPr>
        <sz val="11"/>
        <color theme="1"/>
        <rFont val="Calibri"/>
        <charset val="1"/>
      </rPr>
      <t xml:space="preserve">Wild </t>
    </r>
    <r>
      <rPr>
        <sz val="11"/>
        <color theme="1"/>
        <rFont val="Noto Sans SC"/>
        <charset val="134"/>
      </rPr>
      <t>出现在中奖线上即视为该符号，计入连线列数</t>
    </r>
  </si>
  <si>
    <r>
      <rPr>
        <sz val="11"/>
        <color theme="1"/>
        <rFont val="Calibri"/>
        <charset val="1"/>
      </rPr>
      <t xml:space="preserve">W </t>
    </r>
    <r>
      <rPr>
        <sz val="11"/>
        <color theme="1"/>
        <rFont val="Noto Sans SC"/>
        <charset val="134"/>
      </rPr>
      <t>自身</t>
    </r>
  </si>
  <si>
    <t>不适用</t>
  </si>
  <si>
    <t>百搭本身一般无中奖组合与赔付倍数</t>
  </si>
  <si>
    <r>
      <rPr>
        <sz val="11"/>
        <color theme="1"/>
        <rFont val="Calibri"/>
        <charset val="1"/>
      </rPr>
      <t>S</t>
    </r>
    <r>
      <rPr>
        <sz val="11"/>
        <color theme="1"/>
        <rFont val="Noto Sans SC"/>
        <charset val="134"/>
      </rPr>
      <t>（</t>
    </r>
    <r>
      <rPr>
        <sz val="11"/>
        <color theme="1"/>
        <rFont val="Calibri"/>
        <charset val="1"/>
      </rPr>
      <t>Scatter</t>
    </r>
    <r>
      <rPr>
        <sz val="11"/>
        <color theme="1"/>
        <rFont val="Noto Sans SC"/>
        <charset val="134"/>
      </rPr>
      <t>）</t>
    </r>
  </si>
  <si>
    <t>不允许</t>
  </si>
  <si>
    <r>
      <rPr>
        <sz val="11"/>
        <color theme="1"/>
        <rFont val="Calibri"/>
        <charset val="1"/>
      </rPr>
      <t xml:space="preserve">Scatter </t>
    </r>
    <r>
      <rPr>
        <sz val="11"/>
        <color theme="1"/>
        <rFont val="Noto Sans SC"/>
        <charset val="134"/>
      </rPr>
      <t xml:space="preserve">不参与连线，按出现个数触发 </t>
    </r>
    <r>
      <rPr>
        <sz val="11"/>
        <color theme="1"/>
        <rFont val="Calibri"/>
        <charset val="1"/>
      </rPr>
      <t>Feature</t>
    </r>
  </si>
  <si>
    <r>
      <rPr>
        <b/>
        <sz val="11"/>
        <color rgb="FF1F4E79"/>
        <rFont val="Noto Sans SC"/>
        <charset val="134"/>
      </rPr>
      <t>【</t>
    </r>
    <r>
      <rPr>
        <b/>
        <sz val="11"/>
        <color rgb="FF1F4E79"/>
        <rFont val="Cambria"/>
        <charset val="1"/>
      </rPr>
      <t>8</t>
    </r>
    <r>
      <rPr>
        <b/>
        <sz val="11"/>
        <color rgb="FF1F4E79"/>
        <rFont val="Noto Sans SC"/>
        <charset val="134"/>
      </rPr>
      <t>】</t>
    </r>
    <r>
      <rPr>
        <b/>
        <sz val="11"/>
        <color rgb="FF1F4E79"/>
        <rFont val="Cambria"/>
        <charset val="1"/>
      </rPr>
      <t>Feature Game</t>
    </r>
    <r>
      <rPr>
        <b/>
        <sz val="11"/>
        <color rgb="FF1F4E79"/>
        <rFont val="Noto Sans SC"/>
        <charset val="134"/>
      </rPr>
      <t>（免费摇）配表</t>
    </r>
  </si>
  <si>
    <t>触发条件</t>
  </si>
  <si>
    <t>Scatter ≥ 3</t>
  </si>
  <si>
    <t>按出现个数触发；个数与次数档位由策划配置</t>
  </si>
  <si>
    <t>基础免费摇次数</t>
  </si>
  <si>
    <t>免费摇不消耗筹码</t>
  </si>
  <si>
    <t>再触发</t>
  </si>
  <si>
    <t>免费摇中再次达成触发条件可累加次数</t>
  </si>
  <si>
    <t>免费摇特殊卷轴</t>
  </si>
  <si>
    <t>替换为免费滚轴</t>
  </si>
  <si>
    <t>原文：可叠加更好出现的图标、不出现低额度图标、粘性图标等</t>
  </si>
  <si>
    <r>
      <rPr>
        <sz val="11"/>
        <color theme="1"/>
        <rFont val="Noto Sans SC"/>
        <charset val="134"/>
      </rPr>
      <t xml:space="preserve">叠加 </t>
    </r>
    <r>
      <rPr>
        <sz val="11"/>
        <color theme="1"/>
        <rFont val="Calibri"/>
        <charset val="1"/>
      </rPr>
      <t xml:space="preserve">Feature </t>
    </r>
    <r>
      <rPr>
        <sz val="11"/>
        <color theme="1"/>
        <rFont val="Noto Sans SC"/>
        <charset val="134"/>
      </rPr>
      <t>开关</t>
    </r>
  </si>
  <si>
    <t>Hold &amp; Spin / Mega Symbols / Splitting Symbols</t>
  </si>
  <si>
    <t>原文列出的可叠加机制清单</t>
  </si>
  <si>
    <t>与普通摇的区分</t>
  </si>
  <si>
    <r>
      <rPr>
        <sz val="11"/>
        <color rgb="FF0000FF"/>
        <rFont val="Noto Sans SC"/>
        <charset val="134"/>
      </rPr>
      <t xml:space="preserve">响铃 </t>
    </r>
    <r>
      <rPr>
        <sz val="11"/>
        <color rgb="FF0000FF"/>
        <rFont val="Cambria"/>
        <charset val="1"/>
      </rPr>
      <t xml:space="preserve">/ </t>
    </r>
    <r>
      <rPr>
        <sz val="11"/>
        <color rgb="FF0000FF"/>
        <rFont val="Noto Sans SC"/>
        <charset val="134"/>
      </rPr>
      <t xml:space="preserve">结算动画 </t>
    </r>
    <r>
      <rPr>
        <sz val="11"/>
        <color rgb="FF0000FF"/>
        <rFont val="Cambria"/>
        <charset val="1"/>
      </rPr>
      <t xml:space="preserve">/ </t>
    </r>
    <r>
      <rPr>
        <sz val="11"/>
        <color rgb="FF0000FF"/>
        <rFont val="Noto Sans SC"/>
        <charset val="134"/>
      </rPr>
      <t>背景</t>
    </r>
  </si>
  <si>
    <t>原文强调画面设计需突出差异</t>
  </si>
  <si>
    <r>
      <rPr>
        <b/>
        <sz val="11"/>
        <color rgb="FF1F4E79"/>
        <rFont val="Noto Sans SC"/>
        <charset val="134"/>
      </rPr>
      <t>【</t>
    </r>
    <r>
      <rPr>
        <b/>
        <sz val="11"/>
        <color rgb="FF1F4E79"/>
        <rFont val="Cambria"/>
        <charset val="1"/>
      </rPr>
      <t>9</t>
    </r>
    <r>
      <rPr>
        <b/>
        <sz val="11"/>
        <color rgb="FF1F4E79"/>
        <rFont val="Noto Sans SC"/>
        <charset val="134"/>
      </rPr>
      <t>】操作区与系统功能配表（</t>
    </r>
    <r>
      <rPr>
        <b/>
        <sz val="11"/>
        <color rgb="FF1F4E79"/>
        <rFont val="Cambria"/>
        <charset val="1"/>
      </rPr>
      <t xml:space="preserve">UI </t>
    </r>
    <r>
      <rPr>
        <b/>
        <sz val="11"/>
        <color rgb="FF1F4E79"/>
        <rFont val="Noto Sans SC"/>
        <charset val="134"/>
      </rPr>
      <t>落地清单）</t>
    </r>
  </si>
  <si>
    <t>分类</t>
  </si>
  <si>
    <r>
      <rPr>
        <b/>
        <sz val="11"/>
        <color rgb="FF1F4E79"/>
        <rFont val="Noto Sans SC"/>
        <charset val="134"/>
      </rPr>
      <t xml:space="preserve">按钮 </t>
    </r>
    <r>
      <rPr>
        <b/>
        <sz val="11"/>
        <color rgb="FF1F4E79"/>
        <rFont val="Cambria"/>
        <charset val="1"/>
      </rPr>
      <t xml:space="preserve">/ </t>
    </r>
    <r>
      <rPr>
        <b/>
        <sz val="11"/>
        <color rgb="FF1F4E79"/>
        <rFont val="Noto Sans SC"/>
        <charset val="134"/>
      </rPr>
      <t>功能</t>
    </r>
  </si>
  <si>
    <t>线上对应</t>
  </si>
  <si>
    <t>原文要点</t>
  </si>
  <si>
    <t>操作区</t>
  </si>
  <si>
    <t>切换下注</t>
  </si>
  <si>
    <t>加减下注额</t>
  </si>
  <si>
    <t>线上不受操作空间限制，可设更细的下注档位</t>
  </si>
  <si>
    <t>BET ONE</t>
  </si>
  <si>
    <t>点一次切一档下注</t>
  </si>
  <si>
    <t>要减小下注需连按至超过最大额才回到最小额 —— 引导玩家加大下注</t>
  </si>
  <si>
    <t>MAX BET</t>
  </si>
  <si>
    <t>直接选中最大下注额</t>
  </si>
  <si>
    <t>原文提醒：付费引导解锁更高档位会限制自由切换，慎用</t>
  </si>
  <si>
    <t>选择中奖线</t>
  </si>
  <si>
    <t>老版本多线机才有的按钮</t>
  </si>
  <si>
    <t>现在多改为多档位自动算好单线下注，降低理解门槛</t>
  </si>
  <si>
    <t>同上</t>
  </si>
  <si>
    <r>
      <rPr>
        <sz val="11"/>
        <color theme="1"/>
        <rFont val="Noto Sans SC"/>
        <charset val="134"/>
      </rPr>
      <t xml:space="preserve">提现 </t>
    </r>
    <r>
      <rPr>
        <sz val="11"/>
        <color theme="1"/>
        <rFont val="Calibri"/>
        <charset val="1"/>
      </rPr>
      <t xml:space="preserve">/ </t>
    </r>
    <r>
      <rPr>
        <sz val="11"/>
        <color theme="1"/>
        <rFont val="Noto Sans SC"/>
        <charset val="134"/>
      </rPr>
      <t>客服</t>
    </r>
  </si>
  <si>
    <t>字面功能</t>
  </si>
  <si>
    <t>系统功能</t>
  </si>
  <si>
    <t>大厅</t>
  </si>
  <si>
    <t>返回大厅入口</t>
  </si>
  <si>
    <t>玩家筹码</t>
  </si>
  <si>
    <t>余额显示</t>
  </si>
  <si>
    <r>
      <rPr>
        <sz val="11"/>
        <color theme="1"/>
        <rFont val="Calibri"/>
        <charset val="1"/>
      </rPr>
      <t xml:space="preserve">Bonus </t>
    </r>
    <r>
      <rPr>
        <sz val="11"/>
        <color theme="1"/>
        <rFont val="Noto Sans SC"/>
        <charset val="134"/>
      </rPr>
      <t>奖池</t>
    </r>
  </si>
  <si>
    <t>奖池展示</t>
  </si>
  <si>
    <t>等级与经验值</t>
  </si>
  <si>
    <t>玩家成长</t>
  </si>
  <si>
    <t>系统设置</t>
  </si>
  <si>
    <r>
      <rPr>
        <sz val="11"/>
        <color theme="1"/>
        <rFont val="Noto Sans SC"/>
        <charset val="134"/>
      </rPr>
      <t xml:space="preserve">音效 </t>
    </r>
    <r>
      <rPr>
        <sz val="11"/>
        <color theme="1"/>
        <rFont val="Calibri"/>
        <charset val="1"/>
      </rPr>
      <t xml:space="preserve">/ </t>
    </r>
    <r>
      <rPr>
        <sz val="11"/>
        <color theme="1"/>
        <rFont val="Noto Sans SC"/>
        <charset val="134"/>
      </rPr>
      <t>震动等</t>
    </r>
  </si>
  <si>
    <r>
      <rPr>
        <sz val="11"/>
        <color theme="1"/>
        <rFont val="Noto Sans SC"/>
        <charset val="134"/>
      </rPr>
      <t xml:space="preserve">原文：可多参考消消乐等休闲产品的 </t>
    </r>
    <r>
      <rPr>
        <sz val="11"/>
        <color theme="1"/>
        <rFont val="Calibri"/>
        <charset val="1"/>
      </rPr>
      <t>UI</t>
    </r>
  </si>
  <si>
    <t>辅助功能</t>
  </si>
  <si>
    <t>Autoplay</t>
  </si>
  <si>
    <r>
      <rPr>
        <sz val="11"/>
        <color theme="1"/>
        <rFont val="Noto Sans SC"/>
        <charset val="134"/>
      </rPr>
      <t xml:space="preserve">自动摇 </t>
    </r>
    <r>
      <rPr>
        <sz val="11"/>
        <color theme="1"/>
        <rFont val="Calibri"/>
        <charset val="1"/>
      </rPr>
      <t xml:space="preserve">+ </t>
    </r>
    <r>
      <rPr>
        <sz val="11"/>
        <color theme="1"/>
        <rFont val="Noto Sans SC"/>
        <charset val="134"/>
      </rPr>
      <t>剩余次数</t>
    </r>
  </si>
  <si>
    <r>
      <rPr>
        <sz val="11"/>
        <color theme="1"/>
        <rFont val="Noto Sans SC"/>
        <charset val="134"/>
      </rPr>
      <t xml:space="preserve">本质仍是普通摇；可选停止阈值：特殊模式 </t>
    </r>
    <r>
      <rPr>
        <sz val="11"/>
        <color theme="1"/>
        <rFont val="Calibri"/>
        <charset val="1"/>
      </rPr>
      <t xml:space="preserve">/ </t>
    </r>
    <r>
      <rPr>
        <sz val="11"/>
        <color theme="1"/>
        <rFont val="Noto Sans SC"/>
        <charset val="134"/>
      </rPr>
      <t xml:space="preserve">止损 </t>
    </r>
    <r>
      <rPr>
        <sz val="11"/>
        <color theme="1"/>
        <rFont val="Calibri"/>
        <charset val="1"/>
      </rPr>
      <t xml:space="preserve">/ </t>
    </r>
    <r>
      <rPr>
        <sz val="11"/>
        <color theme="1"/>
        <rFont val="Noto Sans SC"/>
        <charset val="134"/>
      </rPr>
      <t>止盈</t>
    </r>
  </si>
  <si>
    <r>
      <rPr>
        <sz val="11"/>
        <color theme="1"/>
        <rFont val="Noto Sans SC"/>
        <charset val="134"/>
      </rPr>
      <t>规则按钮「</t>
    </r>
    <r>
      <rPr>
        <sz val="11"/>
        <color theme="1"/>
        <rFont val="Calibri"/>
        <charset val="1"/>
      </rPr>
      <t>i</t>
    </r>
    <r>
      <rPr>
        <sz val="11"/>
        <color theme="1"/>
        <rFont val="Noto Sans SC"/>
        <charset val="134"/>
      </rPr>
      <t>」</t>
    </r>
  </si>
  <si>
    <r>
      <rPr>
        <sz val="11"/>
        <color theme="1"/>
        <rFont val="Noto Sans SC"/>
        <charset val="134"/>
      </rPr>
      <t xml:space="preserve">打开含 </t>
    </r>
    <r>
      <rPr>
        <sz val="11"/>
        <color theme="1"/>
        <rFont val="Calibri"/>
        <charset val="1"/>
      </rPr>
      <t xml:space="preserve">Paytable </t>
    </r>
    <r>
      <rPr>
        <sz val="11"/>
        <color theme="1"/>
        <rFont val="Noto Sans SC"/>
        <charset val="134"/>
      </rPr>
      <t>的规则</t>
    </r>
  </si>
  <si>
    <r>
      <rPr>
        <sz val="11"/>
        <color theme="1"/>
        <rFont val="Noto Sans SC"/>
        <charset val="134"/>
      </rPr>
      <t xml:space="preserve">移动端常用带 </t>
    </r>
    <r>
      <rPr>
        <sz val="11"/>
        <color theme="1"/>
        <rFont val="Calibri"/>
        <charset val="1"/>
      </rPr>
      <t xml:space="preserve">i </t>
    </r>
    <r>
      <rPr>
        <sz val="11"/>
        <color theme="1"/>
        <rFont val="Noto Sans SC"/>
        <charset val="134"/>
      </rPr>
      <t>的按钮</t>
    </r>
  </si>
  <si>
    <r>
      <rPr>
        <b/>
        <sz val="11"/>
        <color rgb="FF1F4E79"/>
        <rFont val="Noto Sans SC"/>
        <charset val="134"/>
      </rPr>
      <t>【</t>
    </r>
    <r>
      <rPr>
        <b/>
        <sz val="11"/>
        <color rgb="FF1F4E79"/>
        <rFont val="Cambria"/>
        <charset val="1"/>
      </rPr>
      <t>10</t>
    </r>
    <r>
      <rPr>
        <b/>
        <sz val="11"/>
        <color rgb="FF1F4E79"/>
        <rFont val="Noto Sans SC"/>
        <charset val="134"/>
      </rPr>
      <t>】配表自检（公式核对，应全部 ✓）</t>
    </r>
  </si>
  <si>
    <t>检查项</t>
  </si>
  <si>
    <t>检查式</t>
  </si>
  <si>
    <t>结果</t>
  </si>
  <si>
    <r>
      <rPr>
        <sz val="11"/>
        <color theme="1"/>
        <rFont val="Noto Sans SC"/>
        <charset val="134"/>
      </rPr>
      <t>每列格数一致（</t>
    </r>
    <r>
      <rPr>
        <sz val="11"/>
        <color theme="1"/>
        <rFont val="Calibri"/>
        <charset val="1"/>
      </rPr>
      <t xml:space="preserve">20 </t>
    </r>
    <r>
      <rPr>
        <sz val="11"/>
        <color theme="1"/>
        <rFont val="Noto Sans SC"/>
        <charset val="134"/>
      </rPr>
      <t>停）</t>
    </r>
  </si>
  <si>
    <r>
      <rPr>
        <sz val="11"/>
        <color theme="1"/>
        <rFont val="Noto Sans SC"/>
        <charset val="134"/>
      </rPr>
      <t xml:space="preserve">（见 </t>
    </r>
    <r>
      <rPr>
        <sz val="11"/>
        <color theme="1"/>
        <rFont val="Calibri"/>
        <charset val="1"/>
      </rPr>
      <t xml:space="preserve">C </t>
    </r>
    <r>
      <rPr>
        <sz val="11"/>
        <color theme="1"/>
        <rFont val="Noto Sans SC"/>
        <charset val="134"/>
      </rPr>
      <t>列公式）</t>
    </r>
  </si>
  <si>
    <r>
      <rPr>
        <sz val="11"/>
        <color theme="1"/>
        <rFont val="Noto Sans SC"/>
        <charset val="134"/>
      </rPr>
      <t xml:space="preserve">五列长度相同才能用同一套 </t>
    </r>
    <r>
      <rPr>
        <sz val="11"/>
        <color theme="1"/>
        <rFont val="Calibri"/>
        <charset val="1"/>
      </rPr>
      <t xml:space="preserve">20^5 </t>
    </r>
    <r>
      <rPr>
        <sz val="11"/>
        <color theme="1"/>
        <rFont val="Noto Sans SC"/>
        <charset val="134"/>
      </rPr>
      <t>事件数口径</t>
    </r>
  </si>
  <si>
    <t>符号表计数合计 ＝ 每列格数</t>
  </si>
  <si>
    <t>计数表应完整覆盖卷轴上的每个停位</t>
  </si>
  <si>
    <t>中奖线数 ＝ 线表行数</t>
  </si>
  <si>
    <r>
      <rPr>
        <sz val="11"/>
        <color theme="1"/>
        <rFont val="Noto Sans SC"/>
        <charset val="134"/>
      </rPr>
      <t>【</t>
    </r>
    <r>
      <rPr>
        <sz val="11"/>
        <color theme="1"/>
        <rFont val="Calibri"/>
        <charset val="1"/>
      </rPr>
      <t>1</t>
    </r>
    <r>
      <rPr>
        <sz val="11"/>
        <color theme="1"/>
        <rFont val="Noto Sans SC"/>
        <charset val="134"/>
      </rPr>
      <t>】的中奖线数要与【</t>
    </r>
    <r>
      <rPr>
        <sz val="11"/>
        <color theme="1"/>
        <rFont val="Calibri"/>
        <charset val="1"/>
      </rPr>
      <t>6</t>
    </r>
    <r>
      <rPr>
        <sz val="11"/>
        <color theme="1"/>
        <rFont val="Noto Sans SC"/>
        <charset val="134"/>
      </rPr>
      <t>】线表一致</t>
    </r>
  </si>
  <si>
    <t>赔付倍数逐档递增</t>
  </si>
  <si>
    <r>
      <rPr>
        <sz val="11"/>
        <color theme="1"/>
        <rFont val="Noto Sans SC"/>
        <charset val="134"/>
      </rPr>
      <t xml:space="preserve">每个符号 </t>
    </r>
    <r>
      <rPr>
        <sz val="11"/>
        <color theme="1"/>
        <rFont val="Calibri"/>
        <charset val="1"/>
      </rPr>
      <t xml:space="preserve">3 </t>
    </r>
    <r>
      <rPr>
        <sz val="11"/>
        <color theme="1"/>
        <rFont val="Noto Sans SC"/>
        <charset val="134"/>
      </rPr>
      <t xml:space="preserve">连 </t>
    </r>
    <r>
      <rPr>
        <sz val="11"/>
        <color theme="1"/>
        <rFont val="Calibri"/>
        <charset val="1"/>
      </rPr>
      <t xml:space="preserve">&lt; 4 </t>
    </r>
    <r>
      <rPr>
        <sz val="11"/>
        <color theme="1"/>
        <rFont val="Noto Sans SC"/>
        <charset val="134"/>
      </rPr>
      <t xml:space="preserve">连 </t>
    </r>
    <r>
      <rPr>
        <sz val="11"/>
        <color theme="1"/>
        <rFont val="Calibri"/>
        <charset val="1"/>
      </rPr>
      <t xml:space="preserve">&lt; 5 </t>
    </r>
    <r>
      <rPr>
        <sz val="11"/>
        <color theme="1"/>
        <rFont val="Noto Sans SC"/>
        <charset val="134"/>
      </rPr>
      <t>连</t>
    </r>
  </si>
  <si>
    <r>
      <rPr>
        <sz val="11"/>
        <color theme="1"/>
        <rFont val="Calibri"/>
        <charset val="1"/>
      </rPr>
      <t xml:space="preserve">Wild </t>
    </r>
    <r>
      <rPr>
        <sz val="11"/>
        <color theme="1"/>
        <rFont val="Noto Sans SC"/>
        <charset val="134"/>
      </rPr>
      <t>未参与自身赔付</t>
    </r>
  </si>
  <si>
    <t>百搭一般无中奖组合与赔付倍数</t>
  </si>
  <si>
    <t>线表行号落在窗口内</t>
  </si>
  <si>
    <t>每条线取的列内行号不得超过窗口行数</t>
  </si>
  <si>
    <r>
      <rPr>
        <sz val="11"/>
        <color theme="1"/>
        <rFont val="Noto Sans SC"/>
        <charset val="134"/>
      </rPr>
      <t xml:space="preserve">总注 ＝ 线数 </t>
    </r>
    <r>
      <rPr>
        <sz val="11"/>
        <color theme="1"/>
        <rFont val="Calibri"/>
        <charset val="1"/>
      </rPr>
      <t xml:space="preserve">× </t>
    </r>
    <r>
      <rPr>
        <sz val="11"/>
        <color theme="1"/>
        <rFont val="Noto Sans SC"/>
        <charset val="134"/>
      </rPr>
      <t>单线下注</t>
    </r>
  </si>
  <si>
    <r>
      <rPr>
        <sz val="11"/>
        <color theme="1"/>
        <rFont val="Noto Sans SC"/>
        <charset val="134"/>
      </rPr>
      <t xml:space="preserve">单线下注 </t>
    </r>
    <r>
      <rPr>
        <sz val="11"/>
        <color theme="1"/>
        <rFont val="Calibri"/>
        <charset val="1"/>
      </rPr>
      <t xml:space="preserve">× </t>
    </r>
    <r>
      <rPr>
        <sz val="11"/>
        <color theme="1"/>
        <rFont val="Noto Sans SC"/>
        <charset val="134"/>
      </rPr>
      <t>线数即一次摇奖的成本</t>
    </r>
  </si>
  <si>
    <r>
      <rPr>
        <b/>
        <sz val="11"/>
        <color rgb="FF1F4E79"/>
        <rFont val="Noto Sans SC"/>
        <charset val="134"/>
      </rPr>
      <t>【</t>
    </r>
    <r>
      <rPr>
        <b/>
        <sz val="11"/>
        <color rgb="FF1F4E79"/>
        <rFont val="Cambria"/>
        <charset val="1"/>
      </rPr>
      <t>11</t>
    </r>
    <r>
      <rPr>
        <b/>
        <sz val="11"/>
        <color rgb="FF1F4E79"/>
        <rFont val="Noto Sans SC"/>
        <charset val="134"/>
      </rPr>
      <t>】术语对照表（原文出现的英文词）</t>
    </r>
  </si>
  <si>
    <t>英文</t>
  </si>
  <si>
    <t>中文</t>
  </si>
  <si>
    <t>Slot</t>
  </si>
  <si>
    <r>
      <rPr>
        <sz val="11"/>
        <color theme="1"/>
        <rFont val="Noto Sans SC"/>
        <charset val="134"/>
      </rPr>
      <t xml:space="preserve">老虎机 </t>
    </r>
    <r>
      <rPr>
        <sz val="11"/>
        <color theme="1"/>
        <rFont val="Calibri"/>
        <charset val="1"/>
      </rPr>
      <t xml:space="preserve">/ </t>
    </r>
    <r>
      <rPr>
        <sz val="11"/>
        <color theme="1"/>
        <rFont val="Noto Sans SC"/>
        <charset val="134"/>
      </rPr>
      <t>角子机</t>
    </r>
  </si>
  <si>
    <t>带图标的卷轴转动抽取图标，按窗口停留的图标判定中奖</t>
  </si>
  <si>
    <t>Reels</t>
  </si>
  <si>
    <t>卷轴</t>
  </si>
  <si>
    <t>一列带图标的卷轴；多列整合即窗口</t>
  </si>
  <si>
    <t>Windows</t>
  </si>
  <si>
    <t>窗口</t>
  </si>
  <si>
    <r>
      <rPr>
        <sz val="11"/>
        <color theme="1"/>
        <rFont val="Noto Sans SC"/>
        <charset val="134"/>
      </rPr>
      <t xml:space="preserve">卷轴整合后露出的显示区域，常见 </t>
    </r>
    <r>
      <rPr>
        <sz val="11"/>
        <color theme="1"/>
        <rFont val="Calibri"/>
        <charset val="1"/>
      </rPr>
      <t>1-3 / 3-3 / 3-5</t>
    </r>
  </si>
  <si>
    <t>Symbols</t>
  </si>
  <si>
    <t>图标</t>
  </si>
  <si>
    <r>
      <rPr>
        <sz val="11"/>
        <color theme="1"/>
        <rFont val="Noto Sans SC"/>
        <charset val="134"/>
      </rPr>
      <t xml:space="preserve">卷轴上方展示的内容，多为扑克要素与 </t>
    </r>
    <r>
      <rPr>
        <sz val="11"/>
        <color theme="1"/>
        <rFont val="Calibri"/>
        <charset val="1"/>
      </rPr>
      <t>7 / 777 / BAR</t>
    </r>
  </si>
  <si>
    <t>Fruit Machine</t>
  </si>
  <si>
    <t>水果机</t>
  </si>
  <si>
    <r>
      <rPr>
        <sz val="11"/>
        <color theme="1"/>
        <rFont val="Noto Sans SC"/>
        <charset val="134"/>
      </rPr>
      <t xml:space="preserve">街机厅跑圈水果机，与 </t>
    </r>
    <r>
      <rPr>
        <sz val="11"/>
        <color theme="1"/>
        <rFont val="Calibri"/>
        <charset val="1"/>
      </rPr>
      <t xml:space="preserve">Slot </t>
    </r>
    <r>
      <rPr>
        <sz val="11"/>
        <color theme="1"/>
        <rFont val="Noto Sans SC"/>
        <charset val="134"/>
      </rPr>
      <t>混用也无妨</t>
    </r>
  </si>
  <si>
    <t>Paytable</t>
  </si>
  <si>
    <t>赔付表</t>
  </si>
  <si>
    <t>中奖组合与赔付倍数的对照表，结算时取值依据</t>
  </si>
  <si>
    <t>Pay Lines</t>
  </si>
  <si>
    <t>中奖线</t>
  </si>
  <si>
    <r>
      <rPr>
        <sz val="11"/>
        <color theme="1"/>
        <rFont val="Noto Sans SC"/>
        <charset val="134"/>
      </rPr>
      <t>判定连线的路径；</t>
    </r>
    <r>
      <rPr>
        <sz val="11"/>
        <color theme="1"/>
        <rFont val="Calibri"/>
        <charset val="1"/>
      </rPr>
      <t xml:space="preserve">Line Slot </t>
    </r>
    <r>
      <rPr>
        <sz val="11"/>
        <color theme="1"/>
        <rFont val="Noto Sans SC"/>
        <charset val="134"/>
      </rPr>
      <t>的核心配置</t>
    </r>
  </si>
  <si>
    <t>Wild</t>
  </si>
  <si>
    <t>可被视为任意其他图标参与连线</t>
  </si>
  <si>
    <t>特色玩法</t>
  </si>
  <si>
    <t>普通摇之外的所有游戏内容之统称</t>
  </si>
  <si>
    <t>Feature Game</t>
  </si>
  <si>
    <t>特殊模式</t>
  </si>
  <si>
    <t>普通摇之外的游戏模式，常以免费摇为基础</t>
  </si>
  <si>
    <t>Free Spin</t>
  </si>
  <si>
    <t>免费摇</t>
  </si>
  <si>
    <t>不消耗筹码的摇奖，次数有限</t>
  </si>
  <si>
    <t>自动摇</t>
  </si>
  <si>
    <t>系统帮玩家自动执行普通摇；可设停止阈值</t>
  </si>
  <si>
    <t>Normal Spin</t>
  </si>
  <si>
    <t>普通摇</t>
  </si>
  <si>
    <r>
      <rPr>
        <sz val="11"/>
        <color theme="1"/>
        <rFont val="Calibri"/>
        <charset val="1"/>
      </rPr>
      <t xml:space="preserve">Feature Game </t>
    </r>
    <r>
      <rPr>
        <sz val="11"/>
        <color theme="1"/>
        <rFont val="Noto Sans SC"/>
        <charset val="134"/>
      </rPr>
      <t>之外的常规摇奖</t>
    </r>
  </si>
  <si>
    <r>
      <rPr>
        <sz val="11"/>
        <color rgb="FF808080"/>
        <rFont val="Noto Sans SC"/>
        <charset val="134"/>
      </rPr>
      <t xml:space="preserve">说明：本页是照原文「基础构成」要件落地的配表实现；滚轴与赔率沿用同项目《老虎机数学入门 </t>
    </r>
    <r>
      <rPr>
        <sz val="11"/>
        <color rgb="FF808080"/>
        <rFont val="Cambria"/>
        <charset val="1"/>
      </rPr>
      <t>Part Ⅰ/Ⅱ</t>
    </r>
    <r>
      <rPr>
        <sz val="11"/>
        <color rgb="FF808080"/>
        <rFont val="Noto Sans SC"/>
        <charset val="134"/>
      </rPr>
      <t>》示例数值（蓝字可改），</t>
    </r>
    <r>
      <rPr>
        <sz val="11"/>
        <color rgb="FF808080"/>
        <rFont val="Cambria"/>
        <charset val="1"/>
      </rPr>
      <t xml:space="preserve">RTP </t>
    </r>
    <r>
      <rPr>
        <sz val="11"/>
        <color rgb="FF808080"/>
        <rFont val="Noto Sans SC"/>
        <charset val="134"/>
      </rPr>
      <t>推导留给该系列与专栏「数值篇」，本簿不重复计算。</t>
    </r>
  </si>
  <si>
    <t>原文未提供任何数值、赔率或公式；本页所有倍数与参数均为可替换的示例配置。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</si>
</sst>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Noto Sans SC"/>
      <charset val="134"/>
    </font>
    <font>
      <b/>
      <sz val="14"/>
      <color rgb="FF1F4E79"/>
      <name val="Noto Sans SC"/>
      <charset val="134"/>
    </font>
    <font>
      <b/>
      <sz val="11"/>
      <color rgb="FF1F4E79"/>
      <name val="Noto Sans SC"/>
      <charset val="134"/>
    </font>
    <font>
      <sz val="11"/>
      <color rgb="FF0000FF"/>
      <name val="Cambria"/>
      <charset val="1"/>
    </font>
    <font>
      <sz val="11"/>
      <color theme="1"/>
      <name val="Calibri"/>
      <charset val="1"/>
    </font>
    <font>
      <b/>
      <sz val="11"/>
      <name val="Cambria"/>
      <charset val="1"/>
    </font>
    <font>
      <sz val="11"/>
      <color rgb="FF0000FF"/>
      <name val="Noto Sans SC"/>
      <charset val="134"/>
    </font>
    <font>
      <sz val="11"/>
      <color rgb="FF000000"/>
      <name val="Cambria"/>
      <charset val="1"/>
    </font>
    <font>
      <b/>
      <sz val="11"/>
      <color rgb="FF1F4E79"/>
      <name val="Cambria"/>
      <charset val="1"/>
    </font>
    <font>
      <sz val="11"/>
      <color rgb="FF000000"/>
      <name val="Noto Sans SC"/>
      <charset val="134"/>
    </font>
    <font>
      <b/>
      <sz val="11"/>
      <name val="Noto Sans SC"/>
      <charset val="134"/>
    </font>
    <font>
      <sz val="11"/>
      <color rgb="FF808080"/>
      <name val="Noto Sans SC"/>
      <charset val="134"/>
    </font>
    <font>
      <sz val="11"/>
      <color rgb="FF808080"/>
      <name val="Cambria"/>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4"/>
      <color rgb="FF1F4E79"/>
      <name val="Cambria"/>
      <charset val="1"/>
    </font>
  </fonts>
  <fills count="36">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3" fillId="0" borderId="0" applyBorder="0" applyAlignment="0" applyProtection="0"/>
    <xf numFmtId="44" fontId="13" fillId="0" borderId="0" applyBorder="0" applyAlignment="0" applyProtection="0"/>
    <xf numFmtId="9" fontId="13" fillId="0" borderId="0" applyBorder="0" applyAlignment="0" applyProtection="0"/>
    <xf numFmtId="41" fontId="13" fillId="0" borderId="0" applyBorder="0" applyAlignment="0" applyProtection="0"/>
    <xf numFmtId="42" fontId="13" fillId="0" borderId="0" applyBorder="0" applyAlignment="0" applyProtection="0"/>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5" borderId="1"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2" applyNumberFormat="0" applyFill="0" applyAlignment="0" applyProtection="0">
      <alignment vertical="center"/>
    </xf>
    <xf numFmtId="0" fontId="21" fillId="0" borderId="2" applyNumberFormat="0" applyFill="0" applyAlignment="0" applyProtection="0">
      <alignment vertical="center"/>
    </xf>
    <xf numFmtId="0" fontId="22" fillId="0" borderId="3" applyNumberFormat="0" applyFill="0" applyAlignment="0" applyProtection="0">
      <alignment vertical="center"/>
    </xf>
    <xf numFmtId="0" fontId="22" fillId="0" borderId="0" applyNumberFormat="0" applyFill="0" applyBorder="0" applyAlignment="0" applyProtection="0">
      <alignment vertical="center"/>
    </xf>
    <xf numFmtId="0" fontId="23" fillId="6" borderId="4" applyNumberFormat="0" applyAlignment="0" applyProtection="0">
      <alignment vertical="center"/>
    </xf>
    <xf numFmtId="0" fontId="24" fillId="7" borderId="5" applyNumberFormat="0" applyAlignment="0" applyProtection="0">
      <alignment vertical="center"/>
    </xf>
    <xf numFmtId="0" fontId="25" fillId="7" borderId="4" applyNumberFormat="0" applyAlignment="0" applyProtection="0">
      <alignment vertical="center"/>
    </xf>
    <xf numFmtId="0" fontId="26" fillId="8" borderId="6" applyNumberFormat="0" applyAlignment="0" applyProtection="0">
      <alignment vertical="center"/>
    </xf>
    <xf numFmtId="0" fontId="27" fillId="0" borderId="7" applyNumberFormat="0" applyFill="0" applyAlignment="0" applyProtection="0">
      <alignment vertical="center"/>
    </xf>
    <xf numFmtId="0" fontId="28" fillId="0" borderId="8" applyNumberFormat="0" applyFill="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cellStyleXfs>
  <cellXfs count="37">
    <xf numFmtId="0" fontId="0" fillId="0" borderId="0" xfId="0"/>
    <xf numFmtId="0" fontId="0" fillId="0" borderId="0" xfId="0" applyAlignment="1" applyProtection="1"/>
    <xf numFmtId="0" fontId="1" fillId="0" borderId="0" xfId="0" applyFont="1" applyBorder="1" applyAlignment="1" applyProtection="1"/>
    <xf numFmtId="0" fontId="2" fillId="2" borderId="0" xfId="0" applyFont="1" applyFill="1" applyBorder="1" applyAlignment="1" applyProtection="1"/>
    <xf numFmtId="0" fontId="0" fillId="2" borderId="0" xfId="0" applyFill="1" applyAlignment="1" applyProtection="1"/>
    <xf numFmtId="0" fontId="2" fillId="3" borderId="0" xfId="0" applyFont="1" applyFill="1" applyAlignment="1" applyProtection="1">
      <alignment horizontal="center" vertical="center"/>
    </xf>
    <xf numFmtId="0" fontId="3" fillId="0" borderId="0" xfId="0" applyFont="1" applyAlignment="1" applyProtection="1"/>
    <xf numFmtId="0" fontId="0" fillId="0" borderId="0" xfId="0" applyFont="1" applyBorder="1" applyAlignment="1" applyProtection="1"/>
    <xf numFmtId="0" fontId="4" fillId="0" borderId="0" xfId="0" applyFont="1" applyAlignment="1" applyProtection="1"/>
    <xf numFmtId="3" fontId="5" fillId="4" borderId="0" xfId="0" applyNumberFormat="1" applyFont="1" applyFill="1" applyAlignment="1" applyProtection="1"/>
    <xf numFmtId="0" fontId="6" fillId="0" borderId="0" xfId="0" applyFont="1" applyAlignment="1" applyProtection="1"/>
    <xf numFmtId="0" fontId="2" fillId="3" borderId="0" xfId="0" applyFont="1" applyFill="1" applyBorder="1" applyAlignment="1" applyProtection="1">
      <alignment horizontal="center" vertical="center"/>
    </xf>
    <xf numFmtId="3" fontId="7" fillId="0" borderId="0" xfId="0" applyNumberFormat="1" applyFont="1" applyAlignment="1" applyProtection="1"/>
    <xf numFmtId="0" fontId="8" fillId="3" borderId="0" xfId="0" applyFont="1" applyFill="1" applyAlignment="1" applyProtection="1">
      <alignment horizontal="center" vertical="center"/>
    </xf>
    <xf numFmtId="0" fontId="9" fillId="0" borderId="0" xfId="0" applyFont="1" applyAlignment="1" applyProtection="1"/>
    <xf numFmtId="0" fontId="4" fillId="0" borderId="0" xfId="0" applyFont="1" applyBorder="1" applyAlignment="1" applyProtection="1"/>
    <xf numFmtId="0" fontId="10" fillId="4" borderId="0" xfId="0" applyFont="1" applyFill="1" applyAlignment="1" applyProtection="1"/>
    <xf numFmtId="0" fontId="11" fillId="0" borderId="0" xfId="0" applyFont="1" applyBorder="1" applyAlignment="1" applyProtection="1"/>
    <xf numFmtId="0" fontId="1" fillId="0" borderId="0" xfId="0" applyFont="1" applyAlignment="1" applyProtection="1"/>
    <xf numFmtId="0" fontId="11" fillId="0" borderId="0" xfId="0" applyFont="1" applyAlignment="1" applyProtection="1"/>
    <xf numFmtId="0" fontId="10" fillId="0" borderId="0" xfId="0" applyFont="1" applyAlignment="1" applyProtection="1">
      <alignment vertical="top" wrapText="1"/>
    </xf>
    <xf numFmtId="0" fontId="4" fillId="0" borderId="0" xfId="0" applyFont="1" applyAlignment="1" applyProtection="1">
      <alignment vertical="top"/>
    </xf>
    <xf numFmtId="0" fontId="0" fillId="0" borderId="0" xfId="0" applyFont="1" applyAlignment="1" applyProtection="1">
      <alignment vertical="top"/>
    </xf>
    <xf numFmtId="0" fontId="0" fillId="0" borderId="0" xfId="0" applyFont="1" applyAlignment="1" applyProtection="1">
      <alignment vertical="top" wrapText="1"/>
    </xf>
    <xf numFmtId="0" fontId="4" fillId="0" borderId="0" xfId="0" applyFont="1" applyBorder="1" applyAlignment="1" applyProtection="1">
      <alignment vertical="top"/>
    </xf>
    <xf numFmtId="0" fontId="4" fillId="0" borderId="0" xfId="0" applyFont="1" applyBorder="1" applyAlignment="1" applyProtection="1">
      <alignment vertical="top" wrapText="1"/>
    </xf>
    <xf numFmtId="0" fontId="0" fillId="0" borderId="0" xfId="0" applyFont="1" applyBorder="1" applyAlignment="1" applyProtection="1">
      <alignment vertical="top"/>
    </xf>
    <xf numFmtId="0" fontId="0" fillId="0" borderId="0" xfId="0" applyFont="1" applyBorder="1" applyAlignment="1" applyProtection="1">
      <alignment vertical="top" wrapText="1"/>
    </xf>
    <xf numFmtId="0" fontId="10" fillId="0" borderId="0" xfId="0" applyFont="1" applyAlignment="1" applyProtection="1">
      <alignment vertical="top"/>
    </xf>
    <xf numFmtId="0" fontId="12" fillId="0" borderId="0" xfId="0" applyFont="1" applyAlignment="1" applyProtection="1"/>
    <xf numFmtId="0" fontId="2" fillId="0" borderId="0" xfId="0" applyFont="1" applyAlignment="1" applyProtection="1">
      <alignment vertical="top" wrapText="1"/>
    </xf>
    <xf numFmtId="0" fontId="4" fillId="0" borderId="0" xfId="0" applyFont="1" applyAlignment="1" applyProtection="1">
      <alignment vertical="top" wrapText="1"/>
    </xf>
    <xf numFmtId="0" fontId="2" fillId="0" borderId="0" xfId="0" applyFont="1" applyAlignment="1" applyProtection="1">
      <alignment vertical="top"/>
    </xf>
    <xf numFmtId="0" fontId="4" fillId="0" borderId="0" xfId="0" applyFont="1" applyAlignment="1" applyProtection="1">
      <alignment vertical="top"/>
    </xf>
    <xf numFmtId="0" fontId="3" fillId="0" borderId="0" xfId="0" applyFont="1" applyAlignment="1" applyProtection="1"/>
    <xf numFmtId="0" fontId="4" fillId="0" borderId="0" xfId="0" applyFont="1" applyAlignment="1" applyProtection="1"/>
    <xf numFmtId="0" fontId="8" fillId="3" borderId="0" xfId="0" applyFont="1" applyFill="1" applyAlignment="1" applyProtection="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4C7E7"/>
      <rgbColor rgb="00808080"/>
      <rgbColor rgb="009999FF"/>
      <rgbColor rgb="00993366"/>
      <rgbColor rgb="00FFFFCC"/>
      <rgbColor rgb="00DEEBF7"/>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E7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110</xdr:row>
      <xdr:rowOff>0</xdr:rowOff>
    </xdr:from>
    <xdr:to>
      <xdr:col>1</xdr:col>
      <xdr:colOff>0</xdr:colOff>
      <xdr:row>110</xdr:row>
      <xdr:rowOff>3265200</xdr:rowOff>
    </xdr:to>
    <xdr:pic>
      <xdr:nvPicPr>
        <xdr:cNvPr id="2" name="Image 1" descr="Picture"/>
        <xdr:cNvPicPr/>
      </xdr:nvPicPr>
      <xdr:blipFill>
        <a:blip r:embed="rId1"/>
        <a:stretch>
          <a:fillRect/>
        </a:stretch>
      </xdr:blipFill>
      <xdr:spPr>
        <a:xfrm>
          <a:off x="0" y="25361900"/>
          <a:ext cx="3211195" cy="3265170"/>
        </a:xfrm>
        <a:prstGeom prst="rect">
          <a:avLst/>
        </a:prstGeom>
        <a:noFill/>
        <a:ln w="0">
          <a:noFill/>
        </a:ln>
      </xdr:spPr>
    </xdr:pic>
    <xdr:clientData/>
  </xdr:twoCellAnchor>
  <xdr:twoCellAnchor editAs="oneCell">
    <xdr:from>
      <xdr:col>0</xdr:col>
      <xdr:colOff>0</xdr:colOff>
      <xdr:row>133</xdr:row>
      <xdr:rowOff>0</xdr:rowOff>
    </xdr:from>
    <xdr:to>
      <xdr:col>1</xdr:col>
      <xdr:colOff>0</xdr:colOff>
      <xdr:row>133</xdr:row>
      <xdr:rowOff>3322440</xdr:rowOff>
    </xdr:to>
    <xdr:pic>
      <xdr:nvPicPr>
        <xdr:cNvPr id="3" name="Image 2" descr="Picture"/>
        <xdr:cNvPicPr/>
      </xdr:nvPicPr>
      <xdr:blipFill>
        <a:blip r:embed="rId2"/>
        <a:stretch>
          <a:fillRect/>
        </a:stretch>
      </xdr:blipFill>
      <xdr:spPr>
        <a:xfrm>
          <a:off x="0" y="33753425"/>
          <a:ext cx="3211195" cy="3322320"/>
        </a:xfrm>
        <a:prstGeom prst="rect">
          <a:avLst/>
        </a:prstGeom>
        <a:noFill/>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276"/>
  <sheetViews>
    <sheetView workbookViewId="0">
      <selection activeCell="A1" sqref="A1"/>
    </sheetView>
  </sheetViews>
  <sheetFormatPr defaultColWidth="7.69166666666667" defaultRowHeight="18.5"/>
  <cols>
    <col min="1" max="1" width="42.1416666666667" customWidth="1"/>
  </cols>
  <sheetData>
    <row r="1" ht="22.5" spans="1:4">
      <c r="A1" s="18" t="s">
        <v>0</v>
      </c>
    </row>
    <row r="3" spans="1:4">
      <c r="A3" s="19" t="s">
        <v>1</v>
      </c>
    </row>
    <row r="4" spans="1:4">
      <c r="A4" s="17" t="s">
        <v>2</v>
      </c>
      <c r="B4" s="17"/>
      <c r="C4" s="17"/>
      <c r="D4" s="17"/>
    </row>
    <row r="5" spans="1:4">
      <c r="A5" s="17" t="s">
        <v>3</v>
      </c>
      <c r="B5" s="17"/>
      <c r="C5" s="17"/>
    </row>
    <row r="6" spans="1:4">
      <c r="A6" s="19" t="s">
        <v>4</v>
      </c>
    </row>
    <row r="8" spans="1:4">
      <c r="A8" s="20" t="s">
        <v>5</v>
      </c>
    </row>
    <row r="9" spans="1:4">
      <c r="A9" s="21" t="s">
        <v>6</v>
      </c>
    </row>
    <row r="10" spans="1:4">
      <c r="A10" s="22" t="s">
        <v>7</v>
      </c>
    </row>
    <row r="11" spans="1:4">
      <c r="A11" s="23"/>
    </row>
    <row r="12" spans="1:4">
      <c r="A12" s="20" t="s">
        <v>8</v>
      </c>
    </row>
    <row r="13" spans="1:4">
      <c r="A13" s="21" t="s">
        <v>9</v>
      </c>
    </row>
    <row r="14" spans="1:4">
      <c r="A14" s="21" t="s">
        <v>10</v>
      </c>
    </row>
    <row r="15" ht="15" customHeight="1" spans="1:4">
      <c r="A15" s="24" t="s">
        <v>11</v>
      </c>
      <c r="B15" s="25"/>
      <c r="C15" s="25"/>
    </row>
    <row r="16" spans="1:4">
      <c r="A16" s="23"/>
    </row>
    <row r="17" spans="1:3">
      <c r="A17" s="20" t="s">
        <v>12</v>
      </c>
    </row>
    <row r="18" spans="1:3">
      <c r="A18" s="22" t="s">
        <v>13</v>
      </c>
    </row>
    <row r="19" spans="1:3">
      <c r="A19" s="22" t="s">
        <v>14</v>
      </c>
    </row>
    <row r="20" spans="1:3">
      <c r="A20" s="23"/>
    </row>
    <row r="21" spans="1:3">
      <c r="A21" s="20" t="s">
        <v>15</v>
      </c>
    </row>
    <row r="22" spans="1:3">
      <c r="A22" s="20" t="s">
        <v>16</v>
      </c>
    </row>
    <row r="23" spans="1:3">
      <c r="A23" s="22" t="s">
        <v>17</v>
      </c>
    </row>
    <row r="24" ht="15" customHeight="1" spans="1:3">
      <c r="A24" s="26" t="s">
        <v>18</v>
      </c>
      <c r="B24" s="27"/>
      <c r="C24" s="27"/>
    </row>
    <row r="25" spans="1:3">
      <c r="A25" s="22" t="s">
        <v>19</v>
      </c>
    </row>
    <row r="26" spans="1:3">
      <c r="A26" s="22" t="s">
        <v>20</v>
      </c>
    </row>
    <row r="27" spans="1:3">
      <c r="A27" s="22" t="s">
        <v>21</v>
      </c>
    </row>
    <row r="28" spans="1:3">
      <c r="A28" s="23"/>
    </row>
    <row r="29" spans="1:3">
      <c r="A29" s="20" t="s">
        <v>22</v>
      </c>
    </row>
    <row r="30" spans="1:3">
      <c r="A30" s="21" t="s">
        <v>23</v>
      </c>
    </row>
    <row r="31" spans="1:3">
      <c r="A31" s="21" t="s">
        <v>24</v>
      </c>
    </row>
    <row r="32" spans="1:3">
      <c r="A32" s="21" t="s">
        <v>25</v>
      </c>
    </row>
    <row r="33" spans="1:3">
      <c r="A33" s="21" t="s">
        <v>26</v>
      </c>
    </row>
    <row r="34" spans="1:3">
      <c r="A34" s="22" t="s">
        <v>27</v>
      </c>
    </row>
    <row r="35" spans="1:3">
      <c r="A35" s="23"/>
    </row>
    <row r="36" spans="1:3">
      <c r="A36" s="20" t="s">
        <v>28</v>
      </c>
    </row>
    <row r="37" spans="1:3">
      <c r="A37" s="21" t="s">
        <v>29</v>
      </c>
    </row>
    <row r="38" spans="1:3">
      <c r="A38" s="23" t="s">
        <v>30</v>
      </c>
    </row>
    <row r="39" spans="1:3">
      <c r="A39" s="21" t="s">
        <v>31</v>
      </c>
    </row>
    <row r="40" spans="1:3">
      <c r="A40" s="21" t="s">
        <v>32</v>
      </c>
    </row>
    <row r="41" spans="1:3">
      <c r="A41" s="21" t="s">
        <v>33</v>
      </c>
    </row>
    <row r="42" spans="1:3">
      <c r="A42" s="21" t="s">
        <v>34</v>
      </c>
    </row>
    <row r="43" spans="1:3">
      <c r="A43" s="23"/>
    </row>
    <row r="44" spans="1:3">
      <c r="A44" s="20" t="s">
        <v>35</v>
      </c>
    </row>
    <row r="45" ht="15" customHeight="1" spans="1:3">
      <c r="A45" s="24" t="s">
        <v>36</v>
      </c>
      <c r="B45" s="25"/>
      <c r="C45" s="25"/>
    </row>
    <row r="46" ht="15" customHeight="1" spans="1:3">
      <c r="A46" s="24" t="s">
        <v>37</v>
      </c>
      <c r="B46" s="25"/>
      <c r="C46" s="25"/>
    </row>
    <row r="47" spans="1:3">
      <c r="A47" s="21" t="s">
        <v>38</v>
      </c>
    </row>
    <row r="48" spans="1:3">
      <c r="A48" s="22" t="s">
        <v>39</v>
      </c>
    </row>
    <row r="49" spans="1:4">
      <c r="A49" s="23"/>
    </row>
    <row r="50" spans="1:4">
      <c r="A50" s="20" t="s">
        <v>40</v>
      </c>
    </row>
    <row r="51" spans="1:4">
      <c r="A51" s="21" t="s">
        <v>41</v>
      </c>
    </row>
    <row r="52" spans="1:4">
      <c r="A52" s="21" t="s">
        <v>42</v>
      </c>
    </row>
    <row r="53" ht="15" customHeight="1" spans="1:4">
      <c r="A53" s="26" t="s">
        <v>43</v>
      </c>
      <c r="B53" s="27"/>
      <c r="C53" s="27"/>
      <c r="D53" s="27"/>
    </row>
    <row r="54" ht="15" customHeight="1" spans="1:4">
      <c r="A54" s="24" t="s">
        <v>44</v>
      </c>
      <c r="B54" s="25"/>
      <c r="C54" s="25"/>
    </row>
    <row r="55" spans="1:4">
      <c r="A55" s="23" t="s">
        <v>45</v>
      </c>
    </row>
    <row r="56" spans="1:4">
      <c r="A56" s="21" t="s">
        <v>46</v>
      </c>
    </row>
    <row r="57" spans="1:4">
      <c r="A57" s="22" t="s">
        <v>47</v>
      </c>
    </row>
    <row r="58" spans="1:4">
      <c r="A58" s="21" t="s">
        <v>48</v>
      </c>
    </row>
    <row r="59" spans="1:4">
      <c r="A59" s="22" t="s">
        <v>49</v>
      </c>
    </row>
    <row r="60" spans="1:4">
      <c r="A60" s="23"/>
    </row>
    <row r="61" spans="1:4">
      <c r="A61" s="20" t="s">
        <v>50</v>
      </c>
    </row>
    <row r="62" spans="1:4">
      <c r="A62" s="21" t="s">
        <v>51</v>
      </c>
    </row>
    <row r="63" spans="1:4">
      <c r="A63" s="21" t="s">
        <v>52</v>
      </c>
    </row>
    <row r="64" spans="1:4">
      <c r="A64" s="21" t="s">
        <v>53</v>
      </c>
    </row>
    <row r="65" spans="1:3">
      <c r="A65" s="21" t="s">
        <v>54</v>
      </c>
    </row>
    <row r="66" spans="1:3">
      <c r="A66" s="23"/>
    </row>
    <row r="67" spans="1:3">
      <c r="A67" s="20" t="s">
        <v>55</v>
      </c>
    </row>
    <row r="68" spans="1:3">
      <c r="A68" s="21" t="s">
        <v>56</v>
      </c>
    </row>
    <row r="69" spans="1:3">
      <c r="A69" s="21" t="s">
        <v>57</v>
      </c>
    </row>
    <row r="70" spans="1:3">
      <c r="A70" s="22" t="s">
        <v>58</v>
      </c>
    </row>
    <row r="71" spans="1:3">
      <c r="A71" s="23"/>
    </row>
    <row r="72" spans="1:3">
      <c r="A72" s="20" t="s">
        <v>59</v>
      </c>
    </row>
    <row r="73" ht="15" customHeight="1" spans="1:3">
      <c r="A73" s="24" t="s">
        <v>60</v>
      </c>
      <c r="B73" s="25"/>
      <c r="C73" s="25"/>
    </row>
    <row r="74" ht="15" customHeight="1" spans="1:3">
      <c r="A74" s="24" t="s">
        <v>61</v>
      </c>
      <c r="B74" s="25"/>
      <c r="C74" s="25"/>
    </row>
    <row r="75" ht="15" customHeight="1" spans="1:3">
      <c r="A75" s="24" t="s">
        <v>62</v>
      </c>
      <c r="B75" s="25"/>
      <c r="C75" s="25"/>
    </row>
    <row r="76" ht="15" customHeight="1" spans="1:3">
      <c r="A76" s="26" t="s">
        <v>63</v>
      </c>
      <c r="B76" s="27"/>
      <c r="C76" s="27"/>
    </row>
    <row r="77" spans="1:3">
      <c r="A77" s="22" t="s">
        <v>64</v>
      </c>
    </row>
    <row r="78" spans="1:3">
      <c r="A78" s="23"/>
    </row>
    <row r="79" spans="1:3">
      <c r="A79" s="20" t="s">
        <v>65</v>
      </c>
    </row>
    <row r="80" spans="1:3">
      <c r="A80" s="21" t="s">
        <v>66</v>
      </c>
    </row>
    <row r="81" spans="1:3">
      <c r="A81" s="21" t="s">
        <v>67</v>
      </c>
    </row>
    <row r="82" spans="1:3">
      <c r="A82" s="21" t="s">
        <v>68</v>
      </c>
    </row>
    <row r="83" spans="1:3">
      <c r="A83" s="21" t="s">
        <v>69</v>
      </c>
    </row>
    <row r="84" ht="15" customHeight="1" spans="1:3">
      <c r="A84" s="24" t="s">
        <v>70</v>
      </c>
      <c r="B84" s="25"/>
      <c r="C84" s="25"/>
    </row>
    <row r="85" spans="1:3">
      <c r="A85" s="23"/>
    </row>
    <row r="86" spans="1:3">
      <c r="A86" s="28" t="s">
        <v>71</v>
      </c>
    </row>
    <row r="87" spans="1:3">
      <c r="A87" s="21" t="s">
        <v>72</v>
      </c>
    </row>
    <row r="88" spans="1:3">
      <c r="A88" s="21" t="s">
        <v>73</v>
      </c>
    </row>
    <row r="89" spans="1:3">
      <c r="A89" s="21" t="s">
        <v>74</v>
      </c>
    </row>
    <row r="90" spans="1:3">
      <c r="A90" s="21" t="s">
        <v>75</v>
      </c>
    </row>
    <row r="91" spans="1:3">
      <c r="A91" s="21" t="s">
        <v>76</v>
      </c>
    </row>
    <row r="92" spans="1:3">
      <c r="A92" s="21" t="s">
        <v>77</v>
      </c>
    </row>
    <row r="93" spans="1:3">
      <c r="A93" s="21" t="s">
        <v>78</v>
      </c>
    </row>
    <row r="94" spans="1:3">
      <c r="A94" s="21" t="s">
        <v>79</v>
      </c>
    </row>
    <row r="95" spans="1:3">
      <c r="A95" s="21" t="s">
        <v>80</v>
      </c>
    </row>
    <row r="96" spans="1:3">
      <c r="A96" s="21" t="s">
        <v>81</v>
      </c>
    </row>
    <row r="97" spans="1:3">
      <c r="A97" s="21" t="s">
        <v>82</v>
      </c>
    </row>
    <row r="98" spans="1:3">
      <c r="A98" s="21" t="s">
        <v>83</v>
      </c>
    </row>
    <row r="99" spans="1:3">
      <c r="A99" s="23"/>
    </row>
    <row r="100" spans="1:3">
      <c r="A100" s="20" t="s">
        <v>84</v>
      </c>
    </row>
    <row r="101" spans="1:3">
      <c r="A101" s="33">
        <v>36</v>
      </c>
    </row>
    <row r="102" spans="1:3">
      <c r="A102" s="33">
        <v>40</v>
      </c>
    </row>
    <row r="103" spans="1:3">
      <c r="A103" s="23"/>
    </row>
    <row r="104" spans="1:3">
      <c r="A104" s="20" t="s">
        <v>87</v>
      </c>
    </row>
    <row r="105" spans="1:3">
      <c r="A105" s="22" t="s">
        <v>88</v>
      </c>
    </row>
    <row r="106" ht="15" customHeight="1" spans="1:3">
      <c r="A106" s="26" t="s">
        <v>89</v>
      </c>
      <c r="B106" s="27"/>
      <c r="C106" s="27"/>
    </row>
    <row r="108" spans="1:3">
      <c r="A108" s="29" t="s">
        <v>90</v>
      </c>
    </row>
    <row r="111" ht="257.25" customHeight="1" spans="1:3">
      <c r="A111" s="30" t="s">
        <v>91</v>
      </c>
    </row>
    <row r="112" spans="1:3">
      <c r="A112" s="23"/>
    </row>
    <row r="113" spans="1:3">
      <c r="A113" s="22" t="s">
        <v>92</v>
      </c>
    </row>
    <row r="114" spans="1:3">
      <c r="A114" s="23"/>
    </row>
    <row r="115" spans="1:3">
      <c r="A115" s="23" t="s">
        <v>93</v>
      </c>
    </row>
    <row r="116" spans="1:3">
      <c r="A116" s="23"/>
    </row>
    <row r="117" spans="1:3">
      <c r="A117" s="23" t="s">
        <v>94</v>
      </c>
    </row>
    <row r="118" spans="1:3">
      <c r="A118" s="22" t="s">
        <v>95</v>
      </c>
    </row>
    <row r="119" spans="1:3">
      <c r="A119" s="23"/>
    </row>
    <row r="120" spans="1:3">
      <c r="A120" s="23" t="s">
        <v>96</v>
      </c>
    </row>
    <row r="121" spans="1:3">
      <c r="A121" s="23"/>
    </row>
    <row r="122" spans="1:3">
      <c r="A122" s="22" t="s">
        <v>97</v>
      </c>
    </row>
    <row r="123" spans="1:3">
      <c r="A123" s="23"/>
    </row>
    <row r="124" spans="1:3">
      <c r="A124" s="23" t="s">
        <v>98</v>
      </c>
    </row>
    <row r="125" ht="15" customHeight="1" spans="1:3">
      <c r="A125" s="26" t="s">
        <v>99</v>
      </c>
      <c r="B125" s="27"/>
      <c r="C125" s="27"/>
    </row>
    <row r="126" spans="1:3">
      <c r="A126" s="22" t="s">
        <v>100</v>
      </c>
    </row>
    <row r="127" spans="1:3">
      <c r="A127" s="22" t="s">
        <v>101</v>
      </c>
    </row>
    <row r="128" spans="1:3">
      <c r="A128" s="23"/>
    </row>
    <row r="129" spans="1:1">
      <c r="A129" s="23" t="s">
        <v>102</v>
      </c>
    </row>
    <row r="130" spans="1:1">
      <c r="A130" s="22" t="s">
        <v>103</v>
      </c>
    </row>
    <row r="131" spans="1:1">
      <c r="A131" s="21" t="s">
        <v>104</v>
      </c>
    </row>
    <row r="132" spans="1:1">
      <c r="A132" s="22" t="s">
        <v>105</v>
      </c>
    </row>
    <row r="133" spans="1:1">
      <c r="A133" s="23" t="s">
        <v>106</v>
      </c>
    </row>
    <row r="134" ht="261.75" customHeight="1" spans="1:1">
      <c r="A134" s="22" t="s">
        <v>107</v>
      </c>
    </row>
    <row r="135" spans="1:1">
      <c r="A135" s="23"/>
    </row>
    <row r="136" spans="1:1">
      <c r="A136" s="22" t="s">
        <v>108</v>
      </c>
    </row>
    <row r="137" spans="1:1">
      <c r="A137" s="21" t="s">
        <v>109</v>
      </c>
    </row>
    <row r="138" spans="1:1">
      <c r="A138" s="23" t="s">
        <v>110</v>
      </c>
    </row>
    <row r="139" spans="1:1">
      <c r="A139" s="23"/>
    </row>
    <row r="140" spans="1:1">
      <c r="A140" s="23" t="s">
        <v>111</v>
      </c>
    </row>
    <row r="141" spans="1:1">
      <c r="A141" s="23"/>
    </row>
    <row r="142" spans="1:1">
      <c r="A142" s="22" t="s">
        <v>112</v>
      </c>
    </row>
    <row r="143" spans="1:1">
      <c r="A143" s="23"/>
    </row>
    <row r="144" spans="1:1">
      <c r="A144" s="23" t="s">
        <v>113</v>
      </c>
    </row>
    <row r="145" spans="1:1">
      <c r="A145" s="22" t="s">
        <v>114</v>
      </c>
    </row>
    <row r="146" spans="1:1">
      <c r="A146" s="22" t="s">
        <v>115</v>
      </c>
    </row>
    <row r="147" spans="1:1">
      <c r="A147" s="22" t="s">
        <v>116</v>
      </c>
    </row>
    <row r="148" spans="1:1">
      <c r="A148" s="23"/>
    </row>
    <row r="149" spans="1:1">
      <c r="A149" s="22" t="s">
        <v>117</v>
      </c>
    </row>
    <row r="150" spans="1:1">
      <c r="A150" s="22" t="s">
        <v>118</v>
      </c>
    </row>
    <row r="151" spans="1:1">
      <c r="A151" s="23"/>
    </row>
    <row r="152" spans="1:1">
      <c r="A152" s="23" t="s">
        <v>119</v>
      </c>
    </row>
    <row r="153" spans="1:1">
      <c r="A153" s="23"/>
    </row>
    <row r="154" spans="1:1">
      <c r="A154" s="23" t="s">
        <v>120</v>
      </c>
    </row>
    <row r="155" spans="1:1">
      <c r="A155" s="23"/>
    </row>
    <row r="156" spans="1:1">
      <c r="A156" s="31" t="s">
        <v>121</v>
      </c>
    </row>
    <row r="157" spans="1:1">
      <c r="A157" s="23"/>
    </row>
    <row r="158" spans="1:1">
      <c r="A158" s="21" t="s">
        <v>122</v>
      </c>
    </row>
    <row r="159" spans="1:1">
      <c r="A159" s="23"/>
    </row>
    <row r="160" spans="1:1">
      <c r="A160" s="31" t="s">
        <v>123</v>
      </c>
    </row>
    <row r="161" spans="1:6">
      <c r="A161" s="23"/>
    </row>
    <row r="162" spans="1:6">
      <c r="A162" s="31" t="s">
        <v>124</v>
      </c>
    </row>
    <row r="163" spans="1:6">
      <c r="A163" s="23"/>
    </row>
    <row r="164" spans="1:6">
      <c r="A164" s="22" t="s">
        <v>125</v>
      </c>
    </row>
    <row r="165" spans="1:6">
      <c r="A165" s="22" t="s">
        <v>126</v>
      </c>
    </row>
    <row r="166" spans="1:6">
      <c r="A166" s="23"/>
    </row>
    <row r="167" spans="1:6">
      <c r="A167" s="23" t="s">
        <v>127</v>
      </c>
    </row>
    <row r="168" spans="1:6">
      <c r="A168" s="23" t="s">
        <v>128</v>
      </c>
    </row>
    <row r="169" spans="1:6">
      <c r="A169" s="22" t="s">
        <v>129</v>
      </c>
    </row>
    <row r="170" spans="1:6">
      <c r="A170" s="23"/>
    </row>
    <row r="171" spans="1:6">
      <c r="A171" s="23" t="s">
        <v>130</v>
      </c>
    </row>
    <row r="172" spans="1:6">
      <c r="A172" s="23"/>
    </row>
    <row r="173" ht="15" customHeight="1" spans="1:6">
      <c r="A173" s="24" t="s">
        <v>131</v>
      </c>
      <c r="B173" s="25"/>
      <c r="C173" s="25"/>
      <c r="D173" s="25"/>
      <c r="E173" s="25"/>
      <c r="F173" s="25"/>
    </row>
    <row r="174" spans="1:6">
      <c r="A174" s="22" t="s">
        <v>132</v>
      </c>
    </row>
    <row r="175" spans="1:6">
      <c r="A175" s="22" t="s">
        <v>133</v>
      </c>
    </row>
    <row r="176" spans="1:6">
      <c r="A176" s="23"/>
    </row>
    <row r="177" spans="1:9">
      <c r="A177" s="23" t="s">
        <v>134</v>
      </c>
    </row>
    <row r="178" spans="1:9">
      <c r="A178" s="23"/>
    </row>
    <row r="179" spans="1:9">
      <c r="A179" s="23" t="s">
        <v>135</v>
      </c>
    </row>
    <row r="180" spans="1:9">
      <c r="A180" s="22" t="s">
        <v>136</v>
      </c>
    </row>
    <row r="181" ht="15" customHeight="1" spans="1:9">
      <c r="A181" s="26" t="s">
        <v>137</v>
      </c>
      <c r="B181" s="27"/>
      <c r="C181" s="27"/>
      <c r="D181" s="27"/>
    </row>
    <row r="182" ht="15" customHeight="1" spans="1:9">
      <c r="A182" s="26" t="s">
        <v>138</v>
      </c>
      <c r="B182" s="27"/>
      <c r="C182" s="27"/>
      <c r="D182" s="27"/>
      <c r="E182" s="27"/>
      <c r="F182" s="27"/>
      <c r="G182" s="27"/>
      <c r="H182" s="27"/>
      <c r="I182" s="27"/>
    </row>
    <row r="183" spans="1:9">
      <c r="A183" s="23"/>
    </row>
    <row r="184" spans="1:9">
      <c r="A184" s="23" t="s">
        <v>139</v>
      </c>
    </row>
    <row r="185" spans="1:9">
      <c r="A185" s="23"/>
    </row>
    <row r="186" ht="15" customHeight="1" spans="1:9">
      <c r="A186" s="26" t="s">
        <v>140</v>
      </c>
      <c r="B186" s="27"/>
      <c r="C186" s="27"/>
      <c r="D186" s="27"/>
      <c r="E186" s="27"/>
      <c r="F186" s="27"/>
      <c r="G186" s="27"/>
      <c r="H186" s="27"/>
      <c r="I186" s="27"/>
    </row>
    <row r="187" spans="1:9">
      <c r="A187" s="23"/>
    </row>
    <row r="188" spans="1:9">
      <c r="A188" s="23" t="s">
        <v>141</v>
      </c>
    </row>
    <row r="189" ht="15" customHeight="1" spans="1:9">
      <c r="A189" s="26" t="s">
        <v>142</v>
      </c>
      <c r="B189" s="27"/>
      <c r="C189" s="27"/>
    </row>
    <row r="190" ht="15" customHeight="1" spans="1:9">
      <c r="A190" s="26" t="s">
        <v>143</v>
      </c>
      <c r="B190" s="27"/>
      <c r="C190" s="27"/>
      <c r="D190" s="27"/>
      <c r="E190" s="27"/>
    </row>
    <row r="191" ht="15" customHeight="1" spans="1:9">
      <c r="A191" s="26" t="s">
        <v>144</v>
      </c>
      <c r="B191" s="27"/>
      <c r="C191" s="27"/>
      <c r="D191" s="27"/>
      <c r="E191" s="27"/>
      <c r="F191" s="27"/>
      <c r="G191" s="27"/>
      <c r="H191" s="27"/>
      <c r="I191" s="27"/>
    </row>
    <row r="192" spans="1:9">
      <c r="A192" s="23"/>
    </row>
    <row r="193" spans="1:5">
      <c r="A193" s="22" t="s">
        <v>145</v>
      </c>
    </row>
    <row r="194" spans="1:5">
      <c r="A194" s="22" t="s">
        <v>146</v>
      </c>
    </row>
    <row r="195" spans="1:5">
      <c r="A195" s="22" t="s">
        <v>147</v>
      </c>
    </row>
    <row r="196" spans="1:5">
      <c r="A196" s="22" t="s">
        <v>148</v>
      </c>
    </row>
    <row r="197" ht="15" customHeight="1" spans="1:5">
      <c r="A197" s="26" t="s">
        <v>149</v>
      </c>
      <c r="B197" s="27"/>
      <c r="C197" s="27"/>
      <c r="D197" s="27"/>
      <c r="E197" s="27"/>
    </row>
    <row r="198" spans="1:5">
      <c r="A198" s="23"/>
    </row>
    <row r="199" spans="1:5">
      <c r="A199" s="23" t="s">
        <v>150</v>
      </c>
    </row>
    <row r="200" spans="1:5">
      <c r="A200" s="23"/>
    </row>
    <row r="201" spans="1:5">
      <c r="A201" s="23" t="s">
        <v>151</v>
      </c>
    </row>
    <row r="202" spans="1:5">
      <c r="A202" s="21" t="s">
        <v>152</v>
      </c>
    </row>
    <row r="203" spans="1:5">
      <c r="A203" s="22" t="s">
        <v>153</v>
      </c>
    </row>
    <row r="204" spans="1:5">
      <c r="A204" s="23"/>
    </row>
    <row r="205" spans="1:5">
      <c r="A205" s="23" t="s">
        <v>154</v>
      </c>
    </row>
    <row r="206" spans="1:5">
      <c r="A206" s="23"/>
    </row>
    <row r="207" spans="1:5">
      <c r="A207" s="22" t="s">
        <v>155</v>
      </c>
    </row>
    <row r="208" spans="1:5">
      <c r="A208" s="22" t="s">
        <v>156</v>
      </c>
    </row>
    <row r="209" spans="1:1">
      <c r="A209" s="23"/>
    </row>
    <row r="210" spans="1:1">
      <c r="A210" s="23" t="s">
        <v>157</v>
      </c>
    </row>
    <row r="211" spans="1:1">
      <c r="A211" s="23"/>
    </row>
    <row r="212" spans="1:1">
      <c r="A212" s="21" t="s">
        <v>158</v>
      </c>
    </row>
    <row r="213" spans="1:1">
      <c r="A213" s="23" t="s">
        <v>159</v>
      </c>
    </row>
    <row r="214" spans="1:1">
      <c r="A214" s="22" t="s">
        <v>160</v>
      </c>
    </row>
    <row r="215" spans="1:1">
      <c r="A215" s="23"/>
    </row>
    <row r="216" spans="1:1">
      <c r="A216" s="22" t="s">
        <v>161</v>
      </c>
    </row>
    <row r="217" spans="1:1">
      <c r="A217" s="23"/>
    </row>
    <row r="218" spans="1:1">
      <c r="A218" s="23" t="s">
        <v>162</v>
      </c>
    </row>
    <row r="219" spans="1:1">
      <c r="A219" s="22" t="s">
        <v>163</v>
      </c>
    </row>
    <row r="220" spans="1:1">
      <c r="A220" s="23" t="s">
        <v>164</v>
      </c>
    </row>
    <row r="221" spans="1:1">
      <c r="A221" s="22" t="s">
        <v>165</v>
      </c>
    </row>
    <row r="222" spans="1:1">
      <c r="A222" s="23" t="s">
        <v>166</v>
      </c>
    </row>
    <row r="223" spans="1:1">
      <c r="A223" s="23"/>
    </row>
    <row r="224" spans="1:1">
      <c r="A224" s="23" t="s">
        <v>167</v>
      </c>
    </row>
    <row r="225" spans="1:4">
      <c r="A225" s="23"/>
    </row>
    <row r="226" spans="1:4">
      <c r="A226" s="22" t="s">
        <v>168</v>
      </c>
    </row>
    <row r="227" ht="15" customHeight="1" spans="1:4">
      <c r="A227" s="26" t="s">
        <v>169</v>
      </c>
      <c r="B227" s="27"/>
      <c r="C227" s="27"/>
      <c r="D227" s="27"/>
    </row>
    <row r="228" spans="1:4">
      <c r="A228" s="22" t="s">
        <v>170</v>
      </c>
    </row>
    <row r="229" spans="1:4">
      <c r="A229" s="23" t="s">
        <v>171</v>
      </c>
    </row>
    <row r="230" spans="1:4">
      <c r="A230" s="31" t="s">
        <v>172</v>
      </c>
    </row>
    <row r="231" ht="15" customHeight="1" spans="1:4">
      <c r="A231" s="24" t="s">
        <v>173</v>
      </c>
      <c r="B231" s="25"/>
      <c r="C231" s="25"/>
    </row>
    <row r="232" spans="1:4">
      <c r="A232" s="23" t="s">
        <v>174</v>
      </c>
    </row>
    <row r="233" ht="15" customHeight="1" spans="1:4">
      <c r="A233" s="24" t="s">
        <v>175</v>
      </c>
      <c r="B233" s="25"/>
      <c r="C233" s="25"/>
    </row>
    <row r="234" spans="1:4">
      <c r="A234" s="22" t="s">
        <v>176</v>
      </c>
    </row>
    <row r="235" spans="1:4">
      <c r="A235" s="31" t="s">
        <v>177</v>
      </c>
    </row>
    <row r="236" spans="1:4">
      <c r="A236" s="22" t="s">
        <v>178</v>
      </c>
    </row>
    <row r="237" spans="1:4">
      <c r="A237" s="23"/>
    </row>
    <row r="238" spans="1:4">
      <c r="A238" s="23" t="s">
        <v>179</v>
      </c>
    </row>
    <row r="239" spans="1:4">
      <c r="A239" s="23"/>
    </row>
    <row r="240" spans="1:4">
      <c r="A240" s="22" t="s">
        <v>180</v>
      </c>
    </row>
    <row r="241" spans="1:6">
      <c r="A241" s="23" t="s">
        <v>181</v>
      </c>
    </row>
    <row r="242" spans="1:6">
      <c r="A242" s="22" t="s">
        <v>182</v>
      </c>
    </row>
    <row r="243" spans="1:6">
      <c r="A243" s="22" t="s">
        <v>183</v>
      </c>
    </row>
    <row r="244" spans="1:6">
      <c r="A244" s="22" t="s">
        <v>184</v>
      </c>
    </row>
    <row r="245" spans="1:6">
      <c r="A245" s="23"/>
    </row>
    <row r="246" spans="1:6">
      <c r="A246" s="23" t="s">
        <v>185</v>
      </c>
    </row>
    <row r="247" spans="1:6">
      <c r="A247" s="21" t="s">
        <v>186</v>
      </c>
    </row>
    <row r="248" spans="1:6">
      <c r="A248" s="22" t="s">
        <v>187</v>
      </c>
    </row>
    <row r="249" spans="1:6">
      <c r="A249" s="22" t="s">
        <v>188</v>
      </c>
    </row>
    <row r="250" spans="1:6">
      <c r="A250" s="23"/>
    </row>
    <row r="251" spans="1:6">
      <c r="A251" s="23" t="s">
        <v>189</v>
      </c>
    </row>
    <row r="252" spans="1:6">
      <c r="A252" s="23"/>
    </row>
    <row r="253" spans="1:6">
      <c r="A253" s="23" t="s">
        <v>190</v>
      </c>
    </row>
    <row r="254" spans="1:6">
      <c r="A254" s="22" t="s">
        <v>191</v>
      </c>
    </row>
    <row r="255" ht="15" customHeight="1" spans="1:6">
      <c r="A255" s="26" t="s">
        <v>192</v>
      </c>
      <c r="B255" s="27"/>
      <c r="C255" s="27"/>
      <c r="D255" s="27"/>
      <c r="E255" s="27"/>
      <c r="F255" s="27"/>
    </row>
    <row r="256" spans="1:6">
      <c r="A256" s="22" t="s">
        <v>193</v>
      </c>
    </row>
    <row r="257" ht="15" customHeight="1" spans="1:3">
      <c r="A257" s="26" t="s">
        <v>194</v>
      </c>
      <c r="B257" s="27"/>
      <c r="C257" s="27"/>
    </row>
    <row r="258" spans="1:3">
      <c r="A258" s="23"/>
    </row>
    <row r="259" spans="1:3">
      <c r="A259" s="32" t="s">
        <v>195</v>
      </c>
    </row>
    <row r="260" spans="1:3">
      <c r="A260" s="23" t="s">
        <v>93</v>
      </c>
    </row>
    <row r="261" spans="1:3">
      <c r="A261" s="23" t="s">
        <v>96</v>
      </c>
    </row>
    <row r="262" spans="1:3">
      <c r="A262" s="23" t="s">
        <v>111</v>
      </c>
    </row>
    <row r="263" spans="1:3">
      <c r="A263" s="23" t="s">
        <v>119</v>
      </c>
    </row>
    <row r="264" spans="1:3">
      <c r="A264" s="23" t="s">
        <v>130</v>
      </c>
    </row>
    <row r="265" spans="1:3">
      <c r="A265" s="23" t="s">
        <v>134</v>
      </c>
    </row>
    <row r="266" spans="1:3">
      <c r="A266" s="23" t="s">
        <v>139</v>
      </c>
    </row>
    <row r="267" spans="1:3">
      <c r="A267" s="23" t="s">
        <v>150</v>
      </c>
    </row>
    <row r="268" spans="1:3">
      <c r="A268" s="23" t="s">
        <v>154</v>
      </c>
    </row>
    <row r="269" spans="1:3">
      <c r="A269" s="23" t="s">
        <v>157</v>
      </c>
    </row>
    <row r="270" spans="1:3">
      <c r="A270" s="23" t="s">
        <v>167</v>
      </c>
    </row>
    <row r="271" spans="1:3">
      <c r="A271" s="23" t="s">
        <v>179</v>
      </c>
    </row>
    <row r="272" spans="1:3">
      <c r="A272" s="23" t="s">
        <v>189</v>
      </c>
    </row>
    <row r="273" spans="1:1">
      <c r="A273" s="23"/>
    </row>
    <row r="274" spans="1:1">
      <c r="A274" s="30" t="s">
        <v>196</v>
      </c>
    </row>
    <row r="275" spans="1:1">
      <c r="A275" s="21" t="s">
        <v>197</v>
      </c>
    </row>
    <row r="276" spans="1:1">
      <c r="A276" s="21" t="s">
        <v>198</v>
      </c>
    </row>
  </sheetData>
  <mergeCells count="28">
    <mergeCell ref="A4:J4"/>
    <mergeCell ref="A5:J5"/>
    <mergeCell ref="A15:I15"/>
    <mergeCell ref="A24:I24"/>
    <mergeCell ref="A45:I45"/>
    <mergeCell ref="A46:J46"/>
    <mergeCell ref="A53:K53"/>
    <mergeCell ref="A54:J54"/>
    <mergeCell ref="A73:J73"/>
    <mergeCell ref="A74:J74"/>
    <mergeCell ref="A75:I75"/>
    <mergeCell ref="A76:I76"/>
    <mergeCell ref="A84:I84"/>
    <mergeCell ref="A106:J106"/>
    <mergeCell ref="A125:I125"/>
    <mergeCell ref="A173:N173"/>
    <mergeCell ref="A181:K181"/>
    <mergeCell ref="A182:AJ182"/>
    <mergeCell ref="A186:Y186"/>
    <mergeCell ref="A189:J189"/>
    <mergeCell ref="A190:M190"/>
    <mergeCell ref="A191:X191"/>
    <mergeCell ref="A197:L197"/>
    <mergeCell ref="A227:J227"/>
    <mergeCell ref="A231:I231"/>
    <mergeCell ref="A233:I233"/>
    <mergeCell ref="A255:M255"/>
    <mergeCell ref="A257:I257"/>
  </mergeCells>
  <pageMargins left="0.75" right="0.75" top="1" bottom="1" header="0.511811023622047" footer="0.511811023622047"/>
  <pageSetup paperSize="9" orientation="portrait" horizontalDpi="300" verticalDpi="300"/>
  <headerFooter/>
  <ignoredErrors>
    <ignoredError sqref="A1:AO296" evalError="1" twoDigitTextYear="1" numberStoredAsText="1" formula="1" formulaRange="1" unlockedFormula="1" emptyCellReference="1" listDataValidation="1" calculatedColumn="1"/>
  </ignoredError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8"/>
  <sheetViews>
    <sheetView tabSelected="1" topLeftCell="A3" workbookViewId="0">
      <selection activeCell="H32" sqref="H32"/>
    </sheetView>
  </sheetViews>
  <sheetFormatPr defaultColWidth="7.69166666666667" defaultRowHeight="18.5" outlineLevelCol="7"/>
  <cols>
    <col min="1" max="1" width="27.3083333333333" style="1" customWidth="1"/>
    <col min="2" max="7" width="14.5583333333333" style="1" customWidth="1"/>
    <col min="8" max="8" width="50.95" style="1" customWidth="1"/>
  </cols>
  <sheetData>
    <row r="1" ht="22.5" spans="1:8">
      <c r="A1" s="2" t="s">
        <v>199</v>
      </c>
      <c r="B1" s="2"/>
      <c r="C1" s="2"/>
      <c r="D1" s="2"/>
      <c r="E1" s="2"/>
      <c r="F1" s="2"/>
      <c r="G1" s="2"/>
      <c r="H1" s="2"/>
    </row>
    <row r="3" spans="1:8">
      <c r="A3" s="3" t="s">
        <v>200</v>
      </c>
      <c r="B3" s="3"/>
      <c r="C3" s="3"/>
      <c r="D3" s="4"/>
      <c r="E3" s="4"/>
      <c r="F3" s="4"/>
      <c r="G3" s="4"/>
      <c r="H3" s="4"/>
    </row>
    <row r="4" spans="1:8">
      <c r="A4" s="5" t="s">
        <v>201</v>
      </c>
      <c r="B4" s="5" t="s">
        <v>202</v>
      </c>
      <c r="C4" s="5" t="s">
        <v>87</v>
      </c>
      <c r="D4" s="5"/>
      <c r="E4" s="5"/>
      <c r="F4" s="5"/>
      <c r="G4" s="5"/>
      <c r="H4" s="5"/>
    </row>
    <row r="5" spans="1:8">
      <c r="A5" s="1" t="s">
        <v>203</v>
      </c>
      <c r="B5" s="6" t="s">
        <v>204</v>
      </c>
      <c r="C5" s="7" t="s">
        <v>205</v>
      </c>
      <c r="D5" s="7"/>
      <c r="E5" s="7"/>
    </row>
    <row r="6" spans="1:8">
      <c r="A6" s="1" t="s">
        <v>206</v>
      </c>
      <c r="B6" s="6">
        <v>5</v>
      </c>
      <c r="C6" s="8" t="s">
        <v>207</v>
      </c>
    </row>
    <row r="7" spans="1:8">
      <c r="A7" s="1" t="s">
        <v>208</v>
      </c>
      <c r="B7" s="6">
        <v>3</v>
      </c>
      <c r="C7" s="8" t="s">
        <v>209</v>
      </c>
    </row>
    <row r="8" spans="1:8">
      <c r="A8" s="1" t="s">
        <v>210</v>
      </c>
      <c r="B8" s="9">
        <f>B6*B7</f>
        <v>15</v>
      </c>
      <c r="C8" s="7" t="s">
        <v>211</v>
      </c>
      <c r="D8" s="7"/>
    </row>
    <row r="9" spans="1:8">
      <c r="A9" s="1" t="s">
        <v>212</v>
      </c>
      <c r="B9" s="6">
        <v>5</v>
      </c>
      <c r="C9" s="7" t="s">
        <v>213</v>
      </c>
      <c r="D9" s="7"/>
      <c r="E9" s="7"/>
    </row>
    <row r="10" spans="1:8">
      <c r="A10" s="1" t="s">
        <v>214</v>
      </c>
      <c r="B10" s="6">
        <v>1</v>
      </c>
      <c r="C10" s="7" t="s">
        <v>215</v>
      </c>
      <c r="D10" s="7"/>
    </row>
    <row r="11" spans="1:8">
      <c r="A11" s="1" t="s">
        <v>216</v>
      </c>
      <c r="B11" s="9">
        <f>B9*B10</f>
        <v>5</v>
      </c>
      <c r="C11" s="7" t="s">
        <v>217</v>
      </c>
      <c r="D11" s="7"/>
    </row>
    <row r="12" spans="1:8">
      <c r="A12" s="1" t="s">
        <v>218</v>
      </c>
      <c r="B12" s="10" t="s">
        <v>219</v>
      </c>
      <c r="C12" s="7" t="s">
        <v>220</v>
      </c>
      <c r="D12" s="7"/>
      <c r="E12" s="7"/>
      <c r="F12" s="7"/>
    </row>
    <row r="14" spans="1:8">
      <c r="A14" s="3" t="s">
        <v>221</v>
      </c>
      <c r="B14" s="3"/>
      <c r="C14" s="3"/>
      <c r="D14" s="4"/>
      <c r="E14" s="4"/>
      <c r="F14" s="4"/>
      <c r="G14" s="4"/>
      <c r="H14" s="4"/>
    </row>
    <row r="15" spans="1:8">
      <c r="A15" s="5" t="s">
        <v>222</v>
      </c>
      <c r="B15" s="5" t="s">
        <v>223</v>
      </c>
      <c r="C15" s="11" t="s">
        <v>224</v>
      </c>
      <c r="D15" s="11"/>
      <c r="E15" s="5"/>
      <c r="F15" s="5"/>
      <c r="G15" s="5"/>
      <c r="H15" s="5"/>
    </row>
    <row r="16" spans="1:8">
      <c r="A16" s="1" t="s">
        <v>102</v>
      </c>
      <c r="B16" s="1" t="s">
        <v>225</v>
      </c>
      <c r="C16" s="7" t="s">
        <v>226</v>
      </c>
      <c r="D16" s="7"/>
    </row>
    <row r="17" spans="1:8">
      <c r="A17" s="1" t="s">
        <v>113</v>
      </c>
      <c r="B17" s="1" t="s">
        <v>227</v>
      </c>
      <c r="C17" s="7" t="s">
        <v>228</v>
      </c>
      <c r="D17" s="7"/>
      <c r="E17" s="7"/>
    </row>
    <row r="18" spans="1:8">
      <c r="A18" s="1" t="s">
        <v>127</v>
      </c>
      <c r="B18" s="1" t="s">
        <v>229</v>
      </c>
      <c r="C18" s="1" t="s">
        <v>230</v>
      </c>
    </row>
    <row r="19" spans="1:8">
      <c r="A19" s="1" t="s">
        <v>135</v>
      </c>
      <c r="B19" s="1" t="s">
        <v>231</v>
      </c>
      <c r="C19" s="7" t="s">
        <v>232</v>
      </c>
      <c r="D19" s="7"/>
      <c r="E19" s="7"/>
    </row>
    <row r="20" spans="1:8">
      <c r="A20" s="1" t="s">
        <v>151</v>
      </c>
      <c r="B20" s="1" t="s">
        <v>233</v>
      </c>
      <c r="C20" s="1" t="s">
        <v>234</v>
      </c>
    </row>
    <row r="21" spans="1:8">
      <c r="A21" s="8" t="s">
        <v>172</v>
      </c>
      <c r="B21" s="1" t="s">
        <v>235</v>
      </c>
      <c r="C21" s="7" t="s">
        <v>236</v>
      </c>
      <c r="D21" s="7"/>
      <c r="E21" s="7"/>
      <c r="F21" s="7"/>
    </row>
    <row r="22" spans="1:8">
      <c r="A22" s="1" t="s">
        <v>237</v>
      </c>
      <c r="B22" s="1" t="s">
        <v>238</v>
      </c>
      <c r="C22" s="1" t="s">
        <v>239</v>
      </c>
    </row>
    <row r="24" spans="1:8">
      <c r="A24" s="3" t="s">
        <v>240</v>
      </c>
      <c r="B24" s="3"/>
      <c r="C24" s="3"/>
      <c r="D24" s="3"/>
      <c r="E24" s="3"/>
      <c r="F24" s="3"/>
      <c r="G24" s="4"/>
      <c r="H24" s="4"/>
    </row>
    <row r="25" spans="1:8">
      <c r="A25" s="5" t="s">
        <v>241</v>
      </c>
      <c r="B25" s="5" t="s">
        <v>242</v>
      </c>
      <c r="C25" s="5" t="s">
        <v>243</v>
      </c>
      <c r="D25" s="5" t="s">
        <v>244</v>
      </c>
      <c r="E25" s="5" t="s">
        <v>245</v>
      </c>
      <c r="F25" s="5" t="s">
        <v>246</v>
      </c>
      <c r="G25" s="5" t="s">
        <v>87</v>
      </c>
      <c r="H25" s="5"/>
    </row>
    <row r="26" spans="1:8">
      <c r="A26" s="1">
        <v>1</v>
      </c>
      <c r="B26" s="6" t="s">
        <v>247</v>
      </c>
      <c r="C26" s="6" t="s">
        <v>247</v>
      </c>
      <c r="D26" s="6" t="s">
        <v>247</v>
      </c>
      <c r="E26" s="6" t="s">
        <v>247</v>
      </c>
      <c r="F26" s="6" t="s">
        <v>247</v>
      </c>
    </row>
    <row r="27" spans="1:8">
      <c r="A27" s="1">
        <v>2</v>
      </c>
      <c r="B27" s="6" t="s">
        <v>248</v>
      </c>
      <c r="C27" s="6" t="s">
        <v>247</v>
      </c>
      <c r="D27" s="6" t="s">
        <v>247</v>
      </c>
      <c r="E27" s="6" t="s">
        <v>247</v>
      </c>
      <c r="F27" s="6" t="s">
        <v>247</v>
      </c>
    </row>
    <row r="28" spans="1:8">
      <c r="A28" s="1">
        <v>3</v>
      </c>
      <c r="B28" s="6" t="s">
        <v>248</v>
      </c>
      <c r="C28" s="6" t="s">
        <v>247</v>
      </c>
      <c r="D28" s="6" t="s">
        <v>247</v>
      </c>
      <c r="E28" s="6" t="s">
        <v>247</v>
      </c>
      <c r="F28" s="6" t="s">
        <v>247</v>
      </c>
    </row>
    <row r="29" spans="1:8">
      <c r="A29" s="1">
        <v>4</v>
      </c>
      <c r="B29" s="6" t="s">
        <v>248</v>
      </c>
      <c r="C29" s="6" t="s">
        <v>249</v>
      </c>
      <c r="D29" s="6" t="s">
        <v>249</v>
      </c>
      <c r="E29" s="6" t="s">
        <v>249</v>
      </c>
      <c r="F29" s="6" t="s">
        <v>249</v>
      </c>
    </row>
    <row r="30" spans="1:8">
      <c r="A30" s="1">
        <v>5</v>
      </c>
      <c r="B30" s="6" t="s">
        <v>250</v>
      </c>
      <c r="C30" s="6" t="s">
        <v>248</v>
      </c>
      <c r="D30" s="6" t="s">
        <v>248</v>
      </c>
      <c r="E30" s="6" t="s">
        <v>248</v>
      </c>
      <c r="F30" s="6" t="s">
        <v>248</v>
      </c>
    </row>
    <row r="31" spans="1:8">
      <c r="A31" s="1">
        <v>6</v>
      </c>
      <c r="B31" s="6" t="s">
        <v>250</v>
      </c>
      <c r="C31" s="6" t="s">
        <v>248</v>
      </c>
      <c r="D31" s="6" t="s">
        <v>248</v>
      </c>
      <c r="E31" s="6" t="s">
        <v>248</v>
      </c>
      <c r="F31" s="6" t="s">
        <v>248</v>
      </c>
    </row>
    <row r="32" spans="1:8">
      <c r="A32" s="1">
        <v>7</v>
      </c>
      <c r="B32" s="6" t="s">
        <v>250</v>
      </c>
      <c r="C32" s="6" t="s">
        <v>248</v>
      </c>
      <c r="D32" s="6" t="s">
        <v>248</v>
      </c>
      <c r="E32" s="6" t="s">
        <v>248</v>
      </c>
      <c r="F32" s="6" t="s">
        <v>248</v>
      </c>
    </row>
    <row r="33" spans="1:8">
      <c r="A33" s="1">
        <v>8</v>
      </c>
      <c r="B33" s="6" t="s">
        <v>250</v>
      </c>
      <c r="C33" s="6" t="s">
        <v>250</v>
      </c>
      <c r="D33" s="6" t="s">
        <v>250</v>
      </c>
      <c r="E33" s="6" t="s">
        <v>250</v>
      </c>
      <c r="F33" s="6" t="s">
        <v>250</v>
      </c>
    </row>
    <row r="34" spans="1:8">
      <c r="A34" s="1">
        <v>9</v>
      </c>
      <c r="B34" s="34">
        <v>10</v>
      </c>
      <c r="C34" s="6" t="s">
        <v>250</v>
      </c>
      <c r="D34" s="6" t="s">
        <v>250</v>
      </c>
      <c r="E34" s="6" t="s">
        <v>250</v>
      </c>
      <c r="F34" s="6" t="s">
        <v>250</v>
      </c>
    </row>
    <row r="35" spans="1:8">
      <c r="A35" s="1">
        <v>10</v>
      </c>
      <c r="B35" s="34">
        <v>10</v>
      </c>
      <c r="C35" s="6" t="s">
        <v>250</v>
      </c>
      <c r="D35" s="6" t="s">
        <v>250</v>
      </c>
      <c r="E35" s="6" t="s">
        <v>250</v>
      </c>
      <c r="F35" s="6" t="s">
        <v>250</v>
      </c>
    </row>
    <row r="36" spans="1:8">
      <c r="A36" s="1">
        <v>11</v>
      </c>
      <c r="B36" s="34">
        <v>10</v>
      </c>
      <c r="C36" s="6" t="s">
        <v>250</v>
      </c>
      <c r="D36" s="6" t="s">
        <v>250</v>
      </c>
      <c r="E36" s="6" t="s">
        <v>250</v>
      </c>
      <c r="F36" s="6" t="s">
        <v>250</v>
      </c>
    </row>
    <row r="37" spans="1:8">
      <c r="A37" s="1">
        <v>12</v>
      </c>
      <c r="B37" s="34">
        <v>10</v>
      </c>
      <c r="C37" s="6" t="s">
        <v>250</v>
      </c>
      <c r="D37" s="34">
        <v>10</v>
      </c>
      <c r="E37" s="34">
        <v>10</v>
      </c>
      <c r="F37" s="34">
        <v>10</v>
      </c>
    </row>
    <row r="38" spans="1:8">
      <c r="A38" s="1">
        <v>13</v>
      </c>
      <c r="B38" s="34">
        <v>10</v>
      </c>
      <c r="C38" s="34">
        <v>10</v>
      </c>
      <c r="D38" s="34">
        <v>10</v>
      </c>
      <c r="E38" s="34">
        <v>10</v>
      </c>
      <c r="F38" s="34">
        <v>10</v>
      </c>
    </row>
    <row r="39" spans="1:8">
      <c r="A39" s="1">
        <v>14</v>
      </c>
      <c r="B39" s="34">
        <v>9</v>
      </c>
      <c r="C39" s="34">
        <v>10</v>
      </c>
      <c r="D39" s="34">
        <v>10</v>
      </c>
      <c r="E39" s="34">
        <v>10</v>
      </c>
      <c r="F39" s="34">
        <v>10</v>
      </c>
    </row>
    <row r="40" spans="1:8">
      <c r="A40" s="1">
        <v>15</v>
      </c>
      <c r="B40" s="34">
        <v>9</v>
      </c>
      <c r="C40" s="34">
        <v>10</v>
      </c>
      <c r="D40" s="34">
        <v>10</v>
      </c>
      <c r="E40" s="34">
        <v>10</v>
      </c>
      <c r="F40" s="34">
        <v>10</v>
      </c>
    </row>
    <row r="41" spans="1:8">
      <c r="A41" s="1">
        <v>16</v>
      </c>
      <c r="B41" s="34">
        <v>9</v>
      </c>
      <c r="C41" s="34">
        <v>9</v>
      </c>
      <c r="D41" s="34">
        <v>9</v>
      </c>
      <c r="E41" s="34">
        <v>9</v>
      </c>
      <c r="F41" s="34">
        <v>9</v>
      </c>
    </row>
    <row r="42" spans="1:8">
      <c r="A42" s="1">
        <v>17</v>
      </c>
      <c r="B42" s="34">
        <v>9</v>
      </c>
      <c r="C42" s="34">
        <v>9</v>
      </c>
      <c r="D42" s="34">
        <v>9</v>
      </c>
      <c r="E42" s="34">
        <v>9</v>
      </c>
      <c r="F42" s="34">
        <v>9</v>
      </c>
    </row>
    <row r="43" spans="1:8">
      <c r="A43" s="1">
        <v>18</v>
      </c>
      <c r="B43" s="34">
        <v>9</v>
      </c>
      <c r="C43" s="34">
        <v>9</v>
      </c>
      <c r="D43" s="34">
        <v>9</v>
      </c>
      <c r="E43" s="34">
        <v>9</v>
      </c>
      <c r="F43" s="34">
        <v>9</v>
      </c>
    </row>
    <row r="44" spans="1:8">
      <c r="A44" s="1">
        <v>19</v>
      </c>
      <c r="B44" s="34">
        <v>9</v>
      </c>
      <c r="C44" s="34">
        <v>9</v>
      </c>
      <c r="D44" s="34">
        <v>9</v>
      </c>
      <c r="E44" s="34">
        <v>9</v>
      </c>
      <c r="F44" s="34">
        <v>9</v>
      </c>
    </row>
    <row r="45" spans="1:8">
      <c r="A45" s="1">
        <v>20</v>
      </c>
      <c r="B45" s="6" t="s">
        <v>253</v>
      </c>
      <c r="C45" s="6" t="s">
        <v>253</v>
      </c>
      <c r="D45" s="6" t="s">
        <v>253</v>
      </c>
      <c r="E45" s="6" t="s">
        <v>253</v>
      </c>
      <c r="F45" s="6" t="s">
        <v>253</v>
      </c>
    </row>
    <row r="46" spans="1:8">
      <c r="A46" s="1" t="s">
        <v>254</v>
      </c>
      <c r="B46" s="12">
        <f>COUNTA(B26:B45)</f>
        <v>20</v>
      </c>
      <c r="C46" s="12">
        <f>COUNTA(C26:C45)</f>
        <v>20</v>
      </c>
      <c r="D46" s="12">
        <f>COUNTA(D26:D45)</f>
        <v>20</v>
      </c>
      <c r="E46" s="12">
        <f>COUNTA(E26:E45)</f>
        <v>20</v>
      </c>
      <c r="F46" s="12">
        <f>COUNTA(F26:F45)</f>
        <v>20</v>
      </c>
      <c r="G46" s="7" t="s">
        <v>255</v>
      </c>
      <c r="H46" s="7"/>
    </row>
    <row r="48" spans="1:8">
      <c r="A48" s="3" t="s">
        <v>256</v>
      </c>
      <c r="B48" s="3"/>
      <c r="C48" s="3"/>
      <c r="D48" s="3"/>
      <c r="E48" s="3"/>
      <c r="F48" s="3"/>
      <c r="G48" s="4"/>
      <c r="H48" s="4"/>
    </row>
    <row r="49" spans="1:8">
      <c r="A49" s="5" t="s">
        <v>257</v>
      </c>
      <c r="B49" s="5" t="s">
        <v>258</v>
      </c>
      <c r="C49" s="5" t="s">
        <v>242</v>
      </c>
      <c r="D49" s="5" t="s">
        <v>243</v>
      </c>
      <c r="E49" s="5" t="s">
        <v>244</v>
      </c>
      <c r="F49" s="5" t="s">
        <v>245</v>
      </c>
      <c r="G49" s="5" t="s">
        <v>246</v>
      </c>
      <c r="H49" s="5" t="s">
        <v>87</v>
      </c>
    </row>
    <row r="50" spans="1:8">
      <c r="A50" s="8" t="s">
        <v>247</v>
      </c>
      <c r="B50" s="1" t="s">
        <v>259</v>
      </c>
      <c r="C50" s="12">
        <f>COUNTIF(B26:B45,"K")</f>
        <v>1</v>
      </c>
      <c r="D50" s="12">
        <f>COUNTIF(C26:C45,"K")</f>
        <v>3</v>
      </c>
      <c r="E50" s="12">
        <f>COUNTIF(D26:D45,"K")</f>
        <v>3</v>
      </c>
      <c r="F50" s="12">
        <f>COUNTIF(E26:E45,"K")</f>
        <v>3</v>
      </c>
      <c r="G50" s="12">
        <f>COUNTIF(F26:F45,"K")</f>
        <v>3</v>
      </c>
      <c r="H50" s="1" t="s">
        <v>260</v>
      </c>
    </row>
    <row r="51" spans="1:8">
      <c r="A51" s="8" t="s">
        <v>248</v>
      </c>
      <c r="B51" s="1" t="s">
        <v>259</v>
      </c>
      <c r="C51" s="12">
        <f>COUNTIF(B26:B45,"Q")</f>
        <v>3</v>
      </c>
      <c r="D51" s="12">
        <f>COUNTIF(C26:C45,"Q")</f>
        <v>3</v>
      </c>
      <c r="E51" s="12">
        <f>COUNTIF(D26:D45,"Q")</f>
        <v>3</v>
      </c>
      <c r="F51" s="12">
        <f>COUNTIF(E26:E45,"Q")</f>
        <v>3</v>
      </c>
      <c r="G51" s="12">
        <f>COUNTIF(F26:F45,"Q")</f>
        <v>3</v>
      </c>
      <c r="H51" s="1" t="s">
        <v>260</v>
      </c>
    </row>
    <row r="52" spans="1:8">
      <c r="A52" s="8" t="s">
        <v>250</v>
      </c>
      <c r="B52" s="1" t="s">
        <v>259</v>
      </c>
      <c r="C52" s="12">
        <f>COUNTIF(B26:B45,"J")</f>
        <v>4</v>
      </c>
      <c r="D52" s="12">
        <f>COUNTIF(C26:C45,"J")</f>
        <v>5</v>
      </c>
      <c r="E52" s="12">
        <f>COUNTIF(D26:D45,"J")</f>
        <v>4</v>
      </c>
      <c r="F52" s="12">
        <f>COUNTIF(E26:E45,"J")</f>
        <v>4</v>
      </c>
      <c r="G52" s="12">
        <f>COUNTIF(F26:F45,"J")</f>
        <v>4</v>
      </c>
      <c r="H52" s="1" t="s">
        <v>260</v>
      </c>
    </row>
    <row r="53" spans="1:8">
      <c r="A53" s="35">
        <v>10</v>
      </c>
      <c r="B53" s="1" t="s">
        <v>259</v>
      </c>
      <c r="C53" s="12">
        <f>COUNTIF(B26:B45,"10")</f>
        <v>5</v>
      </c>
      <c r="D53" s="12">
        <f>COUNTIF(C26:C45,"10")</f>
        <v>3</v>
      </c>
      <c r="E53" s="12">
        <f>COUNTIF(D26:D45,"10")</f>
        <v>4</v>
      </c>
      <c r="F53" s="12">
        <f>COUNTIF(E26:E45,"10")</f>
        <v>4</v>
      </c>
      <c r="G53" s="12">
        <f>COUNTIF(F26:F45,"10")</f>
        <v>4</v>
      </c>
      <c r="H53" s="1" t="s">
        <v>260</v>
      </c>
    </row>
    <row r="54" spans="1:8">
      <c r="A54" s="35">
        <v>9</v>
      </c>
      <c r="B54" s="1" t="s">
        <v>259</v>
      </c>
      <c r="C54" s="12">
        <f>COUNTIF(B26:B45,"9")</f>
        <v>6</v>
      </c>
      <c r="D54" s="12">
        <f>COUNTIF(C26:C45,"9")</f>
        <v>4</v>
      </c>
      <c r="E54" s="12">
        <f>COUNTIF(D26:D45,"9")</f>
        <v>4</v>
      </c>
      <c r="F54" s="12">
        <f>COUNTIF(E26:E45,"9")</f>
        <v>4</v>
      </c>
      <c r="G54" s="12">
        <f>COUNTIF(F26:F45,"9")</f>
        <v>4</v>
      </c>
      <c r="H54" s="1" t="s">
        <v>260</v>
      </c>
    </row>
    <row r="55" spans="1:8">
      <c r="A55" s="8" t="s">
        <v>249</v>
      </c>
      <c r="B55" s="1" t="s">
        <v>261</v>
      </c>
      <c r="C55" s="12">
        <f>COUNTIF(B26:B45,"W")</f>
        <v>0</v>
      </c>
      <c r="D55" s="12">
        <f>COUNTIF(C26:C45,"W")</f>
        <v>1</v>
      </c>
      <c r="E55" s="12">
        <f>COUNTIF(D26:D45,"W")</f>
        <v>1</v>
      </c>
      <c r="F55" s="12">
        <f>COUNTIF(E26:E45,"W")</f>
        <v>1</v>
      </c>
      <c r="G55" s="12">
        <f>COUNTIF(F26:F45,"W")</f>
        <v>1</v>
      </c>
      <c r="H55" s="1" t="s">
        <v>262</v>
      </c>
    </row>
    <row r="56" spans="1:8">
      <c r="A56" s="8" t="s">
        <v>253</v>
      </c>
      <c r="B56" s="1" t="s">
        <v>263</v>
      </c>
      <c r="C56" s="12">
        <f>COUNTIF(B26:B45,"S")</f>
        <v>1</v>
      </c>
      <c r="D56" s="12">
        <f>COUNTIF(C26:C45,"S")</f>
        <v>1</v>
      </c>
      <c r="E56" s="12">
        <f>COUNTIF(D26:D45,"S")</f>
        <v>1</v>
      </c>
      <c r="F56" s="12">
        <f>COUNTIF(E26:E45,"S")</f>
        <v>1</v>
      </c>
      <c r="G56" s="12">
        <f>COUNTIF(F26:F45,"S")</f>
        <v>1</v>
      </c>
      <c r="H56" s="1" t="s">
        <v>264</v>
      </c>
    </row>
    <row r="57" spans="1:8">
      <c r="A57" s="1" t="s">
        <v>265</v>
      </c>
      <c r="C57" s="12">
        <f>SUM(C50:C56)</f>
        <v>20</v>
      </c>
      <c r="D57" s="12">
        <f>SUM(D50:D56)</f>
        <v>20</v>
      </c>
      <c r="E57" s="12">
        <f>SUM(E50:E56)</f>
        <v>20</v>
      </c>
      <c r="F57" s="12">
        <f>SUM(F50:F56)</f>
        <v>20</v>
      </c>
      <c r="G57" s="12">
        <f>SUM(G50:G56)</f>
        <v>20</v>
      </c>
      <c r="H57" s="1" t="s">
        <v>266</v>
      </c>
    </row>
    <row r="59" spans="1:8">
      <c r="A59" s="3" t="s">
        <v>267</v>
      </c>
      <c r="B59" s="3"/>
      <c r="C59" s="3"/>
      <c r="D59" s="3"/>
      <c r="E59" s="3"/>
      <c r="F59" s="3"/>
      <c r="G59" s="4"/>
      <c r="H59" s="4"/>
    </row>
    <row r="60" spans="1:8">
      <c r="A60" s="5" t="s">
        <v>257</v>
      </c>
      <c r="B60" s="36">
        <v>3</v>
      </c>
      <c r="C60" s="36">
        <v>4</v>
      </c>
      <c r="D60" s="36">
        <v>5</v>
      </c>
      <c r="E60" s="5" t="s">
        <v>271</v>
      </c>
      <c r="F60" s="5" t="s">
        <v>87</v>
      </c>
      <c r="G60" s="5"/>
      <c r="H60" s="5"/>
    </row>
    <row r="61" spans="1:8">
      <c r="A61" s="8" t="s">
        <v>247</v>
      </c>
      <c r="B61" s="6">
        <v>5</v>
      </c>
      <c r="C61" s="6">
        <v>30</v>
      </c>
      <c r="D61" s="6">
        <v>100</v>
      </c>
      <c r="E61" s="14" t="str">
        <f>IF(AND(B61&lt;C61,C61&lt;D61),"✓","✗")</f>
        <v>✓</v>
      </c>
      <c r="F61" s="8" t="s">
        <v>272</v>
      </c>
    </row>
    <row r="62" spans="1:8">
      <c r="A62" s="8" t="s">
        <v>248</v>
      </c>
      <c r="B62" s="6">
        <v>5</v>
      </c>
      <c r="C62" s="6">
        <v>25</v>
      </c>
      <c r="D62" s="6">
        <v>100</v>
      </c>
      <c r="E62" s="14" t="str">
        <f>IF(AND(B62&lt;C62,C62&lt;D62),"✓","✗")</f>
        <v>✓</v>
      </c>
      <c r="F62" s="8" t="s">
        <v>273</v>
      </c>
    </row>
    <row r="63" spans="1:8">
      <c r="A63" s="8" t="s">
        <v>250</v>
      </c>
      <c r="B63" s="6">
        <v>5</v>
      </c>
      <c r="C63" s="6">
        <v>20</v>
      </c>
      <c r="D63" s="6">
        <v>75</v>
      </c>
      <c r="E63" s="14" t="str">
        <f>IF(AND(B63&lt;C63,C63&lt;D63),"✓","✗")</f>
        <v>✓</v>
      </c>
      <c r="F63" s="8" t="s">
        <v>274</v>
      </c>
    </row>
    <row r="64" spans="1:8">
      <c r="A64" s="35">
        <v>10</v>
      </c>
      <c r="B64" s="6">
        <v>5</v>
      </c>
      <c r="C64" s="6">
        <v>20</v>
      </c>
      <c r="D64" s="6">
        <v>75</v>
      </c>
      <c r="E64" s="14" t="str">
        <f>IF(AND(B64&lt;C64,C64&lt;D64),"✓","✗")</f>
        <v>✓</v>
      </c>
      <c r="F64" s="35">
        <v>10</v>
      </c>
    </row>
    <row r="65" spans="1:8">
      <c r="A65" s="35">
        <v>9</v>
      </c>
      <c r="B65" s="6">
        <v>5</v>
      </c>
      <c r="C65" s="6">
        <v>10</v>
      </c>
      <c r="D65" s="6">
        <v>50</v>
      </c>
      <c r="E65" s="14" t="str">
        <f>IF(AND(B65&lt;C65,C65&lt;D65),"✓","✗")</f>
        <v>✓</v>
      </c>
      <c r="F65" s="35">
        <v>9</v>
      </c>
    </row>
    <row r="66" spans="1:8">
      <c r="A66" s="8" t="s">
        <v>277</v>
      </c>
      <c r="B66" s="1" t="s">
        <v>278</v>
      </c>
      <c r="C66" s="1" t="s">
        <v>278</v>
      </c>
      <c r="D66" s="1" t="s">
        <v>278</v>
      </c>
      <c r="F66" s="7" t="s">
        <v>279</v>
      </c>
      <c r="G66" s="7"/>
      <c r="H66" s="7"/>
    </row>
    <row r="68" spans="1:8">
      <c r="A68" s="3" t="s">
        <v>280</v>
      </c>
      <c r="B68" s="3"/>
      <c r="C68" s="3"/>
      <c r="D68" s="3"/>
      <c r="E68" s="3"/>
      <c r="F68" s="3"/>
      <c r="G68" s="4"/>
      <c r="H68" s="4"/>
    </row>
    <row r="69" spans="1:8">
      <c r="A69" s="5" t="s">
        <v>281</v>
      </c>
      <c r="B69" s="5" t="s">
        <v>242</v>
      </c>
      <c r="C69" s="5" t="s">
        <v>243</v>
      </c>
      <c r="D69" s="5" t="s">
        <v>244</v>
      </c>
      <c r="E69" s="5" t="s">
        <v>245</v>
      </c>
      <c r="F69" s="5" t="s">
        <v>246</v>
      </c>
      <c r="G69" s="5" t="s">
        <v>87</v>
      </c>
      <c r="H69" s="5"/>
    </row>
    <row r="70" spans="1:8">
      <c r="A70" s="1">
        <v>1</v>
      </c>
      <c r="B70" s="6">
        <v>2</v>
      </c>
      <c r="C70" s="6">
        <v>2</v>
      </c>
      <c r="D70" s="6">
        <v>2</v>
      </c>
      <c r="E70" s="6">
        <v>2</v>
      </c>
      <c r="F70" s="6">
        <v>2</v>
      </c>
      <c r="G70" s="1" t="s">
        <v>282</v>
      </c>
    </row>
    <row r="71" spans="1:8">
      <c r="A71" s="1">
        <v>2</v>
      </c>
      <c r="B71" s="6">
        <v>1</v>
      </c>
      <c r="C71" s="6">
        <v>1</v>
      </c>
      <c r="D71" s="6">
        <v>1</v>
      </c>
      <c r="E71" s="6">
        <v>1</v>
      </c>
      <c r="F71" s="6">
        <v>1</v>
      </c>
      <c r="G71" s="1" t="s">
        <v>283</v>
      </c>
    </row>
    <row r="72" spans="1:8">
      <c r="A72" s="1">
        <v>3</v>
      </c>
      <c r="B72" s="6">
        <v>3</v>
      </c>
      <c r="C72" s="6">
        <v>3</v>
      </c>
      <c r="D72" s="6">
        <v>3</v>
      </c>
      <c r="E72" s="6">
        <v>3</v>
      </c>
      <c r="F72" s="6">
        <v>3</v>
      </c>
      <c r="G72" s="1" t="s">
        <v>284</v>
      </c>
    </row>
    <row r="73" spans="1:8">
      <c r="A73" s="1">
        <v>4</v>
      </c>
      <c r="B73" s="6">
        <v>1</v>
      </c>
      <c r="C73" s="6">
        <v>2</v>
      </c>
      <c r="D73" s="6">
        <v>3</v>
      </c>
      <c r="E73" s="6">
        <v>2</v>
      </c>
      <c r="F73" s="6">
        <v>1</v>
      </c>
      <c r="G73" s="8" t="s">
        <v>285</v>
      </c>
    </row>
    <row r="74" spans="1:8">
      <c r="A74" s="1">
        <v>5</v>
      </c>
      <c r="B74" s="6">
        <v>3</v>
      </c>
      <c r="C74" s="6">
        <v>2</v>
      </c>
      <c r="D74" s="6">
        <v>1</v>
      </c>
      <c r="E74" s="6">
        <v>2</v>
      </c>
      <c r="F74" s="6">
        <v>3</v>
      </c>
      <c r="G74" s="1" t="s">
        <v>286</v>
      </c>
    </row>
    <row r="76" spans="1:8">
      <c r="A76" s="3" t="s">
        <v>287</v>
      </c>
      <c r="B76" s="3"/>
      <c r="C76" s="3"/>
      <c r="D76" s="4"/>
      <c r="E76" s="4"/>
      <c r="F76" s="4"/>
      <c r="G76" s="4"/>
      <c r="H76" s="4"/>
    </row>
    <row r="77" spans="1:8">
      <c r="A77" s="5" t="s">
        <v>288</v>
      </c>
      <c r="B77" s="5" t="s">
        <v>289</v>
      </c>
      <c r="C77" s="5" t="s">
        <v>87</v>
      </c>
      <c r="D77" s="5"/>
      <c r="E77" s="5"/>
      <c r="F77" s="5"/>
      <c r="G77" s="5"/>
      <c r="H77" s="5"/>
    </row>
    <row r="78" spans="1:8">
      <c r="A78" s="8" t="s">
        <v>247</v>
      </c>
      <c r="B78" s="10" t="s">
        <v>290</v>
      </c>
      <c r="C78" s="15" t="s">
        <v>291</v>
      </c>
      <c r="D78" s="15"/>
      <c r="E78" s="15"/>
      <c r="F78" s="15"/>
    </row>
    <row r="79" spans="1:8">
      <c r="A79" s="8" t="s">
        <v>248</v>
      </c>
      <c r="B79" s="10" t="s">
        <v>290</v>
      </c>
      <c r="C79" s="15" t="s">
        <v>291</v>
      </c>
      <c r="D79" s="15"/>
      <c r="E79" s="15"/>
      <c r="F79" s="15"/>
    </row>
    <row r="80" spans="1:8">
      <c r="A80" s="8" t="s">
        <v>250</v>
      </c>
      <c r="B80" s="10" t="s">
        <v>290</v>
      </c>
      <c r="C80" s="15" t="s">
        <v>291</v>
      </c>
      <c r="D80" s="15"/>
      <c r="E80" s="15"/>
      <c r="F80" s="15"/>
    </row>
    <row r="81" spans="1:8">
      <c r="A81" s="35">
        <v>10</v>
      </c>
      <c r="B81" s="10" t="s">
        <v>290</v>
      </c>
      <c r="C81" s="15" t="s">
        <v>291</v>
      </c>
      <c r="D81" s="15"/>
      <c r="E81" s="15"/>
      <c r="F81" s="15"/>
    </row>
    <row r="82" spans="1:8">
      <c r="A82" s="35">
        <v>9</v>
      </c>
      <c r="B82" s="10" t="s">
        <v>290</v>
      </c>
      <c r="C82" s="15" t="s">
        <v>291</v>
      </c>
      <c r="D82" s="15"/>
      <c r="E82" s="15"/>
      <c r="F82" s="15"/>
    </row>
    <row r="83" spans="1:8">
      <c r="A83" s="8" t="s">
        <v>292</v>
      </c>
      <c r="B83" s="10" t="s">
        <v>293</v>
      </c>
      <c r="C83" s="7" t="s">
        <v>294</v>
      </c>
      <c r="D83" s="7"/>
      <c r="E83" s="7"/>
    </row>
    <row r="84" spans="1:8">
      <c r="A84" s="8" t="s">
        <v>295</v>
      </c>
      <c r="B84" s="10" t="s">
        <v>296</v>
      </c>
      <c r="C84" s="15" t="s">
        <v>297</v>
      </c>
      <c r="D84" s="15"/>
      <c r="E84" s="15"/>
      <c r="F84" s="15"/>
    </row>
    <row r="86" spans="1:8">
      <c r="A86" s="3" t="s">
        <v>298</v>
      </c>
      <c r="B86" s="3"/>
      <c r="C86" s="3"/>
      <c r="D86" s="4"/>
      <c r="E86" s="4"/>
      <c r="F86" s="4"/>
      <c r="G86" s="4"/>
      <c r="H86" s="4"/>
    </row>
    <row r="87" spans="1:8">
      <c r="A87" s="5" t="s">
        <v>201</v>
      </c>
      <c r="B87" s="5" t="s">
        <v>202</v>
      </c>
      <c r="C87" s="5" t="s">
        <v>87</v>
      </c>
      <c r="D87" s="5"/>
      <c r="E87" s="5"/>
      <c r="F87" s="5"/>
      <c r="G87" s="5"/>
      <c r="H87" s="5"/>
    </row>
    <row r="88" spans="1:8">
      <c r="A88" s="1" t="s">
        <v>299</v>
      </c>
      <c r="B88" s="6" t="s">
        <v>300</v>
      </c>
      <c r="C88" s="7" t="s">
        <v>301</v>
      </c>
      <c r="D88" s="7"/>
      <c r="E88" s="7"/>
      <c r="F88" s="7"/>
    </row>
    <row r="89" spans="1:8">
      <c r="A89" s="1" t="s">
        <v>302</v>
      </c>
      <c r="B89" s="6">
        <v>10</v>
      </c>
      <c r="C89" s="7" t="s">
        <v>303</v>
      </c>
      <c r="D89" s="7"/>
    </row>
    <row r="90" spans="1:8">
      <c r="A90" s="1" t="s">
        <v>304</v>
      </c>
      <c r="B90" s="10" t="s">
        <v>290</v>
      </c>
      <c r="C90" s="7" t="s">
        <v>305</v>
      </c>
      <c r="D90" s="7"/>
      <c r="E90" s="7"/>
      <c r="F90" s="7"/>
    </row>
    <row r="91" spans="1:8">
      <c r="A91" s="1" t="s">
        <v>306</v>
      </c>
      <c r="B91" s="10" t="s">
        <v>307</v>
      </c>
      <c r="C91" s="7" t="s">
        <v>308</v>
      </c>
      <c r="D91" s="7"/>
      <c r="E91" s="7"/>
      <c r="F91" s="7"/>
      <c r="G91" s="7"/>
    </row>
    <row r="92" spans="1:8">
      <c r="A92" s="1" t="s">
        <v>309</v>
      </c>
      <c r="B92" s="6" t="s">
        <v>310</v>
      </c>
      <c r="C92" s="7" t="s">
        <v>311</v>
      </c>
      <c r="D92" s="7"/>
      <c r="E92" s="7"/>
    </row>
    <row r="93" spans="1:8">
      <c r="A93" s="1" t="s">
        <v>312</v>
      </c>
      <c r="B93" s="10" t="s">
        <v>313</v>
      </c>
      <c r="C93" s="7" t="s">
        <v>314</v>
      </c>
      <c r="D93" s="7"/>
      <c r="E93" s="7"/>
    </row>
    <row r="95" spans="1:8">
      <c r="A95" s="3" t="s">
        <v>315</v>
      </c>
      <c r="B95" s="3"/>
      <c r="C95" s="3"/>
      <c r="D95" s="3"/>
      <c r="E95" s="4"/>
      <c r="F95" s="4"/>
      <c r="G95" s="4"/>
      <c r="H95" s="4"/>
    </row>
    <row r="96" spans="1:8">
      <c r="A96" s="5" t="s">
        <v>316</v>
      </c>
      <c r="B96" s="5" t="s">
        <v>317</v>
      </c>
      <c r="C96" s="5" t="s">
        <v>318</v>
      </c>
      <c r="D96" s="5" t="s">
        <v>319</v>
      </c>
      <c r="E96" s="5"/>
      <c r="F96" s="5"/>
      <c r="G96" s="5"/>
      <c r="H96" s="5"/>
    </row>
    <row r="97" spans="1:8">
      <c r="A97" s="1" t="s">
        <v>320</v>
      </c>
      <c r="B97" s="1" t="s">
        <v>321</v>
      </c>
      <c r="C97" s="1" t="s">
        <v>322</v>
      </c>
      <c r="D97" s="7" t="s">
        <v>323</v>
      </c>
      <c r="E97" s="7"/>
      <c r="F97" s="7"/>
      <c r="G97" s="7"/>
    </row>
    <row r="98" spans="1:8">
      <c r="A98" s="1" t="s">
        <v>320</v>
      </c>
      <c r="B98" s="8" t="s">
        <v>324</v>
      </c>
      <c r="C98" s="1" t="s">
        <v>325</v>
      </c>
      <c r="D98" s="7" t="s">
        <v>326</v>
      </c>
      <c r="E98" s="7"/>
      <c r="F98" s="7"/>
      <c r="G98" s="7"/>
      <c r="H98" s="7"/>
    </row>
    <row r="99" spans="1:8">
      <c r="A99" s="1" t="s">
        <v>320</v>
      </c>
      <c r="B99" s="8" t="s">
        <v>327</v>
      </c>
      <c r="C99" s="1" t="s">
        <v>328</v>
      </c>
      <c r="D99" s="7" t="s">
        <v>329</v>
      </c>
      <c r="E99" s="7"/>
      <c r="F99" s="7"/>
      <c r="G99" s="7"/>
      <c r="H99" s="7"/>
    </row>
    <row r="100" spans="1:8">
      <c r="A100" s="1" t="s">
        <v>320</v>
      </c>
      <c r="B100" s="1" t="s">
        <v>330</v>
      </c>
      <c r="C100" s="1" t="s">
        <v>331</v>
      </c>
      <c r="D100" s="7" t="s">
        <v>332</v>
      </c>
      <c r="E100" s="7"/>
      <c r="F100" s="7"/>
      <c r="G100" s="7"/>
      <c r="H100" s="7"/>
    </row>
    <row r="101" spans="1:8">
      <c r="A101" s="1" t="s">
        <v>320</v>
      </c>
      <c r="B101" s="1" t="s">
        <v>214</v>
      </c>
      <c r="C101" s="1" t="s">
        <v>331</v>
      </c>
      <c r="D101" s="1" t="s">
        <v>333</v>
      </c>
    </row>
    <row r="102" spans="1:8">
      <c r="A102" s="1" t="s">
        <v>320</v>
      </c>
      <c r="B102" s="1" t="s">
        <v>334</v>
      </c>
      <c r="C102" s="1" t="s">
        <v>335</v>
      </c>
    </row>
    <row r="103" spans="1:8">
      <c r="A103" s="1" t="s">
        <v>336</v>
      </c>
      <c r="B103" s="1" t="s">
        <v>337</v>
      </c>
      <c r="C103" s="1" t="s">
        <v>338</v>
      </c>
    </row>
    <row r="104" spans="1:8">
      <c r="A104" s="1" t="s">
        <v>336</v>
      </c>
      <c r="B104" s="1" t="s">
        <v>339</v>
      </c>
      <c r="C104" s="1" t="s">
        <v>340</v>
      </c>
    </row>
    <row r="105" spans="1:8">
      <c r="A105" s="1" t="s">
        <v>336</v>
      </c>
      <c r="B105" s="8" t="s">
        <v>341</v>
      </c>
      <c r="C105" s="1" t="s">
        <v>342</v>
      </c>
    </row>
    <row r="106" spans="1:8">
      <c r="A106" s="1" t="s">
        <v>336</v>
      </c>
      <c r="B106" s="1" t="s">
        <v>343</v>
      </c>
      <c r="C106" s="1" t="s">
        <v>344</v>
      </c>
    </row>
    <row r="107" spans="1:8">
      <c r="A107" s="1" t="s">
        <v>336</v>
      </c>
      <c r="B107" s="1" t="s">
        <v>345</v>
      </c>
      <c r="C107" s="1" t="s">
        <v>346</v>
      </c>
      <c r="D107" s="7" t="s">
        <v>347</v>
      </c>
      <c r="E107" s="7"/>
      <c r="F107" s="7"/>
      <c r="G107" s="7"/>
    </row>
    <row r="108" spans="1:8">
      <c r="A108" s="1" t="s">
        <v>348</v>
      </c>
      <c r="B108" s="8" t="s">
        <v>349</v>
      </c>
      <c r="C108" s="1" t="s">
        <v>350</v>
      </c>
      <c r="D108" s="7" t="s">
        <v>351</v>
      </c>
      <c r="E108" s="7"/>
      <c r="F108" s="7"/>
      <c r="G108" s="7"/>
      <c r="H108" s="7"/>
    </row>
    <row r="109" spans="1:8">
      <c r="A109" s="1" t="s">
        <v>348</v>
      </c>
      <c r="B109" s="1" t="s">
        <v>352</v>
      </c>
      <c r="C109" s="1" t="s">
        <v>353</v>
      </c>
      <c r="D109" s="7" t="s">
        <v>354</v>
      </c>
      <c r="E109" s="7"/>
    </row>
    <row r="111" spans="1:8">
      <c r="A111" s="3" t="s">
        <v>355</v>
      </c>
      <c r="B111" s="3"/>
      <c r="C111" s="3"/>
      <c r="D111" s="3"/>
      <c r="E111" s="4"/>
      <c r="F111" s="4"/>
      <c r="G111" s="4"/>
      <c r="H111" s="4"/>
    </row>
    <row r="112" spans="1:8">
      <c r="A112" s="5" t="s">
        <v>356</v>
      </c>
      <c r="B112" s="5" t="s">
        <v>357</v>
      </c>
      <c r="C112" s="5" t="s">
        <v>358</v>
      </c>
      <c r="D112" s="5" t="s">
        <v>87</v>
      </c>
      <c r="E112" s="5"/>
      <c r="F112" s="5"/>
      <c r="G112" s="5"/>
      <c r="H112" s="5"/>
    </row>
    <row r="113" spans="1:8">
      <c r="A113" s="1" t="s">
        <v>359</v>
      </c>
      <c r="B113" s="1" t="s">
        <v>360</v>
      </c>
      <c r="C113" s="16" t="str">
        <f>IF(AND(B46=C46,C46=D46,D46=E46,E46=F46),"✓","✗")</f>
        <v>✓</v>
      </c>
      <c r="D113" s="7" t="s">
        <v>361</v>
      </c>
      <c r="E113" s="7"/>
      <c r="F113" s="7"/>
      <c r="G113" s="7"/>
    </row>
    <row r="114" spans="1:8">
      <c r="A114" s="1" t="s">
        <v>362</v>
      </c>
      <c r="B114" s="1" t="s">
        <v>360</v>
      </c>
      <c r="C114" s="16" t="str">
        <f>IF(AND(C57=B46,D57=C46,E57=D46,F57=E46,G57=F46),"✓","✗")</f>
        <v>✓</v>
      </c>
      <c r="D114" s="7" t="s">
        <v>363</v>
      </c>
      <c r="E114" s="7"/>
      <c r="F114" s="7"/>
    </row>
    <row r="115" spans="1:8">
      <c r="A115" s="1" t="s">
        <v>364</v>
      </c>
      <c r="B115" s="1" t="s">
        <v>360</v>
      </c>
      <c r="C115" s="16" t="str">
        <f>IF(B9=COUNTA($A$70:$A$74),"✓","✗")</f>
        <v>✓</v>
      </c>
      <c r="D115" s="7" t="s">
        <v>365</v>
      </c>
      <c r="E115" s="7"/>
      <c r="F115" s="7"/>
    </row>
    <row r="116" spans="1:8">
      <c r="A116" s="1" t="s">
        <v>366</v>
      </c>
      <c r="B116" s="1" t="s">
        <v>360</v>
      </c>
      <c r="C116" s="16" t="str">
        <f>IF(COUNTIF($E$61:$E$65,"✓")=COUNTA($E$61:$E$65),"✓","✗")</f>
        <v>✓</v>
      </c>
      <c r="D116" s="7" t="s">
        <v>367</v>
      </c>
      <c r="E116" s="7"/>
      <c r="F116" s="7"/>
    </row>
    <row r="117" spans="1:8">
      <c r="A117" s="8" t="s">
        <v>368</v>
      </c>
      <c r="B117" s="1" t="s">
        <v>360</v>
      </c>
      <c r="C117" s="16" t="str">
        <f>IF(ISNA(MATCH("W",$A$61:$A$65,0)),"✓","✗")</f>
        <v>✓</v>
      </c>
      <c r="D117" s="7" t="s">
        <v>369</v>
      </c>
      <c r="E117" s="7"/>
      <c r="F117" s="7"/>
    </row>
    <row r="118" spans="1:8">
      <c r="A118" s="1" t="s">
        <v>370</v>
      </c>
      <c r="B118" s="1" t="s">
        <v>360</v>
      </c>
      <c r="C118" s="16" t="str">
        <f>IF(MAX($B$70:$F$74)&lt;=B7,"✓","✗")</f>
        <v>✓</v>
      </c>
      <c r="D118" s="7" t="s">
        <v>371</v>
      </c>
      <c r="E118" s="7"/>
      <c r="F118" s="7"/>
      <c r="G118" s="7"/>
    </row>
    <row r="119" spans="1:8">
      <c r="A119" s="1" t="s">
        <v>372</v>
      </c>
      <c r="B119" s="1" t="s">
        <v>360</v>
      </c>
      <c r="C119" s="16" t="str">
        <f>IF(B11=B9*B10,"✓","✗")</f>
        <v>✓</v>
      </c>
      <c r="D119" s="7" t="s">
        <v>373</v>
      </c>
      <c r="E119" s="7"/>
      <c r="F119" s="7"/>
    </row>
    <row r="121" spans="1:8">
      <c r="A121" s="3" t="s">
        <v>374</v>
      </c>
      <c r="B121" s="3"/>
      <c r="C121" s="3"/>
      <c r="D121" s="4"/>
      <c r="E121" s="4"/>
      <c r="F121" s="4"/>
      <c r="G121" s="4"/>
      <c r="H121" s="4"/>
    </row>
    <row r="122" spans="1:8">
      <c r="A122" s="5" t="s">
        <v>375</v>
      </c>
      <c r="B122" s="5" t="s">
        <v>376</v>
      </c>
      <c r="C122" s="5" t="s">
        <v>87</v>
      </c>
      <c r="D122" s="5"/>
      <c r="E122" s="5"/>
      <c r="F122" s="5"/>
      <c r="G122" s="5"/>
      <c r="H122" s="5"/>
    </row>
    <row r="123" spans="1:8">
      <c r="A123" s="8" t="s">
        <v>377</v>
      </c>
      <c r="B123" s="1" t="s">
        <v>378</v>
      </c>
      <c r="C123" s="7" t="s">
        <v>379</v>
      </c>
      <c r="D123" s="7"/>
      <c r="E123" s="7"/>
      <c r="F123" s="7"/>
      <c r="G123" s="7"/>
    </row>
    <row r="124" spans="1:8">
      <c r="A124" s="8" t="s">
        <v>380</v>
      </c>
      <c r="B124" s="1" t="s">
        <v>381</v>
      </c>
      <c r="C124" s="7" t="s">
        <v>382</v>
      </c>
      <c r="D124" s="7"/>
      <c r="E124" s="7"/>
    </row>
    <row r="125" spans="1:8">
      <c r="A125" s="8" t="s">
        <v>383</v>
      </c>
      <c r="B125" s="1" t="s">
        <v>384</v>
      </c>
      <c r="C125" s="7" t="s">
        <v>385</v>
      </c>
      <c r="D125" s="7"/>
      <c r="E125" s="7"/>
      <c r="F125" s="7"/>
      <c r="G125" s="7"/>
    </row>
    <row r="126" spans="1:8">
      <c r="A126" s="8" t="s">
        <v>386</v>
      </c>
      <c r="B126" s="1" t="s">
        <v>387</v>
      </c>
      <c r="C126" s="7" t="s">
        <v>388</v>
      </c>
      <c r="D126" s="7"/>
      <c r="E126" s="7"/>
      <c r="F126" s="7"/>
      <c r="G126" s="7"/>
    </row>
    <row r="127" spans="1:8">
      <c r="A127" s="8" t="s">
        <v>389</v>
      </c>
      <c r="B127" s="1" t="s">
        <v>390</v>
      </c>
      <c r="C127" s="7" t="s">
        <v>391</v>
      </c>
      <c r="D127" s="7"/>
      <c r="E127" s="7"/>
      <c r="F127" s="7"/>
    </row>
    <row r="128" spans="1:8">
      <c r="A128" s="8" t="s">
        <v>392</v>
      </c>
      <c r="B128" s="1" t="s">
        <v>393</v>
      </c>
      <c r="C128" s="7" t="s">
        <v>394</v>
      </c>
      <c r="D128" s="7"/>
      <c r="E128" s="7"/>
      <c r="F128" s="7"/>
    </row>
    <row r="129" spans="1:8">
      <c r="A129" s="8" t="s">
        <v>395</v>
      </c>
      <c r="B129" s="1" t="s">
        <v>396</v>
      </c>
      <c r="C129" s="7" t="s">
        <v>397</v>
      </c>
      <c r="D129" s="7"/>
      <c r="E129" s="7"/>
      <c r="F129" s="7"/>
    </row>
    <row r="130" spans="1:8">
      <c r="A130" s="8" t="s">
        <v>398</v>
      </c>
      <c r="B130" s="1" t="s">
        <v>261</v>
      </c>
      <c r="C130" s="7" t="s">
        <v>399</v>
      </c>
      <c r="D130" s="7"/>
      <c r="E130" s="7"/>
    </row>
    <row r="131" spans="1:8">
      <c r="A131" s="8" t="s">
        <v>172</v>
      </c>
      <c r="B131" s="1" t="s">
        <v>400</v>
      </c>
      <c r="C131" s="7" t="s">
        <v>401</v>
      </c>
      <c r="D131" s="7"/>
      <c r="E131" s="7"/>
    </row>
    <row r="132" spans="1:8">
      <c r="A132" s="8" t="s">
        <v>402</v>
      </c>
      <c r="B132" s="1" t="s">
        <v>403</v>
      </c>
      <c r="C132" s="7" t="s">
        <v>404</v>
      </c>
      <c r="D132" s="7"/>
      <c r="E132" s="7"/>
      <c r="F132" s="7"/>
    </row>
    <row r="133" spans="1:8">
      <c r="A133" s="8" t="s">
        <v>405</v>
      </c>
      <c r="B133" s="1" t="s">
        <v>406</v>
      </c>
      <c r="C133" s="7" t="s">
        <v>407</v>
      </c>
      <c r="D133" s="7"/>
      <c r="E133" s="7"/>
    </row>
    <row r="134" spans="1:8">
      <c r="A134" s="8" t="s">
        <v>349</v>
      </c>
      <c r="B134" s="1" t="s">
        <v>408</v>
      </c>
      <c r="C134" s="7" t="s">
        <v>409</v>
      </c>
      <c r="D134" s="7"/>
      <c r="E134" s="7"/>
      <c r="F134" s="7"/>
    </row>
    <row r="135" spans="1:8">
      <c r="A135" s="8" t="s">
        <v>410</v>
      </c>
      <c r="B135" s="1" t="s">
        <v>411</v>
      </c>
      <c r="C135" s="15" t="s">
        <v>412</v>
      </c>
      <c r="D135" s="15"/>
      <c r="E135" s="15"/>
    </row>
    <row r="137" spans="1:8">
      <c r="A137" s="17" t="s">
        <v>413</v>
      </c>
      <c r="B137" s="17"/>
      <c r="C137" s="17"/>
      <c r="D137" s="17"/>
      <c r="E137" s="17"/>
      <c r="F137" s="17"/>
      <c r="G137" s="17"/>
      <c r="H137" s="17"/>
    </row>
    <row r="138" spans="1:8">
      <c r="A138" s="17" t="s">
        <v>414</v>
      </c>
      <c r="B138" s="17"/>
      <c r="C138" s="17"/>
      <c r="D138" s="17"/>
      <c r="E138" s="17"/>
      <c r="F138" s="17"/>
    </row>
  </sheetData>
  <mergeCells count="67">
    <mergeCell ref="A1:H1"/>
    <mergeCell ref="A3:C3"/>
    <mergeCell ref="C5:E5"/>
    <mergeCell ref="C8:D8"/>
    <mergeCell ref="C9:E9"/>
    <mergeCell ref="C10:D10"/>
    <mergeCell ref="C11:D11"/>
    <mergeCell ref="C12:F12"/>
    <mergeCell ref="A14:C14"/>
    <mergeCell ref="C15:D15"/>
    <mergeCell ref="C16:D16"/>
    <mergeCell ref="C17:E17"/>
    <mergeCell ref="C19:E19"/>
    <mergeCell ref="C21:F21"/>
    <mergeCell ref="A24:F24"/>
    <mergeCell ref="G46:H46"/>
    <mergeCell ref="A48:F48"/>
    <mergeCell ref="A59:F59"/>
    <mergeCell ref="F66:H66"/>
    <mergeCell ref="A68:F68"/>
    <mergeCell ref="A76:C76"/>
    <mergeCell ref="C78:F78"/>
    <mergeCell ref="C79:F79"/>
    <mergeCell ref="C80:F80"/>
    <mergeCell ref="C81:F81"/>
    <mergeCell ref="C82:F82"/>
    <mergeCell ref="C83:E83"/>
    <mergeCell ref="C84:F84"/>
    <mergeCell ref="A86:C86"/>
    <mergeCell ref="C88:F88"/>
    <mergeCell ref="C89:D89"/>
    <mergeCell ref="C90:F90"/>
    <mergeCell ref="C91:G91"/>
    <mergeCell ref="C92:E92"/>
    <mergeCell ref="C93:E93"/>
    <mergeCell ref="A95:D95"/>
    <mergeCell ref="D97:G97"/>
    <mergeCell ref="D98:H98"/>
    <mergeCell ref="D99:H99"/>
    <mergeCell ref="D100:H100"/>
    <mergeCell ref="D107:G107"/>
    <mergeCell ref="D108:H108"/>
    <mergeCell ref="D109:E109"/>
    <mergeCell ref="A111:D111"/>
    <mergeCell ref="D113:G113"/>
    <mergeCell ref="D114:F114"/>
    <mergeCell ref="D115:F115"/>
    <mergeCell ref="D116:F116"/>
    <mergeCell ref="D117:F117"/>
    <mergeCell ref="D118:G118"/>
    <mergeCell ref="D119:F119"/>
    <mergeCell ref="A121:C121"/>
    <mergeCell ref="C123:G123"/>
    <mergeCell ref="C124:E124"/>
    <mergeCell ref="C125:G125"/>
    <mergeCell ref="C126:G126"/>
    <mergeCell ref="C127:F127"/>
    <mergeCell ref="C128:F128"/>
    <mergeCell ref="C129:F129"/>
    <mergeCell ref="C130:E130"/>
    <mergeCell ref="C131:E131"/>
    <mergeCell ref="C132:F132"/>
    <mergeCell ref="C133:E133"/>
    <mergeCell ref="C134:F134"/>
    <mergeCell ref="C135:E135"/>
    <mergeCell ref="A137:H137"/>
    <mergeCell ref="A138:F138"/>
  </mergeCells>
  <pageMargins left="0.75" right="0.75" top="1" bottom="1" header="0.511811023622047" footer="0.511811023622047"/>
  <pageSetup paperSize="9" orientation="portrait" horizontalDpi="300" verticalDpi="300"/>
  <headerFooter/>
  <ignoredErrors>
    <ignoredError sqref="A1:M158"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Application>LibreOffice/26.2.2.2$Windows_X86_64 LibreOffice_project/1f77d10d6938fd34972958f64b2bcfa54f8b1ba5</Application>
  <HeadingPairs>
    <vt:vector size="2" baseType="variant">
      <vt:variant>
        <vt:lpstr>工作表</vt:lpstr>
      </vt:variant>
      <vt:variant>
        <vt:i4>2</vt:i4>
      </vt:variant>
    </vt:vector>
  </HeadingPairs>
  <TitlesOfParts>
    <vt:vector size="2" baseType="lpstr">
      <vt:lpstr>说明</vt:lpstr>
      <vt:lpstr>数据配表的实现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wcx_o</cp:lastModifiedBy>
  <cp:revision>0</cp:revision>
  <dcterms:created xsi:type="dcterms:W3CDTF">2026-09-29T15:06:00Z</dcterms:created>
  <dcterms:modified xsi:type="dcterms:W3CDTF">2026-09-29T16:07:41Z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785149D657CE42CD957744BAE873BDF6_12</vt:lpwstr>
  </property>
  <property fmtid="{D5CDD505-2E9C-101B-9397-08002B2CF9AE}" pid="3" name="KSOProductBuildVer">
    <vt:lpwstr>2052-12.1.0.28485</vt:lpwstr>
  </property>
  <property fmtid="{D5CDD505-2E9C-101B-9397-08002B2CF9AE}" pid="4" name="CalculationRule">
    <vt:i4>0</vt:i4>
  </property>
</Properties>
</file>