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<sst xmlns="http://schemas.openxmlformats.org/spreadsheetml/2006/main" count="197" uniqueCount="197">
  <si>
    <r>
      <rPr>
        <b val="true"/>
        <sz val="14"/>
        <color rgb="FF1F4E79"/>
        <rFont val="Noto Sans SC"/>
        <family val="2"/>
        <charset val="134"/>
      </rPr>
      <t xml:space="preserve">从零开始学</t>
    </r>
    <r>
      <rPr>
        <b val="true"/>
        <sz val="14"/>
        <color rgb="FF1F4E79"/>
        <rFont val="Cambria"/>
        <family val="0"/>
        <charset val="1"/>
      </rPr>
      <t xml:space="preserve">Slots 18 —— </t>
    </r>
    <r>
      <rPr>
        <b val="true"/>
        <sz val="14"/>
        <color rgb="FF1F4E79"/>
        <rFont val="Noto Sans SC"/>
        <family val="2"/>
        <charset val="134"/>
      </rPr>
      <t xml:space="preserve">基础篇：</t>
    </r>
    <r>
      <rPr>
        <b val="true"/>
        <sz val="14"/>
        <color rgb="FF1F4E79"/>
        <rFont val="Cambria"/>
        <family val="0"/>
        <charset val="1"/>
      </rPr>
      <t xml:space="preserve">Cascading</t>
    </r>
    <r>
      <rPr>
        <b val="true"/>
        <sz val="14"/>
        <color rgb="FF1F4E79"/>
        <rFont val="Noto Sans SC"/>
        <family val="2"/>
        <charset val="134"/>
      </rPr>
      <t xml:space="preserve">消除图标</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</si>
  <si>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Cascading</t>
    </r>
    <r>
      <rPr>
        <sz val="11"/>
        <color rgb="FF808080"/>
        <rFont val="Noto Sans SC"/>
        <family val="2"/>
        <charset val="134"/>
      </rPr>
      <t xml:space="preserve">消除图标》  </t>
    </r>
    <r>
      <rPr>
        <sz val="11"/>
        <color rgb="FF808080"/>
        <rFont val="Cambria"/>
        <family val="0"/>
        <charset val="1"/>
      </rPr>
      <t xml:space="preserve">https://zhuanlan.zhihu.com/p/626184549</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</si>
  <si>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</si>
  <si>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</si>
  <si>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</si>
  <si>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配表说明：本篇是机制篇，原文没有给出具体配置数值，因此【</t>
    </r>
    <r>
      <rPr>
        <sz val="11"/>
        <color rgb="FF808080"/>
        <rFont val="Cambria"/>
        <family val="0"/>
        <charset val="1"/>
      </rPr>
      <t xml:space="preserve">4</t>
    </r>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】为「估算器」——用原文提到的无穷级数</t>
    </r>
    <r>
      <rPr>
        <sz val="11"/>
        <color rgb="FF808080"/>
        <rFont val="Cambria"/>
        <family val="0"/>
        <charset val="1"/>
      </rPr>
      <t xml:space="preserve">/</t>
    </r>
    <r>
      <rPr>
        <sz val="11"/>
        <color rgb="FF808080"/>
        <rFont val="Noto Sans SC"/>
        <family val="2"/>
        <charset val="134"/>
      </rPr>
      <t xml:space="preserve">概率思路把机制量化，示例数值（</t>
    </r>
    <r>
      <rPr>
        <sz val="11"/>
        <color rgb="FF808080"/>
        <rFont val="Cambria"/>
        <family val="0"/>
        <charset val="1"/>
      </rPr>
      <t xml:space="preserve">p</t>
    </r>
    <r>
      <rPr>
        <sz val="11"/>
        <color rgb="FF808080"/>
        <rFont val="Noto Sans SC"/>
        <family val="2"/>
        <charset val="134"/>
      </rPr>
      <t xml:space="preserve">、</t>
    </r>
    <r>
      <rPr>
        <sz val="11"/>
        <color rgb="FF808080"/>
        <rFont val="Cambria"/>
        <family val="0"/>
        <charset val="1"/>
      </rPr>
      <t xml:space="preserve">X</t>
    </r>
    <r>
      <rPr>
        <sz val="11"/>
        <color rgb="FF808080"/>
        <rFont val="Noto Sans SC"/>
        <family val="2"/>
        <charset val="134"/>
      </rPr>
      <t xml:space="preserve">、免费摇映射）均为演示用蓝字可改值；原文明确：</t>
    </r>
    <r>
      <rPr>
        <sz val="11"/>
        <color rgb="FF808080"/>
        <rFont val="Cambria"/>
        <family val="0"/>
        <charset val="1"/>
      </rPr>
      <t xml:space="preserve">Cascading </t>
    </r>
    <r>
      <rPr>
        <sz val="11"/>
        <color rgb="FF808080"/>
        <rFont val="Noto Sans SC"/>
        <family val="2"/>
        <charset val="134"/>
      </rPr>
      <t xml:space="preserve">的真实 </t>
    </r>
    <r>
      <rPr>
        <sz val="11"/>
        <color rgb="FF808080"/>
        <rFont val="Cambria"/>
        <family val="0"/>
        <charset val="1"/>
      </rPr>
      <t xml:space="preserve">RTP </t>
    </r>
    <r>
      <rPr>
        <sz val="11"/>
        <color rgb="FF808080"/>
        <rFont val="Noto Sans SC"/>
        <family val="2"/>
        <charset val="134"/>
      </rPr>
      <t xml:space="preserve">必须靠跑数据（马尔科夫链</t>
    </r>
    <r>
      <rPr>
        <sz val="11"/>
        <color rgb="FF808080"/>
        <rFont val="Cambria"/>
        <family val="0"/>
        <charset val="1"/>
      </rPr>
      <t xml:space="preserve">/</t>
    </r>
    <r>
      <rPr>
        <sz val="11"/>
        <color rgb="FF808080"/>
        <rFont val="Noto Sans SC"/>
        <family val="2"/>
        <charset val="134"/>
      </rPr>
      <t xml:space="preserve">无穷级数先估，再按跑数据调整）。</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</si>
  <si>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</si>
  <si>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</si>
  <si>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</si>
  <si>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</si>
  <si>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images/slots/626184549-NN.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</si>
  <si>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</si>
  <si>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</si>
  <si>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</si>
  <si>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Cascading</t>
    </r>
    <r>
      <rPr>
        <sz val="11"/>
        <color theme="1"/>
        <rFont val="Noto Sans SC"/>
        <family val="2"/>
        <charset val="134"/>
      </rPr>
      <t xml:space="preserve">（消除</t>
    </r>
    <r>
      <rPr>
        <sz val="11"/>
        <color theme="1"/>
        <rFont val="Calibri"/>
        <family val="2"/>
        <charset val="1"/>
      </rPr>
      <t xml:space="preserve">/</t>
    </r>
    <r>
      <rPr>
        <sz val="11"/>
        <color theme="1"/>
        <rFont val="Noto Sans SC"/>
        <family val="2"/>
        <charset val="134"/>
      </rPr>
      <t xml:space="preserve">掉落）：中奖图标消失、上方图标掉落补位，补位后若再中奖可继续消除，</t>
    </r>
  </si>
  <si>
    <r>
      <rPr>
        <sz val="11"/>
        <color theme="1"/>
        <rFont val="Noto Sans SC"/>
        <family val="2"/>
        <charset val="134"/>
      </rPr>
      <t xml:space="preserve">  直到不再中奖。它几乎能加到所有类型的 </t>
    </r>
    <r>
      <rPr>
        <sz val="11"/>
        <color theme="1"/>
        <rFont val="Calibri"/>
        <family val="2"/>
        <charset val="1"/>
      </rPr>
      <t xml:space="preserve">Slots </t>
    </r>
    <r>
      <rPr>
        <sz val="11"/>
        <color theme="1"/>
        <rFont val="Noto Sans SC"/>
        <family val="2"/>
        <charset val="134"/>
      </rPr>
      <t xml:space="preserve">上（</t>
    </r>
    <r>
      <rPr>
        <sz val="11"/>
        <color theme="1"/>
        <rFont val="Calibri"/>
        <family val="2"/>
        <charset val="1"/>
      </rPr>
      <t xml:space="preserve">Grid / Megaways / Lines / Ways </t>
    </r>
    <r>
      <rPr>
        <sz val="11"/>
        <color theme="1"/>
        <rFont val="Noto Sans SC"/>
        <family val="2"/>
        <charset val="134"/>
      </rPr>
      <t xml:space="preserve">都能用）。</t>
    </r>
  </si>
  <si>
    <r>
      <rPr>
        <sz val="11"/>
        <color theme="1"/>
        <rFont val="Calibri"/>
        <family val="2"/>
        <charset val="1"/>
      </rPr>
      <t xml:space="preserve">· </t>
    </r>
    <r>
      <rPr>
        <sz val="11"/>
        <color theme="1"/>
        <rFont val="Noto Sans SC"/>
        <family val="2"/>
        <charset val="134"/>
      </rPr>
      <t xml:space="preserve">优点：连续消除带来无限连赢的期待；缺点：为保证回收率，实际很难连续中奖，期待容易落空。</t>
    </r>
  </si>
  <si>
    <r>
      <rPr>
        <sz val="11"/>
        <color theme="1"/>
        <rFont val="Calibri"/>
        <family val="2"/>
        <charset val="1"/>
      </rPr>
      <t xml:space="preserve">· </t>
    </r>
    <r>
      <rPr>
        <sz val="11"/>
        <color theme="1"/>
        <rFont val="Noto Sans SC"/>
        <family val="2"/>
        <charset val="134"/>
      </rPr>
      <t xml:space="preserve">原文给出 </t>
    </r>
    <r>
      <rPr>
        <sz val="11"/>
        <color theme="1"/>
        <rFont val="Calibri"/>
        <family val="2"/>
        <charset val="1"/>
      </rPr>
      <t xml:space="preserve">6 </t>
    </r>
    <r>
      <rPr>
        <sz val="11"/>
        <color theme="1"/>
        <rFont val="Noto Sans SC"/>
        <family val="2"/>
        <charset val="134"/>
      </rPr>
      <t xml:space="preserve">类优化：① 绑定免费摇（连赢次数换免费摇）② 绑定倍数（连赢时叠加倍数）</t>
    </r>
  </si>
  <si>
    <r>
      <rPr>
        <sz val="11"/>
        <color theme="1"/>
        <rFont val="Noto Sans SC"/>
        <family val="2"/>
        <charset val="134"/>
      </rPr>
      <t xml:space="preserve">  ③ 额外奖励 ④ 其他复合机制 ⑤ </t>
    </r>
    <r>
      <rPr>
        <sz val="11"/>
        <color theme="1"/>
        <rFont val="Calibri"/>
        <family val="2"/>
        <charset val="1"/>
      </rPr>
      <t xml:space="preserve">Progressive Wild</t>
    </r>
    <r>
      <rPr>
        <sz val="11"/>
        <color theme="1"/>
        <rFont val="Noto Sans SC"/>
        <family val="2"/>
        <charset val="134"/>
      </rPr>
      <t xml:space="preserve">（消除后原位留百搭，提升再次中奖几率）</t>
    </r>
  </si>
  <si>
    <r>
      <rPr>
        <sz val="11"/>
        <color theme="1"/>
        <rFont val="Calibri"/>
        <family val="2"/>
        <charset val="1"/>
      </rPr>
      <t xml:space="preserve">  ⑥ Exploding reels</t>
    </r>
    <r>
      <rPr>
        <sz val="11"/>
        <color theme="1"/>
        <rFont val="Noto Sans SC"/>
        <family val="2"/>
        <charset val="134"/>
      </rPr>
      <t xml:space="preserve">（中奖后扩大卷轴，增加图标总数）。</t>
    </r>
  </si>
  <si>
    <r>
      <rPr>
        <sz val="11"/>
        <color theme="1"/>
        <rFont val="Calibri"/>
        <family val="2"/>
        <charset val="1"/>
      </rPr>
      <t xml:space="preserve">· </t>
    </r>
    <r>
      <rPr>
        <sz val="11"/>
        <color theme="1"/>
        <rFont val="Noto Sans SC"/>
        <family val="2"/>
        <charset val="134"/>
      </rPr>
      <t xml:space="preserve">数值处理：</t>
    </r>
    <r>
      <rPr>
        <sz val="11"/>
        <color theme="1"/>
        <rFont val="Calibri"/>
        <family val="2"/>
        <charset val="1"/>
      </rPr>
      <t xml:space="preserve">Cascading </t>
    </r>
    <r>
      <rPr>
        <sz val="11"/>
        <color theme="1"/>
        <rFont val="Noto Sans SC"/>
        <family val="2"/>
        <charset val="134"/>
      </rPr>
      <t xml:space="preserve">的期望很难用简单模型概括，原文的做法是「先估再跑数据」——</t>
    </r>
  </si>
  <si>
    <r>
      <rPr>
        <sz val="11"/>
        <color theme="1"/>
        <rFont val="Noto Sans SC"/>
        <family val="2"/>
        <charset val="134"/>
      </rPr>
      <t xml:space="preserve">  先用无穷级数求和或马尔科夫链算出大体的 </t>
    </r>
    <r>
      <rPr>
        <sz val="11"/>
        <color theme="1"/>
        <rFont val="Calibri"/>
        <family val="2"/>
        <charset val="1"/>
      </rPr>
      <t xml:space="preserve">RTP</t>
    </r>
    <r>
      <rPr>
        <sz val="11"/>
        <color theme="1"/>
        <rFont val="Noto Sans SC"/>
        <family val="2"/>
        <charset val="134"/>
      </rPr>
      <t xml:space="preserve">，再依据实际跑数据结果调整数值配置。</t>
    </r>
  </si>
  <si>
    <r>
      <rPr>
        <sz val="11"/>
        <color theme="1"/>
        <rFont val="Calibri"/>
        <family val="2"/>
        <charset val="1"/>
      </rPr>
      <t xml:space="preserve">· </t>
    </r>
    <r>
      <rPr>
        <sz val="11"/>
        <color theme="1"/>
        <rFont val="Noto Sans SC"/>
        <family val="2"/>
        <charset val="134"/>
      </rPr>
      <t xml:space="preserve">本页把「连赢概率 → 期望倍数 </t>
    </r>
    <r>
      <rPr>
        <sz val="11"/>
        <color theme="1"/>
        <rFont val="Calibri"/>
        <family val="2"/>
        <charset val="1"/>
      </rPr>
      <t xml:space="preserve">/ </t>
    </r>
    <r>
      <rPr>
        <sz val="11"/>
        <color theme="1"/>
        <rFont val="Noto Sans SC"/>
        <family val="2"/>
        <charset val="134"/>
      </rPr>
      <t xml:space="preserve">期望免费摇次数 → 估算 </t>
    </r>
    <r>
      <rPr>
        <sz val="11"/>
        <color theme="1"/>
        <rFont val="Calibri"/>
        <family val="2"/>
        <charset val="1"/>
      </rPr>
      <t xml:space="preserve">RTP</t>
    </r>
    <r>
      <rPr>
        <sz val="11"/>
        <color theme="1"/>
        <rFont val="Noto Sans SC"/>
        <family val="2"/>
        <charset val="134"/>
      </rPr>
      <t xml:space="preserve">」做成可改数值的估算器，</t>
    </r>
  </si>
  <si>
    <t xml:space="preserve">  用来给跑数据定一个起点；示例数值为演示用（蓝字可改），不代表原文配置。</t>
  </si>
  <si>
    <t xml:space="preserve">原文整理（全文，按原文小标题分段）</t>
  </si>
  <si>
    <t xml:space="preserve">机制简介</t>
  </si>
  <si>
    <r>
      <rPr>
        <sz val="11"/>
        <color theme="1"/>
        <rFont val="Noto Sans SC"/>
        <family val="2"/>
        <charset val="134"/>
      </rPr>
      <t xml:space="preserve">在游玩</t>
    </r>
    <r>
      <rPr>
        <sz val="11"/>
        <color theme="1"/>
        <rFont val="Calibri"/>
        <family val="2"/>
        <charset val="1"/>
      </rPr>
      <t xml:space="preserve">Slots</t>
    </r>
    <r>
      <rPr>
        <sz val="11"/>
        <color theme="1"/>
        <rFont val="Noto Sans SC"/>
        <family val="2"/>
        <charset val="134"/>
      </rPr>
      <t xml:space="preserve">的时候不难发现</t>
    </r>
  </si>
  <si>
    <r>
      <rPr>
        <sz val="11"/>
        <color theme="1"/>
        <rFont val="Noto Sans SC"/>
        <family val="2"/>
        <charset val="134"/>
      </rPr>
      <t xml:space="preserve">在部分</t>
    </r>
    <r>
      <rPr>
        <sz val="11"/>
        <color theme="1"/>
        <rFont val="Calibri"/>
        <family val="2"/>
        <charset val="1"/>
      </rPr>
      <t xml:space="preserve">Slots</t>
    </r>
    <r>
      <rPr>
        <sz val="11"/>
        <color theme="1"/>
        <rFont val="Noto Sans SC"/>
        <family val="2"/>
        <charset val="134"/>
      </rPr>
      <t xml:space="preserve">中，图标中奖后会消失，并且掉落新的图标补充空缺位置</t>
    </r>
  </si>
  <si>
    <t xml:space="preserve">如果补位后还能够中奖，则玩家可以继续中奖，直到不能再中奖</t>
  </si>
  <si>
    <r>
      <rPr>
        <sz val="11"/>
        <color theme="1"/>
        <rFont val="Noto Sans SC"/>
        <family val="2"/>
        <charset val="134"/>
      </rPr>
      <t xml:space="preserve">这种图标会消除的</t>
    </r>
    <r>
      <rPr>
        <sz val="11"/>
        <color theme="1"/>
        <rFont val="Calibri"/>
        <family val="2"/>
        <charset val="1"/>
      </rPr>
      <t xml:space="preserve">Feature</t>
    </r>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中被称为</t>
    </r>
    <r>
      <rPr>
        <sz val="11"/>
        <color theme="1"/>
        <rFont val="Calibri"/>
        <family val="2"/>
        <charset val="1"/>
      </rPr>
      <t xml:space="preserve">Cascading</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</si>
  <si>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626184549-01.jpg</t>
    </r>
  </si>
  <si>
    <r>
      <rPr>
        <sz val="11"/>
        <color theme="1"/>
        <rFont val="Calibri"/>
        <family val="2"/>
        <charset val="1"/>
      </rPr>
      <t xml:space="preserve">Cascading</t>
    </r>
    <r>
      <rPr>
        <sz val="11"/>
        <color theme="1"/>
        <rFont val="Noto Sans SC"/>
        <family val="2"/>
        <charset val="134"/>
      </rPr>
      <t xml:space="preserve">作为老虎机中比较经典的</t>
    </r>
    <r>
      <rPr>
        <sz val="11"/>
        <color theme="1"/>
        <rFont val="Calibri"/>
        <family val="2"/>
        <charset val="1"/>
      </rPr>
      <t xml:space="preserve">Feature</t>
    </r>
    <r>
      <rPr>
        <sz val="11"/>
        <color theme="1"/>
        <rFont val="Noto Sans SC"/>
        <family val="2"/>
        <charset val="134"/>
      </rPr>
      <t xml:space="preserve">，几乎可以适应所有类型的</t>
    </r>
    <r>
      <rPr>
        <sz val="11"/>
        <color theme="1"/>
        <rFont val="Calibri"/>
        <family val="2"/>
        <charset val="1"/>
      </rPr>
      <t xml:space="preserve">Slots</t>
    </r>
  </si>
  <si>
    <r>
      <rPr>
        <sz val="11"/>
        <color theme="1"/>
        <rFont val="Noto Sans SC"/>
        <family val="2"/>
        <charset val="134"/>
      </rPr>
      <t xml:space="preserve">且不说</t>
    </r>
    <r>
      <rPr>
        <sz val="11"/>
        <color theme="1"/>
        <rFont val="Calibri"/>
        <family val="2"/>
        <charset val="1"/>
      </rPr>
      <t xml:space="preserve">Cluster</t>
    </r>
    <r>
      <rPr>
        <sz val="11"/>
        <color theme="1"/>
        <rFont val="Noto Sans SC"/>
        <family val="2"/>
        <charset val="134"/>
      </rPr>
      <t xml:space="preserve">和</t>
    </r>
    <r>
      <rPr>
        <sz val="11"/>
        <color theme="1"/>
        <rFont val="Calibri"/>
        <family val="2"/>
        <charset val="1"/>
      </rPr>
      <t xml:space="preserve">Grid</t>
    </r>
    <r>
      <rPr>
        <sz val="11"/>
        <color theme="1"/>
        <rFont val="Noto Sans SC"/>
        <family val="2"/>
        <charset val="134"/>
      </rPr>
      <t xml:space="preserve">这种本身就参考了消除玩法的类型，在传统的</t>
    </r>
    <r>
      <rPr>
        <sz val="11"/>
        <color theme="1"/>
        <rFont val="Calibri"/>
        <family val="2"/>
        <charset val="1"/>
      </rPr>
      <t xml:space="preserve">Line</t>
    </r>
    <r>
      <rPr>
        <sz val="11"/>
        <color theme="1"/>
        <rFont val="Noto Sans SC"/>
        <family val="2"/>
        <charset val="134"/>
      </rPr>
      <t xml:space="preserve">、</t>
    </r>
    <r>
      <rPr>
        <sz val="11"/>
        <color theme="1"/>
        <rFont val="Calibri"/>
        <family val="2"/>
        <charset val="1"/>
      </rPr>
      <t xml:space="preserve">Way</t>
    </r>
    <r>
      <rPr>
        <sz val="11"/>
        <color theme="1"/>
        <rFont val="Noto Sans SC"/>
        <family val="2"/>
        <charset val="134"/>
      </rPr>
      <t xml:space="preserve">中也能加入该</t>
    </r>
    <r>
      <rPr>
        <sz val="11"/>
        <color theme="1"/>
        <rFont val="Calibri"/>
        <family val="2"/>
        <charset val="1"/>
      </rPr>
      <t xml:space="preserve">Feature</t>
    </r>
  </si>
  <si>
    <r>
      <rPr>
        <sz val="11"/>
        <color theme="1"/>
        <rFont val="Noto Sans SC"/>
        <family val="2"/>
        <charset val="134"/>
      </rPr>
      <t xml:space="preserve">例如上图中从左到右、从上往下玩法依次分别为</t>
    </r>
    <r>
      <rPr>
        <sz val="11"/>
        <color theme="1"/>
        <rFont val="Calibri"/>
        <family val="2"/>
        <charset val="1"/>
      </rPr>
      <t xml:space="preserve">Grid</t>
    </r>
    <r>
      <rPr>
        <sz val="11"/>
        <color theme="1"/>
        <rFont val="Noto Sans SC"/>
        <family val="2"/>
        <charset val="134"/>
      </rPr>
      <t xml:space="preserve">、</t>
    </r>
    <r>
      <rPr>
        <sz val="11"/>
        <color theme="1"/>
        <rFont val="Calibri"/>
        <family val="2"/>
        <charset val="1"/>
      </rPr>
      <t xml:space="preserve">Megaways</t>
    </r>
    <r>
      <rPr>
        <sz val="11"/>
        <color theme="1"/>
        <rFont val="Noto Sans SC"/>
        <family val="2"/>
        <charset val="134"/>
      </rPr>
      <t xml:space="preserve">、</t>
    </r>
    <r>
      <rPr>
        <sz val="11"/>
        <color theme="1"/>
        <rFont val="Calibri"/>
        <family val="2"/>
        <charset val="1"/>
      </rPr>
      <t xml:space="preserve">Lines</t>
    </r>
    <r>
      <rPr>
        <sz val="11"/>
        <color theme="1"/>
        <rFont val="Noto Sans SC"/>
        <family val="2"/>
        <charset val="134"/>
      </rPr>
      <t xml:space="preserve">、</t>
    </r>
    <r>
      <rPr>
        <sz val="11"/>
        <color theme="1"/>
        <rFont val="Calibri"/>
        <family val="2"/>
        <charset val="1"/>
      </rPr>
      <t xml:space="preserve">Ways</t>
    </r>
  </si>
  <si>
    <t xml:space="preserve">优缺点介绍</t>
  </si>
  <si>
    <t xml:space="preserve">消除玩法的优点非常明显，那就是连续消除带来的期待。理论上只要玩家的运气足够好，就有可能无限制地赢下去。在中将带来的刺激基础上添加了再次中奖者多一层的刺激</t>
  </si>
  <si>
    <r>
      <rPr>
        <sz val="11"/>
        <color theme="1"/>
        <rFont val="Noto Sans SC"/>
        <family val="2"/>
        <charset val="134"/>
      </rPr>
      <t xml:space="preserve">与之相对的，为了保证</t>
    </r>
    <r>
      <rPr>
        <sz val="11"/>
        <color theme="1"/>
        <rFont val="Calibri"/>
        <family val="2"/>
        <charset val="1"/>
      </rPr>
      <t xml:space="preserve">Slots</t>
    </r>
    <r>
      <rPr>
        <sz val="11"/>
        <color theme="1"/>
        <rFont val="Noto Sans SC"/>
        <family val="2"/>
        <charset val="134"/>
      </rPr>
      <t xml:space="preserve">的数值回收，真实体验下来大多数时候都难以达成多次连续中奖，这样子的体验也成为消除</t>
    </r>
    <r>
      <rPr>
        <sz val="11"/>
        <color theme="1"/>
        <rFont val="Calibri"/>
        <family val="2"/>
        <charset val="1"/>
      </rPr>
      <t xml:space="preserve">Feature</t>
    </r>
    <r>
      <rPr>
        <sz val="11"/>
        <color theme="1"/>
        <rFont val="Noto Sans SC"/>
        <family val="2"/>
        <charset val="134"/>
      </rPr>
      <t xml:space="preserve">的主要缺点</t>
    </r>
  </si>
  <si>
    <t xml:space="preserve">优化方案</t>
  </si>
  <si>
    <r>
      <rPr>
        <sz val="11"/>
        <color theme="1"/>
        <rFont val="Noto Sans SC"/>
        <family val="2"/>
        <charset val="134"/>
      </rPr>
      <t xml:space="preserve">针对</t>
    </r>
    <r>
      <rPr>
        <sz val="11"/>
        <color theme="1"/>
        <rFont val="Calibri"/>
        <family val="2"/>
        <charset val="1"/>
      </rPr>
      <t xml:space="preserve">Cascading</t>
    </r>
    <r>
      <rPr>
        <sz val="11"/>
        <color theme="1"/>
        <rFont val="Noto Sans SC"/>
        <family val="2"/>
        <charset val="134"/>
      </rPr>
      <t xml:space="preserve">的优缺点，部分玩法在基础消除的基础上做了优化</t>
    </r>
  </si>
  <si>
    <r>
      <rPr>
        <sz val="11"/>
        <color theme="1"/>
        <rFont val="Calibri"/>
        <family val="2"/>
        <charset val="1"/>
      </rPr>
      <t xml:space="preserve">1. </t>
    </r>
    <r>
      <rPr>
        <sz val="11"/>
        <color theme="1"/>
        <rFont val="Noto Sans SC"/>
        <family val="2"/>
        <charset val="134"/>
      </rPr>
      <t xml:space="preserve">绑定免费摇</t>
    </r>
  </si>
  <si>
    <r>
      <rPr>
        <sz val="11"/>
        <color theme="1"/>
        <rFont val="Noto Sans SC"/>
        <family val="2"/>
        <charset val="134"/>
      </rPr>
      <t xml:space="preserve">在</t>
    </r>
    <r>
      <rPr>
        <sz val="11"/>
        <color theme="1"/>
        <rFont val="Calibri"/>
        <family val="2"/>
        <charset val="1"/>
      </rPr>
      <t xml:space="preserve">Cascading</t>
    </r>
    <r>
      <rPr>
        <sz val="11"/>
        <color theme="1"/>
        <rFont val="Noto Sans SC"/>
        <family val="2"/>
        <charset val="134"/>
      </rPr>
      <t xml:space="preserve">的基础上添加免费摇机制。当玩家中奖时，就积攒玩家连赢次数</t>
    </r>
  </si>
  <si>
    <t xml:space="preserve">连赢次数在本局结束时清零</t>
  </si>
  <si>
    <t xml:space="preserve">但是当连赢次数达到指定次数以上时，玩家就可以获得免费摇奖的机会</t>
  </si>
  <si>
    <t xml:space="preserve">连赢次数越多，免费摇次数越多</t>
  </si>
  <si>
    <t xml:space="preserve">将免费摇和消除连赢绑定起来，增加玩家期待的分量的优化方式，使得该优化方法和强调高额度奖励的玩法契合性比较高，常用带有刻度的进度条和奖励展示在卷轴侧面，引导玩家期待大奖</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</si>
  <si>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626184549-02.jpg</t>
    </r>
  </si>
  <si>
    <r>
      <rPr>
        <sz val="11"/>
        <color theme="1"/>
        <rFont val="Calibri"/>
        <family val="2"/>
        <charset val="1"/>
      </rPr>
      <t xml:space="preserve">2. </t>
    </r>
    <r>
      <rPr>
        <sz val="11"/>
        <color theme="1"/>
        <rFont val="Noto Sans SC"/>
        <family val="2"/>
        <charset val="134"/>
      </rPr>
      <t xml:space="preserve">绑定倍数</t>
    </r>
  </si>
  <si>
    <t xml:space="preserve">该解决和绑定特殊模式相对比较相似，但是积攒的不是连赢次数，而是代表连赢次数的倍数</t>
  </si>
  <si>
    <r>
      <rPr>
        <sz val="11"/>
        <color theme="1"/>
        <rFont val="Noto Sans SC"/>
        <family val="2"/>
        <charset val="134"/>
      </rPr>
      <t xml:space="preserve">当玩家中奖消除的同时，会在基础倍数上增加</t>
    </r>
    <r>
      <rPr>
        <sz val="11"/>
        <color theme="1"/>
        <rFont val="Calibri"/>
        <family val="2"/>
        <charset val="1"/>
      </rPr>
      <t xml:space="preserve">X</t>
    </r>
    <r>
      <rPr>
        <sz val="11"/>
        <color theme="1"/>
        <rFont val="Noto Sans SC"/>
        <family val="2"/>
        <charset val="134"/>
      </rPr>
      <t xml:space="preserve">，并在在本局之后每次中奖时都重复叠加</t>
    </r>
  </si>
  <si>
    <t xml:space="preserve">玩家在连续中奖时，伴随着中奖，玩家实际获得的收益也在每次提升</t>
  </si>
  <si>
    <t xml:space="preserve">在和免费摇绑定的基础上，将玩家的期待转化成了每次连赢获得的实际奖励</t>
  </si>
  <si>
    <r>
      <rPr>
        <sz val="11"/>
        <color theme="1"/>
        <rFont val="Noto Sans SC"/>
        <family val="2"/>
        <charset val="134"/>
      </rPr>
      <t xml:space="preserve">哪怕只连赢了两局，第二次都能获得（</t>
    </r>
    <r>
      <rPr>
        <sz val="11"/>
        <color theme="1"/>
        <rFont val="Calibri"/>
        <family val="2"/>
        <charset val="1"/>
      </rPr>
      <t xml:space="preserve">1+X</t>
    </r>
    <r>
      <rPr>
        <sz val="11"/>
        <color theme="1"/>
        <rFont val="Noto Sans SC"/>
        <family val="2"/>
        <charset val="134"/>
      </rPr>
      <t xml:space="preserve">）倍的奖励</t>
    </r>
  </si>
  <si>
    <t xml:space="preserve">这个方法更好地解决了玩家经常只能少量连续中奖导致玩家期待多次落空影响游戏体验的问题，因此该机制也被使用在了更多热门产品里</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</si>
  <si>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626184549-03.jpg</t>
    </r>
  </si>
  <si>
    <r>
      <rPr>
        <sz val="11"/>
        <color theme="1"/>
        <rFont val="Calibri"/>
        <family val="2"/>
        <charset val="1"/>
      </rPr>
      <t xml:space="preserve">3. </t>
    </r>
    <r>
      <rPr>
        <sz val="11"/>
        <color theme="1"/>
        <rFont val="Noto Sans SC"/>
        <family val="2"/>
        <charset val="134"/>
      </rPr>
      <t xml:space="preserve">额外奖励</t>
    </r>
  </si>
  <si>
    <t xml:space="preserve">除去绑定其他机制的思路，还有一部分玩法选择使用简单给连赢增加额外奖励的方式来提升玩家对联赢的期待</t>
  </si>
  <si>
    <r>
      <rPr>
        <sz val="11"/>
        <color theme="1"/>
        <rFont val="Noto Sans SC"/>
        <family val="2"/>
        <charset val="134"/>
      </rPr>
      <t xml:space="preserve">个人是不太喜欢这种跳出机制设置数值的设计方式，因为这种设计和</t>
    </r>
    <r>
      <rPr>
        <sz val="11"/>
        <color theme="1"/>
        <rFont val="Calibri"/>
        <family val="2"/>
        <charset val="1"/>
      </rPr>
      <t xml:space="preserve">Slots</t>
    </r>
    <r>
      <rPr>
        <sz val="11"/>
        <color theme="1"/>
        <rFont val="Noto Sans SC"/>
        <family val="2"/>
        <charset val="134"/>
      </rPr>
      <t xml:space="preserve">本身的关系已经不大了</t>
    </r>
  </si>
  <si>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中直接添加一个</t>
    </r>
    <r>
      <rPr>
        <sz val="11"/>
        <color theme="1"/>
        <rFont val="Calibri"/>
        <family val="2"/>
        <charset val="1"/>
      </rPr>
      <t xml:space="preserve">MINI Game</t>
    </r>
    <r>
      <rPr>
        <sz val="11"/>
        <color theme="1"/>
        <rFont val="Noto Sans SC"/>
        <family val="2"/>
        <charset val="134"/>
      </rPr>
      <t xml:space="preserve">弹窗还更直接一些</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</si>
  <si>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626184549-04.jpg</t>
    </r>
  </si>
  <si>
    <r>
      <rPr>
        <sz val="11"/>
        <color theme="1"/>
        <rFont val="Calibri"/>
        <family val="2"/>
        <charset val="1"/>
      </rPr>
      <t xml:space="preserve">4. </t>
    </r>
    <r>
      <rPr>
        <sz val="11"/>
        <color theme="1"/>
        <rFont val="Noto Sans SC"/>
        <family val="2"/>
        <charset val="134"/>
      </rPr>
      <t xml:space="preserve">其他奖励机制</t>
    </r>
  </si>
  <si>
    <t xml:space="preserve">部分产品使用了更加复杂的机制，但思路上也都是增加连续中奖能够获得的奖励</t>
  </si>
  <si>
    <t xml:space="preserve">这里就不详细介绍了，简单展示一下他们的界面</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</si>
  <si>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626184549-05.jpg</t>
    </r>
  </si>
  <si>
    <t xml:space="preserve">5. Progressive Wild</t>
  </si>
  <si>
    <r>
      <rPr>
        <sz val="11"/>
        <color theme="1"/>
        <rFont val="Noto Sans SC"/>
        <family val="2"/>
        <charset val="134"/>
      </rPr>
      <t xml:space="preserve">以上几种方法都是通过增加奖励总额的方式提升</t>
    </r>
    <r>
      <rPr>
        <sz val="11"/>
        <color theme="1"/>
        <rFont val="Calibri"/>
        <family val="2"/>
        <charset val="1"/>
      </rPr>
      <t xml:space="preserve">Cascading</t>
    </r>
    <r>
      <rPr>
        <sz val="11"/>
        <color theme="1"/>
        <rFont val="Noto Sans SC"/>
        <family val="2"/>
        <charset val="134"/>
      </rPr>
      <t xml:space="preserve">的刺激程度</t>
    </r>
  </si>
  <si>
    <t xml:space="preserve">从期望的公式可知想要提升期望，除去增加最终的奖励，还可以提升出现的几率</t>
  </si>
  <si>
    <r>
      <rPr>
        <sz val="11"/>
        <color theme="1"/>
        <rFont val="Calibri"/>
        <family val="2"/>
        <charset val="1"/>
      </rPr>
      <t xml:space="preserve">Progressive Wild</t>
    </r>
    <r>
      <rPr>
        <sz val="11"/>
        <color theme="1"/>
        <rFont val="Noto Sans SC"/>
        <family val="2"/>
        <charset val="134"/>
      </rPr>
      <t xml:space="preserve">就是这样一种机制</t>
    </r>
  </si>
  <si>
    <r>
      <rPr>
        <sz val="11"/>
        <color theme="1"/>
        <rFont val="Calibri"/>
        <family val="2"/>
        <charset val="1"/>
      </rPr>
      <t xml:space="preserve">Progressive Wild</t>
    </r>
    <r>
      <rPr>
        <sz val="11"/>
        <color theme="1"/>
        <rFont val="Noto Sans SC"/>
        <family val="2"/>
        <charset val="134"/>
      </rPr>
      <t xml:space="preserve">指的是在图标消除后，在其原来的位置留下百搭图标</t>
    </r>
  </si>
  <si>
    <t xml:space="preserve">能够代替任何图标的百搭图标自然就提升了玩家再次中奖的几率</t>
  </si>
  <si>
    <t xml:space="preserve">当然不能消除的所有图标都变成百搭，不然消除后必然中奖，因此会对变成百搭的图标类型或者位置进行一些限制</t>
  </si>
  <si>
    <t xml:space="preserve">常见的有在图标本身之外附加一种边框，有这种边框的图标在消除时变成百搭图标</t>
  </si>
  <si>
    <t xml:space="preserve">还有只让中奖图标中最后一列的图标变成百搭图标</t>
  </si>
  <si>
    <t xml:space="preserve">当然百搭中奖之后不会在变成百搭</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</si>
  <si>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626184549-06.jpg</t>
    </r>
  </si>
  <si>
    <t xml:space="preserve">6. Exploding reels</t>
  </si>
  <si>
    <t xml:space="preserve">除去增加百搭，还有一种增加中奖率的方式，那就是增加总图标数量，也就是卷轴的大小</t>
  </si>
  <si>
    <r>
      <rPr>
        <sz val="11"/>
        <color theme="1"/>
        <rFont val="Calibri"/>
        <family val="2"/>
        <charset val="1"/>
      </rPr>
      <t xml:space="preserve">Exploding reels</t>
    </r>
    <r>
      <rPr>
        <sz val="11"/>
        <color theme="1"/>
        <rFont val="Noto Sans SC"/>
        <family val="2"/>
        <charset val="134"/>
      </rPr>
      <t xml:space="preserve">就是在玩家中奖后，扩大卷轴尺寸的方式增加玩家连续中奖的几率</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</si>
  <si>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626184549-07.jpg</t>
    </r>
  </si>
  <si>
    <t xml:space="preserve">小结</t>
  </si>
  <si>
    <r>
      <rPr>
        <sz val="11"/>
        <color theme="1"/>
        <rFont val="Noto Sans SC"/>
        <family val="2"/>
        <charset val="134"/>
      </rPr>
      <t xml:space="preserve">从以上的介绍中不难看出</t>
    </r>
    <r>
      <rPr>
        <sz val="11"/>
        <color theme="1"/>
        <rFont val="Calibri"/>
        <family val="2"/>
        <charset val="1"/>
      </rPr>
      <t xml:space="preserve">Cascading</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的可塑性和适应性</t>
    </r>
  </si>
  <si>
    <r>
      <rPr>
        <sz val="11"/>
        <color theme="1"/>
        <rFont val="Noto Sans SC"/>
        <family val="2"/>
        <charset val="134"/>
      </rPr>
      <t xml:space="preserve">几乎所有类型的</t>
    </r>
    <r>
      <rPr>
        <sz val="11"/>
        <color theme="1"/>
        <rFont val="Calibri"/>
        <family val="2"/>
        <charset val="1"/>
      </rPr>
      <t xml:space="preserve">Slots</t>
    </r>
    <r>
      <rPr>
        <sz val="11"/>
        <color theme="1"/>
        <rFont val="Noto Sans SC"/>
        <family val="2"/>
        <charset val="134"/>
      </rPr>
      <t xml:space="preserve">都可以添加</t>
    </r>
    <r>
      <rPr>
        <sz val="11"/>
        <color theme="1"/>
        <rFont val="Calibri"/>
        <family val="2"/>
        <charset val="1"/>
      </rPr>
      <t xml:space="preserve">Cascading</t>
    </r>
    <r>
      <rPr>
        <sz val="11"/>
        <color theme="1"/>
        <rFont val="Noto Sans SC"/>
        <family val="2"/>
        <charset val="134"/>
      </rPr>
      <t xml:space="preserve">作为机制，并且在</t>
    </r>
    <r>
      <rPr>
        <sz val="11"/>
        <color theme="1"/>
        <rFont val="Calibri"/>
        <family val="2"/>
        <charset val="1"/>
      </rPr>
      <t xml:space="preserve">Cascading</t>
    </r>
    <r>
      <rPr>
        <sz val="11"/>
        <color theme="1"/>
        <rFont val="Noto Sans SC"/>
        <family val="2"/>
        <charset val="134"/>
      </rPr>
      <t xml:space="preserve">的基础上围绕连续中奖设计出更多机制</t>
    </r>
  </si>
  <si>
    <r>
      <rPr>
        <sz val="11"/>
        <color theme="1"/>
        <rFont val="Noto Sans SC"/>
        <family val="2"/>
        <charset val="134"/>
      </rPr>
      <t xml:space="preserve">那么这么好用的</t>
    </r>
    <r>
      <rPr>
        <sz val="11"/>
        <color theme="1"/>
        <rFont val="Calibri"/>
        <family val="2"/>
        <charset val="1"/>
      </rPr>
      <t xml:space="preserve">Feature</t>
    </r>
    <r>
      <rPr>
        <sz val="11"/>
        <color theme="1"/>
        <rFont val="Noto Sans SC"/>
        <family val="2"/>
        <charset val="134"/>
      </rPr>
      <t xml:space="preserve">带入数值模型汇总应该如何处理呢？</t>
    </r>
  </si>
  <si>
    <t xml:space="preserve">目前来说最好的解决方案就是 “跑数据”</t>
  </si>
  <si>
    <r>
      <rPr>
        <sz val="11"/>
        <color theme="1"/>
        <rFont val="Noto Sans SC"/>
        <family val="2"/>
        <charset val="134"/>
      </rPr>
      <t xml:space="preserve">每次中奖后消除的图标依据老虎机的类型不同、中奖组合的不同，中奖线的设置不同等就已经有非常大的差异，在考虑新掉落的图标对整体</t>
    </r>
    <r>
      <rPr>
        <sz val="11"/>
        <color theme="1"/>
        <rFont val="Calibri"/>
        <family val="2"/>
        <charset val="1"/>
      </rPr>
      <t xml:space="preserve">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影响，其需要考虑的情况非常之多，很难用简单的数值模型概括所有的情况</t>
    </r>
  </si>
  <si>
    <r>
      <rPr>
        <sz val="11"/>
        <color theme="1"/>
        <rFont val="Noto Sans SC"/>
        <family val="2"/>
        <charset val="134"/>
      </rPr>
      <t xml:space="preserve">因此，在设计带有 </t>
    </r>
    <r>
      <rPr>
        <sz val="11"/>
        <color theme="1"/>
        <rFont val="Calibri"/>
        <family val="2"/>
        <charset val="1"/>
      </rPr>
      <t xml:space="preserve">Cascading Feature</t>
    </r>
    <r>
      <rPr>
        <sz val="11"/>
        <color theme="1"/>
        <rFont val="Noto Sans SC"/>
        <family val="2"/>
        <charset val="134"/>
      </rPr>
      <t xml:space="preserve">的 </t>
    </r>
    <r>
      <rPr>
        <sz val="11"/>
        <color theme="1"/>
        <rFont val="Calibri"/>
        <family val="2"/>
        <charset val="1"/>
      </rPr>
      <t xml:space="preserve">Slots </t>
    </r>
    <r>
      <rPr>
        <sz val="11"/>
        <color theme="1"/>
        <rFont val="Noto Sans SC"/>
        <family val="2"/>
        <charset val="134"/>
      </rPr>
      <t xml:space="preserve">时，我在输出</t>
    </r>
    <r>
      <rPr>
        <sz val="11"/>
        <color theme="1"/>
        <rFont val="Calibri"/>
        <family val="2"/>
        <charset val="1"/>
      </rPr>
      <t xml:space="preserve">Slots</t>
    </r>
    <r>
      <rPr>
        <sz val="11"/>
        <color theme="1"/>
        <rFont val="Noto Sans SC"/>
        <family val="2"/>
        <charset val="134"/>
      </rPr>
      <t xml:space="preserve">本身的需求文档同时还会输出跑数据的需求文档</t>
    </r>
  </si>
  <si>
    <r>
      <rPr>
        <sz val="11"/>
        <color theme="1"/>
        <rFont val="Noto Sans SC"/>
        <family val="2"/>
        <charset val="134"/>
      </rPr>
      <t xml:space="preserve">先使用无穷级数求和或马尔科夫链的方式计算出大体的</t>
    </r>
    <r>
      <rPr>
        <sz val="11"/>
        <color theme="1"/>
        <rFont val="Calibri"/>
        <family val="2"/>
        <charset val="1"/>
      </rPr>
      <t xml:space="preserve">RTP</t>
    </r>
    <r>
      <rPr>
        <sz val="11"/>
        <color theme="1"/>
        <rFont val="Noto Sans SC"/>
        <family val="2"/>
        <charset val="134"/>
      </rPr>
      <t xml:space="preserve">，再依据实际跑数据结果对数值设置进行调整</t>
    </r>
  </si>
  <si>
    <r>
      <rPr>
        <b val="true"/>
        <sz val="11"/>
        <rFont val="Noto Sans SC"/>
        <family val="2"/>
        <charset val="134"/>
      </rPr>
      <t xml:space="preserve">原文配图清单（共 </t>
    </r>
    <r>
      <rPr>
        <b val="true"/>
        <sz val="11"/>
        <rFont val="Cambria"/>
        <family val="0"/>
        <charset val="1"/>
      </rPr>
      <t xml:space="preserve">7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</si>
  <si>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626184549-01.jpg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</si>
  <si>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626184549-02.jpg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</si>
  <si>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626184549-03.jpg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</si>
  <si>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626184549-04.jpg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</si>
  <si>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626184549-05.jpg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</si>
  <si>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626184549-06.jpg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</si>
  <si>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626184549-07.jpg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</si>
  <si>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</si>
  <si>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</si>
  <si>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</si>
  <si>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</si>
  <si>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</si>
  <si>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</si>
  <si>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Cascading</t>
    </r>
    <r>
      <rPr>
        <sz val="11"/>
        <color rgb="FF808080"/>
        <rFont val="Noto Sans SC"/>
        <family val="2"/>
        <charset val="134"/>
      </rPr>
      <t xml:space="preserve">消除图标》</t>
    </r>
    <r>
      <rPr>
        <sz val="11"/>
        <color rgb="FF808080"/>
        <rFont val="Cambria"/>
        <family val="0"/>
        <charset val="1"/>
      </rPr>
      <t xml:space="preserve">, https://zhuanlan.zhihu.com/p/626184549</t>
    </r>
  </si>
  <si>
    <r>
      <rPr>
        <b val="true"/>
        <sz val="14"/>
        <color rgb="FF1F4E79"/>
        <rFont val="Noto Sans SC"/>
        <family val="2"/>
        <charset val="134"/>
      </rPr>
      <t xml:space="preserve">基础篇 </t>
    </r>
    <r>
      <rPr>
        <b val="true"/>
        <sz val="14"/>
        <color rgb="FF1F4E79"/>
        <rFont val="Cambria"/>
        <family val="0"/>
        <charset val="1"/>
      </rPr>
      <t xml:space="preserve">· Cascading</t>
    </r>
    <r>
      <rPr>
        <b val="true"/>
        <sz val="14"/>
        <color rgb="FF1F4E79"/>
        <rFont val="Noto Sans SC"/>
        <family val="2"/>
        <charset val="134"/>
      </rPr>
      <t xml:space="preserve">消除图标 —— 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</si>
  <si>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】机制流程（原文）</t>
    </r>
  </si>
  <si>
    <t xml:space="preserve">步骤</t>
  </si>
  <si>
    <t xml:space="preserve">动作</t>
  </si>
  <si>
    <t xml:space="preserve">1</t>
  </si>
  <si>
    <t xml:space="preserve">图标中奖</t>
  </si>
  <si>
    <t xml:space="preserve">按对应中奖组合结算奖励</t>
  </si>
  <si>
    <t xml:space="preserve">2</t>
  </si>
  <si>
    <t xml:space="preserve">中奖图标消除</t>
  </si>
  <si>
    <t xml:space="preserve">被消除的位置留空</t>
  </si>
  <si>
    <t xml:space="preserve">3</t>
  </si>
  <si>
    <t xml:space="preserve">掉落补位</t>
  </si>
  <si>
    <t xml:space="preserve">上方图标下落补空，新图标从上方补入</t>
  </si>
  <si>
    <t xml:space="preserve">4</t>
  </si>
  <si>
    <t xml:space="preserve">再次结算中奖</t>
  </si>
  <si>
    <r>
      <rPr>
        <sz val="11"/>
        <color theme="1"/>
        <rFont val="Noto Sans SC"/>
        <family val="2"/>
        <charset val="134"/>
      </rPr>
      <t xml:space="preserve">补位后若仍中奖，则回到步骤 </t>
    </r>
    <r>
      <rPr>
        <sz val="11"/>
        <color theme="1"/>
        <rFont val="Calibri"/>
        <family val="2"/>
        <charset val="1"/>
      </rPr>
      <t xml:space="preserve">2 </t>
    </r>
    <r>
      <rPr>
        <sz val="11"/>
        <color theme="1"/>
        <rFont val="Noto Sans SC"/>
        <family val="2"/>
        <charset val="134"/>
      </rPr>
      <t xml:space="preserve">继续（连赢）</t>
    </r>
  </si>
  <si>
    <t xml:space="preserve">5</t>
  </si>
  <si>
    <t xml:space="preserve">停止</t>
  </si>
  <si>
    <t xml:space="preserve">直到不再中奖为止</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</si>
  <si>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】优缺点（原文）</t>
    </r>
  </si>
  <si>
    <t xml:space="preserve">维度</t>
  </si>
  <si>
    <t xml:space="preserve">内容</t>
  </si>
  <si>
    <t xml:space="preserve">优点</t>
  </si>
  <si>
    <t xml:space="preserve">连续消除带来「再次中奖」的期待，在中奖刺激之上再叠一层刺激；理论上运气足够好可以无限连赢</t>
  </si>
  <si>
    <t xml:space="preserve">缺点</t>
  </si>
  <si>
    <t xml:space="preserve">为保证数值回收，实际体验里大多数时候难以多次连续中奖，玩家期待容易落空</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</si>
  <si>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t>
    </r>
    <r>
      <rPr>
        <b val="true"/>
        <sz val="11"/>
        <color rgb="FF1F4E79"/>
        <rFont val="Cambria"/>
        <family val="0"/>
        <charset val="1"/>
      </rPr>
      <t xml:space="preserve">Cascading </t>
    </r>
    <r>
      <rPr>
        <b val="true"/>
        <sz val="11"/>
        <color rgb="FF1F4E79"/>
        <rFont val="Noto Sans SC"/>
        <family val="2"/>
        <charset val="134"/>
      </rPr>
      <t xml:space="preserve">的 </t>
    </r>
    <r>
      <rPr>
        <b val="true"/>
        <sz val="11"/>
        <color rgb="FF1F4E79"/>
        <rFont val="Cambria"/>
        <family val="0"/>
        <charset val="1"/>
      </rPr>
      <t xml:space="preserve">6 </t>
    </r>
    <r>
      <rPr>
        <b val="true"/>
        <sz val="11"/>
        <color rgb="FF1F4E79"/>
        <rFont val="Noto Sans SC"/>
        <family val="2"/>
        <charset val="134"/>
      </rPr>
      <t xml:space="preserve">种优化方案（原文）</t>
    </r>
  </si>
  <si>
    <t xml:space="preserve">方案</t>
  </si>
  <si>
    <t xml:space="preserve">做法</t>
  </si>
  <si>
    <t xml:space="preserve">解决的问题</t>
  </si>
  <si>
    <t xml:space="preserve">数值处理要点</t>
  </si>
  <si>
    <t xml:space="preserve">① 绑定免费摇</t>
  </si>
  <si>
    <t xml:space="preserve">连赢次数积攒，达到指定次数即获得免费摇；连赢越多免费摇越多；连赢次数在本局结束时清零</t>
  </si>
  <si>
    <t xml:space="preserve">把连赢的期待转化为免费摇奖励，适合强调高额奖励的玩法</t>
  </si>
  <si>
    <r>
      <rPr>
        <sz val="11"/>
        <color theme="1"/>
        <rFont val="Noto Sans SC"/>
        <family val="2"/>
        <charset val="134"/>
      </rPr>
      <t xml:space="preserve">建立「连赢次数 → 免费摇次数」映射表，用二项</t>
    </r>
    <r>
      <rPr>
        <sz val="11"/>
        <color theme="1"/>
        <rFont val="Calibri"/>
        <family val="2"/>
        <charset val="1"/>
      </rPr>
      <t xml:space="preserve">/</t>
    </r>
    <r>
      <rPr>
        <sz val="11"/>
        <color theme="1"/>
        <rFont val="Noto Sans SC"/>
        <family val="2"/>
        <charset val="134"/>
      </rPr>
      <t xml:space="preserve">几何分布算期望免费摇次数</t>
    </r>
  </si>
  <si>
    <t xml:space="preserve">② 绑定倍数</t>
  </si>
  <si>
    <r>
      <rPr>
        <sz val="11"/>
        <color theme="1"/>
        <rFont val="Noto Sans SC"/>
        <family val="2"/>
        <charset val="134"/>
      </rPr>
      <t xml:space="preserve">每次中奖消除时在基础倍数上叠加 </t>
    </r>
    <r>
      <rPr>
        <sz val="11"/>
        <color theme="1"/>
        <rFont val="Calibri"/>
        <family val="2"/>
        <charset val="1"/>
      </rPr>
      <t xml:space="preserve">X</t>
    </r>
    <r>
      <rPr>
        <sz val="11"/>
        <color theme="1"/>
        <rFont val="Noto Sans SC"/>
        <family val="2"/>
        <charset val="134"/>
      </rPr>
      <t xml:space="preserve">，本局之后每次中奖都重复叠加</t>
    </r>
  </si>
  <si>
    <r>
      <rPr>
        <sz val="11"/>
        <color theme="1"/>
        <rFont val="Noto Sans SC"/>
        <family val="2"/>
        <charset val="134"/>
      </rPr>
      <t xml:space="preserve">解决「只能少量连赢」导致期待落空的问题；连赢 </t>
    </r>
    <r>
      <rPr>
        <sz val="11"/>
        <color theme="1"/>
        <rFont val="Calibri"/>
        <family val="2"/>
        <charset val="1"/>
      </rPr>
      <t xml:space="preserve">2 </t>
    </r>
    <r>
      <rPr>
        <sz val="11"/>
        <color theme="1"/>
        <rFont val="Noto Sans SC"/>
        <family val="2"/>
        <charset val="134"/>
      </rPr>
      <t xml:space="preserve">局第 </t>
    </r>
    <r>
      <rPr>
        <sz val="11"/>
        <color theme="1"/>
        <rFont val="Calibri"/>
        <family val="2"/>
        <charset val="1"/>
      </rPr>
      <t xml:space="preserve">2 </t>
    </r>
    <r>
      <rPr>
        <sz val="11"/>
        <color theme="1"/>
        <rFont val="Noto Sans SC"/>
        <family val="2"/>
        <charset val="134"/>
      </rPr>
      <t xml:space="preserve">次就有（</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X</t>
    </r>
    <r>
      <rPr>
        <sz val="11"/>
        <color theme="1"/>
        <rFont val="Noto Sans SC"/>
        <family val="2"/>
        <charset val="134"/>
      </rPr>
      <t xml:space="preserve">）倍</t>
    </r>
  </si>
  <si>
    <r>
      <rPr>
        <sz val="11"/>
        <color theme="1"/>
        <rFont val="Noto Sans SC"/>
        <family val="2"/>
        <charset val="134"/>
      </rPr>
      <t xml:space="preserve">期望倍数 ＝ </t>
    </r>
    <r>
      <rPr>
        <sz val="11"/>
        <color theme="1"/>
        <rFont val="Calibri"/>
        <family val="2"/>
        <charset val="1"/>
      </rPr>
      <t xml:space="preserve">Σ </t>
    </r>
    <r>
      <rPr>
        <sz val="11"/>
        <color theme="1"/>
        <rFont val="Noto Sans SC"/>
        <family val="2"/>
        <charset val="134"/>
      </rPr>
      <t xml:space="preserve">连赢分布 </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(n−1)X</t>
    </r>
    <r>
      <rPr>
        <sz val="11"/>
        <color theme="1"/>
        <rFont val="Noto Sans SC"/>
        <family val="2"/>
        <charset val="134"/>
      </rPr>
      <t xml:space="preserve">），见到 </t>
    </r>
    <r>
      <rPr>
        <sz val="11"/>
        <color theme="1"/>
        <rFont val="Calibri"/>
        <family val="2"/>
        <charset val="1"/>
      </rPr>
      <t xml:space="preserve">X </t>
    </r>
    <r>
      <rPr>
        <sz val="11"/>
        <color theme="1"/>
        <rFont val="Noto Sans SC"/>
        <family val="2"/>
        <charset val="134"/>
      </rPr>
      <t xml:space="preserve">与连赢概率的关系</t>
    </r>
  </si>
  <si>
    <t xml:space="preserve">③ 额外奖励</t>
  </si>
  <si>
    <t xml:space="preserve">直接给连赢加额外奖励（跳出机制单独设置数值）</t>
  </si>
  <si>
    <t xml:space="preserve">提升连赢的吸引力</t>
  </si>
  <si>
    <r>
      <rPr>
        <sz val="11"/>
        <color theme="1"/>
        <rFont val="Noto Sans SC"/>
        <family val="2"/>
        <charset val="134"/>
      </rPr>
      <t xml:space="preserve">原文不推荐：与 </t>
    </r>
    <r>
      <rPr>
        <sz val="11"/>
        <color theme="1"/>
        <rFont val="Calibri"/>
        <family val="2"/>
        <charset val="1"/>
      </rPr>
      <t xml:space="preserve">Slots </t>
    </r>
    <r>
      <rPr>
        <sz val="11"/>
        <color theme="1"/>
        <rFont val="Noto Sans SC"/>
        <family val="2"/>
        <charset val="134"/>
      </rPr>
      <t xml:space="preserve">本身关联弱，不如直接做 </t>
    </r>
    <r>
      <rPr>
        <sz val="11"/>
        <color theme="1"/>
        <rFont val="Calibri"/>
        <family val="2"/>
        <charset val="1"/>
      </rPr>
      <t xml:space="preserve">MINI Game</t>
    </r>
  </si>
  <si>
    <t xml:space="preserve">④ 其他复合机制</t>
  </si>
  <si>
    <t xml:space="preserve">在连赢基础上再叠加更复杂的机制</t>
  </si>
  <si>
    <t xml:space="preserve">进一步提升刺激</t>
  </si>
  <si>
    <t xml:space="preserve">复杂度高，需逐条做数值验证</t>
  </si>
  <si>
    <t xml:space="preserve">⑤ Progressive Wild</t>
  </si>
  <si>
    <t xml:space="preserve">图标消除后，在原位留下百搭图标（对图标类型或位置做限制）</t>
  </si>
  <si>
    <t xml:space="preserve">不改奖励总额，而是提升「再次中奖的几率」——从期望公式的另一端入手</t>
  </si>
  <si>
    <t xml:space="preserve">把「消除后留百搭」折算成下一轮的出现概率提升，再算连锁期望</t>
  </si>
  <si>
    <t xml:space="preserve">⑥ Exploding reels</t>
  </si>
  <si>
    <t xml:space="preserve">中奖后扩大卷轴尺寸（增加图标总数）</t>
  </si>
  <si>
    <t xml:space="preserve">同样提升再次中奖几率</t>
  </si>
  <si>
    <t xml:space="preserve">卷轴尺寸变化会改变事件数与最大组合长度，需分状态建模</t>
  </si>
  <si>
    <r>
      <rPr>
        <sz val="11"/>
        <color rgb="FF808080"/>
        <rFont val="Cambria"/>
        <family val="0"/>
        <charset val="1"/>
      </rPr>
      <t xml:space="preserve">Progressive Wild </t>
    </r>
    <r>
      <rPr>
        <sz val="11"/>
        <color rgb="FF808080"/>
        <rFont val="Noto Sans SC"/>
        <family val="2"/>
        <charset val="134"/>
      </rPr>
      <t xml:space="preserve">的限制条件（原文）：不能所有图标都变百搭（否则消除后必然中奖），常见做法是「带边框的图标消除后变百搭」或「只让最后一列的中奖图标变百搭」；百搭本身中奖后不再变百搭。</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</si>
  <si>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t>
    </r>
    <r>
      <rPr>
        <b val="true"/>
        <sz val="11"/>
        <color rgb="FF1F4E79"/>
        <rFont val="Cambria"/>
        <family val="0"/>
        <charset val="1"/>
      </rPr>
      <t xml:space="preserve">Cascading </t>
    </r>
    <r>
      <rPr>
        <b val="true"/>
        <sz val="11"/>
        <color rgb="FF1F4E79"/>
        <rFont val="Noto Sans SC"/>
        <family val="2"/>
        <charset val="134"/>
      </rPr>
      <t xml:space="preserve">期望估算器（跑数据前的起点；示例数值可改）</t>
    </r>
  </si>
  <si>
    <t xml:space="preserve">项目</t>
  </si>
  <si>
    <t xml:space="preserve">数值</t>
  </si>
  <si>
    <r>
      <rPr>
        <sz val="11"/>
        <color theme="1"/>
        <rFont val="Noto Sans SC"/>
        <family val="2"/>
        <charset val="134"/>
      </rPr>
      <t xml:space="preserve">单次消除后再次中奖概率 </t>
    </r>
    <r>
      <rPr>
        <sz val="11"/>
        <color theme="1"/>
        <rFont val="Calibri"/>
        <family val="2"/>
        <charset val="1"/>
      </rPr>
      <t xml:space="preserve">p</t>
    </r>
  </si>
  <si>
    <t xml:space="preserve">由卷轴分布＋消除补位规则决定，最终以跑数据为准</t>
  </si>
  <si>
    <r>
      <rPr>
        <sz val="11"/>
        <color theme="1"/>
        <rFont val="Noto Sans SC"/>
        <family val="2"/>
        <charset val="134"/>
      </rPr>
      <t xml:space="preserve">基础摇奖实际 </t>
    </r>
    <r>
      <rPr>
        <sz val="11"/>
        <color theme="1"/>
        <rFont val="Calibri"/>
        <family val="2"/>
        <charset val="1"/>
      </rPr>
      <t xml:space="preserve">RTP</t>
    </r>
  </si>
  <si>
    <r>
      <rPr>
        <sz val="11"/>
        <color theme="1"/>
        <rFont val="Noto Sans SC"/>
        <family val="2"/>
        <charset val="134"/>
      </rPr>
      <t xml:space="preserve">不含 </t>
    </r>
    <r>
      <rPr>
        <sz val="11"/>
        <color theme="1"/>
        <rFont val="Calibri"/>
        <family val="2"/>
        <charset val="1"/>
      </rPr>
      <t xml:space="preserve">Cascading </t>
    </r>
    <r>
      <rPr>
        <sz val="11"/>
        <color theme="1"/>
        <rFont val="Noto Sans SC"/>
        <family val="2"/>
        <charset val="134"/>
      </rPr>
      <t xml:space="preserve">时的普通摇 </t>
    </r>
    <r>
      <rPr>
        <sz val="11"/>
        <color theme="1"/>
        <rFont val="Calibri"/>
        <family val="2"/>
        <charset val="1"/>
      </rPr>
      <t xml:space="preserve">RTP</t>
    </r>
    <r>
      <rPr>
        <sz val="11"/>
        <color theme="1"/>
        <rFont val="Noto Sans SC"/>
        <family val="2"/>
        <charset val="134"/>
      </rPr>
      <t xml:space="preserve">（示例值，蓝字可改）</t>
    </r>
  </si>
  <si>
    <r>
      <rPr>
        <sz val="11"/>
        <color theme="1"/>
        <rFont val="Noto Sans SC"/>
        <family val="2"/>
        <charset val="134"/>
      </rPr>
      <t xml:space="preserve">连赢倍数步长 </t>
    </r>
    <r>
      <rPr>
        <sz val="11"/>
        <color theme="1"/>
        <rFont val="Calibri"/>
        <family val="2"/>
        <charset val="1"/>
      </rPr>
      <t xml:space="preserve">X</t>
    </r>
  </si>
  <si>
    <r>
      <rPr>
        <sz val="11"/>
        <color theme="1"/>
        <rFont val="Noto Sans SC"/>
        <family val="2"/>
        <charset val="134"/>
      </rPr>
      <t xml:space="preserve">方案②：每多连赢 </t>
    </r>
    <r>
      <rPr>
        <sz val="11"/>
        <color theme="1"/>
        <rFont val="Calibri"/>
        <family val="2"/>
        <charset val="1"/>
      </rPr>
      <t xml:space="preserve">1 </t>
    </r>
    <r>
      <rPr>
        <sz val="11"/>
        <color theme="1"/>
        <rFont val="Noto Sans SC"/>
        <family val="2"/>
        <charset val="134"/>
      </rPr>
      <t xml:space="preserve">次，倍数增加 </t>
    </r>
    <r>
      <rPr>
        <sz val="11"/>
        <color theme="1"/>
        <rFont val="Calibri"/>
        <family val="2"/>
        <charset val="1"/>
      </rPr>
      <t xml:space="preserve">X</t>
    </r>
  </si>
  <si>
    <t xml:space="preserve">期望连赢次数</t>
  </si>
  <si>
    <r>
      <rPr>
        <sz val="11"/>
        <color theme="1"/>
        <rFont val="Noto Sans SC"/>
        <family val="2"/>
        <charset val="134"/>
      </rPr>
      <t xml:space="preserve">＝ </t>
    </r>
    <r>
      <rPr>
        <sz val="11"/>
        <color theme="1"/>
        <rFont val="Calibri"/>
        <family val="2"/>
        <charset val="1"/>
      </rPr>
      <t xml:space="preserve">1/(1−p)</t>
    </r>
    <r>
      <rPr>
        <sz val="11"/>
        <color theme="1"/>
        <rFont val="Noto Sans SC"/>
        <family val="2"/>
        <charset val="134"/>
      </rPr>
      <t xml:space="preserve">；</t>
    </r>
    <r>
      <rPr>
        <sz val="11"/>
        <color theme="1"/>
        <rFont val="Calibri"/>
        <family val="2"/>
        <charset val="1"/>
      </rPr>
      <t xml:space="preserve">p</t>
    </r>
    <r>
      <rPr>
        <sz val="11"/>
        <color theme="1"/>
        <rFont val="Noto Sans SC"/>
        <family val="2"/>
        <charset val="134"/>
      </rPr>
      <t xml:space="preserve">＝</t>
    </r>
    <r>
      <rPr>
        <sz val="11"/>
        <color theme="1"/>
        <rFont val="Calibri"/>
        <family val="2"/>
        <charset val="1"/>
      </rPr>
      <t xml:space="preserve">20% → 1.25</t>
    </r>
  </si>
  <si>
    <r>
      <rPr>
        <sz val="11"/>
        <color theme="1"/>
        <rFont val="Noto Sans SC"/>
        <family val="2"/>
        <charset val="134"/>
      </rPr>
      <t xml:space="preserve">连赢 </t>
    </r>
    <r>
      <rPr>
        <sz val="11"/>
        <color theme="1"/>
        <rFont val="Calibri"/>
        <family val="2"/>
        <charset val="1"/>
      </rPr>
      <t xml:space="preserve">3 </t>
    </r>
    <r>
      <rPr>
        <sz val="11"/>
        <color theme="1"/>
        <rFont val="Noto Sans SC"/>
        <family val="2"/>
        <charset val="134"/>
      </rPr>
      <t xml:space="preserve">次及以上 → 免费摇次数</t>
    </r>
  </si>
  <si>
    <t xml:space="preserve">方案①：连赢达标的映射，可改</t>
  </si>
  <si>
    <r>
      <rPr>
        <sz val="11"/>
        <color theme="1"/>
        <rFont val="Noto Sans SC"/>
        <family val="2"/>
        <charset val="134"/>
      </rPr>
      <t xml:space="preserve">连赢 </t>
    </r>
    <r>
      <rPr>
        <sz val="11"/>
        <color theme="1"/>
        <rFont val="Calibri"/>
        <family val="2"/>
        <charset val="1"/>
      </rPr>
      <t xml:space="preserve">4 </t>
    </r>
    <r>
      <rPr>
        <sz val="11"/>
        <color theme="1"/>
        <rFont val="Noto Sans SC"/>
        <family val="2"/>
        <charset val="134"/>
      </rPr>
      <t xml:space="preserve">次及以上 → 免费摇次数</t>
    </r>
  </si>
  <si>
    <r>
      <rPr>
        <sz val="11"/>
        <color theme="1"/>
        <rFont val="Noto Sans SC"/>
        <family val="2"/>
        <charset val="134"/>
      </rPr>
      <t xml:space="preserve">连赢 </t>
    </r>
    <r>
      <rPr>
        <sz val="11"/>
        <color theme="1"/>
        <rFont val="Calibri"/>
        <family val="2"/>
        <charset val="1"/>
      </rPr>
      <t xml:space="preserve">5 </t>
    </r>
    <r>
      <rPr>
        <sz val="11"/>
        <color theme="1"/>
        <rFont val="Noto Sans SC"/>
        <family val="2"/>
        <charset val="134"/>
      </rPr>
      <t xml:space="preserve">次及以上 → 免费摇次数</t>
    </r>
  </si>
  <si>
    <t xml:space="preserve">每次连赢的期望倍数</t>
  </si>
  <si>
    <r>
      <rPr>
        <sz val="11"/>
        <color theme="1"/>
        <rFont val="Noto Sans SC"/>
        <family val="2"/>
        <charset val="134"/>
      </rPr>
      <t xml:space="preserve">＝ </t>
    </r>
    <r>
      <rPr>
        <sz val="11"/>
        <color theme="1"/>
        <rFont val="Calibri"/>
        <family val="2"/>
        <charset val="1"/>
      </rPr>
      <t xml:space="preserve">1/(1−p) </t>
    </r>
    <r>
      <rPr>
        <sz val="11"/>
        <color theme="1"/>
        <rFont val="Noto Sans SC"/>
        <family val="2"/>
        <charset val="134"/>
      </rPr>
      <t xml:space="preserve">＋ </t>
    </r>
    <r>
      <rPr>
        <sz val="11"/>
        <color theme="1"/>
        <rFont val="Calibri"/>
        <family val="2"/>
        <charset val="1"/>
      </rPr>
      <t xml:space="preserve">X·p/(1−p)²</t>
    </r>
    <r>
      <rPr>
        <sz val="11"/>
        <color theme="1"/>
        <rFont val="Noto Sans SC"/>
        <family val="2"/>
        <charset val="134"/>
      </rPr>
      <t xml:space="preserve">：基础 </t>
    </r>
    <r>
      <rPr>
        <sz val="11"/>
        <color theme="1"/>
        <rFont val="Calibri"/>
        <family val="2"/>
        <charset val="1"/>
      </rPr>
      <t xml:space="preserve">1 </t>
    </r>
    <r>
      <rPr>
        <sz val="11"/>
        <color theme="1"/>
        <rFont val="Noto Sans SC"/>
        <family val="2"/>
        <charset val="134"/>
      </rPr>
      <t xml:space="preserve">倍 ＋ 每次连赢叠加的 </t>
    </r>
    <r>
      <rPr>
        <sz val="11"/>
        <color theme="1"/>
        <rFont val="Calibri"/>
        <family val="2"/>
        <charset val="1"/>
      </rPr>
      <t xml:space="preserve">X </t>
    </r>
    <r>
      <rPr>
        <sz val="11"/>
        <color theme="1"/>
        <rFont val="Noto Sans SC"/>
        <family val="2"/>
        <charset val="134"/>
      </rPr>
      <t xml:space="preserve">倍</t>
    </r>
  </si>
  <si>
    <t xml:space="preserve">估算免费摇次数期望</t>
  </si>
  <si>
    <r>
      <rPr>
        <sz val="11"/>
        <color theme="1"/>
        <rFont val="Noto Sans SC"/>
        <family val="2"/>
        <charset val="134"/>
      </rPr>
      <t xml:space="preserve">连赢 </t>
    </r>
    <r>
      <rPr>
        <sz val="11"/>
        <color theme="1"/>
        <rFont val="Calibri"/>
        <family val="2"/>
        <charset val="1"/>
      </rPr>
      <t xml:space="preserve">n </t>
    </r>
    <r>
      <rPr>
        <sz val="11"/>
        <color theme="1"/>
        <rFont val="Noto Sans SC"/>
        <family val="2"/>
        <charset val="134"/>
      </rPr>
      <t xml:space="preserve">次的概率为 </t>
    </r>
    <r>
      <rPr>
        <sz val="11"/>
        <color theme="1"/>
        <rFont val="Calibri"/>
        <family val="2"/>
        <charset val="1"/>
      </rPr>
      <t xml:space="preserve">p^(n−1)</t>
    </r>
    <r>
      <rPr>
        <sz val="11"/>
        <color theme="1"/>
        <rFont val="Noto Sans SC"/>
        <family val="2"/>
        <charset val="134"/>
      </rPr>
      <t xml:space="preserve">，故 </t>
    </r>
    <r>
      <rPr>
        <sz val="11"/>
        <color theme="1"/>
        <rFont val="Calibri"/>
        <family val="2"/>
        <charset val="1"/>
      </rPr>
      <t xml:space="preserve">p²·5 </t>
    </r>
    <r>
      <rPr>
        <sz val="11"/>
        <color theme="1"/>
        <rFont val="Noto Sans SC"/>
        <family val="2"/>
        <charset val="134"/>
      </rPr>
      <t xml:space="preserve">＋ </t>
    </r>
    <r>
      <rPr>
        <sz val="11"/>
        <color theme="1"/>
        <rFont val="Calibri"/>
        <family val="2"/>
        <charset val="1"/>
      </rPr>
      <t xml:space="preserve">p³·8 </t>
    </r>
    <r>
      <rPr>
        <sz val="11"/>
        <color theme="1"/>
        <rFont val="Noto Sans SC"/>
        <family val="2"/>
        <charset val="134"/>
      </rPr>
      <t xml:space="preserve">＋ </t>
    </r>
    <r>
      <rPr>
        <sz val="11"/>
        <color theme="1"/>
        <rFont val="Calibri"/>
        <family val="2"/>
        <charset val="1"/>
      </rPr>
      <t xml:space="preserve">p⁴·10</t>
    </r>
  </si>
  <si>
    <r>
      <rPr>
        <sz val="11"/>
        <color theme="1"/>
        <rFont val="Noto Sans SC"/>
        <family val="2"/>
        <charset val="134"/>
      </rPr>
      <t xml:space="preserve">估算 </t>
    </r>
    <r>
      <rPr>
        <sz val="11"/>
        <color theme="1"/>
        <rFont val="Calibri"/>
        <family val="2"/>
        <charset val="1"/>
      </rPr>
      <t xml:space="preserve">RTP</t>
    </r>
    <r>
      <rPr>
        <sz val="11"/>
        <color theme="1"/>
        <rFont val="Noto Sans SC"/>
        <family val="2"/>
        <charset val="134"/>
      </rPr>
      <t xml:space="preserve">（含连赢倍数）</t>
    </r>
  </si>
  <si>
    <r>
      <rPr>
        <sz val="11"/>
        <color theme="1"/>
        <rFont val="Noto Sans SC"/>
        <family val="2"/>
        <charset val="134"/>
      </rPr>
      <t xml:space="preserve">＝ 基础 </t>
    </r>
    <r>
      <rPr>
        <sz val="11"/>
        <color theme="1"/>
        <rFont val="Calibri"/>
        <family val="2"/>
        <charset val="1"/>
      </rPr>
      <t xml:space="preserve">RTP × </t>
    </r>
    <r>
      <rPr>
        <sz val="11"/>
        <color theme="1"/>
        <rFont val="Noto Sans SC"/>
        <family val="2"/>
        <charset val="134"/>
      </rPr>
      <t xml:space="preserve">期望倍数</t>
    </r>
  </si>
  <si>
    <r>
      <rPr>
        <sz val="11"/>
        <color theme="1"/>
        <rFont val="Noto Sans SC"/>
        <family val="2"/>
        <charset val="134"/>
      </rPr>
      <t xml:space="preserve">估算 </t>
    </r>
    <r>
      <rPr>
        <sz val="11"/>
        <color theme="1"/>
        <rFont val="Calibri"/>
        <family val="2"/>
        <charset val="1"/>
      </rPr>
      <t xml:space="preserve">RTP</t>
    </r>
    <r>
      <rPr>
        <sz val="11"/>
        <color theme="1"/>
        <rFont val="Noto Sans SC"/>
        <family val="2"/>
        <charset val="134"/>
      </rPr>
      <t xml:space="preserve">（含免费摇）</t>
    </r>
  </si>
  <si>
    <r>
      <rPr>
        <sz val="11"/>
        <color theme="1"/>
        <rFont val="Noto Sans SC"/>
        <family val="2"/>
        <charset val="134"/>
      </rPr>
      <t xml:space="preserve">＝ 免费摇次数期望 </t>
    </r>
    <r>
      <rPr>
        <sz val="11"/>
        <color theme="1"/>
        <rFont val="Calibri"/>
        <family val="2"/>
        <charset val="1"/>
      </rPr>
      <t xml:space="preserve">× </t>
    </r>
    <r>
      <rPr>
        <sz val="11"/>
        <color theme="1"/>
        <rFont val="Noto Sans SC"/>
        <family val="2"/>
        <charset val="134"/>
      </rPr>
      <t xml:space="preserve">单次平均摇奖次数 </t>
    </r>
    <r>
      <rPr>
        <sz val="11"/>
        <color theme="1"/>
        <rFont val="Calibri"/>
        <family val="2"/>
        <charset val="1"/>
      </rPr>
      <t xml:space="preserve">× </t>
    </r>
    <r>
      <rPr>
        <sz val="11"/>
        <color theme="1"/>
        <rFont val="Noto Sans SC"/>
        <family val="2"/>
        <charset val="134"/>
      </rPr>
      <t xml:space="preserve">基础 </t>
    </r>
    <r>
      <rPr>
        <sz val="11"/>
        <color theme="1"/>
        <rFont val="Calibri"/>
        <family val="2"/>
        <charset val="1"/>
      </rPr>
      <t xml:space="preserve">RTP</t>
    </r>
    <r>
      <rPr>
        <sz val="11"/>
        <color theme="1"/>
        <rFont val="Noto Sans SC"/>
        <family val="2"/>
        <charset val="134"/>
      </rPr>
      <t xml:space="preserve">（无穷级数求和）</t>
    </r>
  </si>
  <si>
    <r>
      <rPr>
        <sz val="11"/>
        <color theme="1"/>
        <rFont val="Noto Sans SC"/>
        <family val="2"/>
        <charset val="134"/>
      </rPr>
      <t xml:space="preserve">估算 </t>
    </r>
    <r>
      <rPr>
        <sz val="11"/>
        <color theme="1"/>
        <rFont val="Calibri"/>
        <family val="2"/>
        <charset val="1"/>
      </rPr>
      <t xml:space="preserve">RTP </t>
    </r>
    <r>
      <rPr>
        <sz val="11"/>
        <color theme="1"/>
        <rFont val="Noto Sans SC"/>
        <family val="2"/>
        <charset val="134"/>
      </rPr>
      <t xml:space="preserve">合计</t>
    </r>
  </si>
  <si>
    <t xml:space="preserve">方案②与方案①的叠加效果</t>
  </si>
  <si>
    <r>
      <rPr>
        <sz val="11"/>
        <color rgb="FF808080"/>
        <rFont val="Noto Sans SC"/>
        <family val="2"/>
        <charset val="134"/>
      </rPr>
      <t xml:space="preserve">读法：这里的「估算 </t>
    </r>
    <r>
      <rPr>
        <sz val="11"/>
        <color rgb="FF808080"/>
        <rFont val="Cambria"/>
        <family val="0"/>
        <charset val="1"/>
      </rPr>
      <t xml:space="preserve">RTP</t>
    </r>
    <r>
      <rPr>
        <sz val="11"/>
        <color rgb="FF808080"/>
        <rFont val="Noto Sans SC"/>
        <family val="2"/>
        <charset val="134"/>
      </rPr>
      <t xml:space="preserve">」是「加机制之后的有效回收」，一般会明显高于目标 </t>
    </r>
    <r>
      <rPr>
        <sz val="11"/>
        <color rgb="FF808080"/>
        <rFont val="Cambria"/>
        <family val="0"/>
        <charset val="1"/>
      </rPr>
      <t xml:space="preserve">RTP</t>
    </r>
    <r>
      <rPr>
        <sz val="11"/>
        <color rgb="FF808080"/>
        <rFont val="Noto Sans SC"/>
        <family val="2"/>
        <charset val="134"/>
      </rPr>
      <t xml:space="preserve">（本例目标 </t>
    </r>
    <r>
      <rPr>
        <sz val="11"/>
        <color rgb="FF808080"/>
        <rFont val="Cambria"/>
        <family val="0"/>
        <charset val="1"/>
      </rPr>
      <t xml:space="preserve">96%</t>
    </r>
    <r>
      <rPr>
        <sz val="11"/>
        <color rgb="FF808080"/>
        <rFont val="Noto Sans SC"/>
        <family val="2"/>
        <charset val="134"/>
      </rPr>
      <t xml:space="preserve">），所以设计时要把基础 </t>
    </r>
    <r>
      <rPr>
        <sz val="11"/>
        <color rgb="FF808080"/>
        <rFont val="Cambria"/>
        <family val="0"/>
        <charset val="1"/>
      </rPr>
      <t xml:space="preserve">RTP </t>
    </r>
    <r>
      <rPr>
        <sz val="11"/>
        <color rgb="FF808080"/>
        <rFont val="Noto Sans SC"/>
        <family val="2"/>
        <charset val="134"/>
      </rPr>
      <t xml:space="preserve">相应调低，把差值留给 </t>
    </r>
    <r>
      <rPr>
        <sz val="11"/>
        <color rgb="FF808080"/>
        <rFont val="Cambria"/>
        <family val="0"/>
        <charset val="1"/>
      </rPr>
      <t xml:space="preserve">Cascading </t>
    </r>
    <r>
      <rPr>
        <sz val="11"/>
        <color rgb="FF808080"/>
        <rFont val="Noto Sans SC"/>
        <family val="2"/>
        <charset val="134"/>
      </rPr>
      <t xml:space="preserve">的连赢收益——这正是原文所说的「先用无穷级数</t>
    </r>
    <r>
      <rPr>
        <sz val="11"/>
        <color rgb="FF808080"/>
        <rFont val="Cambria"/>
        <family val="0"/>
        <charset val="1"/>
      </rPr>
      <t xml:space="preserve">/</t>
    </r>
    <r>
      <rPr>
        <sz val="11"/>
        <color rgb="FF808080"/>
        <rFont val="Noto Sans SC"/>
        <family val="2"/>
        <charset val="134"/>
      </rPr>
      <t xml:space="preserve">马尔科夫链估算，再依据跑数据结果调整数值」的第一步。</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</si>
  <si>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t>
    </r>
    <r>
      <rPr>
        <b val="true"/>
        <sz val="11"/>
        <color rgb="FF1F4E79"/>
        <rFont val="Cambria"/>
        <family val="0"/>
        <charset val="1"/>
      </rPr>
      <t xml:space="preserve">p </t>
    </r>
    <r>
      <rPr>
        <b val="true"/>
        <sz val="11"/>
        <color rgb="FF1F4E79"/>
        <rFont val="Noto Sans SC"/>
        <family val="2"/>
        <charset val="134"/>
      </rPr>
      <t xml:space="preserve">的敏感度（说明 </t>
    </r>
    <r>
      <rPr>
        <b val="true"/>
        <sz val="11"/>
        <color rgb="FF1F4E79"/>
        <rFont val="Cambria"/>
        <family val="0"/>
        <charset val="1"/>
      </rPr>
      <t xml:space="preserve">Progressive Wild / Exploding reels </t>
    </r>
    <r>
      <rPr>
        <b val="true"/>
        <sz val="11"/>
        <color rgb="FF1F4E79"/>
        <rFont val="Noto Sans SC"/>
        <family val="2"/>
        <charset val="134"/>
      </rPr>
      <t xml:space="preserve">为何有效）</t>
    </r>
  </si>
  <si>
    <r>
      <rPr>
        <b val="true"/>
        <sz val="11"/>
        <color rgb="FF1F4E79"/>
        <rFont val="Noto Sans SC"/>
        <family val="2"/>
        <charset val="134"/>
      </rPr>
      <t xml:space="preserve">再次中奖概率 </t>
    </r>
    <r>
      <rPr>
        <b val="true"/>
        <sz val="11"/>
        <color rgb="FF1F4E79"/>
        <rFont val="Cambria"/>
        <family val="0"/>
        <charset val="1"/>
      </rPr>
      <t xml:space="preserve">p</t>
    </r>
  </si>
  <si>
    <r>
      <rPr>
        <b val="true"/>
        <sz val="11"/>
        <color rgb="FF1F4E79"/>
        <rFont val="Noto Sans SC"/>
        <family val="2"/>
        <charset val="134"/>
      </rPr>
      <t xml:space="preserve">期望倍数（</t>
    </r>
    <r>
      <rPr>
        <b val="true"/>
        <sz val="11"/>
        <color rgb="FF1F4E79"/>
        <rFont val="Cambria"/>
        <family val="0"/>
        <charset val="1"/>
      </rPr>
      <t xml:space="preserve">X</t>
    </r>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t>
    </r>
  </si>
  <si>
    <r>
      <rPr>
        <sz val="11"/>
        <color theme="1"/>
        <rFont val="Noto Sans SC"/>
        <family val="2"/>
        <charset val="134"/>
      </rPr>
      <t xml:space="preserve">提升 </t>
    </r>
    <r>
      <rPr>
        <sz val="11"/>
        <color theme="1"/>
        <rFont val="Calibri"/>
        <family val="2"/>
        <charset val="1"/>
      </rPr>
      <t xml:space="preserve">p</t>
    </r>
    <r>
      <rPr>
        <sz val="11"/>
        <color theme="1"/>
        <rFont val="Noto Sans SC"/>
        <family val="2"/>
        <charset val="134"/>
      </rPr>
      <t xml:space="preserve">（留百搭 </t>
    </r>
    <r>
      <rPr>
        <sz val="11"/>
        <color theme="1"/>
        <rFont val="Calibri"/>
        <family val="2"/>
        <charset val="1"/>
      </rPr>
      <t xml:space="preserve">/ </t>
    </r>
    <r>
      <rPr>
        <sz val="11"/>
        <color theme="1"/>
        <rFont val="Noto Sans SC"/>
        <family val="2"/>
        <charset val="134"/>
      </rPr>
      <t xml:space="preserve">扩卷轴）会同时抬高连赢次数与期望倍数</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</si>
  <si>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</si>
  <si>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</si>
  <si>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</si>
  <si>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期望连赢次数 ＝ </t>
    </r>
    <r>
      <rPr>
        <sz val="11"/>
        <color theme="1"/>
        <rFont val="Calibri"/>
        <family val="2"/>
        <charset val="1"/>
      </rPr>
      <t xml:space="preserve">1/(1−p)</t>
    </r>
  </si>
  <si>
    <r>
      <rPr>
        <sz val="11"/>
        <color theme="1"/>
        <rFont val="Calibri"/>
        <family val="2"/>
        <charset val="1"/>
      </rPr>
      <t xml:space="preserve">p</t>
    </r>
    <r>
      <rPr>
        <sz val="11"/>
        <color theme="1"/>
        <rFont val="Noto Sans SC"/>
        <family val="2"/>
        <charset val="134"/>
      </rPr>
      <t xml:space="preserve">＝</t>
    </r>
    <r>
      <rPr>
        <sz val="11"/>
        <color theme="1"/>
        <rFont val="Calibri"/>
        <family val="2"/>
        <charset val="1"/>
      </rPr>
      <t xml:space="preserve">35% → 1.5385</t>
    </r>
  </si>
  <si>
    <r>
      <rPr>
        <sz val="11"/>
        <color theme="1"/>
        <rFont val="Calibri"/>
        <family val="2"/>
        <charset val="1"/>
      </rPr>
      <t xml:space="preserve">p </t>
    </r>
    <r>
      <rPr>
        <sz val="11"/>
        <color theme="1"/>
        <rFont val="Noto Sans SC"/>
        <family val="2"/>
        <charset val="134"/>
      </rPr>
      <t xml:space="preserve">越大期望倍数越高</t>
    </r>
  </si>
  <si>
    <t xml:space="preserve">单调性校验</t>
  </si>
  <si>
    <r>
      <rPr>
        <sz val="11"/>
        <color theme="1"/>
        <rFont val="Noto Sans SC"/>
        <family val="2"/>
        <charset val="134"/>
      </rPr>
      <t xml:space="preserve">估算合计 </t>
    </r>
    <r>
      <rPr>
        <sz val="11"/>
        <color theme="1"/>
        <rFont val="Calibri"/>
        <family val="2"/>
        <charset val="1"/>
      </rPr>
      <t xml:space="preserve">RTP </t>
    </r>
    <r>
      <rPr>
        <sz val="11"/>
        <color theme="1"/>
        <rFont val="Noto Sans SC"/>
        <family val="2"/>
        <charset val="134"/>
      </rPr>
      <t xml:space="preserve">＞ 基础 </t>
    </r>
    <r>
      <rPr>
        <sz val="11"/>
        <color theme="1"/>
        <rFont val="Calibri"/>
        <family val="2"/>
        <charset val="1"/>
      </rPr>
      <t xml:space="preserve">RTP</t>
    </r>
  </si>
  <si>
    <t xml:space="preserve">说明两种优化都在提高回收</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</si>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</sst>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2">
    <numFmt numFmtId="164" formatCode="General"/>
    <numFmt numFmtId="165" formatCode="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4" t="s">
        <v>7</v>
      </c>
    </row>
    <row r="11" customFormat="false" ht="29" hidden="false" customHeight="false" outlineLevel="0" collapsed="false">
      <c r="A11" s="24"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5" t="s">
        <v>10</v>
      </c>
      <c r="B14" s="6"/>
      <c r="C14" s="6"/>
    </row>
    <row r="15" customFormat="false" ht="42" hidden="false" customHeight="false" outlineLevel="0" collapsed="false">
      <c r="A15" s="24" t="s">
        <v>11</v>
      </c>
    </row>
    <row r="16" customFormat="false" ht="15" hidden="false" customHeight="1" outlineLevel="0" collapsed="false">
      <c r="A16" s="25"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29" hidden="false" customHeight="false" outlineLevel="0" collapsed="false">
      <c r="A19" s="24" t="s">
        <v>14</v>
      </c>
    </row>
    <row r="20" customFormat="false" ht="30" hidden="false" customHeight="false" outlineLevel="0" collapsed="false">
      <c r="A20" s="26" t="s">
        <v>15</v>
      </c>
    </row>
    <row r="21" customFormat="false" ht="29" hidden="false" customHeight="false" outlineLevel="0" collapsed="false">
      <c r="A21" s="24" t="s">
        <v>16</v>
      </c>
    </row>
    <row r="22" customFormat="false" ht="29" hidden="false" customHeight="false" outlineLevel="0" collapsed="false">
      <c r="A22" s="24" t="s">
        <v>17</v>
      </c>
    </row>
    <row r="23" customFormat="false" ht="29" hidden="false" customHeight="false" outlineLevel="0" collapsed="false">
      <c r="A23" s="26" t="s">
        <v>18</v>
      </c>
    </row>
    <row r="24" customFormat="false" ht="29" hidden="false" customHeight="false" outlineLevel="0" collapsed="false">
      <c r="A24" s="24" t="s">
        <v>19</v>
      </c>
    </row>
    <row r="25" customFormat="false" ht="29" hidden="false" customHeight="false" outlineLevel="0" collapsed="false">
      <c r="A25" s="24" t="s">
        <v>20</v>
      </c>
    </row>
    <row r="26" customFormat="false" ht="29" hidden="false" customHeight="false" outlineLevel="0" collapsed="false">
      <c r="A26" s="26" t="s">
        <v>21</v>
      </c>
    </row>
    <row r="27" customFormat="false" ht="30" hidden="false" customHeight="false" outlineLevel="0" collapsed="false">
      <c r="A27" s="24" t="s">
        <v>22</v>
      </c>
    </row>
    <row r="28" customFormat="false" ht="28" hidden="false" customHeight="false" outlineLevel="0" collapsed="false">
      <c r="A28" s="26" t="s">
        <v>23</v>
      </c>
    </row>
    <row r="30" customFormat="false" ht="15" hidden="false" customHeight="false" outlineLevel="0" collapsed="false">
      <c r="A30" s="4" t="s">
        <v>24</v>
      </c>
    </row>
    <row r="31" customFormat="false" ht="15" hidden="false" customHeight="false" outlineLevel="0" collapsed="false">
      <c r="A31" s="7"/>
    </row>
    <row r="32" customFormat="false" ht="15" hidden="false" customHeight="false" outlineLevel="0" collapsed="false">
      <c r="A32" s="7" t="s">
        <v>25</v>
      </c>
    </row>
    <row r="33" customFormat="false" ht="16" hidden="false" customHeight="false" outlineLevel="0" collapsed="false">
      <c r="A33" s="7" t="s">
        <v>26</v>
      </c>
    </row>
    <row r="34" customFormat="false" ht="29" hidden="false" customHeight="false" outlineLevel="0" collapsed="false">
      <c r="A34" s="26" t="s">
        <v>27</v>
      </c>
    </row>
    <row r="35" customFormat="false" ht="28" hidden="false" customHeight="false" outlineLevel="0" collapsed="false">
      <c r="A35" s="26" t="s">
        <v>28</v>
      </c>
    </row>
    <row r="36" customFormat="false" ht="16" hidden="false" customHeight="false" outlineLevel="0" collapsed="false">
      <c r="A36" s="26" t="s">
        <v>29</v>
      </c>
    </row>
    <row r="37" customFormat="false" ht="15" hidden="false" customHeight="false" outlineLevel="0" collapsed="false">
      <c r="A37" s="7"/>
    </row>
    <row r="38" customFormat="false" ht="16" hidden="false" customHeight="false" outlineLevel="0" collapsed="false">
      <c r="A38" s="7" t="s">
        <v>30</v>
      </c>
    </row>
    <row r="39" customFormat="false" ht="15" hidden="false" customHeight="false" outlineLevel="0" collapsed="false">
      <c r="A39" s="7"/>
    </row>
    <row r="40" customFormat="false" ht="30" hidden="false" customHeight="false" outlineLevel="0" collapsed="false">
      <c r="A40" s="24" t="s">
        <v>31</v>
      </c>
    </row>
    <row r="41" customFormat="false" ht="30" hidden="false" customHeight="false" outlineLevel="0" collapsed="false">
      <c r="A41" s="26" t="s">
        <v>32</v>
      </c>
    </row>
    <row r="42" customFormat="false" ht="29" hidden="false" customHeight="false" outlineLevel="0" collapsed="false">
      <c r="A42" s="26" t="s">
        <v>33</v>
      </c>
    </row>
    <row r="43" customFormat="false" ht="15" hidden="false" customHeight="false" outlineLevel="0" collapsed="false">
      <c r="A43" s="7" t="s">
        <v>34</v>
      </c>
    </row>
    <row r="44" customFormat="false" ht="15" hidden="false" customHeight="1" outlineLevel="0" collapsed="false">
      <c r="A44" s="27" t="s">
        <v>35</v>
      </c>
      <c r="B44" s="8"/>
      <c r="C44" s="8"/>
      <c r="D44" s="8"/>
      <c r="E44" s="8"/>
      <c r="F44" s="8"/>
    </row>
    <row r="45" customFormat="false" ht="15" hidden="false" customHeight="1" outlineLevel="0" collapsed="false">
      <c r="A45" s="27" t="s">
        <v>36</v>
      </c>
      <c r="B45" s="8"/>
      <c r="C45" s="8"/>
      <c r="D45" s="8"/>
    </row>
    <row r="46" customFormat="false" ht="15" hidden="false" customHeight="false" outlineLevel="0" collapsed="false">
      <c r="A46" s="7" t="s">
        <v>37</v>
      </c>
    </row>
    <row r="47" customFormat="false" ht="29" hidden="false" customHeight="false" outlineLevel="0" collapsed="false">
      <c r="A47" s="26" t="s">
        <v>38</v>
      </c>
    </row>
    <row r="48" customFormat="false" ht="16" hidden="false" customHeight="false" outlineLevel="0" collapsed="false">
      <c r="A48" s="5" t="s">
        <v>39</v>
      </c>
    </row>
    <row r="49" customFormat="false" ht="29" hidden="false" customHeight="false" outlineLevel="0" collapsed="false">
      <c r="A49" s="26" t="s">
        <v>40</v>
      </c>
    </row>
    <row r="50" customFormat="false" ht="15" hidden="false" customHeight="false" outlineLevel="0" collapsed="false">
      <c r="A50" s="7" t="s">
        <v>41</v>
      </c>
    </row>
    <row r="51" customFormat="false" ht="28" hidden="false" customHeight="false" outlineLevel="0" collapsed="false">
      <c r="A51" s="26" t="s">
        <v>42</v>
      </c>
    </row>
    <row r="52" customFormat="false" ht="15" hidden="false" customHeight="false" outlineLevel="0" collapsed="false">
      <c r="A52" s="7" t="s">
        <v>43</v>
      </c>
    </row>
    <row r="53" customFormat="false" ht="15" hidden="false" customHeight="1" outlineLevel="0" collapsed="false">
      <c r="A53" s="27" t="s">
        <v>44</v>
      </c>
      <c r="B53" s="8"/>
      <c r="C53" s="8"/>
      <c r="D53" s="8"/>
      <c r="E53" s="8"/>
      <c r="F53" s="8"/>
      <c r="G53" s="8"/>
    </row>
    <row r="54" customFormat="false" ht="15" hidden="false" customHeight="false" outlineLevel="0" collapsed="false">
      <c r="A54" s="7"/>
    </row>
    <row r="55" customFormat="false" ht="16" hidden="false" customHeight="false" outlineLevel="0" collapsed="false">
      <c r="A55" s="7" t="s">
        <v>45</v>
      </c>
    </row>
    <row r="56" customFormat="false" ht="15" hidden="false" customHeight="false" outlineLevel="0" collapsed="false">
      <c r="A56" s="7"/>
    </row>
    <row r="57" customFormat="false" ht="16" hidden="false" customHeight="false" outlineLevel="0" collapsed="false">
      <c r="A57" s="5" t="s">
        <v>46</v>
      </c>
    </row>
    <row r="58" customFormat="false" ht="28" hidden="false" customHeight="false" outlineLevel="0" collapsed="false">
      <c r="A58" s="26" t="s">
        <v>47</v>
      </c>
    </row>
    <row r="59" customFormat="false" ht="29" hidden="false" customHeight="false" outlineLevel="0" collapsed="false">
      <c r="A59" s="26" t="s">
        <v>48</v>
      </c>
    </row>
    <row r="60" customFormat="false" ht="28" hidden="false" customHeight="false" outlineLevel="0" collapsed="false">
      <c r="A60" s="26" t="s">
        <v>49</v>
      </c>
    </row>
    <row r="61" customFormat="false" ht="28" hidden="false" customHeight="false" outlineLevel="0" collapsed="false">
      <c r="A61" s="26" t="s">
        <v>50</v>
      </c>
    </row>
    <row r="62" customFormat="false" ht="29" hidden="false" customHeight="false" outlineLevel="0" collapsed="false">
      <c r="A62" s="26" t="s">
        <v>51</v>
      </c>
    </row>
    <row r="63" customFormat="false" ht="15" hidden="false" customHeight="1" outlineLevel="0" collapsed="false">
      <c r="A63" s="27" t="s">
        <v>52</v>
      </c>
      <c r="B63" s="8"/>
      <c r="C63" s="8"/>
    </row>
    <row r="64" customFormat="false" ht="15" hidden="false" customHeight="false" outlineLevel="0" collapsed="false">
      <c r="A64" s="7"/>
    </row>
    <row r="65" customFormat="false" ht="16" hidden="false" customHeight="false" outlineLevel="0" collapsed="false">
      <c r="A65" s="7" t="s">
        <v>53</v>
      </c>
    </row>
    <row r="66" customFormat="false" ht="15" hidden="false" customHeight="false" outlineLevel="0" collapsed="false">
      <c r="A66" s="7"/>
    </row>
    <row r="67" customFormat="false" ht="16" hidden="false" customHeight="false" outlineLevel="0" collapsed="false">
      <c r="A67" s="5" t="s">
        <v>54</v>
      </c>
    </row>
    <row r="68" customFormat="false" ht="41" hidden="false" customHeight="false" outlineLevel="0" collapsed="false">
      <c r="A68" s="26" t="s">
        <v>55</v>
      </c>
    </row>
    <row r="69" customFormat="false" ht="29" hidden="false" customHeight="false" outlineLevel="0" collapsed="false">
      <c r="A69" s="26" t="s">
        <v>56</v>
      </c>
    </row>
    <row r="70" customFormat="false" ht="16" hidden="false" customHeight="false" outlineLevel="0" collapsed="false">
      <c r="A70" s="26" t="s">
        <v>57</v>
      </c>
    </row>
    <row r="71" customFormat="false" ht="15" hidden="false" customHeight="false" outlineLevel="0" collapsed="false">
      <c r="A71" s="7"/>
    </row>
    <row r="72" customFormat="false" ht="16" hidden="false" customHeight="false" outlineLevel="0" collapsed="false">
      <c r="A72" s="7" t="s">
        <v>58</v>
      </c>
    </row>
    <row r="73" customFormat="false" ht="15" hidden="false" customHeight="false" outlineLevel="0" collapsed="false">
      <c r="A73" s="7"/>
    </row>
    <row r="74" customFormat="false" ht="16" hidden="false" customHeight="false" outlineLevel="0" collapsed="false">
      <c r="A74" s="5" t="s">
        <v>59</v>
      </c>
    </row>
    <row r="75" customFormat="false" ht="28" hidden="false" customHeight="false" outlineLevel="0" collapsed="false">
      <c r="A75" s="26" t="s">
        <v>60</v>
      </c>
    </row>
    <row r="76" customFormat="false" ht="15" hidden="false" customHeight="false" outlineLevel="0" collapsed="false">
      <c r="A76" s="26" t="s">
        <v>61</v>
      </c>
    </row>
    <row r="77" customFormat="false" ht="15" hidden="false" customHeight="false" outlineLevel="0" collapsed="false">
      <c r="A77" s="7"/>
    </row>
    <row r="78" customFormat="false" ht="16" hidden="false" customHeight="false" outlineLevel="0" collapsed="false">
      <c r="A78" s="7" t="s">
        <v>62</v>
      </c>
    </row>
    <row r="79" customFormat="false" ht="15" hidden="false" customHeight="false" outlineLevel="0" collapsed="false">
      <c r="A79" s="7"/>
    </row>
    <row r="80" customFormat="false" ht="15" hidden="false" customHeight="false" outlineLevel="0" collapsed="false">
      <c r="A80" s="5" t="s">
        <v>63</v>
      </c>
    </row>
    <row r="81" customFormat="false" ht="29" hidden="false" customHeight="false" outlineLevel="0" collapsed="false">
      <c r="A81" s="26" t="s">
        <v>64</v>
      </c>
    </row>
    <row r="82" customFormat="false" ht="28" hidden="false" customHeight="false" outlineLevel="0" collapsed="false">
      <c r="A82" s="26" t="s">
        <v>65</v>
      </c>
    </row>
    <row r="83" customFormat="false" ht="16" hidden="false" customHeight="false" outlineLevel="0" collapsed="false">
      <c r="A83" s="5" t="s">
        <v>66</v>
      </c>
    </row>
    <row r="84" customFormat="false" ht="29" hidden="false" customHeight="false" outlineLevel="0" collapsed="false">
      <c r="A84" s="24" t="s">
        <v>67</v>
      </c>
    </row>
    <row r="85" customFormat="false" ht="28" hidden="false" customHeight="false" outlineLevel="0" collapsed="false">
      <c r="A85" s="26" t="s">
        <v>68</v>
      </c>
    </row>
    <row r="86" customFormat="false" ht="41" hidden="false" customHeight="false" outlineLevel="0" collapsed="false">
      <c r="A86" s="26" t="s">
        <v>69</v>
      </c>
    </row>
    <row r="87" customFormat="false" ht="28" hidden="false" customHeight="false" outlineLevel="0" collapsed="false">
      <c r="A87" s="26" t="s">
        <v>70</v>
      </c>
    </row>
    <row r="88" customFormat="false" ht="15" hidden="false" customHeight="false" outlineLevel="0" collapsed="false">
      <c r="A88" s="26" t="s">
        <v>71</v>
      </c>
    </row>
    <row r="89" customFormat="false" ht="15" hidden="false" customHeight="false" outlineLevel="0" collapsed="false">
      <c r="A89" s="7" t="s">
        <v>72</v>
      </c>
    </row>
    <row r="90" customFormat="false" ht="15" hidden="false" customHeight="false" outlineLevel="0" collapsed="false">
      <c r="A90" s="7"/>
    </row>
    <row r="91" customFormat="false" ht="16" hidden="false" customHeight="false" outlineLevel="0" collapsed="false">
      <c r="A91" s="7" t="s">
        <v>73</v>
      </c>
    </row>
    <row r="92" customFormat="false" ht="15" hidden="false" customHeight="false" outlineLevel="0" collapsed="false">
      <c r="A92" s="7"/>
    </row>
    <row r="93" customFormat="false" ht="15" hidden="false" customHeight="false" outlineLevel="0" collapsed="false">
      <c r="A93" s="5" t="s">
        <v>74</v>
      </c>
    </row>
    <row r="94" customFormat="false" ht="28" hidden="false" customHeight="false" outlineLevel="0" collapsed="false">
      <c r="A94" s="26" t="s">
        <v>75</v>
      </c>
    </row>
    <row r="95" customFormat="false" ht="29" hidden="false" customHeight="false" outlineLevel="0" collapsed="false">
      <c r="A95" s="24" t="s">
        <v>76</v>
      </c>
    </row>
    <row r="96" customFormat="false" ht="15" hidden="false" customHeight="false" outlineLevel="0" collapsed="false">
      <c r="A96" s="7"/>
    </row>
    <row r="97" customFormat="false" ht="16" hidden="false" customHeight="false" outlineLevel="0" collapsed="false">
      <c r="A97" s="7" t="s">
        <v>77</v>
      </c>
    </row>
    <row r="98" customFormat="false" ht="15" hidden="false" customHeight="false" outlineLevel="0" collapsed="false">
      <c r="A98" s="7"/>
    </row>
    <row r="99" customFormat="false" ht="15" hidden="false" customHeight="false" outlineLevel="0" collapsed="false">
      <c r="A99" s="7" t="s">
        <v>78</v>
      </c>
    </row>
    <row r="100" customFormat="false" ht="29" hidden="false" customHeight="false" outlineLevel="0" collapsed="false">
      <c r="A100" s="26" t="s">
        <v>79</v>
      </c>
    </row>
    <row r="101" customFormat="false" ht="43" hidden="false" customHeight="false" outlineLevel="0" collapsed="false">
      <c r="A101" s="26" t="s">
        <v>80</v>
      </c>
    </row>
    <row r="102" customFormat="false" ht="29" hidden="false" customHeight="false" outlineLevel="0" collapsed="false">
      <c r="A102" s="26" t="s">
        <v>81</v>
      </c>
    </row>
    <row r="103" customFormat="false" ht="15" hidden="false" customHeight="false" outlineLevel="0" collapsed="false">
      <c r="A103" s="7" t="s">
        <v>82</v>
      </c>
    </row>
    <row r="104" customFormat="false" ht="15" hidden="false" customHeight="1" outlineLevel="0" collapsed="false">
      <c r="A104" s="27" t="s">
        <v>83</v>
      </c>
      <c r="B104" s="8"/>
      <c r="C104" s="8"/>
      <c r="D104" s="8"/>
      <c r="E104" s="8"/>
      <c r="F104" s="8"/>
      <c r="G104" s="8"/>
      <c r="H104" s="8"/>
      <c r="I104" s="8"/>
    </row>
    <row r="105" customFormat="false" ht="43" hidden="false" customHeight="false" outlineLevel="0" collapsed="false">
      <c r="A105" s="26" t="s">
        <v>84</v>
      </c>
    </row>
    <row r="106" customFormat="false" ht="42" hidden="false" customHeight="false" outlineLevel="0" collapsed="false">
      <c r="A106" s="26" t="s">
        <v>85</v>
      </c>
    </row>
    <row r="108" customFormat="false" ht="15.5" hidden="false" customHeight="false" outlineLevel="0" collapsed="false">
      <c r="A108" s="28" t="s">
        <v>86</v>
      </c>
    </row>
    <row r="109" customFormat="false" ht="15.5" hidden="false" customHeight="false" outlineLevel="0" collapsed="false">
      <c r="A109" s="2" t="s">
        <v>87</v>
      </c>
    </row>
    <row r="110" customFormat="false" ht="15.5" hidden="false" customHeight="false" outlineLevel="0" collapsed="false">
      <c r="A110" s="2" t="s">
        <v>88</v>
      </c>
    </row>
    <row r="111" customFormat="false" ht="15.5" hidden="false" customHeight="false" outlineLevel="0" collapsed="false">
      <c r="A111" s="2" t="s">
        <v>89</v>
      </c>
    </row>
    <row r="112" customFormat="false" ht="15.5" hidden="false" customHeight="false" outlineLevel="0" collapsed="false">
      <c r="A112" s="2" t="s">
        <v>90</v>
      </c>
    </row>
    <row r="113" customFormat="false" ht="15.5" hidden="false" customHeight="false" outlineLevel="0" collapsed="false">
      <c r="A113" s="2" t="s">
        <v>91</v>
      </c>
    </row>
    <row r="114" customFormat="false" ht="15.5" hidden="false" customHeight="false" outlineLevel="0" collapsed="false">
      <c r="A114" s="2" t="s">
        <v>92</v>
      </c>
    </row>
    <row r="115" customFormat="false" ht="15.5" hidden="false" customHeight="false" outlineLevel="0" collapsed="false">
      <c r="A115" s="2" t="s">
        <v>93</v>
      </c>
    </row>
    <row r="117" customFormat="false" ht="15" hidden="false" customHeight="false" outlineLevel="0" collapsed="false">
      <c r="A117" s="4" t="s">
        <v>94</v>
      </c>
    </row>
    <row r="118" customFormat="false" ht="30" hidden="false" customHeight="false" outlineLevel="0" collapsed="false">
      <c r="A118" s="26" t="s">
        <v>95</v>
      </c>
    </row>
    <row r="119" customFormat="false" ht="28" hidden="false" customHeight="false" outlineLevel="0" collapsed="false">
      <c r="A119" s="26" t="s">
        <v>96</v>
      </c>
    </row>
    <row r="120" customFormat="false" ht="15" hidden="false" customHeight="false" outlineLevel="0" collapsed="false">
      <c r="A120" s="7"/>
    </row>
    <row r="121" customFormat="false" ht="15" hidden="false" customHeight="false" outlineLevel="0" collapsed="false">
      <c r="A121" s="4" t="s">
        <v>97</v>
      </c>
    </row>
    <row r="122" customFormat="false" ht="28" hidden="false" customHeight="false" outlineLevel="0" collapsed="false">
      <c r="A122" s="26" t="s">
        <v>98</v>
      </c>
    </row>
    <row r="123" customFormat="false" ht="29" hidden="false" customHeight="false" outlineLevel="0" collapsed="false">
      <c r="A123" s="26" t="s">
        <v>99</v>
      </c>
    </row>
    <row r="125" customFormat="false" ht="15.5" hidden="false" customHeight="false" outlineLevel="0" collapsed="false">
      <c r="A125" s="9" t="s">
        <v>100</v>
      </c>
    </row>
  </sheetData>
  <mergeCells count="10">
    <mergeCell ref="A5:L5"/>
    <mergeCell ref="A6:J6"/>
    <mergeCell ref="A7:AA7"/>
    <mergeCell ref="A14:I14"/>
    <mergeCell ref="A16:J16"/>
    <mergeCell ref="A44:O44"/>
    <mergeCell ref="A45:K45"/>
    <mergeCell ref="A53:P53"/>
    <mergeCell ref="A63:K63"/>
    <mergeCell ref="A104:T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45"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101</v>
      </c>
      <c r="B1" s="11"/>
      <c r="C1" s="11"/>
      <c r="D1" s="11"/>
    </row>
    <row r="3" customFormat="false" ht="15.5" hidden="false" customHeight="false" outlineLevel="0" collapsed="false">
      <c r="A3" s="12" t="s">
        <v>102</v>
      </c>
      <c r="B3" s="12"/>
      <c r="C3" s="12"/>
      <c r="D3" s="13"/>
      <c r="E3" s="13"/>
      <c r="F3" s="13"/>
      <c r="G3" s="13"/>
      <c r="H3" s="13"/>
    </row>
    <row r="4" customFormat="false" ht="15" hidden="false" customHeight="false" outlineLevel="0" collapsed="false">
      <c r="A4" s="14" t="s">
        <v>103</v>
      </c>
      <c r="B4" s="14" t="s">
        <v>104</v>
      </c>
      <c r="C4" s="14" t="s">
        <v>97</v>
      </c>
      <c r="D4" s="14"/>
    </row>
    <row r="5" customFormat="false" ht="15" hidden="false" customHeight="false" outlineLevel="0" collapsed="false">
      <c r="A5" s="29">
        <v>1</v>
      </c>
      <c r="B5" s="10" t="s">
        <v>106</v>
      </c>
      <c r="C5" s="16" t="s">
        <v>107</v>
      </c>
      <c r="D5" s="16"/>
    </row>
    <row r="6" customFormat="false" ht="15" hidden="false" customHeight="false" outlineLevel="0" collapsed="false">
      <c r="A6" s="29">
        <v>2</v>
      </c>
      <c r="B6" s="10" t="s">
        <v>109</v>
      </c>
      <c r="C6" s="16" t="s">
        <v>110</v>
      </c>
      <c r="D6" s="16"/>
    </row>
    <row r="7" customFormat="false" ht="15" hidden="false" customHeight="false" outlineLevel="0" collapsed="false">
      <c r="A7" s="29">
        <v>3</v>
      </c>
      <c r="B7" s="10" t="s">
        <v>112</v>
      </c>
      <c r="C7" s="16" t="s">
        <v>113</v>
      </c>
      <c r="D7" s="16"/>
      <c r="E7" s="16"/>
      <c r="F7" s="16"/>
    </row>
    <row r="8" customFormat="false" ht="16" hidden="false" customHeight="false" outlineLevel="0" collapsed="false">
      <c r="A8" s="29">
        <v>4</v>
      </c>
      <c r="B8" s="10" t="s">
        <v>115</v>
      </c>
      <c r="C8" s="16" t="s">
        <v>116</v>
      </c>
      <c r="D8" s="16"/>
      <c r="E8" s="16"/>
      <c r="F8" s="16"/>
    </row>
    <row r="9" customFormat="false" ht="15" hidden="false" customHeight="false" outlineLevel="0" collapsed="false">
      <c r="A9" s="29">
        <v>5</v>
      </c>
      <c r="B9" s="10" t="s">
        <v>118</v>
      </c>
      <c r="C9" s="16" t="s">
        <v>119</v>
      </c>
      <c r="D9" s="16"/>
    </row>
    <row r="11" customFormat="false" ht="15.5" hidden="false" customHeight="false" outlineLevel="0" collapsed="false">
      <c r="A11" s="12" t="s">
        <v>120</v>
      </c>
      <c r="B11" s="12"/>
      <c r="C11" s="12"/>
      <c r="D11" s="13"/>
      <c r="E11" s="13"/>
      <c r="F11" s="13"/>
      <c r="G11" s="13"/>
      <c r="H11" s="13"/>
    </row>
    <row r="12" customFormat="false" ht="15" hidden="false" customHeight="false" outlineLevel="0" collapsed="false">
      <c r="A12" s="14" t="s">
        <v>121</v>
      </c>
      <c r="B12" s="14" t="s">
        <v>122</v>
      </c>
      <c r="C12" s="14"/>
    </row>
    <row r="13" customFormat="false" ht="15" hidden="false" customHeight="false" outlineLevel="0" collapsed="false">
      <c r="A13" s="10" t="s">
        <v>123</v>
      </c>
      <c r="B13" s="16" t="s">
        <v>124</v>
      </c>
      <c r="C13" s="16"/>
      <c r="D13" s="16"/>
      <c r="E13" s="16"/>
      <c r="F13" s="16"/>
      <c r="G13" s="16"/>
      <c r="H13" s="16"/>
    </row>
    <row r="14" customFormat="false" ht="15" hidden="false" customHeight="false" outlineLevel="0" collapsed="false">
      <c r="A14" s="10" t="s">
        <v>125</v>
      </c>
      <c r="B14" s="16" t="s">
        <v>126</v>
      </c>
      <c r="C14" s="16"/>
      <c r="D14" s="16"/>
      <c r="E14" s="16"/>
      <c r="F14" s="16"/>
      <c r="G14" s="16"/>
      <c r="H14" s="16"/>
    </row>
    <row r="16" customFormat="false" ht="15.5" hidden="false" customHeight="false" outlineLevel="0" collapsed="false">
      <c r="A16" s="12" t="s">
        <v>127</v>
      </c>
      <c r="B16" s="12"/>
      <c r="C16" s="12"/>
      <c r="D16" s="12"/>
      <c r="E16" s="13"/>
      <c r="F16" s="13"/>
      <c r="G16" s="13"/>
      <c r="H16" s="13"/>
    </row>
    <row r="17" customFormat="false" ht="15" hidden="false" customHeight="false" outlineLevel="0" collapsed="false">
      <c r="A17" s="14" t="s">
        <v>128</v>
      </c>
      <c r="B17" s="14" t="s">
        <v>129</v>
      </c>
      <c r="C17" s="14" t="s">
        <v>130</v>
      </c>
      <c r="D17" s="14" t="s">
        <v>131</v>
      </c>
    </row>
    <row r="18" customFormat="false" ht="16" hidden="false" customHeight="false" outlineLevel="0" collapsed="false">
      <c r="A18" s="10" t="s">
        <v>132</v>
      </c>
      <c r="B18" s="10" t="s">
        <v>133</v>
      </c>
      <c r="C18" s="10" t="s">
        <v>134</v>
      </c>
      <c r="D18" s="16" t="s">
        <v>135</v>
      </c>
      <c r="E18" s="16"/>
      <c r="F18" s="16"/>
      <c r="G18" s="16"/>
      <c r="H18" s="16"/>
    </row>
    <row r="19" customFormat="false" ht="16" hidden="false" customHeight="false" outlineLevel="0" collapsed="false">
      <c r="A19" s="10" t="s">
        <v>136</v>
      </c>
      <c r="B19" s="10" t="s">
        <v>137</v>
      </c>
      <c r="C19" s="10" t="s">
        <v>138</v>
      </c>
      <c r="D19" s="16" t="s">
        <v>139</v>
      </c>
      <c r="E19" s="16"/>
      <c r="F19" s="16"/>
      <c r="G19" s="16"/>
      <c r="H19" s="16"/>
    </row>
    <row r="20" customFormat="false" ht="16" hidden="false" customHeight="false" outlineLevel="0" collapsed="false">
      <c r="A20" s="10" t="s">
        <v>140</v>
      </c>
      <c r="B20" s="10" t="s">
        <v>141</v>
      </c>
      <c r="C20" s="10" t="s">
        <v>142</v>
      </c>
      <c r="D20" s="16" t="s">
        <v>143</v>
      </c>
      <c r="E20" s="16"/>
      <c r="F20" s="16"/>
      <c r="G20" s="16"/>
      <c r="H20" s="16"/>
    </row>
    <row r="21" customFormat="false" ht="15" hidden="false" customHeight="false" outlineLevel="0" collapsed="false">
      <c r="A21" s="10" t="s">
        <v>144</v>
      </c>
      <c r="B21" s="10" t="s">
        <v>145</v>
      </c>
      <c r="C21" s="10" t="s">
        <v>146</v>
      </c>
      <c r="D21" s="16" t="s">
        <v>147</v>
      </c>
      <c r="E21" s="16"/>
      <c r="F21" s="16"/>
    </row>
    <row r="22" customFormat="false" ht="15" hidden="false" customHeight="false" outlineLevel="0" collapsed="false">
      <c r="A22" s="15" t="s">
        <v>148</v>
      </c>
      <c r="B22" s="10" t="s">
        <v>149</v>
      </c>
      <c r="C22" s="10" t="s">
        <v>150</v>
      </c>
      <c r="D22" s="16" t="s">
        <v>151</v>
      </c>
      <c r="E22" s="16"/>
      <c r="F22" s="16"/>
      <c r="G22" s="16"/>
      <c r="H22" s="16"/>
    </row>
    <row r="23" customFormat="false" ht="15" hidden="false" customHeight="false" outlineLevel="0" collapsed="false">
      <c r="A23" s="15" t="s">
        <v>152</v>
      </c>
      <c r="B23" s="10" t="s">
        <v>153</v>
      </c>
      <c r="C23" s="10" t="s">
        <v>154</v>
      </c>
      <c r="D23" s="16" t="s">
        <v>155</v>
      </c>
      <c r="E23" s="16"/>
      <c r="F23" s="16"/>
      <c r="G23" s="16"/>
      <c r="H23" s="16"/>
    </row>
    <row r="24" customFormat="false" ht="15.5" hidden="false" customHeight="true" outlineLevel="0" collapsed="false">
      <c r="A24" s="17" t="s">
        <v>156</v>
      </c>
      <c r="B24" s="17"/>
      <c r="C24" s="17"/>
      <c r="D24" s="17"/>
      <c r="E24" s="17"/>
      <c r="F24" s="17"/>
      <c r="G24" s="17"/>
      <c r="H24" s="17"/>
      <c r="I24" s="17"/>
      <c r="J24" s="17"/>
      <c r="K24" s="17"/>
    </row>
    <row r="26" customFormat="false" ht="15.5" hidden="false" customHeight="false" outlineLevel="0" collapsed="false">
      <c r="A26" s="12" t="s">
        <v>157</v>
      </c>
      <c r="B26" s="12"/>
      <c r="C26" s="12"/>
      <c r="D26" s="13"/>
      <c r="E26" s="13"/>
      <c r="F26" s="13"/>
      <c r="G26" s="13"/>
      <c r="H26" s="13"/>
    </row>
    <row r="27" customFormat="false" ht="15" hidden="false" customHeight="false" outlineLevel="0" collapsed="false">
      <c r="A27" s="14" t="s">
        <v>158</v>
      </c>
      <c r="B27" s="14" t="s">
        <v>159</v>
      </c>
      <c r="C27" s="14" t="s">
        <v>97</v>
      </c>
      <c r="D27" s="14"/>
      <c r="E27" s="14"/>
      <c r="F27" s="14"/>
      <c r="G27" s="14"/>
      <c r="H27" s="14"/>
    </row>
    <row r="28" customFormat="false" ht="16" hidden="false" customHeight="false" outlineLevel="0" collapsed="false">
      <c r="A28" s="10" t="s">
        <v>160</v>
      </c>
      <c r="B28" s="18" t="n">
        <v>0.2</v>
      </c>
      <c r="C28" s="16" t="s">
        <v>161</v>
      </c>
      <c r="D28" s="16"/>
      <c r="E28" s="16"/>
      <c r="F28" s="16"/>
      <c r="G28" s="16"/>
    </row>
    <row r="29" customFormat="false" ht="16" hidden="false" customHeight="false" outlineLevel="0" collapsed="false">
      <c r="A29" s="10" t="s">
        <v>162</v>
      </c>
      <c r="B29" s="18" t="n">
        <v>0.3</v>
      </c>
      <c r="C29" s="16" t="s">
        <v>163</v>
      </c>
      <c r="D29" s="16"/>
      <c r="E29" s="16"/>
      <c r="F29" s="16"/>
      <c r="G29" s="16"/>
    </row>
    <row r="30" customFormat="false" ht="16" hidden="false" customHeight="false" outlineLevel="0" collapsed="false">
      <c r="A30" s="10" t="s">
        <v>164</v>
      </c>
      <c r="B30" s="18" t="n">
        <v>0.5</v>
      </c>
      <c r="C30" s="16" t="s">
        <v>165</v>
      </c>
      <c r="D30" s="16"/>
      <c r="E30" s="16"/>
    </row>
    <row r="31" customFormat="false" ht="16" hidden="false" customHeight="false" outlineLevel="0" collapsed="false">
      <c r="A31" s="10" t="s">
        <v>166</v>
      </c>
      <c r="B31" s="19" t="n">
        <f aca="false">1/(1-B28)</f>
        <v>1.25</v>
      </c>
      <c r="C31" s="16" t="s">
        <v>167</v>
      </c>
      <c r="D31" s="16"/>
      <c r="E31" s="16"/>
    </row>
    <row r="32" customFormat="false" ht="16" hidden="false" customHeight="false" outlineLevel="0" collapsed="false">
      <c r="A32" s="10" t="s">
        <v>168</v>
      </c>
      <c r="B32" s="18" t="n">
        <v>2</v>
      </c>
      <c r="C32" s="16" t="s">
        <v>169</v>
      </c>
      <c r="D32" s="16"/>
      <c r="E32" s="16"/>
    </row>
    <row r="33" customFormat="false" ht="16" hidden="false" customHeight="false" outlineLevel="0" collapsed="false">
      <c r="A33" s="10" t="s">
        <v>170</v>
      </c>
      <c r="B33" s="18" t="n">
        <v>4</v>
      </c>
    </row>
    <row r="34" customFormat="false" ht="16" hidden="false" customHeight="false" outlineLevel="0" collapsed="false">
      <c r="A34" s="10" t="s">
        <v>171</v>
      </c>
      <c r="B34" s="18" t="n">
        <v>6</v>
      </c>
    </row>
    <row r="35" customFormat="false" ht="16" hidden="false" customHeight="false" outlineLevel="0" collapsed="false">
      <c r="A35" s="10" t="s">
        <v>172</v>
      </c>
      <c r="B35" s="19" t="n">
        <f aca="false">1/(1-B28)+B31*B28/(1-B28)^2</f>
        <v>1.640625</v>
      </c>
      <c r="C35" s="16" t="s">
        <v>173</v>
      </c>
      <c r="D35" s="16"/>
      <c r="E35" s="16"/>
      <c r="F35" s="16"/>
      <c r="G35" s="16"/>
      <c r="H35" s="16"/>
    </row>
    <row r="36" customFormat="false" ht="16" hidden="false" customHeight="false" outlineLevel="0" collapsed="false">
      <c r="A36" s="10" t="s">
        <v>174</v>
      </c>
      <c r="B36" s="19" t="n">
        <f aca="false">B32*B28^2+B33*B28^3+B34*B28^4</f>
        <v>0.1216</v>
      </c>
      <c r="C36" s="16" t="s">
        <v>175</v>
      </c>
      <c r="D36" s="16"/>
      <c r="E36" s="16"/>
      <c r="F36" s="16"/>
      <c r="G36" s="16"/>
    </row>
    <row r="37" customFormat="false" ht="16" hidden="false" customHeight="false" outlineLevel="0" collapsed="false">
      <c r="A37" s="10" t="s">
        <v>176</v>
      </c>
      <c r="B37" s="20" t="n">
        <f aca="false">B29*B35</f>
        <v>0.4921875</v>
      </c>
      <c r="C37" s="16" t="s">
        <v>177</v>
      </c>
      <c r="D37" s="16"/>
    </row>
    <row r="38" customFormat="false" ht="16" hidden="false" customHeight="false" outlineLevel="0" collapsed="false">
      <c r="A38" s="10" t="s">
        <v>178</v>
      </c>
      <c r="B38" s="20" t="n">
        <f aca="false">B36*(1/(1-B36))*B29</f>
        <v>0.0415300546448088</v>
      </c>
      <c r="C38" s="16" t="s">
        <v>179</v>
      </c>
      <c r="D38" s="16"/>
      <c r="E38" s="16"/>
      <c r="F38" s="16"/>
      <c r="G38" s="16"/>
      <c r="H38" s="16"/>
    </row>
    <row r="39" customFormat="false" ht="16" hidden="false" customHeight="false" outlineLevel="0" collapsed="false">
      <c r="A39" s="10" t="s">
        <v>180</v>
      </c>
      <c r="B39" s="20" t="n">
        <f aca="false">B37+B38</f>
        <v>0.533717554644809</v>
      </c>
      <c r="C39" s="16" t="s">
        <v>181</v>
      </c>
      <c r="D39" s="16"/>
    </row>
    <row r="40" customFormat="false" ht="15.5" hidden="false" customHeight="true" outlineLevel="0" collapsed="false">
      <c r="A40" s="21" t="s">
        <v>182</v>
      </c>
      <c r="B40" s="21"/>
      <c r="C40" s="21"/>
      <c r="D40" s="21"/>
      <c r="E40" s="21"/>
      <c r="F40" s="21"/>
      <c r="G40" s="21"/>
      <c r="H40" s="21"/>
      <c r="I40" s="21"/>
      <c r="J40" s="21"/>
      <c r="K40" s="21"/>
      <c r="L40" s="21"/>
      <c r="M40" s="21"/>
      <c r="N40" s="21"/>
      <c r="O40" s="21"/>
      <c r="P40" s="21"/>
    </row>
    <row r="42" customFormat="false" ht="15.5" hidden="false" customHeight="false" outlineLevel="0" collapsed="false">
      <c r="A42" s="12" t="s">
        <v>183</v>
      </c>
      <c r="B42" s="12"/>
      <c r="C42" s="12"/>
      <c r="D42" s="12"/>
      <c r="E42" s="13"/>
      <c r="F42" s="13"/>
      <c r="G42" s="13"/>
      <c r="H42" s="13"/>
    </row>
    <row r="43" customFormat="false" ht="15.5" hidden="false" customHeight="false" outlineLevel="0" collapsed="false">
      <c r="A43" s="14" t="s">
        <v>184</v>
      </c>
      <c r="B43" s="14" t="s">
        <v>166</v>
      </c>
      <c r="C43" s="14" t="s">
        <v>185</v>
      </c>
      <c r="D43" s="14" t="s">
        <v>97</v>
      </c>
    </row>
    <row r="44" customFormat="false" ht="15" hidden="false" customHeight="false" outlineLevel="0" collapsed="false">
      <c r="A44" s="18" t="n">
        <v>0.2</v>
      </c>
      <c r="B44" s="19" t="n">
        <f aca="false">1/(1-A44)</f>
        <v>1.25</v>
      </c>
      <c r="C44" s="19" t="n">
        <f aca="false">1/(1-A44)+1*A44/(1-A44)^2</f>
        <v>1.5625</v>
      </c>
    </row>
    <row r="45" customFormat="false" ht="15" hidden="false" customHeight="false" outlineLevel="0" collapsed="false">
      <c r="A45" s="18" t="n">
        <v>0.35</v>
      </c>
      <c r="B45" s="19" t="n">
        <f aca="false">1/(1-A45)</f>
        <v>1.53846153846154</v>
      </c>
      <c r="C45" s="19" t="n">
        <f aca="false">1/(1-A45)+1*A45/(1-A45)^2</f>
        <v>2.36686390532544</v>
      </c>
    </row>
    <row r="46" customFormat="false" ht="16" hidden="false" customHeight="false" outlineLevel="0" collapsed="false">
      <c r="A46" s="18" t="n">
        <v>0.5</v>
      </c>
      <c r="B46" s="19" t="n">
        <f aca="false">1/(1-A46)</f>
        <v>2</v>
      </c>
      <c r="C46" s="19" t="n">
        <f aca="false">1/(1-A46)+1*A46/(1-A46)^2</f>
        <v>4</v>
      </c>
      <c r="D46" s="16" t="s">
        <v>186</v>
      </c>
      <c r="E46" s="16"/>
      <c r="F46" s="16"/>
      <c r="G46" s="16"/>
      <c r="H46" s="16"/>
    </row>
    <row r="47" customFormat="false" ht="15" hidden="false" customHeight="false" outlineLevel="0" collapsed="false">
      <c r="A47" s="18" t="n">
        <v>0.65</v>
      </c>
      <c r="B47" s="19" t="n">
        <f aca="false">1/(1-A47)</f>
        <v>2.85714285714286</v>
      </c>
      <c r="C47" s="19" t="n">
        <f aca="false">1/(1-A47)+1*A47/(1-A47)^2</f>
        <v>8.16326530612245</v>
      </c>
    </row>
    <row r="48" customFormat="false" ht="15" hidden="false" customHeight="false" outlineLevel="0" collapsed="false">
      <c r="A48" s="18" t="n">
        <v>0.8</v>
      </c>
      <c r="B48" s="19" t="n">
        <f aca="false">1/(1-A48)</f>
        <v>5</v>
      </c>
      <c r="C48" s="19" t="n">
        <f aca="false">1/(1-A48)+1*A48/(1-A48)^2</f>
        <v>25</v>
      </c>
    </row>
    <row r="50" customFormat="false" ht="15.5" hidden="false" customHeight="false" outlineLevel="0" collapsed="false">
      <c r="A50" s="12" t="s">
        <v>187</v>
      </c>
      <c r="B50" s="12"/>
      <c r="C50" s="12"/>
      <c r="D50" s="13"/>
      <c r="E50" s="13"/>
      <c r="F50" s="13"/>
      <c r="G50" s="13"/>
      <c r="H50" s="13"/>
    </row>
    <row r="51" customFormat="false" ht="15" hidden="false" customHeight="false" outlineLevel="0" collapsed="false">
      <c r="A51" s="14" t="s">
        <v>188</v>
      </c>
      <c r="B51" s="14" t="s">
        <v>189</v>
      </c>
      <c r="C51" s="14" t="s">
        <v>97</v>
      </c>
      <c r="D51" s="14"/>
      <c r="E51" s="14"/>
      <c r="F51" s="14"/>
      <c r="G51" s="14"/>
      <c r="H51" s="14"/>
    </row>
    <row r="52" customFormat="false" ht="16" hidden="false" customHeight="false" outlineLevel="0" collapsed="false">
      <c r="A52" s="10" t="s">
        <v>190</v>
      </c>
      <c r="B52" s="22" t="str">
        <f aca="false">IF(ABS(B31-1/(1-B28))&lt;0.0000001,"✓","✗")</f>
        <v>✓</v>
      </c>
      <c r="C52" s="23" t="s">
        <v>191</v>
      </c>
      <c r="D52" s="23"/>
    </row>
    <row r="53" customFormat="false" ht="16" hidden="false" customHeight="false" outlineLevel="0" collapsed="false">
      <c r="A53" s="15" t="s">
        <v>192</v>
      </c>
      <c r="B53" s="22" t="str">
        <f aca="false">IF(AND(C45&gt;C44,C46&gt;C45,C47&gt;C46,C48&gt;C47),"✓","✗")</f>
        <v>✓</v>
      </c>
      <c r="C53" s="10" t="s">
        <v>193</v>
      </c>
    </row>
    <row r="54" customFormat="false" ht="16" hidden="false" customHeight="false" outlineLevel="0" collapsed="false">
      <c r="A54" s="10" t="s">
        <v>194</v>
      </c>
      <c r="B54" s="22" t="str">
        <f aca="false">IF(B39&gt;B29,"✓","✗")</f>
        <v>✓</v>
      </c>
      <c r="C54" s="16" t="s">
        <v>195</v>
      </c>
      <c r="D54" s="16"/>
      <c r="E54" s="16"/>
    </row>
    <row r="56" customFormat="false" ht="28" hidden="false" customHeight="true" outlineLevel="0" collapsed="false">
      <c r="A56" s="21" t="s">
        <v>196</v>
      </c>
      <c r="B56" s="21"/>
      <c r="C56" s="21"/>
      <c r="D56" s="21"/>
    </row>
  </sheetData>
  <mergeCells count="36">
    <mergeCell ref="A1:D1"/>
    <mergeCell ref="A3:C3"/>
    <mergeCell ref="C5:D5"/>
    <mergeCell ref="C6:D6"/>
    <mergeCell ref="C7:F7"/>
    <mergeCell ref="C8:F8"/>
    <mergeCell ref="C9:D9"/>
    <mergeCell ref="A11:C11"/>
    <mergeCell ref="B13:H13"/>
    <mergeCell ref="B14:H14"/>
    <mergeCell ref="A16:D16"/>
    <mergeCell ref="D18:H18"/>
    <mergeCell ref="D19:H19"/>
    <mergeCell ref="D20:H20"/>
    <mergeCell ref="D21:F21"/>
    <mergeCell ref="D22:H22"/>
    <mergeCell ref="D23:H23"/>
    <mergeCell ref="A24:K24"/>
    <mergeCell ref="A26:C26"/>
    <mergeCell ref="C28:G28"/>
    <mergeCell ref="C29:G29"/>
    <mergeCell ref="C30:E30"/>
    <mergeCell ref="C31:E31"/>
    <mergeCell ref="C32:E32"/>
    <mergeCell ref="C35:H35"/>
    <mergeCell ref="C36:G36"/>
    <mergeCell ref="C37:D37"/>
    <mergeCell ref="C38:H38"/>
    <mergeCell ref="C39:D39"/>
    <mergeCell ref="A40:P40"/>
    <mergeCell ref="A42:D42"/>
    <mergeCell ref="D46:H46"/>
    <mergeCell ref="A50:C50"/>
    <mergeCell ref="C52:D52"/>
    <mergeCell ref="C54:E54"/>
    <mergeCell ref="A56:D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U76"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