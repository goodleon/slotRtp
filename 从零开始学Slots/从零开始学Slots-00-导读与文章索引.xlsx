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导读 文章索引" sheetId="2" state="visible" r:id="rId4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<sst xmlns="http://schemas.openxmlformats.org/spreadsheetml/2006/main" count="623" uniqueCount="373">
  <si>
    <r>
      <rPr>
        <b val="true"/>
        <sz val="14"/>
        <color rgb="FF1F4E79"/>
        <rFont val="Noto Sans SC"/>
        <family val="2"/>
        <charset val="134"/>
      </rPr>
      <t xml:space="preserve">从零开始学</t>
    </r>
    <r>
      <rPr>
        <b val="true"/>
        <sz val="14"/>
        <color rgb="FF1F4E79"/>
        <rFont val="Cambria"/>
        <family val="0"/>
        <charset val="1"/>
      </rPr>
      <t xml:space="preserve">Slots —— </t>
    </r>
    <r>
      <rPr>
        <b val="true"/>
        <sz val="14"/>
        <color rgb="FF1F4E79"/>
        <rFont val="Noto Sans SC"/>
        <family val="2"/>
        <charset val="134"/>
      </rPr>
      <t xml:space="preserve">专栏导读与文章索引（复刻自 </t>
    </r>
    <r>
      <rPr>
        <b val="true"/>
        <sz val="14"/>
        <color rgb="FF1F4E79"/>
        <rFont val="Cambria"/>
        <family val="0"/>
        <charset val="1"/>
      </rPr>
      <t xml:space="preserve">zhuanlan.zhihu.com/p/632180046</t>
    </r>
    <r>
      <rPr>
        <b val="true"/>
        <sz val="14"/>
        <color rgb="FF1F4E79"/>
        <rFont val="Noto Sans SC"/>
        <family val="2"/>
        <charset val="134"/>
      </rPr>
      <t xml:space="preserve">）</t>
    </r>
  </si>
  <si>
    <r>
      <rPr>
        <sz val="11"/>
        <color rgb="FF808080"/>
        <rFont val="Noto Sans SC"/>
        <family val="2"/>
        <charset val="134"/>
      </rPr>
      <t xml:space="preserve">来源：知乎《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设计攻略导读》 </t>
    </r>
    <r>
      <rPr>
        <sz val="11"/>
        <color rgb="FF808080"/>
        <rFont val="Cambria"/>
        <family val="0"/>
        <charset val="1"/>
      </rPr>
      <t xml:space="preserve">https://zhuanlan.zhihu.com/p/632180046 </t>
    </r>
    <r>
      <rPr>
        <sz val="11"/>
        <color rgb="FF808080"/>
        <rFont val="Noto Sans SC"/>
        <family val="2"/>
        <charset val="134"/>
      </rPr>
      <t xml:space="preserve">（</t>
    </r>
    <r>
      <rPr>
        <sz val="11"/>
        <color rgb="FF808080"/>
        <rFont val="Cambria"/>
        <family val="0"/>
        <charset val="1"/>
      </rPr>
      <t xml:space="preserve">2023-09-16 </t>
    </r>
    <r>
      <rPr>
        <sz val="11"/>
        <color rgb="FF808080"/>
        <rFont val="Noto Sans SC"/>
        <family val="2"/>
        <charset val="134"/>
      </rPr>
      <t xml:space="preserve">发布，收录于「从零开始学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」专栏）</t>
    </r>
  </si>
  <si>
    <r>
      <rPr>
        <sz val="11"/>
        <color rgb="FF808080"/>
        <rFont val="Noto Sans SC"/>
        <family val="2"/>
        <charset val="134"/>
      </rPr>
      <t xml:space="preserve">专栏：从零开始学</t>
    </r>
    <r>
      <rPr>
        <sz val="11"/>
        <color rgb="FF808080"/>
        <rFont val="Cambria"/>
        <family val="0"/>
        <charset val="1"/>
      </rPr>
      <t xml:space="preserve">Slots https://www.zhihu.com/column/c_1645024821070356480 </t>
    </r>
    <r>
      <rPr>
        <sz val="11"/>
        <color rgb="FF808080"/>
        <rFont val="Noto Sans SC"/>
        <family val="2"/>
        <charset val="134"/>
      </rPr>
      <t xml:space="preserve">｜ 作者：</t>
    </r>
    <r>
      <rPr>
        <sz val="11"/>
        <color rgb="FF808080"/>
        <rFont val="Cambria"/>
        <family val="0"/>
        <charset val="1"/>
      </rPr>
      <t xml:space="preserve">ASlot</t>
    </r>
    <r>
      <rPr>
        <sz val="11"/>
        <color rgb="FF808080"/>
        <rFont val="Noto Sans SC"/>
        <family val="2"/>
        <charset val="134"/>
      </rPr>
      <t xml:space="preserve">（</t>
    </r>
    <r>
      <rPr>
        <sz val="11"/>
        <color rgb="FF808080"/>
        <rFont val="Cambria"/>
        <family val="0"/>
        <charset val="1"/>
      </rPr>
      <t xml:space="preserve">Slot Mathematician</t>
    </r>
    <r>
      <rPr>
        <sz val="11"/>
        <color rgb="FF808080"/>
        <rFont val="Noto Sans SC"/>
        <family val="2"/>
        <charset val="134"/>
      </rPr>
      <t xml:space="preserve">｜</t>
    </r>
    <r>
      <rPr>
        <sz val="11"/>
        <color rgb="FF808080"/>
        <rFont val="Cambria"/>
        <family val="0"/>
        <charset val="1"/>
      </rPr>
      <t xml:space="preserve">Freelance</t>
    </r>
    <r>
      <rPr>
        <sz val="11"/>
        <color rgb="FF808080"/>
        <rFont val="Noto Sans SC"/>
        <family val="2"/>
        <charset val="134"/>
      </rPr>
      <t xml:space="preserve">；伯明翰大学 国际会计与金融硕士）｜ 专栏共 </t>
    </r>
    <r>
      <rPr>
        <sz val="11"/>
        <color rgb="FF808080"/>
        <rFont val="Cambria"/>
        <family val="0"/>
        <charset val="1"/>
      </rPr>
      <t xml:space="preserve">46 </t>
    </r>
    <r>
      <rPr>
        <sz val="11"/>
        <color rgb="FF808080"/>
        <rFont val="Noto Sans SC"/>
        <family val="2"/>
        <charset val="134"/>
      </rPr>
      <t xml:space="preserve">篇文章</t>
    </r>
  </si>
  <si>
    <r>
      <rPr>
        <sz val="11"/>
        <color rgb="FF808080"/>
        <rFont val="Noto Sans SC"/>
        <family val="2"/>
        <charset val="134"/>
      </rPr>
      <t xml:space="preserve">样式模板：捕鱼游戏数学</t>
    </r>
    <r>
      <rPr>
        <sz val="11"/>
        <color rgb="FF808080"/>
        <rFont val="Cambria"/>
        <family val="0"/>
        <charset val="1"/>
      </rPr>
      <t xml:space="preserve">-PartII-</t>
    </r>
    <r>
      <rPr>
        <sz val="11"/>
        <color rgb="FF808080"/>
        <rFont val="Noto Sans SC"/>
        <family val="2"/>
        <charset val="134"/>
      </rPr>
      <t xml:space="preserve">特殊炮模型</t>
    </r>
    <r>
      <rPr>
        <sz val="11"/>
        <color rgb="FF808080"/>
        <rFont val="Cambria"/>
        <family val="0"/>
        <charset val="1"/>
      </rPr>
      <t xml:space="preserve">.xlsx</t>
    </r>
    <r>
      <rPr>
        <sz val="11"/>
        <color rgb="FF808080"/>
        <rFont val="Noto Sans SC"/>
        <family val="2"/>
        <charset val="134"/>
      </rPr>
      <t xml:space="preserve">（分节深蓝底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表头浅蓝底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蓝字可改输入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黑字公式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黄底关键结果）</t>
    </r>
  </si>
  <si>
    <r>
      <rPr>
        <sz val="11"/>
        <color rgb="FF808080"/>
        <rFont val="Noto Sans SC"/>
        <family val="2"/>
        <charset val="134"/>
      </rPr>
      <t xml:space="preserve">通行约定：统计结果全部由 </t>
    </r>
    <r>
      <rPr>
        <sz val="11"/>
        <color rgb="FF808080"/>
        <rFont val="Cambria"/>
        <family val="0"/>
        <charset val="1"/>
      </rPr>
      <t xml:space="preserve">Excel </t>
    </r>
    <r>
      <rPr>
        <sz val="11"/>
        <color rgb="FF808080"/>
        <rFont val="Noto Sans SC"/>
        <family val="2"/>
        <charset val="134"/>
      </rPr>
      <t xml:space="preserve">公式实时算出，改蓝色输入格即可联动；文件命名沿用「从零开始学</t>
    </r>
    <r>
      <rPr>
        <sz val="11"/>
        <color rgb="FF808080"/>
        <rFont val="Cambria"/>
        <family val="0"/>
        <charset val="1"/>
      </rPr>
      <t xml:space="preserve">Slots-NN-</t>
    </r>
    <r>
      <rPr>
        <sz val="11"/>
        <color rgb="FF808080"/>
        <rFont val="Noto Sans SC"/>
        <family val="2"/>
        <charset val="134"/>
      </rPr>
      <t xml:space="preserve">主题」。</t>
    </r>
  </si>
  <si>
    <t xml:space="preserve">页签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</si>
  <si>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导读 文章索引：专栏的阅读顺序与文章清单（</t>
    </r>
    <r>
      <rPr>
        <sz val="11"/>
        <color theme="1"/>
        <rFont val="Calibri"/>
        <family val="2"/>
        <charset val="1"/>
      </rPr>
      <t xml:space="preserve">#</t>
    </r>
    <r>
      <rPr>
        <sz val="11"/>
        <color theme="1"/>
        <rFont val="Noto Sans SC"/>
        <family val="2"/>
        <charset val="134"/>
      </rPr>
      <t xml:space="preserve">／文章标题／篇别／主题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SC"/>
        <family val="2"/>
        <charset val="134"/>
      </rPr>
      <t xml:space="preserve">机制／知乎链接／本工程同主题工作簿／状态／备注）</t>
    </r>
  </si>
  <si>
    <t xml:space="preserve">导读结构（原文推荐的阅读顺序）</t>
  </si>
  <si>
    <t xml:space="preserve">导读把专栏分成若干阶段，并说明各阶段的用途：</t>
  </si>
  <si>
    <r>
      <rPr>
        <sz val="11"/>
        <color theme="1"/>
        <rFont val="Calibri"/>
        <family val="2"/>
        <charset val="1"/>
      </rPr>
      <t xml:space="preserve">① Slots</t>
    </r>
    <r>
      <rPr>
        <sz val="11"/>
        <color theme="1"/>
        <rFont val="Noto Sans SC"/>
        <family val="2"/>
        <charset val="134"/>
      </rPr>
      <t xml:space="preserve">基础介绍（新人必读）——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的基础构成与相关概念，是整条学习路径的起点。</t>
    </r>
  </si>
  <si>
    <r>
      <rPr>
        <sz val="11"/>
        <color theme="1"/>
        <rFont val="Calibri"/>
        <family val="2"/>
        <charset val="1"/>
      </rPr>
      <t xml:space="preserve">② Slots</t>
    </r>
    <r>
      <rPr>
        <sz val="11"/>
        <color theme="1"/>
        <rFont val="Noto Sans SC"/>
        <family val="2"/>
        <charset val="134"/>
      </rPr>
      <t xml:space="preserve">基础数值介绍 —— 从 </t>
    </r>
    <r>
      <rPr>
        <sz val="11"/>
        <color theme="1"/>
        <rFont val="Calibri"/>
        <family val="2"/>
        <charset val="1"/>
      </rPr>
      <t xml:space="preserve">Line Slots </t>
    </r>
    <r>
      <rPr>
        <sz val="11"/>
        <color theme="1"/>
        <rFont val="Noto Sans SC"/>
        <family val="2"/>
        <charset val="134"/>
      </rPr>
      <t xml:space="preserve">开始走一遍数值模型搭建，含标准图标、百搭图标与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触发免费摇。</t>
    </r>
  </si>
  <si>
    <r>
      <rPr>
        <sz val="11"/>
        <color theme="1"/>
        <rFont val="Calibri"/>
        <family val="2"/>
        <charset val="1"/>
      </rPr>
      <t xml:space="preserve">③ Slots</t>
    </r>
    <r>
      <rPr>
        <sz val="11"/>
        <color theme="1"/>
        <rFont val="Noto Sans SC"/>
        <family val="2"/>
        <charset val="134"/>
      </rPr>
      <t xml:space="preserve">数值篇 —— 不同线数产品（</t>
    </r>
    <r>
      <rPr>
        <sz val="11"/>
        <color theme="1"/>
        <rFont val="Calibri"/>
        <family val="2"/>
        <charset val="1"/>
      </rPr>
      <t xml:space="preserve">1*3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3*3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3*5</t>
    </r>
    <r>
      <rPr>
        <sz val="11"/>
        <color theme="1"/>
        <rFont val="Noto Sans SC"/>
        <family val="2"/>
        <charset val="134"/>
      </rPr>
      <t xml:space="preserve">）的数值模型，以及 </t>
    </r>
    <r>
      <rPr>
        <sz val="11"/>
        <color theme="1"/>
        <rFont val="Calibri"/>
        <family val="2"/>
        <charset val="1"/>
      </rPr>
      <t xml:space="preserve">Wild / Scatter / Way </t>
    </r>
    <r>
      <rPr>
        <sz val="11"/>
        <color theme="1"/>
        <rFont val="Noto Sans SC"/>
        <family val="2"/>
        <charset val="134"/>
      </rPr>
      <t xml:space="preserve">等进阶内容；掌握后即可独立搭建多线类数值模型。</t>
    </r>
  </si>
  <si>
    <r>
      <rPr>
        <sz val="11"/>
        <color theme="1"/>
        <rFont val="Calibri"/>
        <family val="2"/>
        <charset val="1"/>
      </rPr>
      <t xml:space="preserve">④ Slots</t>
    </r>
    <r>
      <rPr>
        <sz val="11"/>
        <color theme="1"/>
        <rFont val="Noto Sans SC"/>
        <family val="2"/>
        <charset val="134"/>
      </rPr>
      <t xml:space="preserve">进阶攻略 —— 较复杂的 </t>
    </r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：</t>
    </r>
    <r>
      <rPr>
        <sz val="11"/>
        <color theme="1"/>
        <rFont val="Calibri"/>
        <family val="2"/>
        <charset val="1"/>
      </rPr>
      <t xml:space="preserve">Hold &amp; Spin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Cascading </t>
    </r>
    <r>
      <rPr>
        <sz val="11"/>
        <color theme="1"/>
        <rFont val="Noto Sans SC"/>
        <family val="2"/>
        <charset val="134"/>
      </rPr>
      <t xml:space="preserve">消除、</t>
    </r>
    <r>
      <rPr>
        <sz val="11"/>
        <color theme="1"/>
        <rFont val="Calibri"/>
        <family val="2"/>
        <charset val="1"/>
      </rPr>
      <t xml:space="preserve">Sticky Wild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Expanding Wild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Splitting Symbols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Megaways </t>
    </r>
    <r>
      <rPr>
        <sz val="11"/>
        <color theme="1"/>
        <rFont val="Noto Sans SC"/>
        <family val="2"/>
        <charset val="134"/>
      </rPr>
      <t xml:space="preserve">等。</t>
    </r>
  </si>
  <si>
    <r>
      <rPr>
        <sz val="11"/>
        <color theme="1"/>
        <rFont val="Noto Sans SC"/>
        <family val="2"/>
        <charset val="134"/>
      </rPr>
      <t xml:space="preserve">⑤ 特定 </t>
    </r>
    <r>
      <rPr>
        <sz val="11"/>
        <color theme="1"/>
        <rFont val="Calibri"/>
        <family val="2"/>
        <charset val="1"/>
      </rPr>
      <t xml:space="preserve">Feature </t>
    </r>
    <r>
      <rPr>
        <sz val="11"/>
        <color theme="1"/>
        <rFont val="Noto Sans SC"/>
        <family val="2"/>
        <charset val="134"/>
      </rPr>
      <t xml:space="preserve">专题 —— 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Super Stack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Mystery Symbols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Random Wild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Grid </t>
    </r>
    <r>
      <rPr>
        <sz val="11"/>
        <color theme="1"/>
        <rFont val="Noto Sans SC"/>
        <family val="2"/>
        <charset val="134"/>
      </rPr>
      <t xml:space="preserve">等，按需求阅读。</t>
    </r>
  </si>
  <si>
    <r>
      <rPr>
        <sz val="11"/>
        <color theme="1"/>
        <rFont val="Calibri"/>
        <family val="2"/>
        <charset val="1"/>
      </rPr>
      <t xml:space="preserve">⑥ Slots </t>
    </r>
    <r>
      <rPr>
        <sz val="11"/>
        <color theme="1"/>
        <rFont val="Noto Sans SC"/>
        <family val="2"/>
        <charset val="134"/>
      </rPr>
      <t xml:space="preserve">策划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  <charset val="134"/>
      </rPr>
      <t xml:space="preserve">实战经验与优秀产品案例 —— 游戏策划相关内容与实际操作技巧。</t>
    </r>
  </si>
  <si>
    <r>
      <rPr>
        <sz val="11"/>
        <color theme="1"/>
        <rFont val="Noto Sans SC"/>
        <family val="2"/>
        <charset val="134"/>
      </rPr>
      <t xml:space="preserve">⑦ 其他棋牌类玩法，以及工具与模拟代码教程（</t>
    </r>
    <r>
      <rPr>
        <sz val="11"/>
        <color theme="1"/>
        <rFont val="Calibri"/>
        <family val="2"/>
        <charset val="1"/>
      </rPr>
      <t xml:space="preserve">VB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SC"/>
        <family val="2"/>
        <charset val="134"/>
      </rPr>
      <t xml:space="preserve">模拟 </t>
    </r>
    <r>
      <rPr>
        <sz val="11"/>
        <color theme="1"/>
        <rFont val="Calibri"/>
        <family val="2"/>
        <charset val="1"/>
      </rPr>
      <t xml:space="preserve">Slot</t>
    </r>
    <r>
      <rPr>
        <sz val="11"/>
        <color theme="1"/>
        <rFont val="Noto Sans SC"/>
        <family val="2"/>
        <charset val="134"/>
      </rPr>
      <t xml:space="preserve">、读取数据表、图标结算等）。</t>
    </r>
  </si>
  <si>
    <r>
      <rPr>
        <sz val="11"/>
        <color theme="1"/>
        <rFont val="Noto Sans SC"/>
        <family val="2"/>
        <charset val="134"/>
      </rPr>
      <t xml:space="preserve">原文注明文档持续更新，最近一次更新日期为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SC"/>
        <family val="2"/>
        <charset val="134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SC"/>
        <family val="2"/>
        <charset val="134"/>
      </rPr>
      <t xml:space="preserve">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SC"/>
        <family val="2"/>
        <charset val="134"/>
      </rPr>
      <t xml:space="preserve">日。</t>
    </r>
  </si>
  <si>
    <t xml:space="preserve">本簿做法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</si>
  <si>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按「导读／基础篇／数值篇／实战篇／番外篇」把已确认的文章归位；</t>
    </r>
    <r>
      <rPr>
        <sz val="11"/>
        <color theme="1"/>
        <rFont val="Calibri"/>
        <family val="2"/>
        <charset val="1"/>
      </rPr>
      <t xml:space="preserve"># </t>
    </r>
    <r>
      <rPr>
        <sz val="11"/>
        <color theme="1"/>
        <rFont val="Noto Sans SC"/>
        <family val="2"/>
        <charset val="134"/>
      </rPr>
      <t xml:space="preserve">为阅读顺序，非原文编号。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</si>
  <si>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同一 </t>
    </r>
    <r>
      <rPr>
        <sz val="11"/>
        <color theme="1"/>
        <rFont val="Calibri"/>
        <family val="2"/>
        <charset val="1"/>
      </rPr>
      <t xml:space="preserve">Feature </t>
    </r>
    <r>
      <rPr>
        <sz val="11"/>
        <color theme="1"/>
        <rFont val="Noto Sans SC"/>
        <family val="2"/>
        <charset val="134"/>
      </rPr>
      <t xml:space="preserve">常见「基础篇（机制）＋数值篇（数学）」成对出现，本表成对列出，方便后续一篇一簿地复刻。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</si>
  <si>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「对应工作簿」列指向本系列已生成的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SC"/>
        <family val="2"/>
        <charset val="134"/>
      </rPr>
      <t xml:space="preserve">；编号与原文发表顺序一致（导读为 </t>
    </r>
    <r>
      <rPr>
        <sz val="11"/>
        <color theme="1"/>
        <rFont val="Calibri"/>
        <family val="2"/>
        <charset val="1"/>
      </rPr>
      <t xml:space="preserve">00</t>
    </r>
    <r>
      <rPr>
        <sz val="11"/>
        <color theme="1"/>
        <rFont val="Noto Sans SC"/>
        <family val="2"/>
        <charset val="134"/>
      </rPr>
      <t xml:space="preserve">）。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</si>
  <si>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每篇工作簿：页签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「说明」＝来源 ＋ 用法 ＋ 要点 ＋ 原文全文整理 ＋ 原文配图清单；页签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SC"/>
        <family val="2"/>
        <charset val="134"/>
      </rPr>
      <t xml:space="preserve">「数据配表」＝按原文方法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配图落地的可改参数表。</t>
    </r>
  </si>
  <si>
    <t xml:space="preserve">抓取说明（重要）</t>
  </si>
  <si>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SC"/>
        <family val="2"/>
        <charset val="134"/>
      </rPr>
      <t xml:space="preserve">：用户用浏览器「另存为 → 网页，全部」把专栏 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SC"/>
        <family val="2"/>
        <charset val="134"/>
      </rPr>
      <t xml:space="preserve">篇文章全部保存到 从零开始学</t>
    </r>
    <r>
      <rPr>
        <sz val="11"/>
        <color theme="1"/>
        <rFont val="Calibri"/>
        <family val="2"/>
        <charset val="1"/>
      </rPr>
      <t xml:space="preserve">Slots/ </t>
    </r>
    <r>
      <rPr>
        <sz val="11"/>
        <color theme="1"/>
        <rFont val="Noto Sans SC"/>
        <family val="2"/>
        <charset val="134"/>
      </rPr>
      <t xml:space="preserve">目录下。正文全部抽出（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  <charset val="134"/>
      </rPr>
      <t xml:space="preserve">篇空文，</t>
    </r>
    <r>
      <rPr>
        <sz val="11"/>
        <color theme="1"/>
        <rFont val="Calibri"/>
        <family val="2"/>
        <charset val="1"/>
      </rPr>
      <t xml:space="preserve">1.4~7.0 </t>
    </r>
    <r>
      <rPr>
        <sz val="11"/>
        <color theme="1"/>
        <rFont val="Noto Sans SC"/>
        <family val="2"/>
        <charset val="134"/>
      </rPr>
      <t xml:space="preserve">千字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篇），原文配图取回 </t>
    </r>
    <r>
      <rPr>
        <sz val="11"/>
        <color theme="1"/>
        <rFont val="Calibri"/>
        <family val="2"/>
        <charset val="1"/>
      </rPr>
      <t xml:space="preserve">519 </t>
    </r>
    <r>
      <rPr>
        <sz val="11"/>
        <color theme="1"/>
        <rFont val="Noto Sans SC"/>
        <family val="2"/>
        <charset val="134"/>
      </rPr>
      <t xml:space="preserve">张（</t>
    </r>
    <r>
      <rPr>
        <sz val="11"/>
        <color theme="1"/>
        <rFont val="Calibri"/>
        <family val="2"/>
        <charset val="1"/>
      </rPr>
      <t xml:space="preserve">images/slots/</t>
    </r>
    <r>
      <rPr>
        <sz val="11"/>
        <color theme="1"/>
        <rFont val="Noto Sans SC"/>
        <family val="2"/>
        <charset val="134"/>
      </rPr>
      <t xml:space="preserve">），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SC"/>
        <family val="2"/>
        <charset val="134"/>
      </rPr>
      <t xml:space="preserve">篇工作簿已全部生成。</t>
    </r>
  </si>
  <si>
    <r>
      <rPr>
        <sz val="11"/>
        <color theme="1"/>
        <rFont val="Noto Sans SC"/>
        <family val="2"/>
        <charset val="134"/>
      </rPr>
      <t xml:space="preserve">此前知乎正文与专栏列表均要求登录（未登录一律 </t>
    </r>
    <r>
      <rPr>
        <sz val="11"/>
        <color theme="1"/>
        <rFont val="Calibri"/>
        <family val="2"/>
        <charset val="1"/>
      </rPr>
      <t xml:space="preserve">403</t>
    </r>
    <r>
      <rPr>
        <sz val="11"/>
        <color theme="1"/>
        <rFont val="Noto Sans SC"/>
        <family val="2"/>
        <charset val="134"/>
      </rPr>
      <t xml:space="preserve">，多路尝试均未取得正文），故早先的清单来自搜索摘要，带有「仅见标题／待补」等状态；现全部以原文为准，状态一律为「已定位」。</t>
    </r>
  </si>
  <si>
    <r>
      <rPr>
        <sz val="11"/>
        <color theme="1"/>
        <rFont val="Noto Sans SC"/>
        <family val="2"/>
        <charset val="134"/>
      </rPr>
      <t xml:space="preserve">各工作簿页签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SC"/>
        <family val="2"/>
        <charset val="134"/>
      </rPr>
      <t xml:space="preserve">「数据配表」已全部完成：数值篇按原文配图逐表转录并用原文公布的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反验（如 </t>
    </r>
    <r>
      <rPr>
        <sz val="11"/>
        <color theme="1"/>
        <rFont val="Calibri"/>
        <family val="2"/>
        <charset val="1"/>
      </rPr>
      <t xml:space="preserve">05 </t>
    </r>
    <r>
      <rPr>
        <sz val="11"/>
        <color theme="1"/>
        <rFont val="Noto Sans SC"/>
        <family val="2"/>
        <charset val="134"/>
      </rPr>
      <t xml:space="preserve">号 </t>
    </r>
    <r>
      <rPr>
        <sz val="11"/>
        <color theme="1"/>
        <rFont val="Calibri"/>
        <family val="2"/>
        <charset val="1"/>
      </rPr>
      <t xml:space="preserve">96.82%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06 </t>
    </r>
    <r>
      <rPr>
        <sz val="11"/>
        <color theme="1"/>
        <rFont val="Noto Sans SC"/>
        <family val="2"/>
        <charset val="134"/>
      </rPr>
      <t xml:space="preserve">号 </t>
    </r>
    <r>
      <rPr>
        <sz val="11"/>
        <color theme="1"/>
        <rFont val="Calibri"/>
        <family val="2"/>
        <charset val="1"/>
      </rPr>
      <t xml:space="preserve">93.00%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04 </t>
    </r>
    <r>
      <rPr>
        <sz val="11"/>
        <color theme="1"/>
        <rFont val="Noto Sans SC"/>
        <family val="2"/>
        <charset val="134"/>
      </rPr>
      <t xml:space="preserve">号 </t>
    </r>
    <r>
      <rPr>
        <sz val="11"/>
        <color theme="1"/>
        <rFont val="Calibri"/>
        <family val="2"/>
        <charset val="1"/>
      </rPr>
      <t xml:space="preserve">96.00%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SC"/>
        <family val="2"/>
        <charset val="134"/>
      </rPr>
      <t xml:space="preserve">号 </t>
    </r>
    <r>
      <rPr>
        <sz val="11"/>
        <color theme="1"/>
        <rFont val="Calibri"/>
        <family val="2"/>
        <charset val="1"/>
      </rPr>
      <t xml:space="preserve">95.06%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SC"/>
        <family val="2"/>
        <charset val="134"/>
      </rPr>
      <t xml:space="preserve">号 </t>
    </r>
    <r>
      <rPr>
        <sz val="11"/>
        <color theme="1"/>
        <rFont val="Calibri"/>
        <family val="2"/>
        <charset val="1"/>
      </rPr>
      <t xml:space="preserve">0.9979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SC"/>
        <family val="2"/>
        <charset val="134"/>
      </rPr>
      <t xml:space="preserve">号 </t>
    </r>
    <r>
      <rPr>
        <sz val="11"/>
        <color theme="1"/>
        <rFont val="Calibri"/>
        <family val="2"/>
        <charset val="1"/>
      </rPr>
      <t xml:space="preserve">0.9226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34/27 </t>
    </r>
    <r>
      <rPr>
        <sz val="11"/>
        <color theme="1"/>
        <rFont val="Noto Sans SC"/>
        <family val="2"/>
        <charset val="134"/>
      </rPr>
      <t xml:space="preserve">号三条中奖线、</t>
    </r>
    <r>
      <rPr>
        <sz val="11"/>
        <color theme="1"/>
        <rFont val="Calibri"/>
        <family val="2"/>
        <charset val="1"/>
      </rPr>
      <t xml:space="preserve">17/10 </t>
    </r>
    <r>
      <rPr>
        <sz val="11"/>
        <color theme="1"/>
        <rFont val="Noto Sans SC"/>
        <family val="2"/>
        <charset val="134"/>
      </rPr>
      <t xml:space="preserve">号 </t>
    </r>
    <r>
      <rPr>
        <sz val="11"/>
        <color theme="1"/>
        <rFont val="Calibri"/>
        <family val="2"/>
        <charset val="1"/>
      </rPr>
      <t xml:space="preserve">4.8769%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SC"/>
        <family val="2"/>
        <charset val="134"/>
      </rPr>
      <t xml:space="preserve">号 </t>
    </r>
    <r>
      <rPr>
        <sz val="11"/>
        <color theme="1"/>
        <rFont val="Calibri"/>
        <family val="2"/>
        <charset val="1"/>
      </rPr>
      <t xml:space="preserve">512 </t>
    </r>
    <r>
      <rPr>
        <sz val="11"/>
        <color theme="1"/>
        <rFont val="Noto Sans SC"/>
        <family val="2"/>
        <charset val="134"/>
      </rPr>
      <t xml:space="preserve">类、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SC"/>
        <family val="2"/>
        <charset val="134"/>
      </rPr>
      <t xml:space="preserve">号 </t>
    </r>
    <r>
      <rPr>
        <sz val="11"/>
        <color theme="1"/>
        <rFont val="Calibri"/>
        <family val="2"/>
        <charset val="1"/>
      </rPr>
      <t xml:space="preserve">96.51%/96.64%</t>
    </r>
    <r>
      <rPr>
        <sz val="11"/>
        <color theme="1"/>
        <rFont val="Noto Sans SC"/>
        <family val="2"/>
        <charset val="134"/>
      </rPr>
      <t xml:space="preserve">，均与原文一致）；机制篇则把机制量化成可改参数表。</t>
    </r>
  </si>
  <si>
    <t xml:space="preserve">校验</t>
  </si>
  <si>
    <r>
      <rPr>
        <sz val="11"/>
        <color theme="1"/>
        <rFont val="Noto Sans SC"/>
        <family val="2"/>
        <charset val="134"/>
      </rPr>
      <t xml:space="preserve">① 工作簿由 </t>
    </r>
    <r>
      <rPr>
        <sz val="11"/>
        <color theme="1"/>
        <rFont val="Calibri"/>
        <family val="2"/>
        <charset val="1"/>
      </rPr>
      <t xml:space="preserve">openpyxl </t>
    </r>
    <r>
      <rPr>
        <sz val="11"/>
        <color theme="1"/>
        <rFont val="Noto Sans SC"/>
        <family val="2"/>
        <charset val="134"/>
      </rPr>
      <t xml:space="preserve">生成并已开 </t>
    </r>
    <r>
      <rPr>
        <sz val="11"/>
        <color theme="1"/>
        <rFont val="Calibri"/>
        <family val="2"/>
        <charset val="1"/>
      </rPr>
      <t xml:space="preserve">fullCalcOnLoad</t>
    </r>
    <r>
      <rPr>
        <sz val="11"/>
        <color theme="1"/>
        <rFont val="Noto Sans SC"/>
        <family val="2"/>
        <charset val="134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SC"/>
        <family val="2"/>
        <charset val="134"/>
      </rPr>
      <t xml:space="preserve">打开即自动重算）；② 另用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SC"/>
        <family val="2"/>
        <charset val="134"/>
      </rPr>
      <t xml:space="preserve">独立重算复核：本批 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SC"/>
        <family val="2"/>
        <charset val="134"/>
      </rPr>
      <t xml:space="preserve">个工作簿（</t>
    </r>
    <r>
      <rPr>
        <sz val="11"/>
        <color theme="1"/>
        <rFont val="Calibri"/>
        <family val="2"/>
        <charset val="1"/>
      </rPr>
      <t xml:space="preserve">00 </t>
    </r>
    <r>
      <rPr>
        <sz val="11"/>
        <color theme="1"/>
        <rFont val="Noto Sans SC"/>
        <family val="2"/>
        <charset val="134"/>
      </rPr>
      <t xml:space="preserve">索引 ＋ 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SC"/>
        <family val="2"/>
        <charset val="134"/>
      </rPr>
      <t xml:space="preserve">篇）合计 </t>
    </r>
    <r>
      <rPr>
        <sz val="11"/>
        <color theme="1"/>
        <rFont val="Calibri"/>
        <family val="2"/>
        <charset val="1"/>
      </rPr>
      <t xml:space="preserve">2533 </t>
    </r>
    <r>
      <rPr>
        <sz val="11"/>
        <color theme="1"/>
        <rFont val="Noto Sans SC"/>
        <family val="2"/>
        <charset val="134"/>
      </rPr>
      <t xml:space="preserve">条公式、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  <charset val="134"/>
      </rPr>
      <t xml:space="preserve">个错误值、</t>
    </r>
    <r>
      <rPr>
        <sz val="11"/>
        <color theme="1"/>
        <rFont val="Calibri"/>
        <family val="2"/>
        <charset val="1"/>
      </rPr>
      <t xml:space="preserve">159 </t>
    </r>
    <r>
      <rPr>
        <sz val="11"/>
        <color theme="1"/>
        <rFont val="Noto Sans SC"/>
        <family val="2"/>
        <charset val="134"/>
      </rPr>
      <t xml:space="preserve">项配表自检项全部通过；（公式数随配表分批补充而增加；公式一律用 </t>
    </r>
    <r>
      <rPr>
        <sz val="11"/>
        <color theme="1"/>
        <rFont val="Calibri"/>
        <family val="2"/>
        <charset val="1"/>
      </rPr>
      <t xml:space="preserve">COUNTIF</t>
    </r>
    <r>
      <rPr>
        <sz val="11"/>
        <color theme="1"/>
        <rFont val="Noto Sans SC"/>
        <family val="2"/>
        <charset val="134"/>
      </rPr>
      <t xml:space="preserve">／</t>
    </r>
    <r>
      <rPr>
        <sz val="11"/>
        <color theme="1"/>
        <rFont val="Calibri"/>
        <family val="2"/>
        <charset val="1"/>
      </rPr>
      <t xml:space="preserve">COMBIN</t>
    </r>
    <r>
      <rPr>
        <sz val="11"/>
        <color theme="1"/>
        <rFont val="Noto Sans SC"/>
        <family val="2"/>
        <charset val="134"/>
      </rPr>
      <t xml:space="preserve">／</t>
    </r>
    <r>
      <rPr>
        <sz val="11"/>
        <color theme="1"/>
        <rFont val="Calibri"/>
        <family val="2"/>
        <charset val="1"/>
      </rPr>
      <t xml:space="preserve">POWER </t>
    </r>
    <r>
      <rPr>
        <sz val="11"/>
        <color theme="1"/>
        <rFont val="Noto Sans SC"/>
        <family val="2"/>
        <charset val="134"/>
      </rPr>
      <t xml:space="preserve">等通用写法，不用数组式写法，以免部分预览器把结果显示成 </t>
    </r>
    <r>
      <rPr>
        <sz val="11"/>
        <color theme="1"/>
        <rFont val="Calibri"/>
        <family val="2"/>
        <charset val="1"/>
      </rPr>
      <t xml:space="preserve">NaN</t>
    </r>
    <r>
      <rPr>
        <sz val="11"/>
        <color theme="1"/>
        <rFont val="Noto Sans SC"/>
        <family val="2"/>
        <charset val="134"/>
      </rPr>
      <t xml:space="preserve">）；③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个页签的收录条数、各状态条数、链接覆盖率等均由公式实时得出。</t>
    </r>
  </si>
  <si>
    <r>
      <rPr>
        <sz val="11"/>
        <color rgb="FF808080"/>
        <rFont val="Cambria"/>
        <family val="0"/>
        <charset val="1"/>
      </rPr>
      <t xml:space="preserve">Source: zhihu.com</t>
    </r>
    <r>
      <rPr>
        <sz val="11"/>
        <color rgb="FF808080"/>
        <rFont val="Noto Sans SC"/>
        <family val="2"/>
        <charset val="134"/>
      </rPr>
      <t xml:space="preserve">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设计攻略导读》</t>
    </r>
    <r>
      <rPr>
        <sz val="11"/>
        <color rgb="FF808080"/>
        <rFont val="Cambria"/>
        <family val="0"/>
        <charset val="1"/>
      </rPr>
      <t xml:space="preserve">, 2023-09-16, https://zhuanlan.zhihu.com/p/632180046</t>
    </r>
  </si>
  <si>
    <r>
      <rPr>
        <b val="true"/>
        <sz val="14"/>
        <color rgb="FF1F4E79"/>
        <rFont val="Noto Sans SC"/>
        <family val="2"/>
        <charset val="134"/>
      </rPr>
      <t xml:space="preserve">从零开始学</t>
    </r>
    <r>
      <rPr>
        <b val="true"/>
        <sz val="14"/>
        <color rgb="FF1F4E79"/>
        <rFont val="Cambria"/>
        <family val="0"/>
        <charset val="1"/>
      </rPr>
      <t xml:space="preserve">Slots —— </t>
    </r>
    <r>
      <rPr>
        <b val="true"/>
        <sz val="14"/>
        <color rgb="FF1F4E79"/>
        <rFont val="Noto Sans SC"/>
        <family val="2"/>
        <charset val="134"/>
      </rPr>
      <t xml:space="preserve">导读与文章索引（蓝字＝可改输入；统计由公式实时算出）</t>
    </r>
  </si>
  <si>
    <t xml:space="preserve">【统计】</t>
  </si>
  <si>
    <t xml:space="preserve">专栏文章总数（知乎专栏页显示）</t>
  </si>
  <si>
    <r>
      <rPr>
        <sz val="11"/>
        <color rgb="FF808080"/>
        <rFont val="Cambria"/>
        <family val="0"/>
        <charset val="1"/>
      </rPr>
      <t xml:space="preserve">46 </t>
    </r>
    <r>
      <rPr>
        <sz val="11"/>
        <color rgb="FF808080"/>
        <rFont val="Noto Sans SC"/>
        <family val="2"/>
        <charset val="134"/>
      </rPr>
      <t xml:space="preserve">为知乎专栏页的 </t>
    </r>
    <r>
      <rPr>
        <sz val="11"/>
        <color rgb="FF808080"/>
        <rFont val="Cambria"/>
        <family val="0"/>
        <charset val="1"/>
      </rPr>
      <t xml:space="preserve">items_count</t>
    </r>
    <r>
      <rPr>
        <sz val="11"/>
        <color rgb="FF808080"/>
        <rFont val="Noto Sans SC"/>
        <family val="2"/>
        <charset val="134"/>
      </rPr>
      <t xml:space="preserve">（专栏 </t>
    </r>
    <r>
      <rPr>
        <sz val="11"/>
        <color rgb="FF808080"/>
        <rFont val="Cambria"/>
        <family val="0"/>
        <charset val="1"/>
      </rPr>
      <t xml:space="preserve">2023 </t>
    </r>
    <r>
      <rPr>
        <sz val="11"/>
        <color rgb="FF808080"/>
        <rFont val="Noto Sans SC"/>
        <family val="2"/>
        <charset val="134"/>
      </rPr>
      <t xml:space="preserve">年后未再更新）。</t>
    </r>
  </si>
  <si>
    <t xml:space="preserve">本表收录条目数</t>
  </si>
  <si>
    <t xml:space="preserve">其中「已定位」（标题＋链接）</t>
  </si>
  <si>
    <r>
      <rPr>
        <sz val="11"/>
        <color rgb="FF808080"/>
        <rFont val="Noto Sans SC"/>
        <family val="2"/>
        <charset val="134"/>
      </rPr>
      <t xml:space="preserve">「已定位」＝标题与 </t>
    </r>
    <r>
      <rPr>
        <sz val="11"/>
        <color rgb="FF808080"/>
        <rFont val="Cambria"/>
        <family val="0"/>
        <charset val="1"/>
      </rPr>
      <t xml:space="preserve">zhuanlan </t>
    </r>
    <r>
      <rPr>
        <sz val="11"/>
        <color rgb="FF808080"/>
        <rFont val="Noto Sans SC"/>
        <family val="2"/>
        <charset val="134"/>
      </rPr>
      <t xml:space="preserve">链接均已核实；「待补」条目的标题为编者按主题描述，非原文标题。</t>
    </r>
  </si>
  <si>
    <t xml:space="preserve">其中「仅见标题」（链接待补）</t>
  </si>
  <si>
    <t xml:space="preserve">其中「待补」（仅主题）</t>
  </si>
  <si>
    <r>
      <rPr>
        <sz val="11"/>
        <color theme="1"/>
        <rFont val="Noto Sans SC"/>
        <family val="2"/>
        <charset val="134"/>
      </rPr>
      <t xml:space="preserve">已生成工作簿数（</t>
    </r>
    <r>
      <rPr>
        <sz val="11"/>
        <color theme="1"/>
        <rFont val="Calibri"/>
        <family val="2"/>
        <charset val="1"/>
      </rPr>
      <t xml:space="preserve">01~45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</si>
  <si>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rgb="FF808080"/>
        <rFont val="Noto Sans SC"/>
        <family val="2"/>
        <charset val="134"/>
      </rPr>
      <t xml:space="preserve">由本机离线保存的网页（</t>
    </r>
    <r>
      <rPr>
        <sz val="11"/>
        <color rgb="FF808080"/>
        <rFont val="Cambria"/>
        <family val="0"/>
        <charset val="1"/>
      </rPr>
      <t xml:space="preserve">zip</t>
    </r>
    <r>
      <rPr>
        <sz val="11"/>
        <color rgb="FF808080"/>
        <rFont val="Noto Sans SC"/>
        <family val="2"/>
        <charset val="134"/>
      </rPr>
      <t xml:space="preserve">）还原正文后逐篇生成，见下方【已生成的工作簿】。</t>
    </r>
  </si>
  <si>
    <r>
      <rPr>
        <sz val="11"/>
        <color theme="1"/>
        <rFont val="Noto Sans SC"/>
        <family val="2"/>
        <charset val="134"/>
      </rPr>
      <t xml:space="preserve">链接覆盖率 ＝ 已定位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SC"/>
        <family val="2"/>
        <charset val="134"/>
      </rPr>
      <t xml:space="preserve">专栏总数</t>
    </r>
  </si>
  <si>
    <t xml:space="preserve">覆盖率随蓝色输入与后续补录自动变化。</t>
  </si>
  <si>
    <t xml:space="preserve">与专栏总数的差（尚未收录）</t>
  </si>
  <si>
    <r>
      <rPr>
        <sz val="11"/>
        <color theme="1"/>
        <rFont val="Noto Sans SC"/>
        <family val="2"/>
        <charset val="134"/>
      </rPr>
      <t xml:space="preserve">其中「页签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数据配表」已完成篇数</t>
    </r>
  </si>
  <si>
    <r>
      <rPr>
        <sz val="11"/>
        <color rgb="FF808080"/>
        <rFont val="Cambria"/>
        <family val="0"/>
        <charset val="1"/>
      </rPr>
      <t xml:space="preserve">2026-09-29</t>
    </r>
    <r>
      <rPr>
        <sz val="11"/>
        <color rgb="FF808080"/>
        <rFont val="Noto Sans SC"/>
        <family val="2"/>
        <charset val="134"/>
      </rPr>
      <t xml:space="preserve">：</t>
    </r>
    <r>
      <rPr>
        <sz val="11"/>
        <color rgb="FF808080"/>
        <rFont val="Cambria"/>
        <family val="0"/>
        <charset val="1"/>
      </rPr>
      <t xml:space="preserve">45 </t>
    </r>
    <r>
      <rPr>
        <sz val="11"/>
        <color rgb="FF808080"/>
        <rFont val="Noto Sans SC"/>
        <family val="2"/>
        <charset val="134"/>
      </rPr>
      <t xml:space="preserve">篇的页签</t>
    </r>
    <r>
      <rPr>
        <sz val="11"/>
        <color rgb="FF808080"/>
        <rFont val="Cambria"/>
        <family val="0"/>
        <charset val="1"/>
      </rPr>
      <t xml:space="preserve">2</t>
    </r>
    <r>
      <rPr>
        <sz val="11"/>
        <color rgb="FF808080"/>
        <rFont val="Noto Sans SC"/>
        <family val="2"/>
        <charset val="134"/>
      </rPr>
      <t xml:space="preserve">「数据配表」已全部完成（数值篇按原文配图逐格转录并用原文公布的 </t>
    </r>
    <r>
      <rPr>
        <sz val="11"/>
        <color rgb="FF808080"/>
        <rFont val="Cambria"/>
        <family val="0"/>
        <charset val="1"/>
      </rPr>
      <t xml:space="preserve">RTP </t>
    </r>
    <r>
      <rPr>
        <sz val="11"/>
        <color rgb="FF808080"/>
        <rFont val="Noto Sans SC"/>
        <family val="2"/>
        <charset val="134"/>
      </rPr>
      <t xml:space="preserve">反验；机制篇做成可算的参数表）；本行与下行由公式实时统计。</t>
    </r>
  </si>
  <si>
    <r>
      <rPr>
        <sz val="11"/>
        <color theme="1"/>
        <rFont val="Noto Sans SC"/>
        <family val="2"/>
        <charset val="134"/>
      </rPr>
      <t xml:space="preserve">配表完成度 ＝ 已完成篇数 </t>
    </r>
    <r>
      <rPr>
        <sz val="11"/>
        <color theme="1"/>
        <rFont val="Calibri"/>
        <family val="2"/>
        <charset val="1"/>
      </rPr>
      <t xml:space="preserve">÷ 45 </t>
    </r>
    <r>
      <rPr>
        <sz val="11"/>
        <color theme="1"/>
        <rFont val="Noto Sans SC"/>
        <family val="2"/>
        <charset val="134"/>
      </rPr>
      <t xml:space="preserve">篇正文</t>
    </r>
  </si>
  <si>
    <r>
      <rPr>
        <sz val="11"/>
        <color rgb="FF808080"/>
        <rFont val="Noto Sans SC"/>
        <family val="2"/>
        <charset val="134"/>
      </rPr>
      <t xml:space="preserve">分母用 </t>
    </r>
    <r>
      <rPr>
        <sz val="11"/>
        <color rgb="FF808080"/>
        <rFont val="Cambria"/>
        <family val="0"/>
        <charset val="1"/>
      </rPr>
      <t xml:space="preserve">45 </t>
    </r>
    <r>
      <rPr>
        <sz val="11"/>
        <color rgb="FF808080"/>
        <rFont val="Noto Sans SC"/>
        <family val="2"/>
        <charset val="134"/>
      </rPr>
      <t xml:space="preserve">篇正文（不含 </t>
    </r>
    <r>
      <rPr>
        <sz val="11"/>
        <color rgb="FF808080"/>
        <rFont val="Cambria"/>
        <family val="0"/>
        <charset val="1"/>
      </rPr>
      <t xml:space="preserve">00 </t>
    </r>
    <r>
      <rPr>
        <sz val="11"/>
        <color rgb="FF808080"/>
        <rFont val="Noto Sans SC"/>
        <family val="2"/>
        <charset val="134"/>
      </rPr>
      <t xml:space="preserve">导读索引本身）；含索引在内共 </t>
    </r>
    <r>
      <rPr>
        <sz val="11"/>
        <color rgb="FF808080"/>
        <rFont val="Cambria"/>
        <family val="0"/>
        <charset val="1"/>
      </rPr>
      <t xml:space="preserve">46 </t>
    </r>
    <r>
      <rPr>
        <sz val="11"/>
        <color rgb="FF808080"/>
        <rFont val="Noto Sans SC"/>
        <family val="2"/>
        <charset val="134"/>
      </rPr>
      <t xml:space="preserve">个档全部就绪。</t>
    </r>
  </si>
  <si>
    <r>
      <rPr>
        <sz val="11"/>
        <color theme="1"/>
        <rFont val="Noto Sans SC"/>
        <family val="2"/>
        <charset val="134"/>
      </rPr>
      <t xml:space="preserve">全系列就绪档数（</t>
    </r>
    <r>
      <rPr>
        <sz val="11"/>
        <color theme="1"/>
        <rFont val="Calibri"/>
        <family val="2"/>
        <charset val="1"/>
      </rPr>
      <t xml:space="preserve">00 </t>
    </r>
    <r>
      <rPr>
        <sz val="11"/>
        <color theme="1"/>
        <rFont val="Noto Sans SC"/>
        <family val="2"/>
        <charset val="134"/>
      </rPr>
      <t xml:space="preserve">导读索引 ＋ 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SC"/>
        <family val="2"/>
        <charset val="134"/>
      </rPr>
      <t xml:space="preserve">篇正文）</t>
    </r>
  </si>
  <si>
    <r>
      <rPr>
        <b val="true"/>
        <sz val="11"/>
        <color rgb="FF1F4E79"/>
        <rFont val="Noto Sans SC"/>
        <family val="2"/>
        <charset val="134"/>
      </rPr>
      <t xml:space="preserve">【文章索引】按篇别分组；</t>
    </r>
    <r>
      <rPr>
        <b val="true"/>
        <sz val="11"/>
        <color rgb="FF1F4E79"/>
        <rFont val="Cambria"/>
        <family val="0"/>
        <charset val="1"/>
      </rPr>
      <t xml:space="preserve"># </t>
    </r>
    <r>
      <rPr>
        <b val="true"/>
        <sz val="11"/>
        <color rgb="FF1F4E79"/>
        <rFont val="Noto Sans SC"/>
        <family val="2"/>
        <charset val="134"/>
      </rPr>
      <t xml:space="preserve">为阅读顺序（非原文编号）</t>
    </r>
  </si>
  <si>
    <t xml:space="preserve">#</t>
  </si>
  <si>
    <t xml:space="preserve">文章标题</t>
  </si>
  <si>
    <t xml:space="preserve">篇别</t>
  </si>
  <si>
    <t xml:space="preserve">主题／机制</t>
  </si>
  <si>
    <t xml:space="preserve">知乎链接</t>
  </si>
  <si>
    <t xml:space="preserve">对应工作簿（本系列）</t>
  </si>
  <si>
    <t xml:space="preserve">状态</t>
  </si>
  <si>
    <t xml:space="preserve">备注</t>
  </si>
  <si>
    <t xml:space="preserve">一、导读</t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</si>
  <si>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设计攻略导读</t>
    </r>
  </si>
  <si>
    <t xml:space="preserve">导读</t>
  </si>
  <si>
    <t xml:space="preserve">全专栏阅读顺序与阶段说明</t>
  </si>
  <si>
    <t xml:space="preserve">https://zhuanlan.zhihu.com/p/632180046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</si>
  <si>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Slots-00-</t>
    </r>
    <r>
      <rPr>
        <sz val="11"/>
        <color theme="1"/>
        <rFont val="Noto Sans SC"/>
        <family val="2"/>
        <charset val="134"/>
      </rPr>
      <t xml:space="preserve">导读与文章索引</t>
    </r>
    <r>
      <rPr>
        <sz val="11"/>
        <color theme="1"/>
        <rFont val="Calibri"/>
        <family val="2"/>
        <charset val="1"/>
      </rPr>
      <t xml:space="preserve">.xlsx</t>
    </r>
  </si>
  <si>
    <t xml:space="preserve">已定位</t>
  </si>
  <si>
    <t xml:space="preserve">本工作簿即由该篇导读整理而成</t>
  </si>
  <si>
    <r>
      <rPr>
        <b val="true"/>
        <sz val="11"/>
        <color rgb="FF1F4E79"/>
        <rFont val="Noto Sans SC"/>
        <family val="2"/>
        <charset val="134"/>
      </rPr>
      <t xml:space="preserve">　【基础篇】共 </t>
    </r>
    <r>
      <rPr>
        <b val="true"/>
        <sz val="11"/>
        <color rgb="FF1F4E79"/>
        <rFont val="Cambria"/>
        <family val="0"/>
        <charset val="1"/>
      </rPr>
      <t xml:space="preserve">15 </t>
    </r>
    <r>
      <rPr>
        <b val="true"/>
        <sz val="11"/>
        <color rgb="FF1F4E79"/>
        <rFont val="Noto Sans SC"/>
        <family val="2"/>
        <charset val="134"/>
      </rPr>
      <t xml:space="preserve">篇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</si>
  <si>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</t>
    </r>
    <r>
      <rPr>
        <sz val="11"/>
        <color theme="1"/>
        <rFont val="Calibri"/>
        <family val="2"/>
        <charset val="1"/>
      </rPr>
      <t xml:space="preserve">Super Stack &amp; Mystery Symbols</t>
    </r>
  </si>
  <si>
    <t xml:space="preserve">基础篇</t>
  </si>
  <si>
    <t xml:space="preserve">Super Stack &amp; Mystery Symbols</t>
  </si>
  <si>
    <t xml:space="preserve">https://zhuanlan.zhihu.com/p/636564067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</si>
  <si>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Slots-37-</t>
    </r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-SuperStack</t>
    </r>
    <r>
      <rPr>
        <sz val="11"/>
        <color theme="1"/>
        <rFont val="Noto Sans SC"/>
        <family val="2"/>
        <charset val="134"/>
      </rPr>
      <t xml:space="preserve">与</t>
    </r>
    <r>
      <rPr>
        <sz val="11"/>
        <color theme="1"/>
        <rFont val="Calibri"/>
        <family val="2"/>
        <charset val="1"/>
      </rPr>
      <t xml:space="preserve">MysterySymbols.xlsx</t>
    </r>
  </si>
  <si>
    <r>
      <rPr>
        <sz val="11"/>
        <color rgb="FF808080"/>
        <rFont val="Noto Sans SC"/>
        <family val="2"/>
        <charset val="134"/>
      </rPr>
      <t xml:space="preserve">页签</t>
    </r>
    <r>
      <rPr>
        <sz val="11"/>
        <color rgb="FF808080"/>
        <rFont val="Cambria"/>
        <family val="0"/>
        <charset val="1"/>
      </rPr>
      <t xml:space="preserve">2</t>
    </r>
    <r>
      <rPr>
        <sz val="11"/>
        <color rgb="FF808080"/>
        <rFont val="Noto Sans SC"/>
        <family val="2"/>
        <charset val="134"/>
      </rPr>
      <t xml:space="preserve">「数据配表」已完成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</si>
  <si>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</t>
    </r>
    <r>
      <rPr>
        <sz val="11"/>
        <color theme="1"/>
        <rFont val="Calibri"/>
        <family val="2"/>
        <charset val="1"/>
      </rPr>
      <t xml:space="preserve">Random Wild</t>
    </r>
  </si>
  <si>
    <t xml:space="preserve">Random Wild</t>
  </si>
  <si>
    <t xml:space="preserve">https://zhuanlan.zhihu.com/p/637469752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</si>
  <si>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Slots-40-</t>
    </r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-RandomWild.xlsx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</si>
  <si>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</t>
    </r>
    <r>
      <rPr>
        <sz val="11"/>
        <color theme="1"/>
        <rFont val="Calibri"/>
        <family val="2"/>
        <charset val="1"/>
      </rPr>
      <t xml:space="preserve">Grid</t>
    </r>
  </si>
  <si>
    <t xml:space="preserve">Grid</t>
  </si>
  <si>
    <t xml:space="preserve">https://zhuanlan.zhihu.com/p/638757841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</si>
  <si>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Slots-42-</t>
    </r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-Grid.xlsx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</si>
  <si>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 基础构成</t>
    </r>
  </si>
  <si>
    <t xml:space="preserve">基础构成</t>
  </si>
  <si>
    <t xml:space="preserve">https://zhuanlan.zhihu.com/p/623535430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</si>
  <si>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Slots-01-</t>
    </r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SC"/>
        <family val="2"/>
        <charset val="134"/>
      </rPr>
      <t xml:space="preserve">基础构成</t>
    </r>
    <r>
      <rPr>
        <sz val="11"/>
        <color theme="1"/>
        <rFont val="Calibri"/>
        <family val="2"/>
        <charset val="1"/>
      </rPr>
      <t xml:space="preserve">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</si>
  <si>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基础篇——数值概念简介</t>
    </r>
  </si>
  <si>
    <t xml:space="preserve">数值概念简介</t>
  </si>
  <si>
    <t xml:space="preserve">https://zhuanlan.zhihu.com/p/623623737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</si>
  <si>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Slots-02-</t>
    </r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SC"/>
        <family val="2"/>
        <charset val="134"/>
      </rPr>
      <t xml:space="preserve">数值概念简介</t>
    </r>
    <r>
      <rPr>
        <sz val="11"/>
        <color theme="1"/>
        <rFont val="Calibri"/>
        <family val="2"/>
        <charset val="1"/>
      </rPr>
      <t xml:space="preserve">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</si>
  <si>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基础篇——玩法类型</t>
    </r>
  </si>
  <si>
    <t xml:space="preserve">玩法类型</t>
  </si>
  <si>
    <t xml:space="preserve">https://zhuanlan.zhihu.com/p/623694441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</si>
  <si>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Slots-03-</t>
    </r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SC"/>
        <family val="2"/>
        <charset val="134"/>
      </rPr>
      <t xml:space="preserve">玩法类型</t>
    </r>
    <r>
      <rPr>
        <sz val="11"/>
        <color theme="1"/>
        <rFont val="Calibri"/>
        <family val="2"/>
        <charset val="1"/>
      </rPr>
      <t xml:space="preserve">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</si>
  <si>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基础篇——功能图标</t>
    </r>
  </si>
  <si>
    <t xml:space="preserve">功能图标</t>
  </si>
  <si>
    <t xml:space="preserve">https://zhuanlan.zhihu.com/p/624248081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</si>
  <si>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Slots-08-</t>
    </r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SC"/>
        <family val="2"/>
        <charset val="134"/>
      </rPr>
      <t xml:space="preserve">功能图标</t>
    </r>
    <r>
      <rPr>
        <sz val="11"/>
        <color theme="1"/>
        <rFont val="Calibri"/>
        <family val="2"/>
        <charset val="1"/>
      </rPr>
      <t xml:space="preserve">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</si>
  <si>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</t>
    </r>
    <r>
      <rPr>
        <sz val="11"/>
        <color theme="1"/>
        <rFont val="Calibri"/>
        <family val="2"/>
        <charset val="1"/>
      </rPr>
      <t xml:space="preserve">Hold &amp; Spin</t>
    </r>
  </si>
  <si>
    <t xml:space="preserve">Hold &amp; Spin</t>
  </si>
  <si>
    <t xml:space="preserve">https://zhuanlan.zhihu.com/p/624676796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</si>
  <si>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Slots-13-</t>
    </r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-Hold&amp;Spin.xlsx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</si>
  <si>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</t>
    </r>
    <r>
      <rPr>
        <sz val="11"/>
        <color theme="1"/>
        <rFont val="Calibri"/>
        <family val="2"/>
        <charset val="1"/>
      </rPr>
      <t xml:space="preserve">Way Slots</t>
    </r>
  </si>
  <si>
    <t xml:space="preserve">Way Slots</t>
  </si>
  <si>
    <t xml:space="preserve">https://zhuanlan.zhihu.com/p/625043502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</si>
  <si>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Slots-15-</t>
    </r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-WaySlots.xlsx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</si>
  <si>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</t>
    </r>
    <r>
      <rPr>
        <sz val="11"/>
        <color theme="1"/>
        <rFont val="Calibri"/>
        <family val="2"/>
        <charset val="1"/>
      </rPr>
      <t xml:space="preserve">Cascading</t>
    </r>
    <r>
      <rPr>
        <sz val="11"/>
        <color theme="1"/>
        <rFont val="Noto Sans SC"/>
        <family val="2"/>
        <charset val="134"/>
      </rPr>
      <t xml:space="preserve">消除图标</t>
    </r>
  </si>
  <si>
    <r>
      <rPr>
        <sz val="11"/>
        <color theme="1"/>
        <rFont val="Calibri"/>
        <family val="2"/>
        <charset val="1"/>
      </rPr>
      <t xml:space="preserve">Cascading</t>
    </r>
    <r>
      <rPr>
        <sz val="11"/>
        <color theme="1"/>
        <rFont val="Noto Sans SC"/>
        <family val="2"/>
        <charset val="134"/>
      </rPr>
      <t xml:space="preserve">消除图标</t>
    </r>
  </si>
  <si>
    <t xml:space="preserve">https://zhuanlan.zhihu.com/p/626184549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</si>
  <si>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Slots-18-</t>
    </r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-Cascading</t>
    </r>
    <r>
      <rPr>
        <sz val="11"/>
        <color theme="1"/>
        <rFont val="Noto Sans SC"/>
        <family val="2"/>
        <charset val="134"/>
      </rPr>
      <t xml:space="preserve">消除图标</t>
    </r>
    <r>
      <rPr>
        <sz val="11"/>
        <color theme="1"/>
        <rFont val="Calibri"/>
        <family val="2"/>
        <charset val="1"/>
      </rPr>
      <t xml:space="preserve">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</si>
  <si>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</t>
    </r>
    <r>
      <rPr>
        <sz val="11"/>
        <color theme="1"/>
        <rFont val="Calibri"/>
        <family val="2"/>
        <charset val="1"/>
      </rPr>
      <t xml:space="preserve">Sticky Wild</t>
    </r>
  </si>
  <si>
    <t xml:space="preserve">Sticky Wild</t>
  </si>
  <si>
    <t xml:space="preserve">https://zhuanlan.zhihu.com/p/628609256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</si>
  <si>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Slots-23-</t>
    </r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-StickyWild.xlsx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</si>
  <si>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</t>
    </r>
    <r>
      <rPr>
        <sz val="11"/>
        <color theme="1"/>
        <rFont val="Calibri"/>
        <family val="2"/>
        <charset val="1"/>
      </rPr>
      <t xml:space="preserve">Expanding Wild</t>
    </r>
  </si>
  <si>
    <t xml:space="preserve">Expanding Wild</t>
  </si>
  <si>
    <t xml:space="preserve">https://zhuanlan.zhihu.com/p/629840640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</si>
  <si>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Slots-25-</t>
    </r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-ExpandingWild.xlsx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</si>
  <si>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</t>
    </r>
    <r>
      <rPr>
        <sz val="11"/>
        <color theme="1"/>
        <rFont val="Calibri"/>
        <family val="2"/>
        <charset val="1"/>
      </rPr>
      <t xml:space="preserve">Splitting Symbols</t>
    </r>
  </si>
  <si>
    <t xml:space="preserve">Splitting Symbols</t>
  </si>
  <si>
    <t xml:space="preserve">https://zhuanlan.zhihu.com/p/631770497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</si>
  <si>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Slots-28-</t>
    </r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-SplittingSymbols.xlsx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</si>
  <si>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</t>
    </r>
    <r>
      <rPr>
        <sz val="11"/>
        <color theme="1"/>
        <rFont val="Calibri"/>
        <family val="2"/>
        <charset val="1"/>
      </rPr>
      <t xml:space="preserve">Megaways 6+1</t>
    </r>
  </si>
  <si>
    <t xml:space="preserve">Megaways 6+1</t>
  </si>
  <si>
    <t xml:space="preserve">https://zhuanlan.zhihu.com/p/633527344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</si>
  <si>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Slots-29-</t>
    </r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-Megaways6+1.xlsx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</si>
  <si>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</t>
    </r>
    <r>
      <rPr>
        <sz val="11"/>
        <color theme="1"/>
        <rFont val="Calibri"/>
        <family val="2"/>
        <charset val="1"/>
      </rPr>
      <t xml:space="preserve">Mega Symbols</t>
    </r>
  </si>
  <si>
    <t xml:space="preserve">Mega Symbols</t>
  </si>
  <si>
    <t xml:space="preserve">https://zhuanlan.zhihu.com/p/635308088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</si>
  <si>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Slots-32-</t>
    </r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-MegaSymbols.xlsx</t>
    </r>
  </si>
  <si>
    <r>
      <rPr>
        <b val="true"/>
        <sz val="11"/>
        <color rgb="FF1F4E79"/>
        <rFont val="Noto Sans SC"/>
        <family val="2"/>
        <charset val="134"/>
      </rPr>
      <t xml:space="preserve">　【数值篇】共 </t>
    </r>
    <r>
      <rPr>
        <b val="true"/>
        <sz val="11"/>
        <color rgb="FF1F4E79"/>
        <rFont val="Cambria"/>
        <family val="0"/>
        <charset val="1"/>
      </rPr>
      <t xml:space="preserve">24 </t>
    </r>
    <r>
      <rPr>
        <b val="true"/>
        <sz val="11"/>
        <color rgb="FF1F4E79"/>
        <rFont val="Noto Sans SC"/>
        <family val="2"/>
        <charset val="134"/>
      </rPr>
      <t xml:space="preserve">篇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</si>
  <si>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Super Stack</t>
    </r>
  </si>
  <si>
    <t xml:space="preserve">数值篇</t>
  </si>
  <si>
    <t xml:space="preserve">Super Stack</t>
  </si>
  <si>
    <t xml:space="preserve">https://zhuanlan.zhihu.com/p/636933475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</si>
  <si>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Slots-38-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-SuperStack.xlsx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</si>
  <si>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Mystery Symbols</t>
    </r>
  </si>
  <si>
    <t xml:space="preserve">Mystery Symbols</t>
  </si>
  <si>
    <t xml:space="preserve">https://zhuanlan.zhihu.com/p/637203163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</si>
  <si>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Slots-39-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-MysterySymbols.xlsx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</si>
  <si>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Grid</t>
    </r>
  </si>
  <si>
    <t xml:space="preserve">https://zhuanlan.zhihu.com/p/639548656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</si>
  <si>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Slots-43-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-Grid.xlsx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</si>
  <si>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Jackpot</t>
    </r>
  </si>
  <si>
    <t xml:space="preserve">Jackpot</t>
  </si>
  <si>
    <t xml:space="preserve">https://zhuanlan.zhihu.com/p/642911545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</si>
  <si>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Slots-44-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-Jackpot.xlsx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</si>
  <si>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1*3 Line Slots</t>
    </r>
  </si>
  <si>
    <t xml:space="preserve">1*3 Line Slots</t>
  </si>
  <si>
    <t xml:space="preserve">https://zhuanlan.zhihu.com/p/623746693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</si>
  <si>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Slots-04-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-1x3LineSlots.xlsx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</si>
  <si>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3*3 Line Slots</t>
    </r>
  </si>
  <si>
    <t xml:space="preserve">3*3 Line Slots</t>
  </si>
  <si>
    <t xml:space="preserve">https://zhuanlan.zhihu.com/p/623825211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</si>
  <si>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Slots-05-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-3x3LineSlots.xlsx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</si>
  <si>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3*5 Line Slots</t>
    </r>
  </si>
  <si>
    <t xml:space="preserve">3*5 Line Slots</t>
  </si>
  <si>
    <t xml:space="preserve">https://zhuanlan.zhihu.com/p/624040358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</si>
  <si>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Slots-06-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-3x5LineSlots.xlsx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</si>
  <si>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Wild Symbols</t>
    </r>
  </si>
  <si>
    <t xml:space="preserve">Wild Symbols</t>
  </si>
  <si>
    <t xml:space="preserve">https://zhuanlan.zhihu.com/p/624144171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</si>
  <si>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Slots-07-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-WildSymbols.xlsx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</si>
  <si>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Scatter(1)</t>
    </r>
  </si>
  <si>
    <t xml:space="preserve">Scatter(1)</t>
  </si>
  <si>
    <t xml:space="preserve">https://zhuanlan.zhihu.com/p/624380588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</si>
  <si>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Slots-09-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-Scatter(1).xlsx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</si>
  <si>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Scatter(2)</t>
    </r>
  </si>
  <si>
    <t xml:space="preserve">Scatter(2)</t>
  </si>
  <si>
    <t xml:space="preserve">https://zhuanlan.zhihu.com/p/624381360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</si>
  <si>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Slots-10-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-Scatter(2).xlsx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</si>
  <si>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Scatter(3)</t>
    </r>
  </si>
  <si>
    <t xml:space="preserve">Scatter(3)</t>
  </si>
  <si>
    <t xml:space="preserve">https://zhuanlan.zhihu.com/p/624381718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</si>
  <si>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Slots-11-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-Scatter(3).xlsx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</si>
  <si>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Scatter(4)</t>
    </r>
  </si>
  <si>
    <t xml:space="preserve">Scatter(4)</t>
  </si>
  <si>
    <t xml:space="preserve">https://zhuanlan.zhihu.com/p/624382144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</si>
  <si>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Slots-12-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-Scatter(4).xlsx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</si>
  <si>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Hold &amp; Spin</t>
    </r>
  </si>
  <si>
    <t xml:space="preserve">https://zhuanlan.zhihu.com/p/624678060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</si>
  <si>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Slots-14-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-Hold&amp;Spin.xlsx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</si>
  <si>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Way Slots(1)</t>
    </r>
  </si>
  <si>
    <t xml:space="preserve">Way Slots(1)</t>
  </si>
  <si>
    <t xml:space="preserve">https://zhuanlan.zhihu.com/p/625322021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</si>
  <si>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Slots-16-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-WaySlots(1).xlsx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</si>
  <si>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Way Slots(2)</t>
    </r>
  </si>
  <si>
    <t xml:space="preserve">Way Slots(2)</t>
  </si>
  <si>
    <t xml:space="preserve">https://zhuanlan.zhihu.com/p/625543717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</si>
  <si>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Slots-17-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-WaySlots(2).xlsx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</si>
  <si>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Way Slots(3)</t>
    </r>
  </si>
  <si>
    <t xml:space="preserve">Way Slots(3)</t>
  </si>
  <si>
    <t xml:space="preserve">https://zhuanlan.zhihu.com/p/626905392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</si>
  <si>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Slots-20-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-WaySlots(3).xlsx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</si>
  <si>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数值篇——不规则窗口</t>
    </r>
    <r>
      <rPr>
        <sz val="11"/>
        <color theme="1"/>
        <rFont val="Calibri"/>
        <family val="2"/>
        <charset val="1"/>
      </rPr>
      <t xml:space="preserve">(1)</t>
    </r>
  </si>
  <si>
    <r>
      <rPr>
        <sz val="11"/>
        <color theme="1"/>
        <rFont val="Noto Sans SC"/>
        <family val="2"/>
        <charset val="134"/>
      </rPr>
      <t xml:space="preserve">不规则窗口</t>
    </r>
    <r>
      <rPr>
        <sz val="11"/>
        <color theme="1"/>
        <rFont val="Calibri"/>
        <family val="2"/>
        <charset val="1"/>
      </rPr>
      <t xml:space="preserve">(1)</t>
    </r>
  </si>
  <si>
    <t xml:space="preserve">https://zhuanlan.zhihu.com/p/627152219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</si>
  <si>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Slots-21-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SC"/>
        <family val="2"/>
        <charset val="134"/>
      </rPr>
      <t xml:space="preserve">不规则窗口</t>
    </r>
    <r>
      <rPr>
        <sz val="11"/>
        <color theme="1"/>
        <rFont val="Calibri"/>
        <family val="2"/>
        <charset val="1"/>
      </rPr>
      <t xml:space="preserve">(1).xlsx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</si>
  <si>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数值篇——不规则窗口</t>
    </r>
    <r>
      <rPr>
        <sz val="11"/>
        <color theme="1"/>
        <rFont val="Calibri"/>
        <family val="2"/>
        <charset val="1"/>
      </rPr>
      <t xml:space="preserve">(2)</t>
    </r>
  </si>
  <si>
    <r>
      <rPr>
        <sz val="11"/>
        <color theme="1"/>
        <rFont val="Noto Sans SC"/>
        <family val="2"/>
        <charset val="134"/>
      </rPr>
      <t xml:space="preserve">不规则窗口</t>
    </r>
    <r>
      <rPr>
        <sz val="11"/>
        <color theme="1"/>
        <rFont val="Calibri"/>
        <family val="2"/>
        <charset val="1"/>
      </rPr>
      <t xml:space="preserve">(2)</t>
    </r>
  </si>
  <si>
    <t xml:space="preserve">https://zhuanlan.zhihu.com/p/627624679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</si>
  <si>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Slots-22-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SC"/>
        <family val="2"/>
        <charset val="134"/>
      </rPr>
      <t xml:space="preserve">不规则窗口</t>
    </r>
    <r>
      <rPr>
        <sz val="11"/>
        <color theme="1"/>
        <rFont val="Calibri"/>
        <family val="2"/>
        <charset val="1"/>
      </rPr>
      <t xml:space="preserve">(2).xlsx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</si>
  <si>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Sticky Wild</t>
    </r>
  </si>
  <si>
    <t xml:space="preserve">https://zhuanlan.zhihu.com/p/628678396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</si>
  <si>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Slots-24-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-StickyWild.xlsx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</si>
  <si>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Expanding Wild(1)</t>
    </r>
  </si>
  <si>
    <t xml:space="preserve">Expanding Wild(1)</t>
  </si>
  <si>
    <t xml:space="preserve">https://zhuanlan.zhihu.com/p/630126758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</si>
  <si>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Slots-26-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-ExpandingWild(1).xlsx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</si>
  <si>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Expanding Wild(2)</t>
    </r>
  </si>
  <si>
    <t xml:space="preserve">Expanding Wild(2)</t>
  </si>
  <si>
    <t xml:space="preserve">https://zhuanlan.zhihu.com/p/630384815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</si>
  <si>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Slots-27-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-ExpandingWild(2).xlsx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</si>
  <si>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Mega Symbols(1)</t>
    </r>
  </si>
  <si>
    <t xml:space="preserve">Mega Symbols(1)</t>
  </si>
  <si>
    <t xml:space="preserve">https://zhuanlan.zhihu.com/p/635407035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</si>
  <si>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Slots-33-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-MegaSymbols(1).xlsx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</si>
  <si>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Mgea Symbols(2)</t>
    </r>
  </si>
  <si>
    <t xml:space="preserve">Mega Symbols(2)</t>
  </si>
  <si>
    <t xml:space="preserve">https://zhuanlan.zhihu.com/p/635633608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</si>
  <si>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Slots-35-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-MegaSymbols(2).xlsx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</si>
  <si>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Random Wild</t>
    </r>
  </si>
  <si>
    <t xml:space="preserve">https://zhuanlan.zhihu.com/p/638130127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</si>
  <si>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Slots-41-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-RandomWild.xlsx</t>
    </r>
  </si>
  <si>
    <r>
      <rPr>
        <b val="true"/>
        <sz val="11"/>
        <color rgb="FF1F4E79"/>
        <rFont val="Noto Sans SC"/>
        <family val="2"/>
        <charset val="134"/>
      </rPr>
      <t xml:space="preserve">　【番外篇】共 </t>
    </r>
    <r>
      <rPr>
        <b val="true"/>
        <sz val="11"/>
        <color rgb="FF1F4E79"/>
        <rFont val="Cambria"/>
        <family val="0"/>
        <charset val="1"/>
      </rPr>
      <t xml:space="preserve">5 </t>
    </r>
    <r>
      <rPr>
        <b val="true"/>
        <sz val="11"/>
        <color rgb="FF1F4E79"/>
        <rFont val="Noto Sans SC"/>
        <family val="2"/>
        <charset val="134"/>
      </rPr>
      <t xml:space="preserve">篇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</si>
  <si>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番外篇——</t>
    </r>
    <r>
      <rPr>
        <sz val="11"/>
        <color theme="1"/>
        <rFont val="Calibri"/>
        <family val="2"/>
        <charset val="1"/>
      </rPr>
      <t xml:space="preserve">Python</t>
    </r>
    <r>
      <rPr>
        <sz val="11"/>
        <color theme="1"/>
        <rFont val="Noto Sans SC"/>
        <family val="2"/>
        <charset val="134"/>
      </rPr>
      <t xml:space="preserve">中的图标结算 </t>
    </r>
    <r>
      <rPr>
        <sz val="11"/>
        <color theme="1"/>
        <rFont val="Calibri"/>
        <family val="2"/>
        <charset val="1"/>
      </rPr>
      <t xml:space="preserve">&amp; </t>
    </r>
    <r>
      <rPr>
        <sz val="11"/>
        <color theme="1"/>
        <rFont val="Noto Sans SC"/>
        <family val="2"/>
        <charset val="134"/>
      </rPr>
      <t xml:space="preserve">添加百搭</t>
    </r>
  </si>
  <si>
    <t xml:space="preserve">番外篇</t>
  </si>
  <si>
    <r>
      <rPr>
        <sz val="11"/>
        <color theme="1"/>
        <rFont val="Calibri"/>
        <family val="2"/>
        <charset val="1"/>
      </rPr>
      <t xml:space="preserve">Python</t>
    </r>
    <r>
      <rPr>
        <sz val="11"/>
        <color theme="1"/>
        <rFont val="Noto Sans SC"/>
        <family val="2"/>
        <charset val="134"/>
      </rPr>
      <t xml:space="preserve">中的图标结算 </t>
    </r>
    <r>
      <rPr>
        <sz val="11"/>
        <color theme="1"/>
        <rFont val="Calibri"/>
        <family val="2"/>
        <charset val="1"/>
      </rPr>
      <t xml:space="preserve">&amp; </t>
    </r>
    <r>
      <rPr>
        <sz val="11"/>
        <color theme="1"/>
        <rFont val="Noto Sans SC"/>
        <family val="2"/>
        <charset val="134"/>
      </rPr>
      <t xml:space="preserve">添加百搭</t>
    </r>
  </si>
  <si>
    <t xml:space="preserve">https://zhuanlan.zhihu.com/p/635847235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</si>
  <si>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Slots-36-</t>
    </r>
    <r>
      <rPr>
        <sz val="11"/>
        <color theme="1"/>
        <rFont val="Noto Sans SC"/>
        <family val="2"/>
        <charset val="134"/>
      </rPr>
      <t xml:space="preserve">番外篇</t>
    </r>
    <r>
      <rPr>
        <sz val="11"/>
        <color theme="1"/>
        <rFont val="Calibri"/>
        <family val="2"/>
        <charset val="1"/>
      </rPr>
      <t xml:space="preserve">-Python</t>
    </r>
    <r>
      <rPr>
        <sz val="11"/>
        <color theme="1"/>
        <rFont val="Noto Sans SC"/>
        <family val="2"/>
        <charset val="134"/>
      </rPr>
      <t xml:space="preserve">图标结算与添加百搭</t>
    </r>
    <r>
      <rPr>
        <sz val="11"/>
        <color theme="1"/>
        <rFont val="Calibri"/>
        <family val="2"/>
        <charset val="1"/>
      </rPr>
      <t xml:space="preserve">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</si>
  <si>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番外篇——用</t>
    </r>
    <r>
      <rPr>
        <sz val="11"/>
        <color theme="1"/>
        <rFont val="Calibri"/>
        <family val="2"/>
        <charset val="1"/>
      </rPr>
      <t xml:space="preserve">VB</t>
    </r>
    <r>
      <rPr>
        <sz val="11"/>
        <color theme="1"/>
        <rFont val="Noto Sans SC"/>
        <family val="2"/>
        <charset val="134"/>
      </rPr>
      <t xml:space="preserve">模拟</t>
    </r>
    <r>
      <rPr>
        <sz val="11"/>
        <color theme="1"/>
        <rFont val="Calibri"/>
        <family val="2"/>
        <charset val="1"/>
      </rPr>
      <t xml:space="preserve">1*3 Slots</t>
    </r>
  </si>
  <si>
    <r>
      <rPr>
        <sz val="11"/>
        <color theme="1"/>
        <rFont val="Noto Sans SC"/>
        <family val="2"/>
        <charset val="134"/>
      </rPr>
      <t xml:space="preserve">用</t>
    </r>
    <r>
      <rPr>
        <sz val="11"/>
        <color theme="1"/>
        <rFont val="Calibri"/>
        <family val="2"/>
        <charset val="1"/>
      </rPr>
      <t xml:space="preserve">VB</t>
    </r>
    <r>
      <rPr>
        <sz val="11"/>
        <color theme="1"/>
        <rFont val="Noto Sans SC"/>
        <family val="2"/>
        <charset val="134"/>
      </rPr>
      <t xml:space="preserve">模拟</t>
    </r>
    <r>
      <rPr>
        <sz val="11"/>
        <color theme="1"/>
        <rFont val="Calibri"/>
        <family val="2"/>
        <charset val="1"/>
      </rPr>
      <t xml:space="preserve">1*3 Slots</t>
    </r>
  </si>
  <si>
    <t xml:space="preserve">https://zhuanlan.zhihu.com/p/626633039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</si>
  <si>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Slots-19-</t>
    </r>
    <r>
      <rPr>
        <sz val="11"/>
        <color theme="1"/>
        <rFont val="Noto Sans SC"/>
        <family val="2"/>
        <charset val="134"/>
      </rPr>
      <t xml:space="preserve">番外篇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SC"/>
        <family val="2"/>
        <charset val="134"/>
      </rPr>
      <t xml:space="preserve">用</t>
    </r>
    <r>
      <rPr>
        <sz val="11"/>
        <color theme="1"/>
        <rFont val="Calibri"/>
        <family val="2"/>
        <charset val="1"/>
      </rPr>
      <t xml:space="preserve">VB</t>
    </r>
    <r>
      <rPr>
        <sz val="11"/>
        <color theme="1"/>
        <rFont val="Noto Sans SC"/>
        <family val="2"/>
        <charset val="134"/>
      </rPr>
      <t xml:space="preserve">模拟</t>
    </r>
    <r>
      <rPr>
        <sz val="11"/>
        <color theme="1"/>
        <rFont val="Calibri"/>
        <family val="2"/>
        <charset val="1"/>
      </rPr>
      <t xml:space="preserve">1x3Slots.xlsx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</si>
  <si>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番外篇——</t>
    </r>
    <r>
      <rPr>
        <sz val="11"/>
        <color theme="1"/>
        <rFont val="Calibri"/>
        <family val="2"/>
        <charset val="1"/>
      </rPr>
      <t xml:space="preserve">Python</t>
    </r>
    <r>
      <rPr>
        <sz val="11"/>
        <color theme="1"/>
        <rFont val="Noto Sans SC"/>
        <family val="2"/>
        <charset val="134"/>
      </rPr>
      <t xml:space="preserve">模拟</t>
    </r>
    <r>
      <rPr>
        <sz val="11"/>
        <color theme="1"/>
        <rFont val="Calibri"/>
        <family val="2"/>
        <charset val="1"/>
      </rPr>
      <t xml:space="preserve">Line Slots</t>
    </r>
  </si>
  <si>
    <r>
      <rPr>
        <sz val="11"/>
        <color theme="1"/>
        <rFont val="Calibri"/>
        <family val="2"/>
        <charset val="1"/>
      </rPr>
      <t xml:space="preserve">Python</t>
    </r>
    <r>
      <rPr>
        <sz val="11"/>
        <color theme="1"/>
        <rFont val="Noto Sans SC"/>
        <family val="2"/>
        <charset val="134"/>
      </rPr>
      <t xml:space="preserve">模拟</t>
    </r>
    <r>
      <rPr>
        <sz val="11"/>
        <color theme="1"/>
        <rFont val="Calibri"/>
        <family val="2"/>
        <charset val="1"/>
      </rPr>
      <t xml:space="preserve">Line Slots</t>
    </r>
  </si>
  <si>
    <t xml:space="preserve">https://zhuanlan.zhihu.com/p/633668409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</si>
  <si>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Slots-30-</t>
    </r>
    <r>
      <rPr>
        <sz val="11"/>
        <color theme="1"/>
        <rFont val="Noto Sans SC"/>
        <family val="2"/>
        <charset val="134"/>
      </rPr>
      <t xml:space="preserve">番外篇</t>
    </r>
    <r>
      <rPr>
        <sz val="11"/>
        <color theme="1"/>
        <rFont val="Calibri"/>
        <family val="2"/>
        <charset val="1"/>
      </rPr>
      <t xml:space="preserve">-Python</t>
    </r>
    <r>
      <rPr>
        <sz val="11"/>
        <color theme="1"/>
        <rFont val="Noto Sans SC"/>
        <family val="2"/>
        <charset val="134"/>
      </rPr>
      <t xml:space="preserve">模拟</t>
    </r>
    <r>
      <rPr>
        <sz val="11"/>
        <color theme="1"/>
        <rFont val="Calibri"/>
        <family val="2"/>
        <charset val="1"/>
      </rPr>
      <t xml:space="preserve">LineSlots.xlsx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</si>
  <si>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番外篇——</t>
    </r>
    <r>
      <rPr>
        <sz val="11"/>
        <color theme="1"/>
        <rFont val="Calibri"/>
        <family val="2"/>
        <charset val="1"/>
      </rPr>
      <t xml:space="preserve">Python</t>
    </r>
    <r>
      <rPr>
        <sz val="11"/>
        <color theme="1"/>
        <rFont val="Noto Sans SC"/>
        <family val="2"/>
        <charset val="134"/>
      </rPr>
      <t xml:space="preserve">模拟</t>
    </r>
    <r>
      <rPr>
        <sz val="11"/>
        <color theme="1"/>
        <rFont val="Calibri"/>
        <family val="2"/>
        <charset val="1"/>
      </rPr>
      <t xml:space="preserve">Way Slots</t>
    </r>
  </si>
  <si>
    <r>
      <rPr>
        <sz val="11"/>
        <color theme="1"/>
        <rFont val="Calibri"/>
        <family val="2"/>
        <charset val="1"/>
      </rPr>
      <t xml:space="preserve">Python</t>
    </r>
    <r>
      <rPr>
        <sz val="11"/>
        <color theme="1"/>
        <rFont val="Noto Sans SC"/>
        <family val="2"/>
        <charset val="134"/>
      </rPr>
      <t xml:space="preserve">模拟</t>
    </r>
    <r>
      <rPr>
        <sz val="11"/>
        <color theme="1"/>
        <rFont val="Calibri"/>
        <family val="2"/>
        <charset val="1"/>
      </rPr>
      <t xml:space="preserve">Way Slots</t>
    </r>
  </si>
  <si>
    <t xml:space="preserve">https://zhuanlan.zhihu.com/p/634251282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</si>
  <si>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Slots-31-</t>
    </r>
    <r>
      <rPr>
        <sz val="11"/>
        <color theme="1"/>
        <rFont val="Noto Sans SC"/>
        <family val="2"/>
        <charset val="134"/>
      </rPr>
      <t xml:space="preserve">番外篇</t>
    </r>
    <r>
      <rPr>
        <sz val="11"/>
        <color theme="1"/>
        <rFont val="Calibri"/>
        <family val="2"/>
        <charset val="1"/>
      </rPr>
      <t xml:space="preserve">-Python</t>
    </r>
    <r>
      <rPr>
        <sz val="11"/>
        <color theme="1"/>
        <rFont val="Noto Sans SC"/>
        <family val="2"/>
        <charset val="134"/>
      </rPr>
      <t xml:space="preserve">模拟</t>
    </r>
    <r>
      <rPr>
        <sz val="11"/>
        <color theme="1"/>
        <rFont val="Calibri"/>
        <family val="2"/>
        <charset val="1"/>
      </rPr>
      <t xml:space="preserve">WaySlots.xlsx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</si>
  <si>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番外篇——</t>
    </r>
    <r>
      <rPr>
        <sz val="11"/>
        <color theme="1"/>
        <rFont val="Calibri"/>
        <family val="2"/>
        <charset val="1"/>
      </rPr>
      <t xml:space="preserve">Python</t>
    </r>
    <r>
      <rPr>
        <sz val="11"/>
        <color theme="1"/>
        <rFont val="Noto Sans SC"/>
        <family val="2"/>
        <charset val="134"/>
      </rPr>
      <t xml:space="preserve">读取数据表</t>
    </r>
  </si>
  <si>
    <r>
      <rPr>
        <sz val="11"/>
        <color theme="1"/>
        <rFont val="Calibri"/>
        <family val="2"/>
        <charset val="1"/>
      </rPr>
      <t xml:space="preserve">Python</t>
    </r>
    <r>
      <rPr>
        <sz val="11"/>
        <color theme="1"/>
        <rFont val="Noto Sans SC"/>
        <family val="2"/>
        <charset val="134"/>
      </rPr>
      <t xml:space="preserve">读取数据表</t>
    </r>
  </si>
  <si>
    <t xml:space="preserve">https://zhuanlan.zhihu.com/p/635423881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</si>
  <si>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Slots-34-</t>
    </r>
    <r>
      <rPr>
        <sz val="11"/>
        <color theme="1"/>
        <rFont val="Noto Sans SC"/>
        <family val="2"/>
        <charset val="134"/>
      </rPr>
      <t xml:space="preserve">番外篇</t>
    </r>
    <r>
      <rPr>
        <sz val="11"/>
        <color theme="1"/>
        <rFont val="Calibri"/>
        <family val="2"/>
        <charset val="1"/>
      </rPr>
      <t xml:space="preserve">-Python</t>
    </r>
    <r>
      <rPr>
        <sz val="11"/>
        <color theme="1"/>
        <rFont val="Noto Sans SC"/>
        <family val="2"/>
        <charset val="134"/>
      </rPr>
      <t xml:space="preserve">读取数据表</t>
    </r>
    <r>
      <rPr>
        <sz val="11"/>
        <color theme="1"/>
        <rFont val="Calibri"/>
        <family val="2"/>
        <charset val="1"/>
      </rPr>
      <t xml:space="preserve">.xlsx</t>
    </r>
  </si>
  <si>
    <r>
      <rPr>
        <b val="true"/>
        <sz val="11"/>
        <color rgb="FF1F4E79"/>
        <rFont val="Noto Sans SC"/>
        <family val="2"/>
        <charset val="134"/>
      </rPr>
      <t xml:space="preserve">　【实战篇】共 </t>
    </r>
    <r>
      <rPr>
        <b val="true"/>
        <sz val="11"/>
        <color rgb="FF1F4E79"/>
        <rFont val="Cambria"/>
        <family val="0"/>
        <charset val="1"/>
      </rPr>
      <t xml:space="preserve">1 </t>
    </r>
    <r>
      <rPr>
        <b val="true"/>
        <sz val="11"/>
        <color rgb="FF1F4E79"/>
        <rFont val="Noto Sans SC"/>
        <family val="2"/>
        <charset val="134"/>
      </rPr>
      <t xml:space="preserve">篇</t>
    </r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</si>
  <si>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实战篇——</t>
    </r>
    <r>
      <rPr>
        <sz val="11"/>
        <color theme="1"/>
        <rFont val="Calibri"/>
        <family val="2"/>
        <charset val="1"/>
      </rPr>
      <t xml:space="preserve">Super Niubi</t>
    </r>
  </si>
  <si>
    <t xml:space="preserve">实战篇</t>
  </si>
  <si>
    <t xml:space="preserve">Super Niubi</t>
  </si>
  <si>
    <t xml:space="preserve">https://zhuanlan.zhihu.com/p/649393400</t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</si>
  <si>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Slots-45-</t>
    </r>
    <r>
      <rPr>
        <sz val="11"/>
        <color theme="1"/>
        <rFont val="Noto Sans SC"/>
        <family val="2"/>
        <charset val="134"/>
      </rPr>
      <t xml:space="preserve">实战篇</t>
    </r>
    <r>
      <rPr>
        <sz val="11"/>
        <color theme="1"/>
        <rFont val="Calibri"/>
        <family val="2"/>
        <charset val="1"/>
      </rPr>
      <t xml:space="preserve">-SuperNiubi.xlsx</t>
    </r>
  </si>
  <si>
    <r>
      <rPr>
        <sz val="11"/>
        <color theme="1"/>
        <rFont val="Noto Sans SC"/>
        <family val="2"/>
        <charset val="134"/>
      </rPr>
      <t xml:space="preserve">状态口径：本表条目由实际工作簿清单生成 —— 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SC"/>
        <family val="2"/>
        <charset val="134"/>
      </rPr>
      <t xml:space="preserve">篇原文（含导读）均已取得全文与链接，故状态一律为「已定位」；备注列标出该篇配表是否完成（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SC"/>
        <family val="2"/>
        <charset val="134"/>
      </rPr>
      <t xml:space="preserve">篇全部完成）。</t>
    </r>
  </si>
  <si>
    <r>
      <rPr>
        <b val="true"/>
        <sz val="11"/>
        <color rgb="FF1F4E79"/>
        <rFont val="Noto Sans SC"/>
        <family val="2"/>
        <charset val="134"/>
      </rPr>
      <t xml:space="preserve">【编号对照】本系列编号已按原文发表顺序（文章 </t>
    </r>
    <r>
      <rPr>
        <b val="true"/>
        <sz val="11"/>
        <color rgb="FF1F4E79"/>
        <rFont val="Cambria"/>
        <family val="0"/>
        <charset val="1"/>
      </rPr>
      <t xml:space="preserve">ID</t>
    </r>
    <r>
      <rPr>
        <b val="true"/>
        <sz val="11"/>
        <color rgb="FF1F4E79"/>
        <rFont val="Noto Sans SC"/>
        <family val="2"/>
        <charset val="134"/>
      </rPr>
      <t xml:space="preserve">）重排</t>
    </r>
  </si>
  <si>
    <t xml:space="preserve">新编号</t>
  </si>
  <si>
    <t xml:space="preserve">原编号</t>
  </si>
  <si>
    <r>
      <rPr>
        <b val="true"/>
        <sz val="11"/>
        <color rgb="FF1F4E79"/>
        <rFont val="Noto Sans SC"/>
        <family val="2"/>
        <charset val="134"/>
      </rPr>
      <t xml:space="preserve">原文 </t>
    </r>
    <r>
      <rPr>
        <b val="true"/>
        <sz val="11"/>
        <color rgb="FF1F4E79"/>
        <rFont val="Cambria"/>
        <family val="0"/>
        <charset val="1"/>
      </rPr>
      <t xml:space="preserve">ID</t>
    </r>
  </si>
  <si>
    <t xml:space="preserve">篇目</t>
  </si>
  <si>
    <t xml:space="preserve">623535430</t>
  </si>
  <si>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SC"/>
        <family val="2"/>
        <charset val="134"/>
      </rPr>
      <t xml:space="preserve">基础构成</t>
    </r>
  </si>
  <si>
    <t xml:space="preserve">623623737</t>
  </si>
  <si>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SC"/>
        <family val="2"/>
        <charset val="134"/>
      </rPr>
      <t xml:space="preserve">数值概念简介</t>
    </r>
  </si>
  <si>
    <t xml:space="preserve">623694441</t>
  </si>
  <si>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SC"/>
        <family val="2"/>
        <charset val="134"/>
      </rPr>
      <t xml:space="preserve">玩法类型</t>
    </r>
  </si>
  <si>
    <t xml:space="preserve">623746693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</si>
  <si>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-1*3 Line Slots</t>
    </r>
  </si>
  <si>
    <t xml:space="preserve">623825211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</si>
  <si>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-3*3 Line Slots</t>
    </r>
  </si>
  <si>
    <t xml:space="preserve">624040358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</si>
  <si>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-3*5 Line Slots</t>
    </r>
  </si>
  <si>
    <t xml:space="preserve">624144171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</si>
  <si>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-Wild Symbols</t>
    </r>
  </si>
  <si>
    <t xml:space="preserve">624248081</t>
  </si>
  <si>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SC"/>
        <family val="2"/>
        <charset val="134"/>
      </rPr>
      <t xml:space="preserve">功能图标</t>
    </r>
  </si>
  <si>
    <t xml:space="preserve">624380588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</si>
  <si>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-Scatter(1)</t>
    </r>
  </si>
  <si>
    <t xml:space="preserve">624381360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</si>
  <si>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-Scatter(2)</t>
    </r>
  </si>
  <si>
    <t xml:space="preserve">624381718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</si>
  <si>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-Scatter(3)</t>
    </r>
  </si>
  <si>
    <t xml:space="preserve">624382144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</si>
  <si>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-Scatter(4)</t>
    </r>
  </si>
  <si>
    <t xml:space="preserve">624676796</t>
  </si>
  <si>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-Hold &amp; Spin</t>
    </r>
  </si>
  <si>
    <t xml:space="preserve">624678060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</si>
  <si>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-Hold &amp; Spin</t>
    </r>
  </si>
  <si>
    <t xml:space="preserve">625043502</t>
  </si>
  <si>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-Way Slots</t>
    </r>
  </si>
  <si>
    <t xml:space="preserve">625322021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</si>
  <si>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-Way Slots(1)</t>
    </r>
  </si>
  <si>
    <t xml:space="preserve">625543717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</si>
  <si>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-Way Slots(2)</t>
    </r>
  </si>
  <si>
    <t xml:space="preserve">626184549</t>
  </si>
  <si>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-Cascading</t>
    </r>
    <r>
      <rPr>
        <sz val="11"/>
        <color theme="1"/>
        <rFont val="Noto Sans SC"/>
        <family val="2"/>
        <charset val="134"/>
      </rPr>
      <t xml:space="preserve">消除图标</t>
    </r>
  </si>
  <si>
    <t xml:space="preserve">626633039</t>
  </si>
  <si>
    <r>
      <rPr>
        <sz val="11"/>
        <color theme="1"/>
        <rFont val="Noto Sans SC"/>
        <family val="2"/>
        <charset val="134"/>
      </rPr>
      <t xml:space="preserve">番外篇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SC"/>
        <family val="2"/>
        <charset val="134"/>
      </rPr>
      <t xml:space="preserve">用</t>
    </r>
    <r>
      <rPr>
        <sz val="11"/>
        <color theme="1"/>
        <rFont val="Calibri"/>
        <family val="2"/>
        <charset val="1"/>
      </rPr>
      <t xml:space="preserve">VB</t>
    </r>
    <r>
      <rPr>
        <sz val="11"/>
        <color theme="1"/>
        <rFont val="Noto Sans SC"/>
        <family val="2"/>
        <charset val="134"/>
      </rPr>
      <t xml:space="preserve">模拟</t>
    </r>
    <r>
      <rPr>
        <sz val="11"/>
        <color theme="1"/>
        <rFont val="Calibri"/>
        <family val="2"/>
        <charset val="1"/>
      </rPr>
      <t xml:space="preserve">1x3 Slots</t>
    </r>
  </si>
  <si>
    <t xml:space="preserve">626905392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</si>
  <si>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-Way Slots(3)</t>
    </r>
  </si>
  <si>
    <t xml:space="preserve">627152219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</si>
  <si>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SC"/>
        <family val="2"/>
        <charset val="134"/>
      </rPr>
      <t xml:space="preserve">不规则窗口</t>
    </r>
    <r>
      <rPr>
        <sz val="11"/>
        <color theme="1"/>
        <rFont val="Calibri"/>
        <family val="2"/>
        <charset val="1"/>
      </rPr>
      <t xml:space="preserve">(1)</t>
    </r>
  </si>
  <si>
    <t xml:space="preserve">627624679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</si>
  <si>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SC"/>
        <family val="2"/>
        <charset val="134"/>
      </rPr>
      <t xml:space="preserve">不规则窗口</t>
    </r>
    <r>
      <rPr>
        <sz val="11"/>
        <color theme="1"/>
        <rFont val="Calibri"/>
        <family val="2"/>
        <charset val="1"/>
      </rPr>
      <t xml:space="preserve">(2)</t>
    </r>
  </si>
  <si>
    <t xml:space="preserve">628609256</t>
  </si>
  <si>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-Sticky Wild</t>
    </r>
  </si>
  <si>
    <t xml:space="preserve">628678396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</si>
  <si>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-Sticky Wild</t>
    </r>
  </si>
  <si>
    <t xml:space="preserve">629840640</t>
  </si>
  <si>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-Expanding Wild</t>
    </r>
  </si>
  <si>
    <t xml:space="preserve">630126758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</si>
  <si>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-Expanding Wild(1)</t>
    </r>
  </si>
  <si>
    <t xml:space="preserve">630384815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</si>
  <si>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-Expanding Wild(2)</t>
    </r>
  </si>
  <si>
    <t xml:space="preserve">631770497</t>
  </si>
  <si>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-Splitting Symbols</t>
    </r>
  </si>
  <si>
    <t xml:space="preserve">633527344</t>
  </si>
  <si>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-Megaways 6+1</t>
    </r>
  </si>
  <si>
    <t xml:space="preserve">633668409</t>
  </si>
  <si>
    <r>
      <rPr>
        <sz val="11"/>
        <color theme="1"/>
        <rFont val="Noto Sans SC"/>
        <family val="2"/>
        <charset val="134"/>
      </rPr>
      <t xml:space="preserve">番外篇</t>
    </r>
    <r>
      <rPr>
        <sz val="11"/>
        <color theme="1"/>
        <rFont val="Calibri"/>
        <family val="2"/>
        <charset val="1"/>
      </rPr>
      <t xml:space="preserve">-Python</t>
    </r>
    <r>
      <rPr>
        <sz val="11"/>
        <color theme="1"/>
        <rFont val="Noto Sans SC"/>
        <family val="2"/>
        <charset val="134"/>
      </rPr>
      <t xml:space="preserve">模拟</t>
    </r>
    <r>
      <rPr>
        <sz val="11"/>
        <color theme="1"/>
        <rFont val="Calibri"/>
        <family val="2"/>
        <charset val="1"/>
      </rPr>
      <t xml:space="preserve">Line Slots</t>
    </r>
  </si>
  <si>
    <t xml:space="preserve">634251282</t>
  </si>
  <si>
    <r>
      <rPr>
        <sz val="11"/>
        <color theme="1"/>
        <rFont val="Noto Sans SC"/>
        <family val="2"/>
        <charset val="134"/>
      </rPr>
      <t xml:space="preserve">番外篇</t>
    </r>
    <r>
      <rPr>
        <sz val="11"/>
        <color theme="1"/>
        <rFont val="Calibri"/>
        <family val="2"/>
        <charset val="1"/>
      </rPr>
      <t xml:space="preserve">-Python</t>
    </r>
    <r>
      <rPr>
        <sz val="11"/>
        <color theme="1"/>
        <rFont val="Noto Sans SC"/>
        <family val="2"/>
        <charset val="134"/>
      </rPr>
      <t xml:space="preserve">模拟</t>
    </r>
    <r>
      <rPr>
        <sz val="11"/>
        <color theme="1"/>
        <rFont val="Calibri"/>
        <family val="2"/>
        <charset val="1"/>
      </rPr>
      <t xml:space="preserve">Way Slots</t>
    </r>
  </si>
  <si>
    <t xml:space="preserve">635308088</t>
  </si>
  <si>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-Mega Symbols</t>
    </r>
  </si>
  <si>
    <t xml:space="preserve">635407035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</si>
  <si>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-Mega Symbols(1)</t>
    </r>
  </si>
  <si>
    <t xml:space="preserve">635423881</t>
  </si>
  <si>
    <r>
      <rPr>
        <sz val="11"/>
        <color theme="1"/>
        <rFont val="Noto Sans SC"/>
        <family val="2"/>
        <charset val="134"/>
      </rPr>
      <t xml:space="preserve">番外篇</t>
    </r>
    <r>
      <rPr>
        <sz val="11"/>
        <color theme="1"/>
        <rFont val="Calibri"/>
        <family val="2"/>
        <charset val="1"/>
      </rPr>
      <t xml:space="preserve">-Python</t>
    </r>
    <r>
      <rPr>
        <sz val="11"/>
        <color theme="1"/>
        <rFont val="Noto Sans SC"/>
        <family val="2"/>
        <charset val="134"/>
      </rPr>
      <t xml:space="preserve">读取数据表</t>
    </r>
  </si>
  <si>
    <t xml:space="preserve">635633608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</si>
  <si>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-Mega Symbols(2)</t>
    </r>
  </si>
  <si>
    <t xml:space="preserve">635847235</t>
  </si>
  <si>
    <r>
      <rPr>
        <sz val="11"/>
        <color theme="1"/>
        <rFont val="Noto Sans SC"/>
        <family val="2"/>
        <charset val="134"/>
      </rPr>
      <t xml:space="preserve">番外篇</t>
    </r>
    <r>
      <rPr>
        <sz val="11"/>
        <color theme="1"/>
        <rFont val="Calibri"/>
        <family val="2"/>
        <charset val="1"/>
      </rPr>
      <t xml:space="preserve">-Python</t>
    </r>
    <r>
      <rPr>
        <sz val="11"/>
        <color theme="1"/>
        <rFont val="Noto Sans SC"/>
        <family val="2"/>
        <charset val="134"/>
      </rPr>
      <t xml:space="preserve">图标结算与添加百搭</t>
    </r>
  </si>
  <si>
    <t xml:space="preserve">636564067</t>
  </si>
  <si>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-SuperStack</t>
    </r>
    <r>
      <rPr>
        <sz val="11"/>
        <color theme="1"/>
        <rFont val="Noto Sans SC"/>
        <family val="2"/>
        <charset val="134"/>
      </rPr>
      <t xml:space="preserve">与</t>
    </r>
    <r>
      <rPr>
        <sz val="11"/>
        <color theme="1"/>
        <rFont val="Calibri"/>
        <family val="2"/>
        <charset val="1"/>
      </rPr>
      <t xml:space="preserve">MysterySymbols</t>
    </r>
  </si>
  <si>
    <t xml:space="preserve">636933475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</si>
  <si>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-SuperStack</t>
    </r>
  </si>
  <si>
    <t xml:space="preserve">637203163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</si>
  <si>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-MysterySymbols</t>
    </r>
  </si>
  <si>
    <t xml:space="preserve">637469752</t>
  </si>
  <si>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-RandomWild</t>
    </r>
  </si>
  <si>
    <t xml:space="preserve">638130127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</si>
  <si>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-Random Wild</t>
    </r>
  </si>
  <si>
    <t xml:space="preserve">638757841</t>
  </si>
  <si>
    <r>
      <rPr>
        <sz val="11"/>
        <color theme="1"/>
        <rFont val="Noto Sans SC"/>
        <family val="2"/>
        <charset val="134"/>
      </rPr>
      <t xml:space="preserve">基础篇</t>
    </r>
    <r>
      <rPr>
        <sz val="11"/>
        <color theme="1"/>
        <rFont val="Calibri"/>
        <family val="2"/>
        <charset val="1"/>
      </rPr>
      <t xml:space="preserve">-Grid</t>
    </r>
  </si>
  <si>
    <t xml:space="preserve">639548656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</si>
  <si>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-Grid</t>
    </r>
  </si>
  <si>
    <t xml:space="preserve">642911545</t>
  </si>
  <si>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-Jackpot</t>
    </r>
  </si>
  <si>
    <t xml:space="preserve">649393400</t>
  </si>
  <si>
    <r>
      <rPr>
        <sz val="11"/>
        <color theme="1"/>
        <rFont val="Noto Sans SC"/>
        <family val="2"/>
        <charset val="134"/>
      </rPr>
      <t xml:space="preserve">实战篇</t>
    </r>
    <r>
      <rPr>
        <sz val="11"/>
        <color theme="1"/>
        <rFont val="Calibri"/>
        <family val="2"/>
        <charset val="1"/>
      </rPr>
      <t xml:space="preserve">-Super Niubi</t>
    </r>
  </si>
  <si>
    <t xml:space="preserve">【已生成的工作簿（由本机离线保存的网页还原正文后逐篇生成）】</t>
  </si>
  <si>
    <t xml:space="preserve">文件</t>
  </si>
  <si>
    <t xml:space="preserve">对应文章</t>
  </si>
  <si>
    <t xml:space="preserve">链接</t>
  </si>
  <si>
    <t xml:space="preserve">关键结论（默认参数下）</t>
  </si>
  <si>
    <r>
      <rPr>
        <sz val="11"/>
        <color theme="1"/>
        <rFont val="Noto Sans SC"/>
        <family val="2"/>
        <charset val="134"/>
      </rPr>
      <t xml:space="preserve">卷轴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窗口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图标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操作区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赔付表五要件 →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SC"/>
        <family val="2"/>
        <charset val="134"/>
      </rPr>
      <t xml:space="preserve">张配表（含卷轴条带、符号表、赔付表、中奖线、百搭替换、</t>
    </r>
    <r>
      <rPr>
        <sz val="11"/>
        <color theme="1"/>
        <rFont val="Calibri"/>
        <family val="2"/>
        <charset val="1"/>
      </rPr>
      <t xml:space="preserve">Feature Game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UI</t>
    </r>
    <r>
      <rPr>
        <sz val="11"/>
        <color theme="1"/>
        <rFont val="Noto Sans SC"/>
        <family val="2"/>
        <charset val="134"/>
      </rPr>
      <t xml:space="preserve">、配表自检）；正文与配图取自用户离线保存的网页原件</t>
    </r>
  </si>
  <si>
    <r>
      <rPr>
        <sz val="11"/>
        <color theme="1"/>
        <rFont val="Noto Sans SC"/>
        <family val="2"/>
        <charset val="134"/>
      </rPr>
      <t xml:space="preserve">数值概念对照表（</t>
    </r>
    <r>
      <rPr>
        <sz val="11"/>
        <color theme="1"/>
        <rFont val="Calibri"/>
        <family val="2"/>
        <charset val="1"/>
      </rPr>
      <t xml:space="preserve">Bet/Bet Size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Win/Pay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Volatility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Pay Line/Line Bet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Combination/Payout</t>
    </r>
    <r>
      <rPr>
        <sz val="11"/>
        <color theme="1"/>
        <rFont val="Noto Sans SC"/>
        <family val="2"/>
        <charset val="134"/>
      </rPr>
      <t xml:space="preserve">）＋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口径演示（单线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＝整体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</si>
  <si>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theme="1"/>
        <rFont val="Noto Sans SC"/>
        <family val="2"/>
        <charset val="134"/>
      </rPr>
      <t xml:space="preserve">页签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数据配表已完成（机制量化 ＋ 公式联动 ＋ 自检）</t>
    </r>
  </si>
  <si>
    <r>
      <rPr>
        <sz val="11"/>
        <color theme="1"/>
        <rFont val="Calibri"/>
        <family val="2"/>
        <charset val="1"/>
      </rPr>
      <t xml:space="preserve">1*3 </t>
    </r>
    <r>
      <rPr>
        <sz val="11"/>
        <color theme="1"/>
        <rFont val="Noto Sans SC"/>
        <family val="2"/>
        <charset val="134"/>
      </rPr>
      <t xml:space="preserve">最小模型：黑 </t>
    </r>
    <r>
      <rPr>
        <sz val="11"/>
        <color theme="1"/>
        <rFont val="Calibri"/>
        <family val="2"/>
        <charset val="1"/>
      </rPr>
      <t xml:space="preserve">38.40%×2 </t>
    </r>
    <r>
      <rPr>
        <sz val="11"/>
        <color theme="1"/>
        <rFont val="Noto Sans SC"/>
        <family val="2"/>
        <charset val="134"/>
      </rPr>
      <t xml:space="preserve">＋ 白 </t>
    </r>
    <r>
      <rPr>
        <sz val="11"/>
        <color theme="1"/>
        <rFont val="Calibri"/>
        <family val="2"/>
        <charset val="1"/>
      </rPr>
      <t xml:space="preserve">1.60%×12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RTP 96.00%</t>
    </r>
    <r>
      <rPr>
        <sz val="11"/>
        <color theme="1"/>
        <rFont val="Noto Sans SC"/>
        <family val="2"/>
        <charset val="134"/>
      </rPr>
      <t xml:space="preserve">，与原文⑤逐一一致</t>
    </r>
  </si>
  <si>
    <r>
      <rPr>
        <sz val="11"/>
        <color theme="1"/>
        <rFont val="Calibri"/>
        <family val="2"/>
        <charset val="1"/>
      </rPr>
      <t xml:space="preserve">Lucky Streak 3</t>
    </r>
    <r>
      <rPr>
        <sz val="11"/>
        <color theme="1"/>
        <rFont val="Noto Sans SC"/>
        <family val="2"/>
        <charset val="134"/>
      </rPr>
      <t xml:space="preserve">：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SC"/>
        <family val="2"/>
        <charset val="134"/>
      </rPr>
      <t xml:space="preserve">停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SC"/>
        <family val="2"/>
        <charset val="134"/>
      </rPr>
      <t xml:space="preserve">列卷轴 ＋ 赔付表（€</t>
    </r>
    <r>
      <rPr>
        <sz val="11"/>
        <color theme="1"/>
        <rFont val="Calibri"/>
        <family val="2"/>
        <charset val="1"/>
      </rPr>
      <t xml:space="preserve">150/40/12/8…</t>
    </r>
    <r>
      <rPr>
        <sz val="11"/>
        <color theme="1"/>
        <rFont val="Noto Sans SC"/>
        <family val="2"/>
        <charset val="134"/>
      </rPr>
      <t xml:space="preserve">）→ </t>
    </r>
    <r>
      <rPr>
        <sz val="11"/>
        <color theme="1"/>
        <rFont val="Calibri"/>
        <family val="2"/>
        <charset val="1"/>
      </rPr>
      <t xml:space="preserve">RTP 96.82%</t>
    </r>
    <r>
      <rPr>
        <sz val="11"/>
        <color theme="1"/>
        <rFont val="Noto Sans SC"/>
        <family val="2"/>
        <charset val="134"/>
      </rPr>
      <t xml:space="preserve">，与原文一致</t>
    </r>
  </si>
  <si>
    <r>
      <rPr>
        <sz val="11"/>
        <color theme="1"/>
        <rFont val="Calibri"/>
        <family val="2"/>
        <charset val="1"/>
      </rPr>
      <t xml:space="preserve">3*5</t>
    </r>
    <r>
      <rPr>
        <sz val="11"/>
        <color theme="1"/>
        <rFont val="Noto Sans SC"/>
        <family val="2"/>
        <charset val="134"/>
      </rPr>
      <t xml:space="preserve">：事件数 </t>
    </r>
    <r>
      <rPr>
        <sz val="11"/>
        <color theme="1"/>
        <rFont val="Calibri"/>
        <family val="2"/>
        <charset val="1"/>
      </rPr>
      <t xml:space="preserve">192/64/32</t>
    </r>
    <r>
      <rPr>
        <sz val="11"/>
        <color theme="1"/>
        <rFont val="Noto Sans SC"/>
        <family val="2"/>
        <charset val="134"/>
      </rPr>
      <t xml:space="preserve">（排除「下一列」该图标），</t>
    </r>
    <r>
      <rPr>
        <sz val="11"/>
        <color theme="1"/>
        <rFont val="Calibri"/>
        <family val="2"/>
        <charset val="1"/>
      </rPr>
      <t xml:space="preserve">RTP 93.00%</t>
    </r>
    <r>
      <rPr>
        <sz val="11"/>
        <color theme="1"/>
        <rFont val="Noto Sans SC"/>
        <family val="2"/>
        <charset val="134"/>
      </rPr>
      <t xml:space="preserve">，附目标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反算系数</t>
    </r>
  </si>
  <si>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并入出现数（</t>
    </r>
    <r>
      <rPr>
        <sz val="11"/>
        <color theme="1"/>
        <rFont val="Calibri"/>
        <family val="2"/>
        <charset val="1"/>
      </rPr>
      <t xml:space="preserve">3/7</t>
    </r>
    <r>
      <rPr>
        <sz val="11"/>
        <color theme="1"/>
        <rFont val="Noto Sans SC"/>
        <family val="2"/>
        <charset val="134"/>
      </rPr>
      <t xml:space="preserve">）、不出现数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SC"/>
        <family val="2"/>
        <charset val="134"/>
      </rPr>
      <t xml:space="preserve">；示例倍数下 </t>
    </r>
    <r>
      <rPr>
        <sz val="11"/>
        <color theme="1"/>
        <rFont val="Calibri"/>
        <family val="2"/>
        <charset val="1"/>
      </rPr>
      <t xml:space="preserve">RTP 231%</t>
    </r>
    <r>
      <rPr>
        <sz val="11"/>
        <color theme="1"/>
        <rFont val="Noto Sans SC"/>
        <family val="2"/>
        <charset val="134"/>
      </rPr>
      <t xml:space="preserve">，附反算系数与概率法口径</t>
    </r>
  </si>
  <si>
    <t xml:space="preserve">原文整理（全文）已就绪；数据配表待补（按批次补充，补好后替换本文件）</t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</si>
  <si>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Mega Symbols(2)</t>
    </r>
  </si>
  <si>
    <r>
      <rPr>
        <sz val="11"/>
        <color theme="1"/>
        <rFont val="Noto Sans SC"/>
        <family val="2"/>
        <charset val="134"/>
      </rPr>
      <t xml:space="preserve">跑数据四张基础配表（符号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赔率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线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卷轴）＋ </t>
    </r>
    <r>
      <rPr>
        <sz val="11"/>
        <color theme="1"/>
        <rFont val="Calibri"/>
        <family val="2"/>
        <charset val="1"/>
      </rPr>
      <t xml:space="preserve">Line </t>
    </r>
    <r>
      <rPr>
        <sz val="11"/>
        <color theme="1"/>
        <rFont val="Noto Sans SC"/>
        <family val="2"/>
        <charset val="134"/>
      </rPr>
      <t xml:space="preserve">与 </t>
    </r>
    <r>
      <rPr>
        <sz val="11"/>
        <color theme="1"/>
        <rFont val="Calibri"/>
        <family val="2"/>
        <charset val="1"/>
      </rPr>
      <t xml:space="preserve">Way </t>
    </r>
    <r>
      <rPr>
        <sz val="11"/>
        <color theme="1"/>
        <rFont val="Noto Sans SC"/>
        <family val="2"/>
        <charset val="134"/>
      </rPr>
      <t xml:space="preserve">两种结算流程 ＋ 百搭替换规则</t>
    </r>
  </si>
  <si>
    <r>
      <rPr>
        <sz val="11"/>
        <color theme="1"/>
        <rFont val="Noto Sans SC"/>
        <family val="2"/>
        <charset val="134"/>
      </rPr>
      <t xml:space="preserve">同为堆叠类 </t>
    </r>
    <r>
      <rPr>
        <sz val="11"/>
        <color theme="1"/>
        <rFont val="Calibri"/>
        <family val="2"/>
        <charset val="1"/>
      </rPr>
      <t xml:space="preserve">Feature </t>
    </r>
    <r>
      <rPr>
        <sz val="11"/>
        <color theme="1"/>
        <rFont val="Noto Sans SC"/>
        <family val="2"/>
        <charset val="134"/>
      </rPr>
      <t xml:space="preserve">的配表差异：</t>
    </r>
    <r>
      <rPr>
        <sz val="11"/>
        <color theme="1"/>
        <rFont val="Calibri"/>
        <family val="2"/>
        <charset val="1"/>
      </rPr>
      <t xml:space="preserve">SS </t>
    </r>
    <r>
      <rPr>
        <sz val="11"/>
        <color theme="1"/>
        <rFont val="Noto Sans SC"/>
        <family val="2"/>
        <charset val="134"/>
      </rPr>
      <t xml:space="preserve">按列设置变身几率、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SC"/>
        <family val="2"/>
        <charset val="134"/>
      </rPr>
      <t xml:space="preserve">全局一套；前者几率可直接分配，后者必须分类讨论</t>
    </r>
  </si>
  <si>
    <r>
      <rPr>
        <sz val="11"/>
        <color theme="1"/>
        <rFont val="Noto Sans SC"/>
        <family val="2"/>
        <charset val="134"/>
      </rPr>
      <t xml:space="preserve">出现事件数 ＝ 该图标数 ＋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数 ＋ </t>
    </r>
    <r>
      <rPr>
        <sz val="11"/>
        <color theme="1"/>
        <rFont val="Calibri"/>
        <family val="2"/>
        <charset val="1"/>
      </rPr>
      <t xml:space="preserve">SS </t>
    </r>
    <r>
      <rPr>
        <sz val="11"/>
        <color theme="1"/>
        <rFont val="Noto Sans SC"/>
        <family val="2"/>
        <charset val="134"/>
      </rPr>
      <t xml:space="preserve">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变身几率；示例基础 </t>
    </r>
    <r>
      <rPr>
        <sz val="11"/>
        <color theme="1"/>
        <rFont val="Calibri"/>
        <family val="2"/>
        <charset val="1"/>
      </rPr>
      <t xml:space="preserve">RTP ≈ 84.0%</t>
    </r>
  </si>
  <si>
    <r>
      <rPr>
        <sz val="11"/>
        <color theme="1"/>
        <rFont val="Noto Sans SC"/>
        <family val="2"/>
        <charset val="134"/>
      </rPr>
      <t xml:space="preserve">按 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SC"/>
        <family val="2"/>
        <charset val="134"/>
      </rPr>
      <t xml:space="preserve">变身体分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类讨论后加权；示例 </t>
    </r>
    <r>
      <rPr>
        <sz val="11"/>
        <color theme="1"/>
        <rFont val="Calibri"/>
        <family val="2"/>
        <charset val="1"/>
      </rPr>
      <t xml:space="preserve">RTP ≈ 98.8%</t>
    </r>
    <r>
      <rPr>
        <sz val="11"/>
        <color theme="1"/>
        <rFont val="Noto Sans SC"/>
        <family val="2"/>
        <charset val="134"/>
      </rPr>
      <t xml:space="preserve">，明显高于同为堆叠的 </t>
    </r>
    <r>
      <rPr>
        <sz val="11"/>
        <color theme="1"/>
        <rFont val="Calibri"/>
        <family val="2"/>
        <charset val="1"/>
      </rPr>
      <t xml:space="preserve">Super Stack</t>
    </r>
  </si>
  <si>
    <r>
      <rPr>
        <sz val="11"/>
        <color theme="1"/>
        <rFont val="Calibri"/>
        <family val="2"/>
        <charset val="1"/>
      </rPr>
      <t xml:space="preserve">2^15</t>
    </r>
    <r>
      <rPr>
        <sz val="11"/>
        <color theme="1"/>
        <rFont val="Noto Sans SC"/>
        <family val="2"/>
        <charset val="134"/>
      </rPr>
      <t xml:space="preserve">＝</t>
    </r>
    <r>
      <rPr>
        <sz val="11"/>
        <color theme="1"/>
        <rFont val="Calibri"/>
        <family val="2"/>
        <charset val="1"/>
      </rPr>
      <t xml:space="preserve">32,768 </t>
    </r>
    <r>
      <rPr>
        <sz val="11"/>
        <color theme="1"/>
        <rFont val="Noto Sans SC"/>
        <family val="2"/>
        <charset val="134"/>
      </rPr>
      <t xml:space="preserve">种覆盖情形 → 降维为「覆盖格数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SC"/>
        <family val="2"/>
        <charset val="134"/>
      </rPr>
      <t xml:space="preserve">档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单线形态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SC"/>
        <family val="2"/>
        <charset val="134"/>
      </rPr>
      <t xml:space="preserve">档」＝</t>
    </r>
    <r>
      <rPr>
        <sz val="11"/>
        <color theme="1"/>
        <rFont val="Calibri"/>
        <family val="2"/>
        <charset val="1"/>
      </rPr>
      <t xml:space="preserve">512 </t>
    </r>
    <r>
      <rPr>
        <sz val="11"/>
        <color theme="1"/>
        <rFont val="Noto Sans SC"/>
        <family val="2"/>
        <charset val="134"/>
      </rPr>
      <t xml:space="preserve">组；首选跑数据</t>
    </r>
  </si>
  <si>
    <r>
      <rPr>
        <sz val="11"/>
        <color theme="1"/>
        <rFont val="Noto Sans SC"/>
        <family val="2"/>
        <charset val="134"/>
      </rPr>
      <t xml:space="preserve">从零开始学</t>
    </r>
    <r>
      <rPr>
        <sz val="11"/>
        <color theme="1"/>
        <rFont val="Calibri"/>
        <family val="2"/>
        <charset val="1"/>
      </rPr>
      <t xml:space="preserve">Slots-41-</t>
    </r>
    <r>
      <rPr>
        <sz val="11"/>
        <color theme="1"/>
        <rFont val="Noto Sans SC"/>
        <family val="2"/>
        <charset val="134"/>
      </rPr>
      <t xml:space="preserve">数值篇</t>
    </r>
    <r>
      <rPr>
        <sz val="11"/>
        <color theme="1"/>
        <rFont val="Calibri"/>
        <family val="2"/>
        <charset val="1"/>
      </rPr>
      <t xml:space="preserve">-Jackpot.xlsx</t>
    </r>
  </si>
  <si>
    <r>
      <rPr>
        <sz val="11"/>
        <color theme="1"/>
        <rFont val="Calibri"/>
        <family val="2"/>
        <charset val="1"/>
      </rPr>
      <t xml:space="preserve">Cluster/Grid </t>
    </r>
    <r>
      <rPr>
        <sz val="11"/>
        <color theme="1"/>
        <rFont val="Noto Sans SC"/>
        <family val="2"/>
        <charset val="134"/>
      </rPr>
      <t xml:space="preserve">判定流程与中奖「个数区间」赔率表；原文 </t>
    </r>
    <r>
      <rPr>
        <sz val="11"/>
        <color theme="1"/>
        <rFont val="Calibri"/>
        <family val="2"/>
        <charset val="1"/>
      </rPr>
      <t xml:space="preserve">Excel RTP 0.5455</t>
    </r>
    <r>
      <rPr>
        <sz val="11"/>
        <color theme="1"/>
        <rFont val="Noto Sans SC"/>
        <family val="2"/>
        <charset val="134"/>
      </rPr>
      <t xml:space="preserve">、跑数据 </t>
    </r>
    <r>
      <rPr>
        <sz val="11"/>
        <color theme="1"/>
        <rFont val="Calibri"/>
        <family val="2"/>
        <charset val="1"/>
      </rPr>
      <t xml:space="preserve">0.5519</t>
    </r>
    <r>
      <rPr>
        <sz val="11"/>
        <color theme="1"/>
        <rFont val="Noto Sans SC"/>
        <family val="2"/>
        <charset val="134"/>
      </rPr>
      <t xml:space="preserve">（标准差 </t>
    </r>
    <r>
      <rPr>
        <sz val="11"/>
        <color theme="1"/>
        <rFont val="Calibri"/>
        <family val="2"/>
        <charset val="1"/>
      </rPr>
      <t xml:space="preserve">0.0113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</si>
  <si>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theme="1"/>
        <rFont val="Calibri"/>
        <family val="2"/>
        <charset val="1"/>
      </rPr>
      <t xml:space="preserve">5*6</t>
    </r>
    <r>
      <rPr>
        <sz val="11"/>
        <color theme="1"/>
        <rFont val="Noto Sans SC"/>
        <family val="2"/>
        <charset val="134"/>
      </rPr>
      <t xml:space="preserve">＝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SC"/>
        <family val="2"/>
        <charset val="134"/>
      </rPr>
      <t xml:space="preserve">格、区间 </t>
    </r>
    <r>
      <rPr>
        <sz val="11"/>
        <color theme="1"/>
        <rFont val="Calibri"/>
        <family val="2"/>
        <charset val="1"/>
      </rPr>
      <t xml:space="preserve">[8,9]/[10,11]/[12,30]</t>
    </r>
    <r>
      <rPr>
        <sz val="11"/>
        <color theme="1"/>
        <rFont val="Noto Sans SC"/>
        <family val="2"/>
        <charset val="134"/>
      </rPr>
      <t xml:space="preserve">、多倍图标 </t>
    </r>
    <r>
      <rPr>
        <sz val="11"/>
        <color theme="1"/>
        <rFont val="Calibri"/>
        <family val="2"/>
        <charset val="1"/>
      </rPr>
      <t xml:space="preserve">0~30 </t>
    </r>
    <r>
      <rPr>
        <sz val="11"/>
        <color theme="1"/>
        <rFont val="Noto Sans SC"/>
        <family val="2"/>
        <charset val="134"/>
      </rPr>
      <t xml:space="preserve">共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SC"/>
        <family val="2"/>
        <charset val="134"/>
      </rPr>
      <t xml:space="preserve">种情形加权；示例 </t>
    </r>
    <r>
      <rPr>
        <sz val="11"/>
        <color theme="1"/>
        <rFont val="Calibri"/>
        <family val="2"/>
        <charset val="1"/>
      </rPr>
      <t xml:space="preserve">RTP ≈ 45.4%</t>
    </r>
  </si>
  <si>
    <r>
      <rPr>
        <sz val="11"/>
        <color theme="1"/>
        <rFont val="Noto Sans SC"/>
        <family val="2"/>
        <charset val="134"/>
      </rPr>
      <t xml:space="preserve">四池（</t>
    </r>
    <r>
      <rPr>
        <sz val="11"/>
        <color theme="1"/>
        <rFont val="Calibri"/>
        <family val="2"/>
        <charset val="1"/>
      </rPr>
      <t xml:space="preserve">Mini/Minor/Major/Grand</t>
    </r>
    <r>
      <rPr>
        <sz val="11"/>
        <color theme="1"/>
        <rFont val="Noto Sans SC"/>
        <family val="2"/>
        <charset val="134"/>
      </rPr>
      <t xml:space="preserve">）期望 ＝ </t>
    </r>
    <r>
      <rPr>
        <sz val="11"/>
        <color theme="1"/>
        <rFont val="Calibri"/>
        <family val="2"/>
        <charset val="1"/>
      </rPr>
      <t xml:space="preserve">Σ</t>
    </r>
    <r>
      <rPr>
        <sz val="11"/>
        <color theme="1"/>
        <rFont val="Noto Sans SC"/>
        <family val="2"/>
        <charset val="134"/>
      </rPr>
      <t xml:space="preserve">倍数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SC"/>
        <family val="2"/>
        <charset val="134"/>
      </rPr>
      <t xml:space="preserve">几率；触发 </t>
    </r>
    <r>
      <rPr>
        <sz val="11"/>
        <color theme="1"/>
        <rFont val="Calibri"/>
        <family val="2"/>
        <charset val="1"/>
      </rPr>
      <t xml:space="preserve">P(JP≥5)</t>
    </r>
    <r>
      <rPr>
        <sz val="11"/>
        <color theme="1"/>
        <rFont val="Noto Sans SC"/>
        <family val="2"/>
        <charset val="134"/>
      </rPr>
      <t xml:space="preserve">；整体 </t>
    </r>
    <r>
      <rPr>
        <sz val="11"/>
        <color theme="1"/>
        <rFont val="Calibri"/>
        <family val="2"/>
        <charset val="1"/>
      </rPr>
      <t xml:space="preserve">RTP ≈ 63.1% </t>
    </r>
    <r>
      <rPr>
        <sz val="11"/>
        <color theme="1"/>
        <rFont val="Noto Sans SC"/>
        <family val="2"/>
        <charset val="134"/>
      </rPr>
      <t xml:space="preserve">＋ </t>
    </r>
    <r>
      <rPr>
        <sz val="11"/>
        <color theme="1"/>
        <rFont val="Calibri"/>
        <family val="2"/>
        <charset val="1"/>
      </rPr>
      <t xml:space="preserve">2.6% ≈ 65.7%</t>
    </r>
  </si>
  <si>
    <r>
      <rPr>
        <sz val="11"/>
        <color theme="1"/>
        <rFont val="Noto Sans SC"/>
        <family val="2"/>
        <charset val="134"/>
      </rPr>
      <t xml:space="preserve">抓取状态（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SC"/>
        <family val="2"/>
        <charset val="134"/>
      </rPr>
      <t xml:space="preserve">）：用户已把专栏 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SC"/>
        <family val="2"/>
        <charset val="134"/>
      </rPr>
      <t xml:space="preserve">篇文章全部用浏览器「另存为 → 网页，全部」保存在 从零开始学</t>
    </r>
    <r>
      <rPr>
        <sz val="11"/>
        <color theme="1"/>
        <rFont val="Calibri"/>
        <family val="2"/>
        <charset val="1"/>
      </rPr>
      <t xml:space="preserve">Slots/ </t>
    </r>
    <r>
      <rPr>
        <sz val="11"/>
        <color theme="1"/>
        <rFont val="Noto Sans SC"/>
        <family val="2"/>
        <charset val="134"/>
      </rPr>
      <t xml:space="preserve">目录下，正文全部抽出（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  <charset val="134"/>
      </rPr>
      <t xml:space="preserve">篇空文），原文配图共取回 </t>
    </r>
    <r>
      <rPr>
        <sz val="11"/>
        <color theme="1"/>
        <rFont val="Calibri"/>
        <family val="2"/>
        <charset val="1"/>
      </rPr>
      <t xml:space="preserve">519 </t>
    </r>
    <r>
      <rPr>
        <sz val="11"/>
        <color theme="1"/>
        <rFont val="Noto Sans SC"/>
        <family val="2"/>
        <charset val="134"/>
      </rPr>
      <t xml:space="preserve">张（</t>
    </r>
    <r>
      <rPr>
        <sz val="11"/>
        <color theme="1"/>
        <rFont val="Calibri"/>
        <family val="2"/>
        <charset val="1"/>
      </rPr>
      <t xml:space="preserve">images/slots/</t>
    </r>
    <r>
      <rPr>
        <sz val="11"/>
        <color theme="1"/>
        <rFont val="Noto Sans SC"/>
        <family val="2"/>
        <charset val="134"/>
      </rPr>
      <t xml:space="preserve">）。</t>
    </r>
  </si>
  <si>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SC"/>
        <family val="2"/>
        <charset val="134"/>
      </rPr>
      <t xml:space="preserve">篇工作簿均已生成：页签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「说明」＝来源元信息 ＋ 用法 ＋ 要点 ＋ 原文整理（全文） ＋ 配图清单 ＋ 校验；页签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SC"/>
        <family val="2"/>
        <charset val="134"/>
      </rPr>
      <t xml:space="preserve">「数据配表」按批次补充（已完成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07 </t>
    </r>
    <r>
      <rPr>
        <sz val="11"/>
        <color theme="1"/>
        <rFont val="Noto Sans SC"/>
        <family val="2"/>
        <charset val="134"/>
      </rPr>
      <t xml:space="preserve">号）。</t>
    </r>
  </si>
  <si>
    <r>
      <rPr>
        <sz val="11"/>
        <color theme="1"/>
        <rFont val="Noto Sans SC"/>
        <family val="2"/>
        <charset val="134"/>
      </rPr>
      <t xml:space="preserve">原文配图为按正文出现顺序编号的 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Noto Sans SC"/>
        <family val="2"/>
        <charset val="134"/>
      </rPr>
      <t xml:space="preserve">文章</t>
    </r>
    <r>
      <rPr>
        <sz val="11"/>
        <color theme="1"/>
        <rFont val="Calibri"/>
        <family val="2"/>
        <charset val="1"/>
      </rPr>
      <t xml:space="preserve">ID&gt;-NN </t>
    </r>
    <r>
      <rPr>
        <sz val="11"/>
        <color theme="1"/>
        <rFont val="Noto Sans SC"/>
        <family val="2"/>
        <charset val="134"/>
      </rPr>
      <t xml:space="preserve">文件；正文中的 ［配图 </t>
    </r>
    <r>
      <rPr>
        <sz val="11"/>
        <color theme="1"/>
        <rFont val="Calibri"/>
        <family val="2"/>
        <charset val="1"/>
      </rPr>
      <t xml:space="preserve">NN</t>
    </r>
    <r>
      <rPr>
        <sz val="11"/>
        <color theme="1"/>
        <rFont val="Noto Sans SC"/>
        <family val="2"/>
        <charset val="134"/>
      </rPr>
      <t xml:space="preserve">］ 即对应同一编号。</t>
    </r>
  </si>
  <si>
    <r>
      <rPr>
        <sz val="11"/>
        <color theme="1"/>
        <rFont val="Calibri"/>
        <family val="2"/>
        <charset val="1"/>
      </rPr>
      <t xml:space="preserve">01~01 </t>
    </r>
    <r>
      <rPr>
        <sz val="11"/>
        <color theme="1"/>
        <rFont val="Noto Sans SC"/>
        <family val="2"/>
        <charset val="134"/>
      </rPr>
      <t xml:space="preserve">号的配表为按原文方法自建的示例数据；</t>
    </r>
    <r>
      <rPr>
        <sz val="11"/>
        <color theme="1"/>
        <rFont val="Calibri"/>
        <family val="2"/>
        <charset val="1"/>
      </rPr>
      <t xml:space="preserve">02 </t>
    </r>
    <r>
      <rPr>
        <sz val="11"/>
        <color theme="1"/>
        <rFont val="Noto Sans SC"/>
        <family val="2"/>
        <charset val="134"/>
      </rPr>
      <t xml:space="preserve">号起按原文配图逐表转录，并用原文公布的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反验（如 </t>
    </r>
    <r>
      <rPr>
        <sz val="11"/>
        <color theme="1"/>
        <rFont val="Calibri"/>
        <family val="2"/>
        <charset val="1"/>
      </rPr>
      <t xml:space="preserve">3*3 </t>
    </r>
    <r>
      <rPr>
        <sz val="11"/>
        <color theme="1"/>
        <rFont val="Noto Sans SC"/>
        <family val="2"/>
        <charset val="134"/>
      </rPr>
      <t xml:space="preserve">篇算出 </t>
    </r>
    <r>
      <rPr>
        <sz val="11"/>
        <color theme="1"/>
        <rFont val="Calibri"/>
        <family val="2"/>
        <charset val="1"/>
      </rPr>
      <t xml:space="preserve">96.82%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3*5 </t>
    </r>
    <r>
      <rPr>
        <sz val="11"/>
        <color theme="1"/>
        <rFont val="Noto Sans SC"/>
        <family val="2"/>
        <charset val="134"/>
      </rPr>
      <t xml:space="preserve">篇算出 </t>
    </r>
    <r>
      <rPr>
        <sz val="11"/>
        <color theme="1"/>
        <rFont val="Calibri"/>
        <family val="2"/>
        <charset val="1"/>
      </rPr>
      <t xml:space="preserve">93.00%</t>
    </r>
    <r>
      <rPr>
        <sz val="11"/>
        <color theme="1"/>
        <rFont val="Noto Sans SC"/>
        <family val="2"/>
        <charset val="134"/>
      </rPr>
      <t xml:space="preserve">，与原文一致）。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</si>
</sst>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.0000000000%"/>
  </numFmts>
  <fonts count="1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color rgb="FF1F4E79"/>
      <name val="Noto Sans SC"/>
      <family val="2"/>
      <charset val="134"/>
    </font>
    <font>
      <b val="true"/>
      <sz val="14"/>
      <color rgb="FF1F4E79"/>
      <name val="Cambria"/>
      <family val="0"/>
      <charset val="1"/>
    </font>
    <font>
      <sz val="11"/>
      <color rgb="FF808080"/>
      <name val="Noto Sans SC"/>
      <family val="2"/>
      <charset val="134"/>
    </font>
    <font>
      <sz val="11"/>
      <color rgb="FF808080"/>
      <name val="Cambria"/>
      <family val="0"/>
      <charset val="1"/>
    </font>
    <font>
      <b val="true"/>
      <sz val="11"/>
      <name val="Noto Sans SC"/>
      <family val="2"/>
      <charset val="134"/>
    </font>
    <font>
      <sz val="11"/>
      <color theme="1"/>
      <name val="Calibri"/>
      <family val="2"/>
      <charset val="1"/>
    </font>
    <font>
      <b val="true"/>
      <sz val="11"/>
      <color rgb="FF1F4E79"/>
      <name val="Noto Sans SC"/>
      <family val="2"/>
      <charset val="134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4E79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99CCFF"/>
      </patternFill>
    </fill>
    <fill>
      <patternFill patternType="solid">
        <fgColor rgb="FFD9E1F2"/>
        <bgColor rgb="FFDEEBF7"/>
      </patternFill>
    </fill>
    <fill>
      <patternFill patternType="solid">
        <fgColor rgb="FFDEEBF7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0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applyNumberFormat="1" fontId="1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42.14"/>
  </cols>
  <sheetData>
    <row r="1" customFormat="false" ht="19" hidden="false" customHeight="false" outlineLevel="0" collapsed="false">
      <c r="A1" s="1" t="s">
        <v>0</v>
      </c>
    </row>
    <row r="3" customFormat="false" ht="15.5" hidden="false" customHeight="false" outlineLevel="0" collapsed="false">
      <c r="A3" s="2" t="s">
        <v>1</v>
      </c>
      <c r="B3" s="2"/>
      <c r="C3" s="2"/>
      <c r="D3" s="2"/>
    </row>
    <row r="4" customFormat="false" ht="15.5" hidden="false" customHeight="false" outlineLevel="0" collapsed="false">
      <c r="A4" s="2" t="s">
        <v>2</v>
      </c>
      <c r="B4" s="2"/>
      <c r="C4" s="2"/>
      <c r="D4" s="2"/>
      <c r="E4" s="2"/>
      <c r="F4" s="2"/>
      <c r="G4" s="2"/>
      <c r="H4" s="2"/>
    </row>
    <row r="5" customFormat="false" ht="15.5" hidden="false" customHeight="false" outlineLevel="0" collapsed="false">
      <c r="A5" s="2" t="s">
        <v>3</v>
      </c>
      <c r="B5" s="2"/>
      <c r="C5" s="2"/>
    </row>
    <row r="6" customFormat="false" ht="15.5" hidden="false" customHeight="false" outlineLevel="0" collapsed="false">
      <c r="A6" s="2" t="s">
        <v>4</v>
      </c>
      <c r="B6" s="2"/>
      <c r="C6" s="2"/>
    </row>
    <row r="8" customFormat="false" ht="15" hidden="false" customHeight="false" outlineLevel="0" collapsed="false">
      <c r="A8" s="3" t="s">
        <v>5</v>
      </c>
    </row>
    <row r="9" customFormat="false" ht="15" hidden="false" customHeight="1" outlineLevel="0" collapsed="false">
      <c r="A9" s="27" t="s">
        <v>6</v>
      </c>
      <c r="B9" s="4"/>
      <c r="C9" s="4"/>
      <c r="D9" s="4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8" t="s">
        <v>8</v>
      </c>
    </row>
    <row r="13" customFormat="false" ht="29" hidden="false" customHeight="false" outlineLevel="0" collapsed="false">
      <c r="A13" s="29" t="s">
        <v>9</v>
      </c>
    </row>
    <row r="14" customFormat="false" ht="15" hidden="false" customHeight="1" outlineLevel="0" collapsed="false">
      <c r="A14" s="27" t="s">
        <v>10</v>
      </c>
      <c r="B14" s="4"/>
      <c r="C14" s="4"/>
    </row>
    <row r="15" customFormat="false" ht="15" hidden="false" customHeight="1" outlineLevel="0" collapsed="false">
      <c r="A15" s="27" t="s">
        <v>11</v>
      </c>
      <c r="B15" s="4"/>
      <c r="C15" s="4"/>
      <c r="D15" s="4"/>
      <c r="E15" s="4"/>
    </row>
    <row r="16" customFormat="false" ht="15" hidden="false" customHeight="1" outlineLevel="0" collapsed="false">
      <c r="A16" s="27" t="s">
        <v>12</v>
      </c>
      <c r="B16" s="4"/>
      <c r="C16" s="4"/>
      <c r="D16" s="4"/>
    </row>
    <row r="17" customFormat="false" ht="15" hidden="false" customHeight="1" outlineLevel="0" collapsed="false">
      <c r="A17" s="30" t="s">
        <v>13</v>
      </c>
      <c r="B17" s="7"/>
      <c r="C17" s="7"/>
    </row>
    <row r="18" customFormat="false" ht="29" hidden="false" customHeight="false" outlineLevel="0" collapsed="false">
      <c r="A18" s="29" t="s">
        <v>14</v>
      </c>
    </row>
    <row r="19" customFormat="false" ht="42" hidden="false" customHeight="false" outlineLevel="0" collapsed="false">
      <c r="A19" s="28" t="s">
        <v>15</v>
      </c>
    </row>
    <row r="20" customFormat="false" ht="30" hidden="false" customHeight="false" outlineLevel="0" collapsed="false">
      <c r="A20" s="28" t="s">
        <v>16</v>
      </c>
    </row>
    <row r="22" customFormat="false" ht="15" hidden="false" customHeight="false" outlineLevel="0" collapsed="false">
      <c r="A22" s="3" t="s">
        <v>17</v>
      </c>
    </row>
    <row r="23" customFormat="false" ht="30" hidden="false" customHeight="false" outlineLevel="0" collapsed="false">
      <c r="A23" s="29" t="s">
        <v>18</v>
      </c>
    </row>
    <row r="24" customFormat="false" ht="42" hidden="false" customHeight="false" outlineLevel="0" collapsed="false">
      <c r="A24" s="29" t="s">
        <v>19</v>
      </c>
    </row>
    <row r="25" customFormat="false" ht="30" hidden="false" customHeight="false" outlineLevel="0" collapsed="false">
      <c r="A25" s="29" t="s">
        <v>20</v>
      </c>
    </row>
    <row r="26" customFormat="false" ht="15" hidden="false" customHeight="1" outlineLevel="0" collapsed="false">
      <c r="A26" s="27" t="s">
        <v>21</v>
      </c>
      <c r="B26" s="4"/>
      <c r="C26" s="4"/>
      <c r="D26" s="4"/>
      <c r="E26" s="4"/>
    </row>
    <row r="27" customFormat="false" ht="15" hidden="false" customHeight="false" outlineLevel="0" collapsed="false">
      <c r="A27" s="3" t="s">
        <v>22</v>
      </c>
    </row>
    <row r="28" customFormat="false" ht="15" hidden="false" customHeight="1" outlineLevel="0" collapsed="false">
      <c r="A28" s="27" t="s">
        <v>23</v>
      </c>
      <c r="B28" s="4"/>
      <c r="C28" s="4"/>
      <c r="D28" s="4"/>
      <c r="E28" s="4"/>
      <c r="F28" s="4"/>
      <c r="G28" s="4"/>
      <c r="H28" s="4"/>
      <c r="I28" s="4"/>
    </row>
    <row r="29" customFormat="false" ht="15" hidden="false" customHeight="1" outlineLevel="0" collapsed="false">
      <c r="A29" s="30" t="s">
        <v>24</v>
      </c>
      <c r="B29" s="7"/>
      <c r="C29" s="7"/>
      <c r="D29" s="7"/>
      <c r="E29" s="7"/>
      <c r="F29" s="7"/>
      <c r="G29" s="7"/>
      <c r="H29" s="7"/>
    </row>
    <row r="30" customFormat="false" ht="15" hidden="false" customHeight="1" outlineLevel="0" collapsed="false">
      <c r="A30" s="30" t="s">
        <v>25</v>
      </c>
      <c r="B30" s="7"/>
      <c r="C30" s="7"/>
      <c r="D30" s="7"/>
      <c r="E30" s="7"/>
      <c r="F30" s="7"/>
      <c r="G30" s="7"/>
      <c r="H30" s="7"/>
      <c r="I30" s="7"/>
    </row>
    <row r="34" customFormat="false" ht="15" hidden="false" customHeight="false" outlineLevel="0" collapsed="false">
      <c r="A34" s="3" t="s">
        <v>26</v>
      </c>
    </row>
    <row r="35" customFormat="false" ht="15" hidden="false" customHeight="1" outlineLevel="0" collapsed="false">
      <c r="A35" s="30" t="s">
        <v>27</v>
      </c>
      <c r="B35" s="7"/>
      <c r="C35" s="7"/>
      <c r="D35" s="7"/>
      <c r="E35" s="7"/>
      <c r="F35" s="7"/>
      <c r="G35" s="7"/>
      <c r="H35" s="7"/>
      <c r="I35" s="7"/>
    </row>
    <row r="36" customFormat="false" ht="15.5" hidden="false" customHeight="false" outlineLevel="0" collapsed="false">
      <c r="A36" s="8" t="s">
        <v>28</v>
      </c>
    </row>
  </sheetData>
  <mergeCells count="14">
    <mergeCell ref="A3:K3"/>
    <mergeCell ref="A4:Q4"/>
    <mergeCell ref="A5:J5"/>
    <mergeCell ref="A6:I6"/>
    <mergeCell ref="A9:J9"/>
    <mergeCell ref="A14:I14"/>
    <mergeCell ref="A15:L15"/>
    <mergeCell ref="A16:L16"/>
    <mergeCell ref="A17:J17"/>
    <mergeCell ref="A26:M26"/>
    <mergeCell ref="A28:U28"/>
    <mergeCell ref="A29:Q29"/>
    <mergeCell ref="A30:AE30"/>
    <mergeCell ref="A35:AQ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N56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9" width="4.55"/>
    <col collapsed="false" customWidth="true" hidden="false" outlineLevel="0" max="2" min="2" style="9" width="41.85"/>
    <col collapsed="false" customWidth="true" hidden="false" outlineLevel="0" max="3" min="3" style="9" width="8.19"/>
    <col collapsed="false" customWidth="true" hidden="false" outlineLevel="0" max="4" min="4" style="9" width="23.66"/>
    <col collapsed="false" customWidth="true" hidden="false" outlineLevel="0" max="5" min="5" style="9" width="47.31"/>
    <col collapsed="false" customWidth="true" hidden="false" outlineLevel="0" max="6" min="6" style="9" width="38.21"/>
    <col collapsed="false" customWidth="true" hidden="false" outlineLevel="0" max="7" min="7" style="9" width="10.01"/>
    <col collapsed="false" customWidth="true" hidden="false" outlineLevel="0" max="8" min="8" style="9" width="49.13"/>
  </cols>
  <sheetData>
    <row r="1" customFormat="false" ht="19" hidden="false" customHeight="false" outlineLevel="0" collapsed="false">
      <c r="A1" s="10" t="s">
        <v>29</v>
      </c>
      <c r="B1" s="10"/>
      <c r="C1" s="10"/>
      <c r="D1" s="10"/>
      <c r="E1" s="10"/>
      <c r="F1" s="10"/>
      <c r="G1" s="10"/>
      <c r="H1" s="10"/>
    </row>
    <row r="3" customFormat="false" ht="15" hidden="false" customHeight="false" outlineLevel="0" collapsed="false">
      <c r="A3" s="11" t="s">
        <v>30</v>
      </c>
      <c r="B3" s="11"/>
      <c r="C3" s="11"/>
      <c r="D3" s="11"/>
      <c r="E3" s="11"/>
      <c r="F3" s="11"/>
      <c r="G3" s="12"/>
      <c r="H3" s="12"/>
    </row>
    <row r="4" customFormat="false" ht="15.5" hidden="false" customHeight="false" outlineLevel="0" collapsed="false">
      <c r="A4" s="9" t="s">
        <v>31</v>
      </c>
      <c r="B4" s="13" t="n">
        <v>46</v>
      </c>
      <c r="D4" s="31">
        <v>46</v>
      </c>
      <c r="E4" s="14"/>
    </row>
    <row r="5" customFormat="false" ht="15" hidden="false" customHeight="false" outlineLevel="0" collapsed="false">
      <c r="A5" s="9" t="s">
        <v>33</v>
      </c>
      <c r="B5" s="15" t="n">
        <f aca="false">COUNTA($B$17:$B$67)</f>
        <v>46</v>
      </c>
    </row>
    <row r="6" customFormat="false" ht="15.5" hidden="false" customHeight="false" outlineLevel="0" collapsed="false">
      <c r="A6" s="9" t="s">
        <v>34</v>
      </c>
      <c r="B6" s="15" t="n">
        <f aca="false">COUNTIF($G$17:$G$67,"已定位")</f>
        <v>46</v>
      </c>
      <c r="D6" s="2" t="s">
        <v>35</v>
      </c>
      <c r="E6" s="2"/>
      <c r="F6" s="2"/>
    </row>
    <row r="7" customFormat="false" ht="15" hidden="false" customHeight="false" outlineLevel="0" collapsed="false">
      <c r="A7" s="9" t="s">
        <v>36</v>
      </c>
      <c r="B7" s="15" t="n">
        <f aca="false">COUNTIF($G$17:$G$67,"仅见标题")</f>
        <v>0</v>
      </c>
    </row>
    <row r="8" customFormat="false" ht="15" hidden="false" customHeight="false" outlineLevel="0" collapsed="false">
      <c r="A8" s="9" t="s">
        <v>37</v>
      </c>
      <c r="B8" s="15" t="n">
        <f aca="false">COUNTIF($G$17:$G$67,"待补")</f>
        <v>0</v>
      </c>
    </row>
    <row r="9" customFormat="false" ht="16" hidden="false" customHeight="false" outlineLevel="0" collapsed="false">
      <c r="A9" s="9" t="s">
        <v>38</v>
      </c>
      <c r="B9" s="16" t="n">
        <v>45</v>
      </c>
      <c r="D9" s="2" t="s">
        <v>39</v>
      </c>
      <c r="E9" s="2"/>
      <c r="F9" s="2"/>
    </row>
    <row r="10" customFormat="false" ht="16" hidden="false" customHeight="false" outlineLevel="0" collapsed="false">
      <c r="A10" s="9" t="s">
        <v>40</v>
      </c>
      <c r="B10" s="34" t="n">
        <f aca="false">IF($B$4=0,0,$B$6/$B$4)</f>
        <v>1</v>
      </c>
      <c r="D10" s="2" t="s">
        <v>41</v>
      </c>
      <c r="E10" s="2"/>
    </row>
    <row r="11" customFormat="false" ht="15" hidden="false" customHeight="false" outlineLevel="0" collapsed="false">
      <c r="A11" s="9" t="s">
        <v>42</v>
      </c>
      <c r="B11" s="18" t="n">
        <f aca="false">$B$4-$B$5</f>
        <v>0</v>
      </c>
    </row>
    <row r="12" customFormat="false" ht="16" hidden="false" customHeight="false" outlineLevel="0" collapsed="false">
      <c r="A12" s="9" t="s">
        <v>43</v>
      </c>
      <c r="B12" s="15" t="n">
        <f aca="false">COUNTIF($H$17:$H$67,"*已完成*")</f>
        <v>45</v>
      </c>
      <c r="D12" s="14" t="s">
        <v>44</v>
      </c>
      <c r="E12" s="14"/>
      <c r="F12" s="14"/>
      <c r="G12" s="14"/>
      <c r="H12" s="14"/>
      <c r="I12" s="14"/>
    </row>
    <row r="13" customFormat="false" ht="16" hidden="false" customHeight="false" outlineLevel="0" collapsed="false">
      <c r="A13" s="9" t="s">
        <v>45</v>
      </c>
      <c r="B13" s="34" t="n">
        <f aca="false">IF($B$5=0,0,$B$12/($B$5-1))</f>
        <v>1</v>
      </c>
      <c r="D13" s="2" t="s">
        <v>46</v>
      </c>
      <c r="E13" s="2"/>
      <c r="F13" s="2"/>
    </row>
    <row r="14" customFormat="false" ht="16" hidden="false" customHeight="false" outlineLevel="0" collapsed="false">
      <c r="A14" s="9" t="s">
        <v>47</v>
      </c>
      <c r="B14" s="18" t="n">
        <f aca="false">$B$12+1</f>
        <v>46</v>
      </c>
    </row>
    <row r="15" customFormat="false" ht="15.5" hidden="false" customHeight="false" outlineLevel="0" collapsed="false">
      <c r="A15" s="11" t="s">
        <v>48</v>
      </c>
      <c r="B15" s="11"/>
      <c r="C15" s="11"/>
      <c r="D15" s="11"/>
      <c r="E15" s="11"/>
      <c r="F15" s="11"/>
      <c r="G15" s="12"/>
      <c r="H15" s="12"/>
    </row>
    <row r="16" customFormat="false" ht="15" hidden="false" customHeight="false" outlineLevel="0" collapsed="false">
      <c r="A16" s="19" t="s">
        <v>49</v>
      </c>
      <c r="B16" s="20" t="s">
        <v>50</v>
      </c>
      <c r="C16" s="20" t="s">
        <v>51</v>
      </c>
      <c r="D16" s="20" t="s">
        <v>52</v>
      </c>
      <c r="E16" s="20" t="s">
        <v>53</v>
      </c>
      <c r="F16" s="20" t="s">
        <v>54</v>
      </c>
      <c r="G16" s="20" t="s">
        <v>55</v>
      </c>
      <c r="H16" s="20" t="s">
        <v>56</v>
      </c>
    </row>
    <row r="17" customFormat="false" ht="15" hidden="false" customHeight="false" outlineLevel="0" collapsed="false">
      <c r="A17" s="11" t="s">
        <v>57</v>
      </c>
      <c r="B17" s="11"/>
      <c r="C17" s="12"/>
      <c r="D17" s="12"/>
      <c r="E17" s="12"/>
      <c r="F17" s="12"/>
      <c r="G17" s="12"/>
      <c r="H17" s="12"/>
    </row>
    <row r="18" customFormat="false" ht="16" hidden="false" customHeight="false" outlineLevel="0" collapsed="false">
      <c r="A18" s="21" t="n">
        <v>1</v>
      </c>
      <c r="B18" s="22" t="s">
        <v>58</v>
      </c>
      <c r="C18" s="23" t="s">
        <v>59</v>
      </c>
      <c r="D18" s="9" t="s">
        <v>60</v>
      </c>
      <c r="E18" s="22" t="s">
        <v>61</v>
      </c>
      <c r="F18" s="9" t="s">
        <v>62</v>
      </c>
      <c r="G18" s="23" t="s">
        <v>63</v>
      </c>
      <c r="H18" s="24" t="s">
        <v>64</v>
      </c>
    </row>
    <row r="19" customFormat="false" ht="15.5" hidden="false" customHeight="false" outlineLevel="0" collapsed="false">
      <c r="A19" s="11" t="s">
        <v>65</v>
      </c>
      <c r="B19" s="11"/>
      <c r="C19" s="12"/>
      <c r="D19" s="12"/>
      <c r="E19" s="12"/>
      <c r="F19" s="12"/>
      <c r="G19" s="12"/>
      <c r="H19" s="12"/>
    </row>
    <row r="20" customFormat="false" ht="16" hidden="false" customHeight="false" outlineLevel="0" collapsed="false">
      <c r="A20" s="23" t="n">
        <v>2</v>
      </c>
      <c r="B20" s="22" t="s">
        <v>66</v>
      </c>
      <c r="C20" s="23" t="s">
        <v>67</v>
      </c>
      <c r="D20" s="22" t="s">
        <v>68</v>
      </c>
      <c r="E20" s="22" t="s">
        <v>69</v>
      </c>
      <c r="F20" s="9" t="s">
        <v>70</v>
      </c>
      <c r="G20" s="23" t="s">
        <v>63</v>
      </c>
      <c r="H20" s="24" t="s">
        <v>71</v>
      </c>
    </row>
    <row r="21" customFormat="false" ht="16" hidden="false" customHeight="false" outlineLevel="0" collapsed="false">
      <c r="A21" s="23" t="n">
        <v>3</v>
      </c>
      <c r="B21" s="22" t="s">
        <v>72</v>
      </c>
      <c r="C21" s="23" t="s">
        <v>67</v>
      </c>
      <c r="D21" s="22" t="s">
        <v>73</v>
      </c>
      <c r="E21" s="22" t="s">
        <v>74</v>
      </c>
      <c r="F21" s="9" t="s">
        <v>75</v>
      </c>
      <c r="G21" s="23" t="s">
        <v>63</v>
      </c>
      <c r="H21" s="24" t="s">
        <v>71</v>
      </c>
    </row>
    <row r="22" customFormat="false" ht="16" hidden="false" customHeight="false" outlineLevel="0" collapsed="false">
      <c r="A22" s="23" t="n">
        <v>4</v>
      </c>
      <c r="B22" s="22" t="s">
        <v>76</v>
      </c>
      <c r="C22" s="23" t="s">
        <v>67</v>
      </c>
      <c r="D22" s="22" t="s">
        <v>77</v>
      </c>
      <c r="E22" s="22" t="s">
        <v>78</v>
      </c>
      <c r="F22" s="9" t="s">
        <v>79</v>
      </c>
      <c r="G22" s="23" t="s">
        <v>63</v>
      </c>
      <c r="H22" s="24" t="s">
        <v>71</v>
      </c>
    </row>
    <row r="23" customFormat="false" ht="16" hidden="false" customHeight="false" outlineLevel="0" collapsed="false">
      <c r="A23" s="23" t="n">
        <v>5</v>
      </c>
      <c r="B23" s="22" t="s">
        <v>80</v>
      </c>
      <c r="C23" s="23" t="s">
        <v>67</v>
      </c>
      <c r="D23" s="9" t="s">
        <v>81</v>
      </c>
      <c r="E23" s="22" t="s">
        <v>82</v>
      </c>
      <c r="F23" s="9" t="s">
        <v>83</v>
      </c>
      <c r="G23" s="23" t="s">
        <v>63</v>
      </c>
      <c r="H23" s="24" t="s">
        <v>71</v>
      </c>
    </row>
    <row r="24" customFormat="false" ht="16" hidden="false" customHeight="false" outlineLevel="0" collapsed="false">
      <c r="A24" s="23" t="n">
        <v>6</v>
      </c>
      <c r="B24" s="22" t="s">
        <v>84</v>
      </c>
      <c r="C24" s="23" t="s">
        <v>67</v>
      </c>
      <c r="D24" s="9" t="s">
        <v>85</v>
      </c>
      <c r="E24" s="22" t="s">
        <v>86</v>
      </c>
      <c r="F24" s="9" t="s">
        <v>87</v>
      </c>
      <c r="G24" s="23" t="s">
        <v>63</v>
      </c>
      <c r="H24" s="24" t="s">
        <v>71</v>
      </c>
    </row>
    <row r="25" customFormat="false" ht="16" hidden="false" customHeight="false" outlineLevel="0" collapsed="false">
      <c r="A25" s="23" t="n">
        <v>7</v>
      </c>
      <c r="B25" s="22" t="s">
        <v>88</v>
      </c>
      <c r="C25" s="23" t="s">
        <v>67</v>
      </c>
      <c r="D25" s="9" t="s">
        <v>89</v>
      </c>
      <c r="E25" s="22" t="s">
        <v>90</v>
      </c>
      <c r="F25" s="9" t="s">
        <v>91</v>
      </c>
      <c r="G25" s="23" t="s">
        <v>63</v>
      </c>
      <c r="H25" s="24" t="s">
        <v>71</v>
      </c>
    </row>
    <row r="26" customFormat="false" ht="16" hidden="false" customHeight="false" outlineLevel="0" collapsed="false">
      <c r="A26" s="23" t="n">
        <v>8</v>
      </c>
      <c r="B26" s="22" t="s">
        <v>92</v>
      </c>
      <c r="C26" s="23" t="s">
        <v>67</v>
      </c>
      <c r="D26" s="9" t="s">
        <v>93</v>
      </c>
      <c r="E26" s="22" t="s">
        <v>94</v>
      </c>
      <c r="F26" s="9" t="s">
        <v>95</v>
      </c>
      <c r="G26" s="23" t="s">
        <v>63</v>
      </c>
      <c r="H26" s="24" t="s">
        <v>71</v>
      </c>
    </row>
    <row r="27" customFormat="false" ht="16" hidden="false" customHeight="false" outlineLevel="0" collapsed="false">
      <c r="A27" s="23" t="n">
        <v>9</v>
      </c>
      <c r="B27" s="22" t="s">
        <v>96</v>
      </c>
      <c r="C27" s="23" t="s">
        <v>67</v>
      </c>
      <c r="D27" s="22" t="s">
        <v>97</v>
      </c>
      <c r="E27" s="22" t="s">
        <v>98</v>
      </c>
      <c r="F27" s="9" t="s">
        <v>99</v>
      </c>
      <c r="G27" s="23" t="s">
        <v>63</v>
      </c>
      <c r="H27" s="24" t="s">
        <v>71</v>
      </c>
    </row>
    <row r="28" customFormat="false" ht="16" hidden="false" customHeight="false" outlineLevel="0" collapsed="false">
      <c r="A28" s="23" t="n">
        <v>10</v>
      </c>
      <c r="B28" s="22" t="s">
        <v>100</v>
      </c>
      <c r="C28" s="23" t="s">
        <v>67</v>
      </c>
      <c r="D28" s="22" t="s">
        <v>101</v>
      </c>
      <c r="E28" s="22" t="s">
        <v>102</v>
      </c>
      <c r="F28" s="9" t="s">
        <v>103</v>
      </c>
      <c r="G28" s="23" t="s">
        <v>63</v>
      </c>
      <c r="H28" s="24" t="s">
        <v>71</v>
      </c>
    </row>
    <row r="29" customFormat="false" ht="16" hidden="false" customHeight="false" outlineLevel="0" collapsed="false">
      <c r="A29" s="23" t="n">
        <v>11</v>
      </c>
      <c r="B29" s="22" t="s">
        <v>104</v>
      </c>
      <c r="C29" s="23" t="s">
        <v>67</v>
      </c>
      <c r="D29" s="22" t="s">
        <v>105</v>
      </c>
      <c r="E29" s="22" t="s">
        <v>106</v>
      </c>
      <c r="F29" s="9" t="s">
        <v>107</v>
      </c>
      <c r="G29" s="23" t="s">
        <v>63</v>
      </c>
      <c r="H29" s="24" t="s">
        <v>71</v>
      </c>
    </row>
    <row r="30" customFormat="false" ht="16" hidden="false" customHeight="false" outlineLevel="0" collapsed="false">
      <c r="A30" s="23" t="n">
        <v>12</v>
      </c>
      <c r="B30" s="22" t="s">
        <v>108</v>
      </c>
      <c r="C30" s="23" t="s">
        <v>67</v>
      </c>
      <c r="D30" s="22" t="s">
        <v>109</v>
      </c>
      <c r="E30" s="22" t="s">
        <v>110</v>
      </c>
      <c r="F30" s="9" t="s">
        <v>111</v>
      </c>
      <c r="G30" s="23" t="s">
        <v>63</v>
      </c>
      <c r="H30" s="24" t="s">
        <v>71</v>
      </c>
    </row>
    <row r="31" customFormat="false" ht="16" hidden="false" customHeight="false" outlineLevel="0" collapsed="false">
      <c r="A31" s="23" t="n">
        <v>13</v>
      </c>
      <c r="B31" s="22" t="s">
        <v>112</v>
      </c>
      <c r="C31" s="23" t="s">
        <v>67</v>
      </c>
      <c r="D31" s="22" t="s">
        <v>113</v>
      </c>
      <c r="E31" s="22" t="s">
        <v>114</v>
      </c>
      <c r="F31" s="9" t="s">
        <v>115</v>
      </c>
      <c r="G31" s="23" t="s">
        <v>63</v>
      </c>
      <c r="H31" s="24" t="s">
        <v>71</v>
      </c>
    </row>
    <row r="32" customFormat="false" ht="16" hidden="false" customHeight="false" outlineLevel="0" collapsed="false">
      <c r="A32" s="23" t="n">
        <v>14</v>
      </c>
      <c r="B32" s="22" t="s">
        <v>116</v>
      </c>
      <c r="C32" s="23" t="s">
        <v>67</v>
      </c>
      <c r="D32" s="22" t="s">
        <v>117</v>
      </c>
      <c r="E32" s="22" t="s">
        <v>118</v>
      </c>
      <c r="F32" s="9" t="s">
        <v>119</v>
      </c>
      <c r="G32" s="23" t="s">
        <v>63</v>
      </c>
      <c r="H32" s="24" t="s">
        <v>71</v>
      </c>
    </row>
    <row r="33" customFormat="false" ht="16" hidden="false" customHeight="false" outlineLevel="0" collapsed="false">
      <c r="A33" s="23" t="n">
        <v>15</v>
      </c>
      <c r="B33" s="22" t="s">
        <v>120</v>
      </c>
      <c r="C33" s="23" t="s">
        <v>67</v>
      </c>
      <c r="D33" s="22" t="s">
        <v>121</v>
      </c>
      <c r="E33" s="22" t="s">
        <v>122</v>
      </c>
      <c r="F33" s="9" t="s">
        <v>123</v>
      </c>
      <c r="G33" s="23" t="s">
        <v>63</v>
      </c>
      <c r="H33" s="24" t="s">
        <v>71</v>
      </c>
    </row>
    <row r="34" customFormat="false" ht="16" hidden="false" customHeight="false" outlineLevel="0" collapsed="false">
      <c r="A34" s="23" t="n">
        <v>16</v>
      </c>
      <c r="B34" s="22" t="s">
        <v>124</v>
      </c>
      <c r="C34" s="23" t="s">
        <v>67</v>
      </c>
      <c r="D34" s="22" t="s">
        <v>125</v>
      </c>
      <c r="E34" s="22" t="s">
        <v>126</v>
      </c>
      <c r="F34" s="9" t="s">
        <v>127</v>
      </c>
      <c r="G34" s="23" t="s">
        <v>63</v>
      </c>
      <c r="H34" s="24" t="s">
        <v>71</v>
      </c>
    </row>
    <row r="35" customFormat="false" ht="15.5" hidden="false" customHeight="false" outlineLevel="0" collapsed="false">
      <c r="A35" s="11" t="s">
        <v>128</v>
      </c>
      <c r="B35" s="11"/>
      <c r="C35" s="12"/>
      <c r="D35" s="12"/>
      <c r="E35" s="12"/>
      <c r="F35" s="12"/>
      <c r="G35" s="12"/>
      <c r="H35" s="12"/>
    </row>
    <row r="36" customFormat="false" ht="16" hidden="false" customHeight="false" outlineLevel="0" collapsed="false">
      <c r="A36" s="23" t="n">
        <v>17</v>
      </c>
      <c r="B36" s="22" t="s">
        <v>129</v>
      </c>
      <c r="C36" s="23" t="s">
        <v>130</v>
      </c>
      <c r="D36" s="22" t="s">
        <v>131</v>
      </c>
      <c r="E36" s="22" t="s">
        <v>132</v>
      </c>
      <c r="F36" s="9" t="s">
        <v>133</v>
      </c>
      <c r="G36" s="23" t="s">
        <v>63</v>
      </c>
      <c r="H36" s="24" t="s">
        <v>71</v>
      </c>
    </row>
    <row r="37" customFormat="false" ht="16" hidden="false" customHeight="false" outlineLevel="0" collapsed="false">
      <c r="A37" s="23" t="n">
        <v>18</v>
      </c>
      <c r="B37" s="22" t="s">
        <v>134</v>
      </c>
      <c r="C37" s="23" t="s">
        <v>130</v>
      </c>
      <c r="D37" s="22" t="s">
        <v>135</v>
      </c>
      <c r="E37" s="22" t="s">
        <v>136</v>
      </c>
      <c r="F37" s="9" t="s">
        <v>137</v>
      </c>
      <c r="G37" s="23" t="s">
        <v>63</v>
      </c>
      <c r="H37" s="24" t="s">
        <v>71</v>
      </c>
    </row>
    <row r="38" customFormat="false" ht="16" hidden="false" customHeight="false" outlineLevel="0" collapsed="false">
      <c r="A38" s="23" t="n">
        <v>19</v>
      </c>
      <c r="B38" s="22" t="s">
        <v>138</v>
      </c>
      <c r="C38" s="23" t="s">
        <v>130</v>
      </c>
      <c r="D38" s="22" t="s">
        <v>77</v>
      </c>
      <c r="E38" s="22" t="s">
        <v>139</v>
      </c>
      <c r="F38" s="9" t="s">
        <v>140</v>
      </c>
      <c r="G38" s="23" t="s">
        <v>63</v>
      </c>
      <c r="H38" s="24" t="s">
        <v>71</v>
      </c>
    </row>
    <row r="39" customFormat="false" ht="16" hidden="false" customHeight="false" outlineLevel="0" collapsed="false">
      <c r="A39" s="23" t="n">
        <v>20</v>
      </c>
      <c r="B39" s="22" t="s">
        <v>141</v>
      </c>
      <c r="C39" s="23" t="s">
        <v>130</v>
      </c>
      <c r="D39" s="22" t="s">
        <v>142</v>
      </c>
      <c r="E39" s="22" t="s">
        <v>143</v>
      </c>
      <c r="F39" s="9" t="s">
        <v>144</v>
      </c>
      <c r="G39" s="23" t="s">
        <v>63</v>
      </c>
      <c r="H39" s="24" t="s">
        <v>71</v>
      </c>
    </row>
    <row r="40" customFormat="false" ht="16" hidden="false" customHeight="false" outlineLevel="0" collapsed="false">
      <c r="A40" s="23" t="n">
        <v>21</v>
      </c>
      <c r="B40" s="22" t="s">
        <v>145</v>
      </c>
      <c r="C40" s="23" t="s">
        <v>130</v>
      </c>
      <c r="D40" s="22" t="s">
        <v>146</v>
      </c>
      <c r="E40" s="22" t="s">
        <v>147</v>
      </c>
      <c r="F40" s="9" t="s">
        <v>148</v>
      </c>
      <c r="G40" s="23" t="s">
        <v>63</v>
      </c>
      <c r="H40" s="24" t="s">
        <v>71</v>
      </c>
    </row>
    <row r="41" customFormat="false" ht="16" hidden="false" customHeight="false" outlineLevel="0" collapsed="false">
      <c r="A41" s="23" t="n">
        <v>22</v>
      </c>
      <c r="B41" s="22" t="s">
        <v>149</v>
      </c>
      <c r="C41" s="23" t="s">
        <v>130</v>
      </c>
      <c r="D41" s="22" t="s">
        <v>150</v>
      </c>
      <c r="E41" s="22" t="s">
        <v>151</v>
      </c>
      <c r="F41" s="9" t="s">
        <v>152</v>
      </c>
      <c r="G41" s="23" t="s">
        <v>63</v>
      </c>
      <c r="H41" s="24" t="s">
        <v>71</v>
      </c>
    </row>
    <row r="42" customFormat="false" ht="16" hidden="false" customHeight="false" outlineLevel="0" collapsed="false">
      <c r="A42" s="23" t="n">
        <v>23</v>
      </c>
      <c r="B42" s="22" t="s">
        <v>153</v>
      </c>
      <c r="C42" s="23" t="s">
        <v>130</v>
      </c>
      <c r="D42" s="22" t="s">
        <v>154</v>
      </c>
      <c r="E42" s="22" t="s">
        <v>155</v>
      </c>
      <c r="F42" s="9" t="s">
        <v>156</v>
      </c>
      <c r="G42" s="23" t="s">
        <v>63</v>
      </c>
      <c r="H42" s="24" t="s">
        <v>71</v>
      </c>
    </row>
    <row r="43" customFormat="false" ht="16" hidden="false" customHeight="false" outlineLevel="0" collapsed="false">
      <c r="A43" s="23" t="n">
        <v>24</v>
      </c>
      <c r="B43" s="22" t="s">
        <v>157</v>
      </c>
      <c r="C43" s="23" t="s">
        <v>130</v>
      </c>
      <c r="D43" s="22" t="s">
        <v>158</v>
      </c>
      <c r="E43" s="22" t="s">
        <v>159</v>
      </c>
      <c r="F43" s="9" t="s">
        <v>160</v>
      </c>
      <c r="G43" s="23" t="s">
        <v>63</v>
      </c>
      <c r="H43" s="24" t="s">
        <v>71</v>
      </c>
    </row>
    <row r="44" customFormat="false" ht="16" hidden="false" customHeight="false" outlineLevel="0" collapsed="false">
      <c r="A44" s="23" t="n">
        <v>25</v>
      </c>
      <c r="B44" s="22" t="s">
        <v>161</v>
      </c>
      <c r="C44" s="23" t="s">
        <v>130</v>
      </c>
      <c r="D44" s="22" t="s">
        <v>162</v>
      </c>
      <c r="E44" s="22" t="s">
        <v>163</v>
      </c>
      <c r="F44" s="9" t="s">
        <v>164</v>
      </c>
      <c r="G44" s="23" t="s">
        <v>63</v>
      </c>
      <c r="H44" s="24" t="s">
        <v>71</v>
      </c>
    </row>
    <row r="45" customFormat="false" ht="16" hidden="false" customHeight="false" outlineLevel="0" collapsed="false">
      <c r="A45" s="23" t="n">
        <v>26</v>
      </c>
      <c r="B45" s="22" t="s">
        <v>165</v>
      </c>
      <c r="C45" s="23" t="s">
        <v>130</v>
      </c>
      <c r="D45" s="22" t="s">
        <v>166</v>
      </c>
      <c r="E45" s="22" t="s">
        <v>167</v>
      </c>
      <c r="F45" s="9" t="s">
        <v>168</v>
      </c>
      <c r="G45" s="23" t="s">
        <v>63</v>
      </c>
      <c r="H45" s="24" t="s">
        <v>71</v>
      </c>
    </row>
    <row r="46" customFormat="false" ht="16" hidden="false" customHeight="false" outlineLevel="0" collapsed="false">
      <c r="A46" s="23" t="n">
        <v>27</v>
      </c>
      <c r="B46" s="22" t="s">
        <v>169</v>
      </c>
      <c r="C46" s="23" t="s">
        <v>130</v>
      </c>
      <c r="D46" s="22" t="s">
        <v>170</v>
      </c>
      <c r="E46" s="22" t="s">
        <v>171</v>
      </c>
      <c r="F46" s="9" t="s">
        <v>172</v>
      </c>
      <c r="G46" s="23" t="s">
        <v>63</v>
      </c>
      <c r="H46" s="24" t="s">
        <v>71</v>
      </c>
    </row>
    <row r="47" customFormat="false" ht="16" hidden="false" customHeight="false" outlineLevel="0" collapsed="false">
      <c r="A47" s="23" t="n">
        <v>28</v>
      </c>
      <c r="B47" s="22" t="s">
        <v>173</v>
      </c>
      <c r="C47" s="23" t="s">
        <v>130</v>
      </c>
      <c r="D47" s="22" t="s">
        <v>174</v>
      </c>
      <c r="E47" s="22" t="s">
        <v>175</v>
      </c>
      <c r="F47" s="9" t="s">
        <v>176</v>
      </c>
      <c r="G47" s="23" t="s">
        <v>63</v>
      </c>
      <c r="H47" s="24" t="s">
        <v>71</v>
      </c>
    </row>
    <row r="48" customFormat="false" ht="16" hidden="false" customHeight="false" outlineLevel="0" collapsed="false">
      <c r="A48" s="23" t="n">
        <v>29</v>
      </c>
      <c r="B48" s="22" t="s">
        <v>177</v>
      </c>
      <c r="C48" s="23" t="s">
        <v>130</v>
      </c>
      <c r="D48" s="22" t="s">
        <v>97</v>
      </c>
      <c r="E48" s="22" t="s">
        <v>178</v>
      </c>
      <c r="F48" s="9" t="s">
        <v>179</v>
      </c>
      <c r="G48" s="23" t="s">
        <v>63</v>
      </c>
      <c r="H48" s="24" t="s">
        <v>71</v>
      </c>
    </row>
    <row r="49" customFormat="false" ht="16" hidden="false" customHeight="false" outlineLevel="0" collapsed="false">
      <c r="A49" s="23" t="n">
        <v>30</v>
      </c>
      <c r="B49" s="22" t="s">
        <v>180</v>
      </c>
      <c r="C49" s="23" t="s">
        <v>130</v>
      </c>
      <c r="D49" s="22" t="s">
        <v>181</v>
      </c>
      <c r="E49" s="22" t="s">
        <v>182</v>
      </c>
      <c r="F49" s="9" t="s">
        <v>183</v>
      </c>
      <c r="G49" s="23" t="s">
        <v>63</v>
      </c>
      <c r="H49" s="24" t="s">
        <v>71</v>
      </c>
    </row>
    <row r="50" customFormat="false" ht="16" hidden="false" customHeight="false" outlineLevel="0" collapsed="false">
      <c r="A50" s="23" t="n">
        <v>31</v>
      </c>
      <c r="B50" s="22" t="s">
        <v>184</v>
      </c>
      <c r="C50" s="23" t="s">
        <v>130</v>
      </c>
      <c r="D50" s="22" t="s">
        <v>185</v>
      </c>
      <c r="E50" s="22" t="s">
        <v>186</v>
      </c>
      <c r="F50" s="9" t="s">
        <v>187</v>
      </c>
      <c r="G50" s="23" t="s">
        <v>63</v>
      </c>
      <c r="H50" s="24" t="s">
        <v>71</v>
      </c>
    </row>
    <row r="51" customFormat="false" ht="16" hidden="false" customHeight="false" outlineLevel="0" collapsed="false">
      <c r="A51" s="23" t="n">
        <v>32</v>
      </c>
      <c r="B51" s="22" t="s">
        <v>188</v>
      </c>
      <c r="C51" s="23" t="s">
        <v>130</v>
      </c>
      <c r="D51" s="22" t="s">
        <v>189</v>
      </c>
      <c r="E51" s="22" t="s">
        <v>190</v>
      </c>
      <c r="F51" s="9" t="s">
        <v>191</v>
      </c>
      <c r="G51" s="23" t="s">
        <v>63</v>
      </c>
      <c r="H51" s="24" t="s">
        <v>71</v>
      </c>
    </row>
    <row r="52" customFormat="false" ht="16" hidden="false" customHeight="false" outlineLevel="0" collapsed="false">
      <c r="A52" s="23" t="n">
        <v>33</v>
      </c>
      <c r="B52" s="22" t="s">
        <v>192</v>
      </c>
      <c r="C52" s="23" t="s">
        <v>130</v>
      </c>
      <c r="D52" s="9" t="s">
        <v>193</v>
      </c>
      <c r="E52" s="22" t="s">
        <v>194</v>
      </c>
      <c r="F52" s="9" t="s">
        <v>195</v>
      </c>
      <c r="G52" s="23" t="s">
        <v>63</v>
      </c>
      <c r="H52" s="24" t="s">
        <v>71</v>
      </c>
    </row>
    <row r="53" customFormat="false" ht="16" hidden="false" customHeight="false" outlineLevel="0" collapsed="false">
      <c r="A53" s="23" t="n">
        <v>34</v>
      </c>
      <c r="B53" s="22" t="s">
        <v>196</v>
      </c>
      <c r="C53" s="23" t="s">
        <v>130</v>
      </c>
      <c r="D53" s="9" t="s">
        <v>197</v>
      </c>
      <c r="E53" s="22" t="s">
        <v>198</v>
      </c>
      <c r="F53" s="9" t="s">
        <v>199</v>
      </c>
      <c r="G53" s="23" t="s">
        <v>63</v>
      </c>
      <c r="H53" s="24" t="s">
        <v>71</v>
      </c>
    </row>
    <row r="54" customFormat="false" ht="16" hidden="false" customHeight="false" outlineLevel="0" collapsed="false">
      <c r="A54" s="23" t="n">
        <v>35</v>
      </c>
      <c r="B54" s="22" t="s">
        <v>200</v>
      </c>
      <c r="C54" s="23" t="s">
        <v>130</v>
      </c>
      <c r="D54" s="22" t="s">
        <v>109</v>
      </c>
      <c r="E54" s="22" t="s">
        <v>201</v>
      </c>
      <c r="F54" s="9" t="s">
        <v>202</v>
      </c>
      <c r="G54" s="23" t="s">
        <v>63</v>
      </c>
      <c r="H54" s="24" t="s">
        <v>71</v>
      </c>
    </row>
    <row r="55" customFormat="false" ht="16" hidden="false" customHeight="false" outlineLevel="0" collapsed="false">
      <c r="A55" s="23" t="n">
        <v>36</v>
      </c>
      <c r="B55" s="22" t="s">
        <v>203</v>
      </c>
      <c r="C55" s="23" t="s">
        <v>130</v>
      </c>
      <c r="D55" s="22" t="s">
        <v>204</v>
      </c>
      <c r="E55" s="22" t="s">
        <v>205</v>
      </c>
      <c r="F55" s="9" t="s">
        <v>206</v>
      </c>
      <c r="G55" s="23" t="s">
        <v>63</v>
      </c>
      <c r="H55" s="24" t="s">
        <v>71</v>
      </c>
    </row>
    <row r="56" customFormat="false" ht="16" hidden="false" customHeight="false" outlineLevel="0" collapsed="false">
      <c r="A56" s="23" t="n">
        <v>37</v>
      </c>
      <c r="B56" s="22" t="s">
        <v>207</v>
      </c>
      <c r="C56" s="23" t="s">
        <v>130</v>
      </c>
      <c r="D56" s="22" t="s">
        <v>208</v>
      </c>
      <c r="E56" s="22" t="s">
        <v>209</v>
      </c>
      <c r="F56" s="9" t="s">
        <v>210</v>
      </c>
      <c r="G56" s="23" t="s">
        <v>63</v>
      </c>
      <c r="H56" s="24" t="s">
        <v>71</v>
      </c>
    </row>
    <row r="57" customFormat="false" ht="16" hidden="false" customHeight="false" outlineLevel="0" collapsed="false">
      <c r="A57" s="23" t="n">
        <v>38</v>
      </c>
      <c r="B57" s="22" t="s">
        <v>211</v>
      </c>
      <c r="C57" s="23" t="s">
        <v>130</v>
      </c>
      <c r="D57" s="22" t="s">
        <v>212</v>
      </c>
      <c r="E57" s="22" t="s">
        <v>213</v>
      </c>
      <c r="F57" s="9" t="s">
        <v>214</v>
      </c>
      <c r="G57" s="23" t="s">
        <v>63</v>
      </c>
      <c r="H57" s="24" t="s">
        <v>71</v>
      </c>
    </row>
    <row r="58" customFormat="false" ht="16" hidden="false" customHeight="false" outlineLevel="0" collapsed="false">
      <c r="A58" s="23" t="n">
        <v>39</v>
      </c>
      <c r="B58" s="22" t="s">
        <v>215</v>
      </c>
      <c r="C58" s="23" t="s">
        <v>130</v>
      </c>
      <c r="D58" s="22" t="s">
        <v>216</v>
      </c>
      <c r="E58" s="22" t="s">
        <v>217</v>
      </c>
      <c r="F58" s="9" t="s">
        <v>218</v>
      </c>
      <c r="G58" s="23" t="s">
        <v>63</v>
      </c>
      <c r="H58" s="24" t="s">
        <v>71</v>
      </c>
    </row>
    <row r="59" customFormat="false" ht="16" hidden="false" customHeight="false" outlineLevel="0" collapsed="false">
      <c r="A59" s="23" t="n">
        <v>40</v>
      </c>
      <c r="B59" s="22" t="s">
        <v>219</v>
      </c>
      <c r="C59" s="23" t="s">
        <v>130</v>
      </c>
      <c r="D59" s="22" t="s">
        <v>73</v>
      </c>
      <c r="E59" s="22" t="s">
        <v>220</v>
      </c>
      <c r="F59" s="9" t="s">
        <v>221</v>
      </c>
      <c r="G59" s="23" t="s">
        <v>63</v>
      </c>
      <c r="H59" s="24" t="s">
        <v>71</v>
      </c>
    </row>
    <row r="60" customFormat="false" ht="15.5" hidden="false" customHeight="false" outlineLevel="0" collapsed="false">
      <c r="A60" s="11" t="s">
        <v>222</v>
      </c>
      <c r="B60" s="11"/>
      <c r="C60" s="12"/>
      <c r="D60" s="12"/>
      <c r="E60" s="12"/>
      <c r="F60" s="12"/>
      <c r="G60" s="12"/>
      <c r="H60" s="12"/>
    </row>
    <row r="61" customFormat="false" ht="16" hidden="false" customHeight="false" outlineLevel="0" collapsed="false">
      <c r="A61" s="23" t="n">
        <v>41</v>
      </c>
      <c r="B61" s="22" t="s">
        <v>223</v>
      </c>
      <c r="C61" s="23" t="s">
        <v>224</v>
      </c>
      <c r="D61" s="22" t="s">
        <v>225</v>
      </c>
      <c r="E61" s="22" t="s">
        <v>226</v>
      </c>
      <c r="F61" s="9" t="s">
        <v>227</v>
      </c>
      <c r="G61" s="23" t="s">
        <v>63</v>
      </c>
      <c r="H61" s="24" t="s">
        <v>71</v>
      </c>
    </row>
    <row r="62" customFormat="false" ht="16" hidden="false" customHeight="false" outlineLevel="0" collapsed="false">
      <c r="A62" s="23" t="n">
        <v>42</v>
      </c>
      <c r="B62" s="22" t="s">
        <v>228</v>
      </c>
      <c r="C62" s="23" t="s">
        <v>224</v>
      </c>
      <c r="D62" s="9" t="s">
        <v>229</v>
      </c>
      <c r="E62" s="22" t="s">
        <v>230</v>
      </c>
      <c r="F62" s="9" t="s">
        <v>231</v>
      </c>
      <c r="G62" s="23" t="s">
        <v>63</v>
      </c>
      <c r="H62" s="24" t="s">
        <v>71</v>
      </c>
    </row>
    <row r="63" customFormat="false" ht="16" hidden="false" customHeight="false" outlineLevel="0" collapsed="false">
      <c r="A63" s="23" t="n">
        <v>43</v>
      </c>
      <c r="B63" s="22" t="s">
        <v>232</v>
      </c>
      <c r="C63" s="23" t="s">
        <v>224</v>
      </c>
      <c r="D63" s="22" t="s">
        <v>233</v>
      </c>
      <c r="E63" s="22" t="s">
        <v>234</v>
      </c>
      <c r="F63" s="9" t="s">
        <v>235</v>
      </c>
      <c r="G63" s="23" t="s">
        <v>63</v>
      </c>
      <c r="H63" s="24" t="s">
        <v>71</v>
      </c>
    </row>
    <row r="64" customFormat="false" ht="16" hidden="false" customHeight="false" outlineLevel="0" collapsed="false">
      <c r="A64" s="23" t="n">
        <v>44</v>
      </c>
      <c r="B64" s="22" t="s">
        <v>236</v>
      </c>
      <c r="C64" s="23" t="s">
        <v>224</v>
      </c>
      <c r="D64" s="22" t="s">
        <v>237</v>
      </c>
      <c r="E64" s="22" t="s">
        <v>238</v>
      </c>
      <c r="F64" s="9" t="s">
        <v>239</v>
      </c>
      <c r="G64" s="23" t="s">
        <v>63</v>
      </c>
      <c r="H64" s="24" t="s">
        <v>71</v>
      </c>
    </row>
    <row r="65" customFormat="false" ht="16" hidden="false" customHeight="false" outlineLevel="0" collapsed="false">
      <c r="A65" s="23" t="n">
        <v>45</v>
      </c>
      <c r="B65" s="22" t="s">
        <v>240</v>
      </c>
      <c r="C65" s="23" t="s">
        <v>224</v>
      </c>
      <c r="D65" s="22" t="s">
        <v>241</v>
      </c>
      <c r="E65" s="22" t="s">
        <v>242</v>
      </c>
      <c r="F65" s="9" t="s">
        <v>243</v>
      </c>
      <c r="G65" s="23" t="s">
        <v>63</v>
      </c>
      <c r="H65" s="24" t="s">
        <v>71</v>
      </c>
    </row>
    <row r="66" customFormat="false" ht="15.5" hidden="false" customHeight="false" outlineLevel="0" collapsed="false">
      <c r="A66" s="11" t="s">
        <v>244</v>
      </c>
      <c r="B66" s="11"/>
      <c r="C66" s="12"/>
      <c r="D66" s="12"/>
      <c r="E66" s="12"/>
      <c r="F66" s="12"/>
      <c r="G66" s="12"/>
      <c r="H66" s="12"/>
    </row>
    <row r="67" customFormat="false" ht="16" hidden="false" customHeight="false" outlineLevel="0" collapsed="false">
      <c r="A67" s="23" t="n">
        <v>46</v>
      </c>
      <c r="B67" s="22" t="s">
        <v>245</v>
      </c>
      <c r="C67" s="23" t="s">
        <v>246</v>
      </c>
      <c r="D67" s="22" t="s">
        <v>247</v>
      </c>
      <c r="E67" s="22" t="s">
        <v>248</v>
      </c>
      <c r="F67" s="9" t="s">
        <v>249</v>
      </c>
      <c r="G67" s="23" t="s">
        <v>63</v>
      </c>
      <c r="H67" s="24" t="s">
        <v>71</v>
      </c>
    </row>
    <row r="69" customFormat="false" ht="16" hidden="false" customHeight="true" outlineLevel="0" collapsed="false">
      <c r="A69" s="7" t="s">
        <v>250</v>
      </c>
      <c r="B69" s="7"/>
      <c r="C69" s="7"/>
      <c r="D69" s="7"/>
      <c r="E69" s="7"/>
      <c r="F69" s="7"/>
      <c r="G69" s="7"/>
    </row>
    <row r="70" customFormat="false" ht="15.5" hidden="false" customHeight="true" outlineLevel="0" collapsed="false">
      <c r="A70" s="25" t="s">
        <v>251</v>
      </c>
      <c r="B70" s="25"/>
      <c r="C70" s="25"/>
      <c r="D70" s="25"/>
      <c r="E70" s="12"/>
      <c r="F70" s="12"/>
      <c r="G70" s="12"/>
      <c r="H70" s="12"/>
    </row>
    <row r="71" customFormat="false" ht="15.5" hidden="false" customHeight="false" outlineLevel="0" collapsed="false">
      <c r="A71" s="20" t="s">
        <v>252</v>
      </c>
      <c r="B71" s="20" t="s">
        <v>253</v>
      </c>
      <c r="C71" s="20" t="s">
        <v>254</v>
      </c>
      <c r="D71" s="20" t="s">
        <v>255</v>
      </c>
      <c r="E71" s="20"/>
      <c r="F71" s="20"/>
      <c r="G71" s="20"/>
      <c r="H71" s="20"/>
    </row>
    <row r="72" customFormat="false" ht="16" hidden="false" customHeight="false" outlineLevel="0" collapsed="false">
      <c r="A72" s="9" t="n">
        <v>1</v>
      </c>
      <c r="B72" s="9" t="n">
        <v>9</v>
      </c>
      <c r="C72" s="32">
        <v>623535430</v>
      </c>
      <c r="D72" s="9" t="s">
        <v>257</v>
      </c>
    </row>
    <row r="73" customFormat="false" ht="16" hidden="false" customHeight="false" outlineLevel="0" collapsed="false">
      <c r="A73" s="9" t="n">
        <v>2</v>
      </c>
      <c r="B73" s="9" t="n">
        <v>10</v>
      </c>
      <c r="C73" s="32">
        <v>623623737</v>
      </c>
      <c r="D73" s="9" t="s">
        <v>259</v>
      </c>
    </row>
    <row r="74" customFormat="false" ht="16" hidden="false" customHeight="false" outlineLevel="0" collapsed="false">
      <c r="A74" s="9" t="n">
        <v>3</v>
      </c>
      <c r="B74" s="9" t="n">
        <v>11</v>
      </c>
      <c r="C74" s="32">
        <v>623694441</v>
      </c>
      <c r="D74" s="9" t="s">
        <v>261</v>
      </c>
    </row>
    <row r="75" customFormat="false" ht="16" hidden="false" customHeight="false" outlineLevel="0" collapsed="false">
      <c r="A75" s="9" t="n">
        <v>4</v>
      </c>
      <c r="B75" s="9" t="n">
        <v>12</v>
      </c>
      <c r="C75" s="32">
        <v>623746693</v>
      </c>
      <c r="D75" s="9" t="s">
        <v>263</v>
      </c>
    </row>
    <row r="76" customFormat="false" ht="16" hidden="false" customHeight="false" outlineLevel="0" collapsed="false">
      <c r="A76" s="9" t="n">
        <v>5</v>
      </c>
      <c r="B76" s="9" t="n">
        <v>13</v>
      </c>
      <c r="C76" s="32">
        <v>623825211</v>
      </c>
      <c r="D76" s="9" t="s">
        <v>265</v>
      </c>
    </row>
    <row r="77" customFormat="false" ht="16" hidden="false" customHeight="false" outlineLevel="0" collapsed="false">
      <c r="A77" s="9" t="n">
        <v>6</v>
      </c>
      <c r="B77" s="9" t="n">
        <v>14</v>
      </c>
      <c r="C77" s="32">
        <v>624040358</v>
      </c>
      <c r="D77" s="9" t="s">
        <v>267</v>
      </c>
    </row>
    <row r="78" customFormat="false" ht="16" hidden="false" customHeight="false" outlineLevel="0" collapsed="false">
      <c r="A78" s="9" t="n">
        <v>7</v>
      </c>
      <c r="B78" s="9" t="n">
        <v>15</v>
      </c>
      <c r="C78" s="32">
        <v>624144171</v>
      </c>
      <c r="D78" s="9" t="s">
        <v>269</v>
      </c>
    </row>
    <row r="79" customFormat="false" ht="16" hidden="false" customHeight="false" outlineLevel="0" collapsed="false">
      <c r="A79" s="9" t="n">
        <v>8</v>
      </c>
      <c r="B79" s="9" t="n">
        <v>16</v>
      </c>
      <c r="C79" s="32">
        <v>624248081</v>
      </c>
      <c r="D79" s="9" t="s">
        <v>271</v>
      </c>
    </row>
    <row r="80" customFormat="false" ht="16" hidden="false" customHeight="false" outlineLevel="0" collapsed="false">
      <c r="A80" s="9" t="n">
        <v>9</v>
      </c>
      <c r="B80" s="9" t="n">
        <v>17</v>
      </c>
      <c r="C80" s="32">
        <v>624380588</v>
      </c>
      <c r="D80" s="9" t="s">
        <v>273</v>
      </c>
    </row>
    <row r="81" customFormat="false" ht="16" hidden="false" customHeight="false" outlineLevel="0" collapsed="false">
      <c r="A81" s="9" t="n">
        <v>10</v>
      </c>
      <c r="B81" s="9" t="n">
        <v>18</v>
      </c>
      <c r="C81" s="32">
        <v>624381360</v>
      </c>
      <c r="D81" s="9" t="s">
        <v>275</v>
      </c>
    </row>
    <row r="82" customFormat="false" ht="16" hidden="false" customHeight="false" outlineLevel="0" collapsed="false">
      <c r="A82" s="9" t="n">
        <v>11</v>
      </c>
      <c r="B82" s="9" t="n">
        <v>19</v>
      </c>
      <c r="C82" s="32">
        <v>624381718</v>
      </c>
      <c r="D82" s="9" t="s">
        <v>277</v>
      </c>
    </row>
    <row r="83" customFormat="false" ht="16" hidden="false" customHeight="false" outlineLevel="0" collapsed="false">
      <c r="A83" s="9" t="n">
        <v>12</v>
      </c>
      <c r="B83" s="9" t="n">
        <v>20</v>
      </c>
      <c r="C83" s="32">
        <v>624382144</v>
      </c>
      <c r="D83" s="9" t="s">
        <v>279</v>
      </c>
    </row>
    <row r="84" customFormat="false" ht="16" hidden="false" customHeight="false" outlineLevel="0" collapsed="false">
      <c r="A84" s="9" t="n">
        <v>13</v>
      </c>
      <c r="B84" s="9" t="n">
        <v>21</v>
      </c>
      <c r="C84" s="32">
        <v>624676796</v>
      </c>
      <c r="D84" s="9" t="s">
        <v>281</v>
      </c>
    </row>
    <row r="85" customFormat="false" ht="16" hidden="false" customHeight="false" outlineLevel="0" collapsed="false">
      <c r="A85" s="9" t="n">
        <v>14</v>
      </c>
      <c r="B85" s="9" t="n">
        <v>22</v>
      </c>
      <c r="C85" s="32">
        <v>624678060</v>
      </c>
      <c r="D85" s="9" t="s">
        <v>283</v>
      </c>
    </row>
    <row r="86" customFormat="false" ht="16" hidden="false" customHeight="false" outlineLevel="0" collapsed="false">
      <c r="A86" s="9" t="n">
        <v>15</v>
      </c>
      <c r="B86" s="9" t="n">
        <v>23</v>
      </c>
      <c r="C86" s="32">
        <v>625043502</v>
      </c>
      <c r="D86" s="9" t="s">
        <v>285</v>
      </c>
    </row>
    <row r="87" customFormat="false" ht="16" hidden="false" customHeight="false" outlineLevel="0" collapsed="false">
      <c r="A87" s="9" t="n">
        <v>16</v>
      </c>
      <c r="B87" s="9" t="n">
        <v>24</v>
      </c>
      <c r="C87" s="32">
        <v>625322021</v>
      </c>
      <c r="D87" s="9" t="s">
        <v>287</v>
      </c>
    </row>
    <row r="88" customFormat="false" ht="16" hidden="false" customHeight="false" outlineLevel="0" collapsed="false">
      <c r="A88" s="9" t="n">
        <v>17</v>
      </c>
      <c r="B88" s="9" t="n">
        <v>25</v>
      </c>
      <c r="C88" s="32">
        <v>625543717</v>
      </c>
      <c r="D88" s="9" t="s">
        <v>289</v>
      </c>
    </row>
    <row r="89" customFormat="false" ht="16" hidden="false" customHeight="false" outlineLevel="0" collapsed="false">
      <c r="A89" s="9" t="n">
        <v>18</v>
      </c>
      <c r="B89" s="9" t="n">
        <v>26</v>
      </c>
      <c r="C89" s="32">
        <v>626184549</v>
      </c>
      <c r="D89" s="26" t="s">
        <v>291</v>
      </c>
      <c r="E89" s="26"/>
    </row>
    <row r="90" customFormat="false" ht="16" hidden="false" customHeight="false" outlineLevel="0" collapsed="false">
      <c r="A90" s="9" t="n">
        <v>19</v>
      </c>
      <c r="B90" s="9" t="n">
        <v>27</v>
      </c>
      <c r="C90" s="32">
        <v>626633039</v>
      </c>
      <c r="D90" s="26" t="s">
        <v>293</v>
      </c>
      <c r="E90" s="26"/>
    </row>
    <row r="91" customFormat="false" ht="16" hidden="false" customHeight="false" outlineLevel="0" collapsed="false">
      <c r="A91" s="9" t="n">
        <v>20</v>
      </c>
      <c r="B91" s="9" t="n">
        <v>28</v>
      </c>
      <c r="C91" s="32">
        <v>626905392</v>
      </c>
      <c r="D91" s="9" t="s">
        <v>295</v>
      </c>
    </row>
    <row r="92" customFormat="false" ht="16" hidden="false" customHeight="false" outlineLevel="0" collapsed="false">
      <c r="A92" s="9" t="n">
        <v>21</v>
      </c>
      <c r="B92" s="9" t="n">
        <v>29</v>
      </c>
      <c r="C92" s="32">
        <v>627152219</v>
      </c>
      <c r="D92" s="9" t="s">
        <v>297</v>
      </c>
    </row>
    <row r="93" customFormat="false" ht="16" hidden="false" customHeight="false" outlineLevel="0" collapsed="false">
      <c r="A93" s="9" t="n">
        <v>22</v>
      </c>
      <c r="B93" s="9" t="n">
        <v>30</v>
      </c>
      <c r="C93" s="32">
        <v>627624679</v>
      </c>
      <c r="D93" s="9" t="s">
        <v>299</v>
      </c>
    </row>
    <row r="94" customFormat="false" ht="16" hidden="false" customHeight="false" outlineLevel="0" collapsed="false">
      <c r="A94" s="9" t="n">
        <v>23</v>
      </c>
      <c r="B94" s="9" t="n">
        <v>31</v>
      </c>
      <c r="C94" s="32">
        <v>628609256</v>
      </c>
      <c r="D94" s="9" t="s">
        <v>301</v>
      </c>
    </row>
    <row r="95" customFormat="false" ht="16" hidden="false" customHeight="false" outlineLevel="0" collapsed="false">
      <c r="A95" s="9" t="n">
        <v>24</v>
      </c>
      <c r="B95" s="9" t="n">
        <v>32</v>
      </c>
      <c r="C95" s="32">
        <v>628678396</v>
      </c>
      <c r="D95" s="9" t="s">
        <v>303</v>
      </c>
    </row>
    <row r="96" customFormat="false" ht="16" hidden="false" customHeight="false" outlineLevel="0" collapsed="false">
      <c r="A96" s="9" t="n">
        <v>25</v>
      </c>
      <c r="B96" s="9" t="n">
        <v>33</v>
      </c>
      <c r="C96" s="32">
        <v>629840640</v>
      </c>
      <c r="D96" s="9" t="s">
        <v>305</v>
      </c>
    </row>
    <row r="97" customFormat="false" ht="16" hidden="false" customHeight="false" outlineLevel="0" collapsed="false">
      <c r="A97" s="9" t="n">
        <v>26</v>
      </c>
      <c r="B97" s="9" t="n">
        <v>34</v>
      </c>
      <c r="C97" s="32">
        <v>630126758</v>
      </c>
      <c r="D97" s="26" t="s">
        <v>307</v>
      </c>
      <c r="E97" s="26"/>
    </row>
    <row r="98" customFormat="false" ht="16" hidden="false" customHeight="false" outlineLevel="0" collapsed="false">
      <c r="A98" s="9" t="n">
        <v>27</v>
      </c>
      <c r="B98" s="9" t="n">
        <v>35</v>
      </c>
      <c r="C98" s="32">
        <v>630384815</v>
      </c>
      <c r="D98" s="26" t="s">
        <v>309</v>
      </c>
      <c r="E98" s="26"/>
    </row>
    <row r="99" customFormat="false" ht="16" hidden="false" customHeight="false" outlineLevel="0" collapsed="false">
      <c r="A99" s="9" t="n">
        <v>28</v>
      </c>
      <c r="B99" s="9" t="n">
        <v>36</v>
      </c>
      <c r="C99" s="32">
        <v>631770497</v>
      </c>
      <c r="D99" s="26" t="s">
        <v>311</v>
      </c>
      <c r="E99" s="26"/>
    </row>
    <row r="100" customFormat="false" ht="16" hidden="false" customHeight="false" outlineLevel="0" collapsed="false">
      <c r="A100" s="9" t="n">
        <v>29</v>
      </c>
      <c r="B100" s="9" t="n">
        <v>37</v>
      </c>
      <c r="C100" s="32">
        <v>633527344</v>
      </c>
      <c r="D100" s="9" t="s">
        <v>313</v>
      </c>
    </row>
    <row r="101" customFormat="false" ht="16" hidden="false" customHeight="false" outlineLevel="0" collapsed="false">
      <c r="A101" s="9" t="n">
        <v>30</v>
      </c>
      <c r="B101" s="9" t="n">
        <v>38</v>
      </c>
      <c r="C101" s="32">
        <v>633668409</v>
      </c>
      <c r="D101" s="26" t="s">
        <v>315</v>
      </c>
      <c r="E101" s="26"/>
    </row>
    <row r="102" customFormat="false" ht="16" hidden="false" customHeight="false" outlineLevel="0" collapsed="false">
      <c r="A102" s="9" t="n">
        <v>31</v>
      </c>
      <c r="B102" s="9" t="n">
        <v>39</v>
      </c>
      <c r="C102" s="32">
        <v>634251282</v>
      </c>
      <c r="D102" s="26" t="s">
        <v>317</v>
      </c>
      <c r="E102" s="26"/>
    </row>
    <row r="103" customFormat="false" ht="16" hidden="false" customHeight="false" outlineLevel="0" collapsed="false">
      <c r="A103" s="9" t="n">
        <v>32</v>
      </c>
      <c r="B103" s="9" t="n">
        <v>40</v>
      </c>
      <c r="C103" s="32">
        <v>635308088</v>
      </c>
      <c r="D103" s="9" t="s">
        <v>319</v>
      </c>
    </row>
    <row r="104" customFormat="false" ht="16" hidden="false" customHeight="false" outlineLevel="0" collapsed="false">
      <c r="A104" s="9" t="n">
        <v>33</v>
      </c>
      <c r="B104" s="9" t="n">
        <v>41</v>
      </c>
      <c r="C104" s="32">
        <v>635407035</v>
      </c>
      <c r="D104" s="9" t="s">
        <v>321</v>
      </c>
    </row>
    <row r="105" customFormat="false" ht="16" hidden="false" customHeight="false" outlineLevel="0" collapsed="false">
      <c r="A105" s="9" t="n">
        <v>34</v>
      </c>
      <c r="B105" s="9" t="n">
        <v>42</v>
      </c>
      <c r="C105" s="32">
        <v>635423881</v>
      </c>
      <c r="D105" s="9" t="s">
        <v>323</v>
      </c>
    </row>
    <row r="106" customFormat="false" ht="16" hidden="false" customHeight="false" outlineLevel="0" collapsed="false">
      <c r="A106" s="9" t="n">
        <v>35</v>
      </c>
      <c r="B106" s="9" t="n">
        <v>43</v>
      </c>
      <c r="C106" s="32">
        <v>635633608</v>
      </c>
      <c r="D106" s="9" t="s">
        <v>325</v>
      </c>
    </row>
    <row r="107" customFormat="false" ht="16" hidden="false" customHeight="false" outlineLevel="0" collapsed="false">
      <c r="A107" s="9" t="n">
        <v>36</v>
      </c>
      <c r="B107" s="9" t="n">
        <v>1</v>
      </c>
      <c r="C107" s="32">
        <v>635847235</v>
      </c>
      <c r="D107" s="26" t="s">
        <v>327</v>
      </c>
      <c r="E107" s="26"/>
    </row>
    <row r="108" customFormat="false" ht="16" hidden="false" customHeight="false" outlineLevel="0" collapsed="false">
      <c r="A108" s="9" t="n">
        <v>37</v>
      </c>
      <c r="B108" s="9" t="n">
        <v>2</v>
      </c>
      <c r="C108" s="32">
        <v>636564067</v>
      </c>
      <c r="D108" s="26" t="s">
        <v>329</v>
      </c>
      <c r="E108" s="26"/>
    </row>
    <row r="109" customFormat="false" ht="16" hidden="false" customHeight="false" outlineLevel="0" collapsed="false">
      <c r="A109" s="9" t="n">
        <v>38</v>
      </c>
      <c r="B109" s="9" t="n">
        <v>5</v>
      </c>
      <c r="C109" s="32">
        <v>636933475</v>
      </c>
      <c r="D109" s="9" t="s">
        <v>331</v>
      </c>
    </row>
    <row r="110" customFormat="false" ht="16" hidden="false" customHeight="false" outlineLevel="0" collapsed="false">
      <c r="A110" s="9" t="n">
        <v>39</v>
      </c>
      <c r="B110" s="9" t="n">
        <v>6</v>
      </c>
      <c r="C110" s="32">
        <v>637203163</v>
      </c>
      <c r="D110" s="9" t="s">
        <v>333</v>
      </c>
    </row>
    <row r="111" customFormat="false" ht="16" hidden="false" customHeight="false" outlineLevel="0" collapsed="false">
      <c r="A111" s="9" t="n">
        <v>40</v>
      </c>
      <c r="B111" s="9" t="n">
        <v>3</v>
      </c>
      <c r="C111" s="32">
        <v>637469752</v>
      </c>
      <c r="D111" s="9" t="s">
        <v>335</v>
      </c>
    </row>
    <row r="112" customFormat="false" ht="16" hidden="false" customHeight="false" outlineLevel="0" collapsed="false">
      <c r="A112" s="9" t="n">
        <v>41</v>
      </c>
      <c r="B112" s="9" t="n">
        <v>44</v>
      </c>
      <c r="C112" s="32">
        <v>638130127</v>
      </c>
      <c r="D112" s="9" t="s">
        <v>337</v>
      </c>
    </row>
    <row r="113" customFormat="false" ht="16" hidden="false" customHeight="false" outlineLevel="0" collapsed="false">
      <c r="A113" s="9" t="n">
        <v>42</v>
      </c>
      <c r="B113" s="9" t="n">
        <v>4</v>
      </c>
      <c r="C113" s="32">
        <v>638757841</v>
      </c>
      <c r="D113" s="9" t="s">
        <v>339</v>
      </c>
    </row>
    <row r="114" customFormat="false" ht="16" hidden="false" customHeight="false" outlineLevel="0" collapsed="false">
      <c r="A114" s="9" t="n">
        <v>43</v>
      </c>
      <c r="B114" s="9" t="n">
        <v>7</v>
      </c>
      <c r="C114" s="32">
        <v>639548656</v>
      </c>
      <c r="D114" s="9" t="s">
        <v>341</v>
      </c>
    </row>
    <row r="115" customFormat="false" ht="16" hidden="false" customHeight="false" outlineLevel="0" collapsed="false">
      <c r="A115" s="9" t="n">
        <v>44</v>
      </c>
      <c r="B115" s="9" t="n">
        <v>8</v>
      </c>
      <c r="C115" s="32">
        <v>642911545</v>
      </c>
      <c r="D115" s="9" t="s">
        <v>343</v>
      </c>
    </row>
    <row r="116" customFormat="false" ht="16" hidden="false" customHeight="false" outlineLevel="0" collapsed="false">
      <c r="A116" s="9" t="n">
        <v>45</v>
      </c>
      <c r="B116" s="9" t="n">
        <v>45</v>
      </c>
      <c r="C116" s="32">
        <v>649393400</v>
      </c>
      <c r="D116" s="9" t="s">
        <v>345</v>
      </c>
    </row>
    <row r="120" customFormat="false" ht="15" hidden="false" customHeight="false" outlineLevel="0" collapsed="false">
      <c r="A120" s="11" t="s">
        <v>346</v>
      </c>
      <c r="B120" s="11"/>
      <c r="C120" s="11"/>
      <c r="D120" s="11"/>
      <c r="E120" s="11"/>
      <c r="F120" s="12"/>
      <c r="G120" s="12"/>
      <c r="H120" s="12"/>
    </row>
    <row r="121" customFormat="false" ht="15" hidden="false" customHeight="false" outlineLevel="0" collapsed="false">
      <c r="A121" s="19" t="s">
        <v>49</v>
      </c>
      <c r="B121" s="20" t="s">
        <v>347</v>
      </c>
      <c r="C121" s="20" t="s">
        <v>348</v>
      </c>
      <c r="D121" s="20" t="s">
        <v>349</v>
      </c>
      <c r="E121" s="20" t="s">
        <v>350</v>
      </c>
      <c r="F121" s="20"/>
      <c r="G121" s="20"/>
      <c r="H121" s="20"/>
    </row>
    <row r="122" customFormat="false" ht="42" hidden="false" customHeight="true" outlineLevel="0" collapsed="false">
      <c r="A122" s="23" t="n">
        <v>1</v>
      </c>
      <c r="B122" s="9" t="s">
        <v>83</v>
      </c>
      <c r="C122" s="6" t="s">
        <v>80</v>
      </c>
      <c r="D122" s="22" t="s">
        <v>82</v>
      </c>
      <c r="E122" s="7" t="s">
        <v>351</v>
      </c>
      <c r="F122" s="7"/>
      <c r="G122" s="7"/>
      <c r="H122" s="7"/>
      <c r="I122" s="7"/>
      <c r="J122" s="7"/>
      <c r="K122" s="7"/>
    </row>
    <row r="123" customFormat="false" ht="55" hidden="false" customHeight="true" outlineLevel="0" collapsed="false">
      <c r="A123" s="23" t="n">
        <v>2</v>
      </c>
      <c r="B123" s="9" t="s">
        <v>87</v>
      </c>
      <c r="C123" s="6" t="s">
        <v>84</v>
      </c>
      <c r="D123" s="22" t="s">
        <v>86</v>
      </c>
      <c r="E123" s="7" t="s">
        <v>352</v>
      </c>
      <c r="F123" s="7"/>
      <c r="G123" s="7"/>
      <c r="H123" s="7"/>
      <c r="I123" s="7"/>
    </row>
    <row r="124" customFormat="false" ht="42" hidden="false" customHeight="true" outlineLevel="0" collapsed="false">
      <c r="A124" s="23" t="n">
        <v>3</v>
      </c>
      <c r="B124" s="9" t="s">
        <v>91</v>
      </c>
      <c r="C124" s="6" t="s">
        <v>88</v>
      </c>
      <c r="D124" s="22" t="s">
        <v>90</v>
      </c>
      <c r="E124" s="7" t="s">
        <v>353</v>
      </c>
      <c r="F124" s="7"/>
    </row>
    <row r="125" customFormat="false" ht="52" hidden="false" customHeight="true" outlineLevel="0" collapsed="false">
      <c r="A125" s="23" t="n">
        <v>4</v>
      </c>
      <c r="B125" s="9" t="s">
        <v>148</v>
      </c>
      <c r="C125" s="6" t="s">
        <v>145</v>
      </c>
      <c r="D125" s="22" t="s">
        <v>147</v>
      </c>
      <c r="E125" s="4" t="s">
        <v>354</v>
      </c>
      <c r="F125" s="4"/>
    </row>
    <row r="126" customFormat="false" ht="52" hidden="false" customHeight="true" outlineLevel="0" collapsed="false">
      <c r="A126" s="23" t="n">
        <v>5</v>
      </c>
      <c r="B126" s="9" t="s">
        <v>152</v>
      </c>
      <c r="C126" s="6" t="s">
        <v>149</v>
      </c>
      <c r="D126" s="22" t="s">
        <v>151</v>
      </c>
      <c r="E126" s="4" t="s">
        <v>355</v>
      </c>
      <c r="F126" s="4"/>
      <c r="G126" s="4"/>
    </row>
    <row r="127" customFormat="false" ht="52" hidden="false" customHeight="true" outlineLevel="0" collapsed="false">
      <c r="A127" s="23" t="n">
        <v>6</v>
      </c>
      <c r="B127" s="9" t="s">
        <v>156</v>
      </c>
      <c r="C127" s="6" t="s">
        <v>153</v>
      </c>
      <c r="D127" s="22" t="s">
        <v>155</v>
      </c>
      <c r="E127" s="4" t="s">
        <v>356</v>
      </c>
      <c r="F127" s="4"/>
      <c r="G127" s="4"/>
    </row>
    <row r="128" customFormat="false" ht="52" hidden="false" customHeight="true" outlineLevel="0" collapsed="false">
      <c r="A128" s="23" t="n">
        <v>7</v>
      </c>
      <c r="B128" s="9" t="s">
        <v>160</v>
      </c>
      <c r="C128" s="6" t="s">
        <v>157</v>
      </c>
      <c r="D128" s="22" t="s">
        <v>159</v>
      </c>
      <c r="E128" s="4" t="s">
        <v>357</v>
      </c>
      <c r="F128" s="4"/>
      <c r="G128" s="4"/>
    </row>
    <row r="129" customFormat="false" ht="42" hidden="false" customHeight="true" outlineLevel="0" collapsed="false">
      <c r="A129" s="23" t="n">
        <v>8</v>
      </c>
      <c r="B129" s="9" t="s">
        <v>95</v>
      </c>
      <c r="C129" s="6" t="s">
        <v>92</v>
      </c>
      <c r="D129" s="22" t="s">
        <v>94</v>
      </c>
      <c r="E129" s="7" t="s">
        <v>358</v>
      </c>
      <c r="F129" s="7"/>
    </row>
    <row r="130" customFormat="false" ht="40.5" hidden="false" customHeight="true" outlineLevel="0" collapsed="false">
      <c r="A130" s="23" t="n">
        <v>9</v>
      </c>
      <c r="B130" s="9" t="s">
        <v>164</v>
      </c>
      <c r="C130" s="6" t="s">
        <v>161</v>
      </c>
      <c r="D130" s="22" t="s">
        <v>163</v>
      </c>
      <c r="E130" s="7" t="s">
        <v>358</v>
      </c>
      <c r="F130" s="7"/>
    </row>
    <row r="131" customFormat="false" ht="40.5" hidden="false" customHeight="true" outlineLevel="0" collapsed="false">
      <c r="A131" s="23" t="n">
        <v>10</v>
      </c>
      <c r="B131" s="9" t="s">
        <v>168</v>
      </c>
      <c r="C131" s="6" t="s">
        <v>165</v>
      </c>
      <c r="D131" s="22" t="s">
        <v>167</v>
      </c>
      <c r="E131" s="7" t="s">
        <v>358</v>
      </c>
      <c r="F131" s="7"/>
    </row>
    <row r="132" customFormat="false" ht="40.5" hidden="false" customHeight="true" outlineLevel="0" collapsed="false">
      <c r="A132" s="23" t="n">
        <v>11</v>
      </c>
      <c r="B132" s="9" t="s">
        <v>172</v>
      </c>
      <c r="C132" s="6" t="s">
        <v>169</v>
      </c>
      <c r="D132" s="22" t="s">
        <v>171</v>
      </c>
      <c r="E132" s="7" t="s">
        <v>358</v>
      </c>
      <c r="F132" s="7"/>
    </row>
    <row r="133" customFormat="false" ht="40.5" hidden="false" customHeight="true" outlineLevel="0" collapsed="false">
      <c r="A133" s="23" t="n">
        <v>12</v>
      </c>
      <c r="B133" s="9" t="s">
        <v>176</v>
      </c>
      <c r="C133" s="6" t="s">
        <v>173</v>
      </c>
      <c r="D133" s="22" t="s">
        <v>175</v>
      </c>
      <c r="E133" s="7" t="s">
        <v>358</v>
      </c>
      <c r="F133" s="7"/>
    </row>
    <row r="134" customFormat="false" ht="52" hidden="false" customHeight="true" outlineLevel="0" collapsed="false">
      <c r="A134" s="23" t="n">
        <v>13</v>
      </c>
      <c r="B134" s="9" t="s">
        <v>99</v>
      </c>
      <c r="C134" s="6" t="s">
        <v>96</v>
      </c>
      <c r="D134" s="22" t="s">
        <v>98</v>
      </c>
      <c r="E134" s="7" t="s">
        <v>358</v>
      </c>
      <c r="F134" s="7"/>
    </row>
    <row r="135" customFormat="false" ht="52" hidden="false" customHeight="true" outlineLevel="0" collapsed="false">
      <c r="A135" s="23" t="n">
        <v>14</v>
      </c>
      <c r="B135" s="9" t="s">
        <v>179</v>
      </c>
      <c r="C135" s="6" t="s">
        <v>177</v>
      </c>
      <c r="D135" s="22" t="s">
        <v>178</v>
      </c>
      <c r="E135" s="7" t="s">
        <v>358</v>
      </c>
      <c r="F135" s="7"/>
    </row>
    <row r="136" customFormat="false" ht="40.5" hidden="false" customHeight="true" outlineLevel="0" collapsed="false">
      <c r="A136" s="23" t="n">
        <v>15</v>
      </c>
      <c r="B136" s="9" t="s">
        <v>103</v>
      </c>
      <c r="C136" s="6" t="s">
        <v>100</v>
      </c>
      <c r="D136" s="22" t="s">
        <v>102</v>
      </c>
      <c r="E136" s="7" t="s">
        <v>358</v>
      </c>
      <c r="F136" s="7"/>
    </row>
    <row r="137" customFormat="false" ht="52" hidden="false" customHeight="true" outlineLevel="0" collapsed="false">
      <c r="A137" s="23" t="n">
        <v>16</v>
      </c>
      <c r="B137" s="9" t="s">
        <v>183</v>
      </c>
      <c r="C137" s="6" t="s">
        <v>180</v>
      </c>
      <c r="D137" s="22" t="s">
        <v>182</v>
      </c>
      <c r="E137" s="7" t="s">
        <v>358</v>
      </c>
      <c r="F137" s="7"/>
    </row>
    <row r="138" customFormat="false" ht="52" hidden="false" customHeight="true" outlineLevel="0" collapsed="false">
      <c r="A138" s="23" t="n">
        <v>17</v>
      </c>
      <c r="B138" s="9" t="s">
        <v>187</v>
      </c>
      <c r="C138" s="6" t="s">
        <v>184</v>
      </c>
      <c r="D138" s="22" t="s">
        <v>186</v>
      </c>
      <c r="E138" s="7" t="s">
        <v>358</v>
      </c>
      <c r="F138" s="7"/>
    </row>
    <row r="139" customFormat="false" ht="53.5" hidden="false" customHeight="true" outlineLevel="0" collapsed="false">
      <c r="A139" s="23" t="n">
        <v>18</v>
      </c>
      <c r="B139" s="9" t="s">
        <v>107</v>
      </c>
      <c r="C139" s="6" t="s">
        <v>104</v>
      </c>
      <c r="D139" s="22" t="s">
        <v>106</v>
      </c>
      <c r="E139" s="7" t="s">
        <v>358</v>
      </c>
      <c r="F139" s="7"/>
    </row>
    <row r="140" customFormat="false" ht="54.5" hidden="false" customHeight="true" outlineLevel="0" collapsed="false">
      <c r="A140" s="23" t="n">
        <v>19</v>
      </c>
      <c r="B140" s="9" t="s">
        <v>231</v>
      </c>
      <c r="C140" s="6" t="s">
        <v>228</v>
      </c>
      <c r="D140" s="22" t="s">
        <v>230</v>
      </c>
      <c r="E140" s="7" t="s">
        <v>358</v>
      </c>
      <c r="F140" s="7"/>
    </row>
    <row r="141" customFormat="false" ht="52" hidden="false" customHeight="true" outlineLevel="0" collapsed="false">
      <c r="A141" s="23" t="n">
        <v>20</v>
      </c>
      <c r="B141" s="9" t="s">
        <v>191</v>
      </c>
      <c r="C141" s="6" t="s">
        <v>188</v>
      </c>
      <c r="D141" s="22" t="s">
        <v>190</v>
      </c>
      <c r="E141" s="7" t="s">
        <v>358</v>
      </c>
      <c r="F141" s="7"/>
    </row>
    <row r="142" customFormat="false" ht="53.5" hidden="false" customHeight="true" outlineLevel="0" collapsed="false">
      <c r="A142" s="23" t="n">
        <v>21</v>
      </c>
      <c r="B142" s="9" t="s">
        <v>195</v>
      </c>
      <c r="C142" s="6" t="s">
        <v>192</v>
      </c>
      <c r="D142" s="22" t="s">
        <v>194</v>
      </c>
      <c r="E142" s="7" t="s">
        <v>358</v>
      </c>
      <c r="F142" s="7"/>
    </row>
    <row r="143" customFormat="false" ht="53.5" hidden="false" customHeight="true" outlineLevel="0" collapsed="false">
      <c r="A143" s="23" t="n">
        <v>22</v>
      </c>
      <c r="B143" s="9" t="s">
        <v>199</v>
      </c>
      <c r="C143" s="6" t="s">
        <v>196</v>
      </c>
      <c r="D143" s="22" t="s">
        <v>198</v>
      </c>
      <c r="E143" s="7" t="s">
        <v>358</v>
      </c>
      <c r="F143" s="7"/>
    </row>
    <row r="144" customFormat="false" ht="52" hidden="false" customHeight="true" outlineLevel="0" collapsed="false">
      <c r="A144" s="23" t="n">
        <v>23</v>
      </c>
      <c r="B144" s="9" t="s">
        <v>111</v>
      </c>
      <c r="C144" s="6" t="s">
        <v>108</v>
      </c>
      <c r="D144" s="22" t="s">
        <v>110</v>
      </c>
      <c r="E144" s="7" t="s">
        <v>358</v>
      </c>
      <c r="F144" s="7"/>
    </row>
    <row r="145" customFormat="false" ht="52" hidden="false" customHeight="true" outlineLevel="0" collapsed="false">
      <c r="A145" s="23" t="n">
        <v>24</v>
      </c>
      <c r="B145" s="9" t="s">
        <v>202</v>
      </c>
      <c r="C145" s="6" t="s">
        <v>200</v>
      </c>
      <c r="D145" s="22" t="s">
        <v>201</v>
      </c>
      <c r="E145" s="7" t="s">
        <v>358</v>
      </c>
      <c r="F145" s="7"/>
    </row>
    <row r="146" customFormat="false" ht="52" hidden="false" customHeight="true" outlineLevel="0" collapsed="false">
      <c r="A146" s="23" t="n">
        <v>25</v>
      </c>
      <c r="B146" s="9" t="s">
        <v>115</v>
      </c>
      <c r="C146" s="6" t="s">
        <v>112</v>
      </c>
      <c r="D146" s="22" t="s">
        <v>114</v>
      </c>
      <c r="E146" s="7" t="s">
        <v>358</v>
      </c>
      <c r="F146" s="7"/>
    </row>
    <row r="147" customFormat="false" ht="52" hidden="false" customHeight="true" outlineLevel="0" collapsed="false">
      <c r="A147" s="23" t="n">
        <v>26</v>
      </c>
      <c r="B147" s="9" t="s">
        <v>206</v>
      </c>
      <c r="C147" s="6" t="s">
        <v>203</v>
      </c>
      <c r="D147" s="22" t="s">
        <v>205</v>
      </c>
      <c r="E147" s="7" t="s">
        <v>358</v>
      </c>
      <c r="F147" s="7"/>
    </row>
    <row r="148" customFormat="false" ht="52" hidden="false" customHeight="true" outlineLevel="0" collapsed="false">
      <c r="A148" s="23" t="n">
        <v>27</v>
      </c>
      <c r="B148" s="9" t="s">
        <v>210</v>
      </c>
      <c r="C148" s="6" t="s">
        <v>207</v>
      </c>
      <c r="D148" s="22" t="s">
        <v>209</v>
      </c>
      <c r="E148" s="7" t="s">
        <v>358</v>
      </c>
      <c r="F148" s="7"/>
    </row>
    <row r="149" customFormat="false" ht="52" hidden="false" customHeight="true" outlineLevel="0" collapsed="false">
      <c r="A149" s="23" t="n">
        <v>28</v>
      </c>
      <c r="B149" s="9" t="s">
        <v>119</v>
      </c>
      <c r="C149" s="6" t="s">
        <v>116</v>
      </c>
      <c r="D149" s="22" t="s">
        <v>118</v>
      </c>
      <c r="E149" s="7" t="s">
        <v>358</v>
      </c>
      <c r="F149" s="7"/>
    </row>
    <row r="150" customFormat="false" ht="52" hidden="false" customHeight="true" outlineLevel="0" collapsed="false">
      <c r="A150" s="23" t="n">
        <v>29</v>
      </c>
      <c r="B150" s="9" t="s">
        <v>123</v>
      </c>
      <c r="C150" s="6" t="s">
        <v>120</v>
      </c>
      <c r="D150" s="22" t="s">
        <v>122</v>
      </c>
      <c r="E150" s="7" t="s">
        <v>358</v>
      </c>
      <c r="F150" s="7"/>
    </row>
    <row r="151" customFormat="false" ht="68.5" hidden="false" customHeight="true" outlineLevel="0" collapsed="false">
      <c r="A151" s="23" t="n">
        <v>30</v>
      </c>
      <c r="B151" s="9" t="s">
        <v>235</v>
      </c>
      <c r="C151" s="6" t="s">
        <v>232</v>
      </c>
      <c r="D151" s="22" t="s">
        <v>234</v>
      </c>
      <c r="E151" s="7" t="s">
        <v>358</v>
      </c>
      <c r="F151" s="7"/>
    </row>
    <row r="152" customFormat="false" ht="68.5" hidden="false" customHeight="true" outlineLevel="0" collapsed="false">
      <c r="A152" s="23" t="n">
        <v>31</v>
      </c>
      <c r="B152" s="9" t="s">
        <v>239</v>
      </c>
      <c r="C152" s="6" t="s">
        <v>236</v>
      </c>
      <c r="D152" s="22" t="s">
        <v>238</v>
      </c>
      <c r="E152" s="7" t="s">
        <v>358</v>
      </c>
      <c r="F152" s="7"/>
    </row>
    <row r="153" customFormat="false" ht="52" hidden="false" customHeight="true" outlineLevel="0" collapsed="false">
      <c r="A153" s="23" t="n">
        <v>32</v>
      </c>
      <c r="B153" s="9" t="s">
        <v>127</v>
      </c>
      <c r="C153" s="6" t="s">
        <v>124</v>
      </c>
      <c r="D153" s="22" t="s">
        <v>126</v>
      </c>
      <c r="E153" s="7" t="s">
        <v>358</v>
      </c>
      <c r="F153" s="7"/>
    </row>
    <row r="154" customFormat="false" ht="63.5" hidden="false" customHeight="true" outlineLevel="0" collapsed="false">
      <c r="A154" s="23" t="n">
        <v>33</v>
      </c>
      <c r="B154" s="9" t="s">
        <v>214</v>
      </c>
      <c r="C154" s="6" t="s">
        <v>211</v>
      </c>
      <c r="D154" s="22" t="s">
        <v>213</v>
      </c>
      <c r="E154" s="7" t="s">
        <v>358</v>
      </c>
      <c r="F154" s="7"/>
    </row>
    <row r="155" customFormat="false" ht="56" hidden="false" customHeight="true" outlineLevel="0" collapsed="false">
      <c r="A155" s="23" t="n">
        <v>34</v>
      </c>
      <c r="B155" s="9" t="s">
        <v>243</v>
      </c>
      <c r="C155" s="6" t="s">
        <v>240</v>
      </c>
      <c r="D155" s="22" t="s">
        <v>242</v>
      </c>
      <c r="E155" s="7" t="s">
        <v>358</v>
      </c>
      <c r="F155" s="7"/>
    </row>
    <row r="156" customFormat="false" ht="63.5" hidden="false" customHeight="true" outlineLevel="0" collapsed="false">
      <c r="A156" s="23" t="n">
        <v>35</v>
      </c>
      <c r="B156" s="9" t="s">
        <v>218</v>
      </c>
      <c r="C156" s="6" t="s">
        <v>359</v>
      </c>
      <c r="D156" s="22" t="s">
        <v>217</v>
      </c>
      <c r="E156" s="7" t="s">
        <v>358</v>
      </c>
      <c r="F156" s="7"/>
    </row>
    <row r="157" customFormat="false" ht="83" hidden="false" customHeight="true" outlineLevel="0" collapsed="false">
      <c r="A157" s="23" t="n">
        <v>36</v>
      </c>
      <c r="B157" s="9" t="s">
        <v>227</v>
      </c>
      <c r="C157" s="6" t="s">
        <v>223</v>
      </c>
      <c r="D157" s="22" t="s">
        <v>226</v>
      </c>
      <c r="E157" s="7" t="s">
        <v>360</v>
      </c>
      <c r="F157" s="7"/>
      <c r="G157" s="7"/>
    </row>
    <row r="158" customFormat="false" ht="75" hidden="false" customHeight="true" outlineLevel="0" collapsed="false">
      <c r="A158" s="23" t="n">
        <v>37</v>
      </c>
      <c r="B158" s="9" t="s">
        <v>70</v>
      </c>
      <c r="C158" s="6" t="s">
        <v>66</v>
      </c>
      <c r="D158" s="22" t="s">
        <v>69</v>
      </c>
      <c r="E158" s="7" t="s">
        <v>361</v>
      </c>
      <c r="F158" s="7"/>
      <c r="G158" s="7"/>
      <c r="H158" s="7"/>
    </row>
    <row r="159" customFormat="false" ht="52" hidden="false" customHeight="true" outlineLevel="0" collapsed="false">
      <c r="A159" s="23" t="n">
        <v>38</v>
      </c>
      <c r="B159" s="9" t="s">
        <v>133</v>
      </c>
      <c r="C159" s="6" t="s">
        <v>129</v>
      </c>
      <c r="D159" s="22" t="s">
        <v>132</v>
      </c>
      <c r="E159" s="7" t="s">
        <v>362</v>
      </c>
      <c r="F159" s="7"/>
      <c r="G159" s="7"/>
    </row>
    <row r="160" customFormat="false" ht="52" hidden="false" customHeight="true" outlineLevel="0" collapsed="false">
      <c r="A160" s="23" t="n">
        <v>39</v>
      </c>
      <c r="B160" s="9" t="s">
        <v>137</v>
      </c>
      <c r="C160" s="6" t="s">
        <v>134</v>
      </c>
      <c r="D160" s="22" t="s">
        <v>136</v>
      </c>
      <c r="E160" s="7" t="s">
        <v>363</v>
      </c>
      <c r="F160" s="7"/>
      <c r="G160" s="7"/>
    </row>
    <row r="161" customFormat="false" ht="52" hidden="false" customHeight="true" outlineLevel="0" collapsed="false">
      <c r="A161" s="23" t="n">
        <v>40</v>
      </c>
      <c r="B161" s="9" t="s">
        <v>75</v>
      </c>
      <c r="C161" s="6" t="s">
        <v>72</v>
      </c>
      <c r="D161" s="22" t="s">
        <v>74</v>
      </c>
      <c r="E161" s="4" t="s">
        <v>364</v>
      </c>
      <c r="F161" s="4"/>
      <c r="G161" s="4"/>
      <c r="H161" s="4"/>
    </row>
    <row r="162" customFormat="false" ht="40.5" hidden="false" customHeight="true" outlineLevel="0" collapsed="false">
      <c r="A162" s="23" t="n">
        <v>41</v>
      </c>
      <c r="B162" s="9" t="s">
        <v>365</v>
      </c>
      <c r="C162" s="6" t="s">
        <v>141</v>
      </c>
      <c r="D162" s="22" t="s">
        <v>143</v>
      </c>
      <c r="E162" s="7" t="s">
        <v>358</v>
      </c>
      <c r="F162" s="7"/>
    </row>
    <row r="163" customFormat="false" ht="40.5" hidden="false" customHeight="true" outlineLevel="0" collapsed="false">
      <c r="A163" s="23" t="n">
        <v>42</v>
      </c>
      <c r="B163" s="9" t="s">
        <v>79</v>
      </c>
      <c r="C163" s="6" t="s">
        <v>76</v>
      </c>
      <c r="D163" s="22" t="s">
        <v>78</v>
      </c>
      <c r="E163" s="4" t="s">
        <v>366</v>
      </c>
      <c r="F163" s="4"/>
      <c r="G163" s="4"/>
      <c r="H163" s="4"/>
    </row>
    <row r="164" customFormat="false" ht="40.5" hidden="false" customHeight="true" outlineLevel="0" collapsed="false">
      <c r="A164" s="23" t="n">
        <v>43</v>
      </c>
      <c r="B164" s="9" t="s">
        <v>140</v>
      </c>
      <c r="C164" s="6" t="s">
        <v>138</v>
      </c>
      <c r="D164" s="22" t="s">
        <v>139</v>
      </c>
      <c r="E164" s="4" t="s">
        <v>367</v>
      </c>
      <c r="F164" s="4"/>
      <c r="G164" s="4"/>
      <c r="H164" s="4"/>
    </row>
    <row r="165" customFormat="false" ht="40.5" hidden="false" customHeight="true" outlineLevel="0" collapsed="false">
      <c r="A165" s="23" t="n">
        <v>44</v>
      </c>
      <c r="B165" s="9" t="s">
        <v>144</v>
      </c>
      <c r="C165" s="6" t="s">
        <v>141</v>
      </c>
      <c r="D165" s="22" t="s">
        <v>143</v>
      </c>
      <c r="E165" s="7" t="s">
        <v>368</v>
      </c>
      <c r="F165" s="7"/>
      <c r="G165" s="7"/>
      <c r="H165" s="7"/>
    </row>
    <row r="166" customFormat="false" ht="52" hidden="false" customHeight="true" outlineLevel="0" collapsed="false">
      <c r="A166" s="23" t="n">
        <v>45</v>
      </c>
      <c r="B166" s="9" t="s">
        <v>249</v>
      </c>
      <c r="C166" s="6" t="s">
        <v>245</v>
      </c>
      <c r="D166" s="22" t="s">
        <v>248</v>
      </c>
      <c r="E166" s="7" t="s">
        <v>358</v>
      </c>
      <c r="F166" s="7"/>
    </row>
    <row r="167" customFormat="false" ht="16" hidden="false" customHeight="true" outlineLevel="0" collapsed="false">
      <c r="A167" s="7" t="s">
        <v>369</v>
      </c>
      <c r="B167" s="7"/>
      <c r="C167" s="7"/>
      <c r="D167" s="7"/>
      <c r="E167" s="7"/>
      <c r="F167" s="7"/>
      <c r="G167" s="7"/>
      <c r="H167" s="7"/>
    </row>
    <row r="168" customFormat="false" ht="16" hidden="false" customHeight="true" outlineLevel="0" collapsed="false">
      <c r="A168" s="33">
        <v>45</v>
      </c>
      <c r="B168" s="4"/>
      <c r="C168" s="4"/>
      <c r="D168" s="4"/>
      <c r="E168" s="4"/>
      <c r="F168" s="4"/>
      <c r="G168" s="4"/>
      <c r="H168" s="4"/>
    </row>
    <row r="169" customFormat="false" ht="16" hidden="false" customHeight="true" outlineLevel="0" collapsed="false">
      <c r="A169" s="7" t="s">
        <v>371</v>
      </c>
      <c r="B169" s="7"/>
      <c r="C169" s="7"/>
      <c r="D169" s="7"/>
      <c r="E169" s="7"/>
    </row>
    <row r="170" customFormat="false" ht="16" hidden="false" customHeight="true" outlineLevel="0" collapsed="false">
      <c r="A170" s="4" t="s">
        <v>372</v>
      </c>
      <c r="B170" s="4"/>
      <c r="C170" s="4"/>
      <c r="D170" s="4"/>
      <c r="E170" s="4"/>
      <c r="F170" s="4"/>
      <c r="G170" s="4"/>
    </row>
  </sheetData>
  <mergeCells count="75">
    <mergeCell ref="A1:H1"/>
    <mergeCell ref="A3:F3"/>
    <mergeCell ref="D4:E4"/>
    <mergeCell ref="D6:F6"/>
    <mergeCell ref="D9:F9"/>
    <mergeCell ref="D10:E10"/>
    <mergeCell ref="D12:I12"/>
    <mergeCell ref="D13:F13"/>
    <mergeCell ref="A15:F15"/>
    <mergeCell ref="A17:B17"/>
    <mergeCell ref="A19:B19"/>
    <mergeCell ref="A35:B35"/>
    <mergeCell ref="A60:B60"/>
    <mergeCell ref="A66:B66"/>
    <mergeCell ref="A69:G69"/>
    <mergeCell ref="A70:D70"/>
    <mergeCell ref="D89:E89"/>
    <mergeCell ref="D90:E90"/>
    <mergeCell ref="D97:E97"/>
    <mergeCell ref="D98:E98"/>
    <mergeCell ref="D99:E99"/>
    <mergeCell ref="D101:E101"/>
    <mergeCell ref="D102:E102"/>
    <mergeCell ref="D107:E107"/>
    <mergeCell ref="D108:E108"/>
    <mergeCell ref="A120:E120"/>
    <mergeCell ref="E122:K122"/>
    <mergeCell ref="E123:I123"/>
    <mergeCell ref="E124:F124"/>
    <mergeCell ref="E125:F125"/>
    <mergeCell ref="E126:G126"/>
    <mergeCell ref="E127:G127"/>
    <mergeCell ref="E128:G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G157"/>
    <mergeCell ref="E158:H158"/>
    <mergeCell ref="E159:G159"/>
    <mergeCell ref="E160:G160"/>
    <mergeCell ref="E161:H161"/>
    <mergeCell ref="E162:F162"/>
    <mergeCell ref="E163:H163"/>
    <mergeCell ref="E164:H164"/>
    <mergeCell ref="E165:H165"/>
    <mergeCell ref="E166:F166"/>
    <mergeCell ref="A167:H167"/>
    <mergeCell ref="A168:H168"/>
    <mergeCell ref="A169:E169"/>
    <mergeCell ref="A170:G1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P190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2026-09-29T15:06:27Z</dcterms:created>
  <dc:creator>openpyxl</dc:creator>
  <dc:description/>
  <dc:language>zh-CN</dc:language>
  <cp:lastModifiedBy/>
  <dcterms:modified xsi:type="dcterms:W3CDTF">2026-09-29T15:06:28Z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