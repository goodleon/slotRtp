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说明" sheetId="1" state="visible" r:id="rId3"/>
    <sheet name="数据配表" sheetId="2" state="visible" r:id="rId4"/>
  </sheets>
  <calcPr iterateCount="100" refMode="A1" iterate="false" iterateDelta="0.0001" fullCalcOnLoad="1"/>
  <extLst>
    <ext xmlns:loext="http://schemas.libreoffice.org/" uri="{7626C862-2A13-11E5-B345-FEFF819CDC9F}">
      <loext:extCalcPr stringRefSyntax="ExcelA1"/>
    </ext>
  </extLst>
</workbook>
</file>

<file path=xl/sharedStrings.xml><?xml version="1.0" encoding="utf-8"?>
<sst xmlns="http://schemas.openxmlformats.org/spreadsheetml/2006/main" count="266" uniqueCount="259">
  <si>
    <r>
      <rPr>
        <b val="true"/>
        <sz val="14"/>
        <color rgb="FF1F4E79"/>
        <rFont val="Noto Sans SC"/>
        <family val="2"/>
        <charset val="134"/>
      </rPr>
      <t xml:space="preserve">从零开始学</t>
    </r>
    <r>
      <rPr>
        <b val="true"/>
        <sz val="14"/>
        <color rgb="FF1F4E79"/>
        <rFont val="Cambria"/>
        <family val="0"/>
        <charset val="1"/>
      </rPr>
      <t xml:space="preserve">Slots 29 —— </t>
    </r>
    <r>
      <rPr>
        <b val="true"/>
        <sz val="14"/>
        <color rgb="FF1F4E79"/>
        <rFont val="Noto Sans SC"/>
        <family val="2"/>
        <charset val="134"/>
      </rPr>
      <t xml:space="preserve">基础篇：</t>
    </r>
    <r>
      <rPr>
        <b val="true"/>
        <sz val="14"/>
        <color rgb="FF1F4E79"/>
        <rFont val="Cambria"/>
        <family val="0"/>
        <charset val="1"/>
      </rPr>
      <t xml:space="preserve">Megaways 6+1</t>
    </r>
  </si>
  <si>
    <r>
      <rPr>
        <sz val="11"/>
        <color rgb="FF808080"/>
        <rFont val="Noto Sans SC"/>
        <family val="2"/>
        <charset val="134"/>
      </rPr>
      <t xml:space="preserve">来源：知乎《</t>
    </r>
    <r>
      <rPr>
        <sz val="11"/>
        <color rgb="FF808080"/>
        <rFont val="Cambria"/>
        <family val="0"/>
        <charset val="1"/>
      </rPr>
      <t xml:space="preserve">Slots</t>
    </r>
    <r>
      <rPr>
        <sz val="11"/>
        <color rgb="FF808080"/>
        <rFont val="Noto Sans SC"/>
        <family val="2"/>
        <charset val="134"/>
      </rPr>
      <t xml:space="preserve">基础篇——</t>
    </r>
    <r>
      <rPr>
        <sz val="11"/>
        <color rgb="FF808080"/>
        <rFont val="Cambria"/>
        <family val="0"/>
        <charset val="1"/>
      </rPr>
      <t xml:space="preserve">Megaways 6+1</t>
    </r>
    <r>
      <rPr>
        <sz val="11"/>
        <color rgb="FF808080"/>
        <rFont val="Noto Sans SC"/>
        <family val="2"/>
        <charset val="134"/>
      </rPr>
      <t xml:space="preserve">》  </t>
    </r>
    <r>
      <rPr>
        <sz val="11"/>
        <color rgb="FF808080"/>
        <rFont val="Cambria"/>
        <family val="0"/>
        <charset val="1"/>
      </rPr>
      <t xml:space="preserve">https://zhuanlan.zhihu.com/p/633527344</t>
    </r>
  </si>
  <si>
    <r>
      <rPr>
        <sz val="11"/>
        <color rgb="FF808080"/>
        <rFont val="Noto Sans SC"/>
        <family val="2"/>
        <charset val="134"/>
      </rPr>
      <t xml:space="preserve">专栏：从零开始学</t>
    </r>
    <r>
      <rPr>
        <sz val="11"/>
        <color rgb="FF808080"/>
        <rFont val="Cambria"/>
        <family val="0"/>
        <charset val="1"/>
      </rPr>
      <t xml:space="preserve">Slots https://zhuanlan.zhihu.com/c_1645024821070356480 </t>
    </r>
    <r>
      <rPr>
        <sz val="11"/>
        <color rgb="FF808080"/>
        <rFont val="Noto Sans SC"/>
        <family val="2"/>
        <charset val="134"/>
      </rPr>
      <t xml:space="preserve">｜ 作者：</t>
    </r>
    <r>
      <rPr>
        <sz val="11"/>
        <color rgb="FF808080"/>
        <rFont val="Cambria"/>
        <family val="0"/>
        <charset val="1"/>
      </rPr>
      <t xml:space="preserve">ASlot</t>
    </r>
  </si>
  <si>
    <r>
      <rPr>
        <sz val="11"/>
        <color rgb="FF808080"/>
        <rFont val="Noto Sans SC"/>
        <family val="2"/>
        <charset val="134"/>
      </rPr>
      <t xml:space="preserve">正文：用户在本机离线保存的网页原件（浏览器「另存为 → 网页，全部」）；本页『原文整理』即该文全文，原文配图已取回 </t>
    </r>
    <r>
      <rPr>
        <sz val="11"/>
        <color rgb="FF808080"/>
        <rFont val="Cambria"/>
        <family val="0"/>
        <charset val="1"/>
      </rPr>
      <t xml:space="preserve">images/slots/</t>
    </r>
    <r>
      <rPr>
        <sz val="11"/>
        <color rgb="FF808080"/>
        <rFont val="Noto Sans SC"/>
        <family val="2"/>
        <charset val="134"/>
      </rPr>
      <t xml:space="preserve">。</t>
    </r>
  </si>
  <si>
    <r>
      <rPr>
        <sz val="11"/>
        <color rgb="FF808080"/>
        <rFont val="Noto Sans SC"/>
        <family val="2"/>
        <charset val="134"/>
      </rPr>
      <t xml:space="preserve">样式模板：捕鱼游戏数学</t>
    </r>
    <r>
      <rPr>
        <sz val="11"/>
        <color rgb="FF808080"/>
        <rFont val="Cambria"/>
        <family val="0"/>
        <charset val="1"/>
      </rPr>
      <t xml:space="preserve">-PartII-</t>
    </r>
    <r>
      <rPr>
        <sz val="11"/>
        <color rgb="FF808080"/>
        <rFont val="Noto Sans SC"/>
        <family val="2"/>
        <charset val="134"/>
      </rPr>
      <t xml:space="preserve">特殊炮模型</t>
    </r>
    <r>
      <rPr>
        <sz val="11"/>
        <color rgb="FF808080"/>
        <rFont val="Cambria"/>
        <family val="0"/>
        <charset val="1"/>
      </rPr>
      <t xml:space="preserve">.xlsx</t>
    </r>
    <r>
      <rPr>
        <sz val="11"/>
        <color rgb="FF808080"/>
        <rFont val="Noto Sans SC"/>
        <family val="2"/>
        <charset val="134"/>
      </rPr>
      <t xml:space="preserve">（分节深蓝底 </t>
    </r>
    <r>
      <rPr>
        <sz val="11"/>
        <color rgb="FF808080"/>
        <rFont val="Cambria"/>
        <family val="0"/>
        <charset val="1"/>
      </rPr>
      <t xml:space="preserve">+ </t>
    </r>
    <r>
      <rPr>
        <sz val="11"/>
        <color rgb="FF808080"/>
        <rFont val="Noto Sans SC"/>
        <family val="2"/>
        <charset val="134"/>
      </rPr>
      <t xml:space="preserve">表头浅蓝底 </t>
    </r>
    <r>
      <rPr>
        <sz val="11"/>
        <color rgb="FF808080"/>
        <rFont val="Cambria"/>
        <family val="0"/>
        <charset val="1"/>
      </rPr>
      <t xml:space="preserve">+ </t>
    </r>
    <r>
      <rPr>
        <sz val="11"/>
        <color rgb="FF808080"/>
        <rFont val="Noto Sans SC"/>
        <family val="2"/>
        <charset val="134"/>
      </rPr>
      <t xml:space="preserve">蓝字可改输入 </t>
    </r>
    <r>
      <rPr>
        <sz val="11"/>
        <color rgb="FF808080"/>
        <rFont val="Cambria"/>
        <family val="0"/>
        <charset val="1"/>
      </rPr>
      <t xml:space="preserve">+ </t>
    </r>
    <r>
      <rPr>
        <sz val="11"/>
        <color rgb="FF808080"/>
        <rFont val="Noto Sans SC"/>
        <family val="2"/>
        <charset val="134"/>
      </rPr>
      <t xml:space="preserve">黑字公式 </t>
    </r>
    <r>
      <rPr>
        <sz val="11"/>
        <color rgb="FF808080"/>
        <rFont val="Cambria"/>
        <family val="0"/>
        <charset val="1"/>
      </rPr>
      <t xml:space="preserve">+ </t>
    </r>
    <r>
      <rPr>
        <sz val="11"/>
        <color rgb="FF808080"/>
        <rFont val="Noto Sans SC"/>
        <family val="2"/>
        <charset val="134"/>
      </rPr>
      <t xml:space="preserve">黄底关键结果）</t>
    </r>
  </si>
  <si>
    <r>
      <rPr>
        <sz val="11"/>
        <color rgb="FF808080"/>
        <rFont val="Noto Sans SC"/>
        <family val="2"/>
        <charset val="134"/>
      </rPr>
      <t xml:space="preserve">配表说明：本篇为机制篇。【</t>
    </r>
    <r>
      <rPr>
        <sz val="11"/>
        <color rgb="FF808080"/>
        <rFont val="Cambria"/>
        <family val="0"/>
        <charset val="1"/>
      </rPr>
      <t xml:space="preserve">4</t>
    </r>
    <r>
      <rPr>
        <sz val="11"/>
        <color rgb="FF808080"/>
        <rFont val="Noto Sans SC"/>
        <family val="2"/>
        <charset val="134"/>
      </rPr>
      <t xml:space="preserve">】的各列出现情况与 〔方法一</t>
    </r>
    <r>
      <rPr>
        <sz val="11"/>
        <color rgb="FF808080"/>
        <rFont val="Cambria"/>
        <family val="0"/>
        <charset val="1"/>
      </rPr>
      <t xml:space="preserve">/</t>
    </r>
    <r>
      <rPr>
        <sz val="11"/>
        <color rgb="FF808080"/>
        <rFont val="Noto Sans SC"/>
        <family val="2"/>
        <charset val="134"/>
      </rPr>
      <t xml:space="preserve">方法二〕的计数规则取自原文正文案例，</t>
    </r>
    <r>
      <rPr>
        <sz val="11"/>
        <color rgb="FF808080"/>
        <rFont val="Cambria"/>
        <family val="0"/>
        <charset val="1"/>
      </rPr>
      <t xml:space="preserve">Ways </t>
    </r>
    <r>
      <rPr>
        <sz val="11"/>
        <color rgb="FF808080"/>
        <rFont val="Noto Sans SC"/>
        <family val="2"/>
        <charset val="134"/>
      </rPr>
      <t xml:space="preserve">由本簿公式算出；【</t>
    </r>
    <r>
      <rPr>
        <sz val="11"/>
        <color rgb="FF808080"/>
        <rFont val="Cambria"/>
        <family val="0"/>
        <charset val="1"/>
      </rPr>
      <t xml:space="preserve">5</t>
    </r>
    <r>
      <rPr>
        <sz val="11"/>
        <color rgb="FF808080"/>
        <rFont val="Noto Sans SC"/>
        <family val="2"/>
        <charset val="134"/>
      </rPr>
      <t xml:space="preserve">】用 </t>
    </r>
    <r>
      <rPr>
        <sz val="11"/>
        <color rgb="FF808080"/>
        <rFont val="Cambria"/>
        <family val="0"/>
        <charset val="1"/>
      </rPr>
      <t xml:space="preserve">6 </t>
    </r>
    <r>
      <rPr>
        <sz val="11"/>
        <color rgb="FF808080"/>
        <rFont val="Noto Sans SC"/>
        <family val="2"/>
        <charset val="134"/>
      </rPr>
      <t xml:space="preserve">种可能个数（</t>
    </r>
    <r>
      <rPr>
        <sz val="11"/>
        <color rgb="FF808080"/>
        <rFont val="Cambria"/>
        <family val="0"/>
        <charset val="1"/>
      </rPr>
      <t xml:space="preserve">2~7</t>
    </r>
    <r>
      <rPr>
        <sz val="11"/>
        <color rgb="FF808080"/>
        <rFont val="Noto Sans SC"/>
        <family val="2"/>
        <charset val="134"/>
      </rPr>
      <t xml:space="preserve">）演示「期望的和＝和的期望」，其中各情况几率与图标出现几率是示意值（蓝字可改），两种算法的等式恒成立。</t>
    </r>
  </si>
  <si>
    <t xml:space="preserve">页签</t>
  </si>
  <si>
    <r>
      <rPr>
        <sz val="11"/>
        <color theme="1"/>
        <rFont val="Calibri"/>
        <family val="2"/>
        <charset val="1"/>
      </rPr>
      <t xml:space="preserve">· </t>
    </r>
    <r>
      <rPr>
        <sz val="11"/>
        <color theme="1"/>
        <rFont val="Noto Sans SC"/>
        <family val="2"/>
        <charset val="134"/>
      </rPr>
      <t xml:space="preserve">说明：本文整理 —— 来源、用法、要点、原文全文、配图清单、校验与声明。</t>
    </r>
  </si>
  <si>
    <r>
      <rPr>
        <sz val="11"/>
        <color theme="1"/>
        <rFont val="Calibri"/>
        <family val="2"/>
        <charset val="1"/>
      </rPr>
      <t xml:space="preserve">· </t>
    </r>
    <r>
      <rPr>
        <sz val="11"/>
        <color theme="1"/>
        <rFont val="Noto Sans SC"/>
        <family val="2"/>
        <charset val="134"/>
      </rPr>
      <t xml:space="preserve">数据配表：把原文讲到的方法</t>
    </r>
    <r>
      <rPr>
        <sz val="11"/>
        <color theme="1"/>
        <rFont val="Calibri"/>
        <family val="2"/>
        <charset val="1"/>
      </rPr>
      <t xml:space="preserve">/</t>
    </r>
    <r>
      <rPr>
        <sz val="11"/>
        <color theme="1"/>
        <rFont val="Noto Sans SC"/>
        <family val="2"/>
        <charset val="134"/>
      </rPr>
      <t xml:space="preserve">机制做成可改数值的配表（蓝字可改，公式自动联动）。</t>
    </r>
  </si>
  <si>
    <t xml:space="preserve">用法</t>
  </si>
  <si>
    <r>
      <rPr>
        <sz val="11"/>
        <color theme="1"/>
        <rFont val="Calibri"/>
        <family val="2"/>
        <charset val="1"/>
      </rPr>
      <t xml:space="preserve">1) </t>
    </r>
    <r>
      <rPr>
        <sz val="11"/>
        <color theme="1"/>
        <rFont val="Noto Sans SC"/>
        <family val="2"/>
        <charset val="134"/>
      </rPr>
      <t xml:space="preserve">先看本页『原文整理』，对照原文小标题读一遍；配图编号 ［配图 </t>
    </r>
    <r>
      <rPr>
        <sz val="11"/>
        <color theme="1"/>
        <rFont val="Calibri"/>
        <family val="2"/>
        <charset val="1"/>
      </rPr>
      <t xml:space="preserve">NN</t>
    </r>
    <r>
      <rPr>
        <sz val="11"/>
        <color theme="1"/>
        <rFont val="Noto Sans SC"/>
        <family val="2"/>
        <charset val="134"/>
      </rPr>
      <t xml:space="preserve">］ 对应 </t>
    </r>
    <r>
      <rPr>
        <sz val="11"/>
        <color theme="1"/>
        <rFont val="Calibri"/>
        <family val="2"/>
        <charset val="1"/>
      </rPr>
      <t xml:space="preserve">images/slots/633527344-NN.</t>
    </r>
    <r>
      <rPr>
        <sz val="11"/>
        <color theme="1"/>
        <rFont val="Noto Sans SC"/>
        <family val="2"/>
        <charset val="134"/>
      </rPr>
      <t xml:space="preserve">原扩展名。</t>
    </r>
  </si>
  <si>
    <r>
      <rPr>
        <sz val="11"/>
        <color theme="1"/>
        <rFont val="Calibri"/>
        <family val="2"/>
        <charset val="1"/>
      </rPr>
      <t xml:space="preserve">2) </t>
    </r>
    <r>
      <rPr>
        <sz val="11"/>
        <color theme="1"/>
        <rFont val="Noto Sans SC"/>
        <family val="2"/>
        <charset val="134"/>
      </rPr>
      <t xml:space="preserve">再看第 </t>
    </r>
    <r>
      <rPr>
        <sz val="11"/>
        <color theme="1"/>
        <rFont val="Calibri"/>
        <family val="2"/>
        <charset val="1"/>
      </rPr>
      <t xml:space="preserve">2 </t>
    </r>
    <r>
      <rPr>
        <sz val="11"/>
        <color theme="1"/>
        <rFont val="Noto Sans SC"/>
        <family val="2"/>
        <charset val="134"/>
      </rPr>
      <t xml:space="preserve">个页签『数据配表』：蓝字＝可改配置，黑字＝公式，黄底＝结果；改配置后各表自动联动。</t>
    </r>
  </si>
  <si>
    <r>
      <rPr>
        <sz val="11"/>
        <color theme="1"/>
        <rFont val="Calibri"/>
        <family val="2"/>
        <charset val="1"/>
      </rPr>
      <t xml:space="preserve">3) </t>
    </r>
    <r>
      <rPr>
        <sz val="11"/>
        <color theme="1"/>
        <rFont val="Noto Sans SC"/>
        <family val="2"/>
        <charset val="134"/>
      </rPr>
      <t xml:space="preserve">表内数值取自原文示例；原文只给方法而未给数值的部分，用同项目《老虎机数学入门 </t>
    </r>
    <r>
      <rPr>
        <sz val="11"/>
        <color theme="1"/>
        <rFont val="Calibri"/>
        <family val="2"/>
        <charset val="1"/>
      </rPr>
      <t xml:space="preserve">Part Ⅰ/Ⅱ</t>
    </r>
    <r>
      <rPr>
        <sz val="11"/>
        <color theme="1"/>
        <rFont val="Noto Sans SC"/>
        <family val="2"/>
        <charset val="134"/>
      </rPr>
      <t xml:space="preserve">》的示例数值（蓝字可改）。</t>
    </r>
  </si>
  <si>
    <t xml:space="preserve">要点</t>
  </si>
  <si>
    <r>
      <rPr>
        <sz val="11"/>
        <color theme="1"/>
        <rFont val="Calibri"/>
        <family val="2"/>
        <charset val="1"/>
      </rPr>
      <t xml:space="preserve">· Megaways</t>
    </r>
    <r>
      <rPr>
        <sz val="11"/>
        <color theme="1"/>
        <rFont val="Noto Sans SC"/>
        <family val="2"/>
        <charset val="134"/>
      </rPr>
      <t xml:space="preserve">：每列图标个数不固定，每局「</t>
    </r>
    <r>
      <rPr>
        <sz val="11"/>
        <color theme="1"/>
        <rFont val="Calibri"/>
        <family val="2"/>
        <charset val="1"/>
      </rPr>
      <t xml:space="preserve">Ways</t>
    </r>
    <r>
      <rPr>
        <sz val="11"/>
        <color theme="1"/>
        <rFont val="Noto Sans SC"/>
        <family val="2"/>
        <charset val="134"/>
      </rPr>
      <t xml:space="preserve">」都不同（</t>
    </r>
    <r>
      <rPr>
        <sz val="11"/>
        <color theme="1"/>
        <rFont val="Calibri"/>
        <family val="2"/>
        <charset val="1"/>
      </rPr>
      <t xml:space="preserve">Ways </t>
    </r>
    <r>
      <rPr>
        <sz val="11"/>
        <color theme="1"/>
        <rFont val="Noto Sans SC"/>
        <family val="2"/>
        <charset val="134"/>
      </rPr>
      <t xml:space="preserve">＝ 各列图标个数乘积）。</t>
    </r>
  </si>
  <si>
    <r>
      <rPr>
        <sz val="11"/>
        <color theme="1"/>
        <rFont val="Calibri"/>
        <family val="2"/>
        <charset val="1"/>
      </rPr>
      <t xml:space="preserve">· Megaways 6+1</t>
    </r>
    <r>
      <rPr>
        <sz val="11"/>
        <color theme="1"/>
        <rFont val="Noto Sans SC"/>
        <family val="2"/>
        <charset val="134"/>
      </rPr>
      <t xml:space="preserve">：在 </t>
    </r>
    <r>
      <rPr>
        <sz val="11"/>
        <color theme="1"/>
        <rFont val="Calibri"/>
        <family val="2"/>
        <charset val="1"/>
      </rPr>
      <t xml:space="preserve">Megaways </t>
    </r>
    <r>
      <rPr>
        <sz val="11"/>
        <color theme="1"/>
        <rFont val="Noto Sans SC"/>
        <family val="2"/>
        <charset val="134"/>
      </rPr>
      <t xml:space="preserve">的长方形卷轴上方，</t>
    </r>
    <r>
      <rPr>
        <sz val="11"/>
        <color theme="1"/>
        <rFont val="Calibri"/>
        <family val="2"/>
        <charset val="1"/>
      </rPr>
      <t xml:space="preserve">2~5 </t>
    </r>
    <r>
      <rPr>
        <sz val="11"/>
        <color theme="1"/>
        <rFont val="Noto Sans SC"/>
        <family val="2"/>
        <charset val="134"/>
      </rPr>
      <t xml:space="preserve">列多出一条横着转的卷轴；</t>
    </r>
  </si>
  <si>
    <r>
      <rPr>
        <sz val="11"/>
        <color theme="1"/>
        <rFont val="Noto Sans SC"/>
        <family val="2"/>
        <charset val="134"/>
      </rPr>
      <t xml:space="preserve">  基础部分最多 </t>
    </r>
    <r>
      <rPr>
        <sz val="11"/>
        <color theme="1"/>
        <rFont val="Calibri"/>
        <family val="2"/>
        <charset val="1"/>
      </rPr>
      <t xml:space="preserve">6 </t>
    </r>
    <r>
      <rPr>
        <sz val="11"/>
        <color theme="1"/>
        <rFont val="Noto Sans SC"/>
        <family val="2"/>
        <charset val="134"/>
      </rPr>
      <t xml:space="preserve">个图标，所以叫 </t>
    </r>
    <r>
      <rPr>
        <sz val="11"/>
        <color theme="1"/>
        <rFont val="Calibri"/>
        <family val="2"/>
        <charset val="1"/>
      </rPr>
      <t xml:space="preserve">6+1</t>
    </r>
    <r>
      <rPr>
        <sz val="11"/>
        <color theme="1"/>
        <rFont val="Noto Sans SC"/>
        <family val="2"/>
        <charset val="134"/>
      </rPr>
      <t xml:space="preserve">。首列与末列没有这条横轴，且它们的图标个数一般比 </t>
    </r>
    <r>
      <rPr>
        <sz val="11"/>
        <color theme="1"/>
        <rFont val="Calibri"/>
        <family val="2"/>
        <charset val="1"/>
      </rPr>
      <t xml:space="preserve">2~5 </t>
    </r>
    <r>
      <rPr>
        <sz val="11"/>
        <color theme="1"/>
        <rFont val="Noto Sans SC"/>
        <family val="2"/>
        <charset val="134"/>
      </rPr>
      <t xml:space="preserve">列多 </t>
    </r>
    <r>
      <rPr>
        <sz val="11"/>
        <color theme="1"/>
        <rFont val="Calibri"/>
        <family val="2"/>
        <charset val="1"/>
      </rPr>
      <t xml:space="preserve">1</t>
    </r>
    <r>
      <rPr>
        <sz val="11"/>
        <color theme="1"/>
        <rFont val="Noto Sans SC"/>
        <family val="2"/>
        <charset val="134"/>
      </rPr>
      <t xml:space="preserve">。</t>
    </r>
  </si>
  <si>
    <r>
      <rPr>
        <sz val="11"/>
        <color theme="1"/>
        <rFont val="Calibri"/>
        <family val="2"/>
        <charset val="1"/>
      </rPr>
      <t xml:space="preserve">· </t>
    </r>
    <r>
      <rPr>
        <sz val="11"/>
        <color theme="1"/>
        <rFont val="Noto Sans SC"/>
        <family val="2"/>
        <charset val="134"/>
      </rPr>
      <t xml:space="preserve">上方横轴与下方主区一般用两套概率表控制：好处是可以方便地做「只出现在上方」的特殊图标</t>
    </r>
  </si>
  <si>
    <r>
      <rPr>
        <sz val="11"/>
        <color theme="1"/>
        <rFont val="Noto Sans SC"/>
        <family val="2"/>
        <charset val="134"/>
      </rPr>
      <t xml:space="preserve">  （最常见：限定 </t>
    </r>
    <r>
      <rPr>
        <sz val="11"/>
        <color theme="1"/>
        <rFont val="Calibri"/>
        <family val="2"/>
        <charset val="1"/>
      </rPr>
      <t xml:space="preserve">Wild </t>
    </r>
    <r>
      <rPr>
        <sz val="11"/>
        <color theme="1"/>
        <rFont val="Noto Sans SC"/>
        <family val="2"/>
        <charset val="134"/>
      </rPr>
      <t xml:space="preserve">只出现在上方区域、</t>
    </r>
    <r>
      <rPr>
        <sz val="11"/>
        <color theme="1"/>
        <rFont val="Calibri"/>
        <family val="2"/>
        <charset val="1"/>
      </rPr>
      <t xml:space="preserve">Scatter </t>
    </r>
    <r>
      <rPr>
        <sz val="11"/>
        <color theme="1"/>
        <rFont val="Noto Sans SC"/>
        <family val="2"/>
        <charset val="134"/>
      </rPr>
      <t xml:space="preserve">只出现在下方区域）；</t>
    </r>
  </si>
  <si>
    <t xml:space="preserve">  若只用一套概率表，还要单独排除下半区域出现百搭的情况，调控容易失控。</t>
  </si>
  <si>
    <r>
      <rPr>
        <sz val="11"/>
        <color theme="1"/>
        <rFont val="Calibri"/>
        <family val="2"/>
        <charset val="1"/>
      </rPr>
      <t xml:space="preserve">· </t>
    </r>
    <r>
      <rPr>
        <sz val="11"/>
        <color theme="1"/>
        <rFont val="Noto Sans SC"/>
        <family val="2"/>
        <charset val="134"/>
      </rPr>
      <t xml:space="preserve">数值上记住一句话即可：「期望的和 ＝ 和的期望」——上下两部分的期望相加即可，不必枚举全部组合。</t>
    </r>
  </si>
  <si>
    <r>
      <rPr>
        <sz val="11"/>
        <color theme="1"/>
        <rFont val="Calibri"/>
        <family val="2"/>
        <charset val="1"/>
      </rPr>
      <t xml:space="preserve">· </t>
    </r>
    <r>
      <rPr>
        <sz val="11"/>
        <color theme="1"/>
        <rFont val="Noto Sans SC"/>
        <family val="2"/>
        <charset val="134"/>
      </rPr>
      <t xml:space="preserve">赔付规则基于 </t>
    </r>
    <r>
      <rPr>
        <sz val="11"/>
        <color theme="1"/>
        <rFont val="Calibri"/>
        <family val="2"/>
        <charset val="1"/>
      </rPr>
      <t xml:space="preserve">Ways</t>
    </r>
    <r>
      <rPr>
        <sz val="11"/>
        <color theme="1"/>
        <rFont val="Noto Sans SC"/>
        <family val="2"/>
        <charset val="134"/>
      </rPr>
      <t xml:space="preserve">：实际赔付倍数 ＝ 计算基数 </t>
    </r>
    <r>
      <rPr>
        <sz val="11"/>
        <color theme="1"/>
        <rFont val="Calibri"/>
        <family val="2"/>
        <charset val="1"/>
      </rPr>
      <t xml:space="preserve">× </t>
    </r>
    <r>
      <rPr>
        <sz val="11"/>
        <color theme="1"/>
        <rFont val="Noto Sans SC"/>
        <family val="2"/>
        <charset val="134"/>
      </rPr>
      <t xml:space="preserve">赔付倍数 </t>
    </r>
    <r>
      <rPr>
        <sz val="11"/>
        <color theme="1"/>
        <rFont val="Calibri"/>
        <family val="2"/>
        <charset val="1"/>
      </rPr>
      <t xml:space="preserve">× </t>
    </r>
    <r>
      <rPr>
        <sz val="11"/>
        <color theme="1"/>
        <rFont val="Noto Sans SC"/>
        <family val="2"/>
        <charset val="134"/>
      </rPr>
      <t xml:space="preserve">中奖各列图标个数乘积；</t>
    </r>
  </si>
  <si>
    <r>
      <rPr>
        <sz val="11"/>
        <color theme="1"/>
        <rFont val="Noto Sans SC"/>
        <family val="2"/>
        <charset val="134"/>
      </rPr>
      <t xml:space="preserve">  两种主流衍生规则：① 限定 </t>
    </r>
    <r>
      <rPr>
        <sz val="11"/>
        <color theme="1"/>
        <rFont val="Calibri"/>
        <family val="2"/>
        <charset val="1"/>
      </rPr>
      <t xml:space="preserve">2~5 </t>
    </r>
    <r>
      <rPr>
        <sz val="11"/>
        <color theme="1"/>
        <rFont val="Noto Sans SC"/>
        <family val="2"/>
        <charset val="134"/>
      </rPr>
      <t xml:space="preserve">列下半部分图标个数最多视为 </t>
    </r>
    <r>
      <rPr>
        <sz val="11"/>
        <color theme="1"/>
        <rFont val="Calibri"/>
        <family val="2"/>
        <charset val="1"/>
      </rPr>
      <t xml:space="preserve">1 </t>
    </r>
    <r>
      <rPr>
        <sz val="11"/>
        <color theme="1"/>
        <rFont val="Noto Sans SC"/>
        <family val="2"/>
        <charset val="134"/>
      </rPr>
      <t xml:space="preserve">个（该列上限为 </t>
    </r>
    <r>
      <rPr>
        <sz val="11"/>
        <color theme="1"/>
        <rFont val="Calibri"/>
        <family val="2"/>
        <charset val="1"/>
      </rPr>
      <t xml:space="preserve">2</t>
    </r>
    <r>
      <rPr>
        <sz val="11"/>
        <color theme="1"/>
        <rFont val="Noto Sans SC"/>
        <family val="2"/>
        <charset val="134"/>
      </rPr>
      <t xml:space="preserve">：上方 </t>
    </r>
    <r>
      <rPr>
        <sz val="11"/>
        <color theme="1"/>
        <rFont val="Calibri"/>
        <family val="2"/>
        <charset val="1"/>
      </rPr>
      <t xml:space="preserve">1 </t>
    </r>
    <r>
      <rPr>
        <sz val="11"/>
        <color theme="1"/>
        <rFont val="Noto Sans SC"/>
        <family val="2"/>
        <charset val="134"/>
      </rPr>
      <t xml:space="preserve">＋ 下方 </t>
    </r>
    <r>
      <rPr>
        <sz val="11"/>
        <color theme="1"/>
        <rFont val="Calibri"/>
        <family val="2"/>
        <charset val="1"/>
      </rPr>
      <t xml:space="preserve">1</t>
    </r>
    <r>
      <rPr>
        <sz val="11"/>
        <color theme="1"/>
        <rFont val="Noto Sans SC"/>
        <family val="2"/>
        <charset val="134"/>
      </rPr>
      <t xml:space="preserve">）；</t>
    </r>
  </si>
  <si>
    <r>
      <rPr>
        <sz val="11"/>
        <color theme="1"/>
        <rFont val="Noto Sans SC"/>
        <family val="2"/>
        <charset val="134"/>
      </rPr>
      <t xml:space="preserve">  ② 不做限制、顺应 </t>
    </r>
    <r>
      <rPr>
        <sz val="11"/>
        <color theme="1"/>
        <rFont val="Calibri"/>
        <family val="2"/>
        <charset val="1"/>
      </rPr>
      <t xml:space="preserve">Ways </t>
    </r>
    <r>
      <rPr>
        <sz val="11"/>
        <color theme="1"/>
        <rFont val="Noto Sans SC"/>
        <family val="2"/>
        <charset val="134"/>
      </rPr>
      <t xml:space="preserve">规则。方法二增益上限远高于方法一，但为了把 </t>
    </r>
    <r>
      <rPr>
        <sz val="11"/>
        <color theme="1"/>
        <rFont val="Calibri"/>
        <family val="2"/>
        <charset val="1"/>
      </rPr>
      <t xml:space="preserve">RTP </t>
    </r>
    <r>
      <rPr>
        <sz val="11"/>
        <color theme="1"/>
        <rFont val="Noto Sans SC"/>
        <family val="2"/>
        <charset val="134"/>
      </rPr>
      <t xml:space="preserve">压到 </t>
    </r>
    <r>
      <rPr>
        <sz val="11"/>
        <color theme="1"/>
        <rFont val="Calibri"/>
        <family val="2"/>
        <charset val="1"/>
      </rPr>
      <t xml:space="preserve">1 </t>
    </r>
    <r>
      <rPr>
        <sz val="11"/>
        <color theme="1"/>
        <rFont val="Noto Sans SC"/>
        <family val="2"/>
        <charset val="134"/>
      </rPr>
      <t xml:space="preserve">以下，  通常会压低赔付倍数或中奖率，数值更极限、上线后可调空间小。</t>
    </r>
  </si>
  <si>
    <r>
      <rPr>
        <sz val="11"/>
        <color theme="1"/>
        <rFont val="Calibri"/>
        <family val="2"/>
        <charset val="1"/>
      </rPr>
      <t xml:space="preserve">· </t>
    </r>
    <r>
      <rPr>
        <sz val="11"/>
        <color theme="1"/>
        <rFont val="Noto Sans SC"/>
        <family val="2"/>
        <charset val="134"/>
      </rPr>
      <t xml:space="preserve">图标个数不固定时：把首</t>
    </r>
    <r>
      <rPr>
        <sz val="11"/>
        <color theme="1"/>
        <rFont val="Calibri"/>
        <family val="2"/>
        <charset val="1"/>
      </rPr>
      <t xml:space="preserve">/</t>
    </r>
    <r>
      <rPr>
        <sz val="11"/>
        <color theme="1"/>
        <rFont val="Noto Sans SC"/>
        <family val="2"/>
        <charset val="134"/>
      </rPr>
      <t xml:space="preserve">末列可能的个数（</t>
    </r>
    <r>
      <rPr>
        <sz val="11"/>
        <color theme="1"/>
        <rFont val="Calibri"/>
        <family val="2"/>
        <charset val="1"/>
      </rPr>
      <t xml:space="preserve">2</t>
    </r>
    <r>
      <rPr>
        <sz val="11"/>
        <color theme="1"/>
        <rFont val="Noto Sans SC"/>
        <family val="2"/>
        <charset val="134"/>
      </rPr>
      <t xml:space="preserve">、</t>
    </r>
    <r>
      <rPr>
        <sz val="11"/>
        <color theme="1"/>
        <rFont val="Calibri"/>
        <family val="2"/>
        <charset val="1"/>
      </rPr>
      <t xml:space="preserve">3</t>
    </r>
    <r>
      <rPr>
        <sz val="11"/>
        <color theme="1"/>
        <rFont val="Noto Sans SC"/>
        <family val="2"/>
        <charset val="134"/>
      </rPr>
      <t xml:space="preserve">、</t>
    </r>
    <r>
      <rPr>
        <sz val="11"/>
        <color theme="1"/>
        <rFont val="Calibri"/>
        <family val="2"/>
        <charset val="1"/>
      </rPr>
      <t xml:space="preserve">4</t>
    </r>
    <r>
      <rPr>
        <sz val="11"/>
        <color theme="1"/>
        <rFont val="Noto Sans SC"/>
        <family val="2"/>
        <charset val="134"/>
      </rPr>
      <t xml:space="preserve">、</t>
    </r>
    <r>
      <rPr>
        <sz val="11"/>
        <color theme="1"/>
        <rFont val="Calibri"/>
        <family val="2"/>
        <charset val="1"/>
      </rPr>
      <t xml:space="preserve">5</t>
    </r>
    <r>
      <rPr>
        <sz val="11"/>
        <color theme="1"/>
        <rFont val="Noto Sans SC"/>
        <family val="2"/>
        <charset val="134"/>
      </rPr>
      <t xml:space="preserve">、</t>
    </r>
    <r>
      <rPr>
        <sz val="11"/>
        <color theme="1"/>
        <rFont val="Calibri"/>
        <family val="2"/>
        <charset val="1"/>
      </rPr>
      <t xml:space="preserve">6</t>
    </r>
    <r>
      <rPr>
        <sz val="11"/>
        <color theme="1"/>
        <rFont val="Noto Sans SC"/>
        <family val="2"/>
        <charset val="134"/>
      </rPr>
      <t xml:space="preserve">、</t>
    </r>
    <r>
      <rPr>
        <sz val="11"/>
        <color theme="1"/>
        <rFont val="Calibri"/>
        <family val="2"/>
        <charset val="1"/>
      </rPr>
      <t xml:space="preserve">7</t>
    </r>
    <r>
      <rPr>
        <sz val="11"/>
        <color theme="1"/>
        <rFont val="Noto Sans SC"/>
        <family val="2"/>
        <charset val="134"/>
      </rPr>
      <t xml:space="preserve">）各视为一种「固定个数情况」，</t>
    </r>
  </si>
  <si>
    <r>
      <rPr>
        <sz val="11"/>
        <color theme="1"/>
        <rFont val="Noto Sans SC"/>
        <family val="2"/>
        <charset val="134"/>
      </rPr>
      <t xml:space="preserve">  算各自几率与个数期望再加权；实操上等价于「该列图标个数期望 </t>
    </r>
    <r>
      <rPr>
        <sz val="11"/>
        <color theme="1"/>
        <rFont val="Calibri"/>
        <family val="2"/>
        <charset val="1"/>
      </rPr>
      <t xml:space="preserve">× </t>
    </r>
    <r>
      <rPr>
        <sz val="11"/>
        <color theme="1"/>
        <rFont val="Noto Sans SC"/>
        <family val="2"/>
        <charset val="134"/>
      </rPr>
      <t xml:space="preserve">该图标出现几率」。</t>
    </r>
  </si>
  <si>
    <r>
      <rPr>
        <sz val="11"/>
        <color theme="1"/>
        <rFont val="Calibri"/>
        <family val="2"/>
        <charset val="1"/>
      </rPr>
      <t xml:space="preserve">· </t>
    </r>
    <r>
      <rPr>
        <sz val="11"/>
        <color theme="1"/>
        <rFont val="Noto Sans SC"/>
        <family val="2"/>
        <charset val="134"/>
      </rPr>
      <t xml:space="preserve">画面表现：均分法（按个数均分，图标等大，欧美主流）与整倍法（以 </t>
    </r>
    <r>
      <rPr>
        <sz val="11"/>
        <color theme="1"/>
        <rFont val="Calibri"/>
        <family val="2"/>
        <charset val="1"/>
      </rPr>
      <t xml:space="preserve">1×1 </t>
    </r>
    <r>
      <rPr>
        <sz val="11"/>
        <color theme="1"/>
        <rFont val="Noto Sans SC"/>
        <family val="2"/>
        <charset val="134"/>
      </rPr>
      <t xml:space="preserve">为基础，不足处用 </t>
    </r>
    <r>
      <rPr>
        <sz val="11"/>
        <color theme="1"/>
        <rFont val="Calibri"/>
        <family val="2"/>
        <charset val="1"/>
      </rPr>
      <t xml:space="preserve">1×N </t>
    </r>
    <r>
      <rPr>
        <sz val="11"/>
        <color theme="1"/>
        <rFont val="Noto Sans SC"/>
        <family val="2"/>
        <charset val="134"/>
      </rPr>
      <t xml:space="preserve">长图标补齐，</t>
    </r>
  </si>
  <si>
    <r>
      <rPr>
        <sz val="11"/>
        <color theme="1"/>
        <rFont val="Noto Sans SC"/>
        <family val="2"/>
        <charset val="134"/>
      </rPr>
      <t xml:space="preserve">  东南亚</t>
    </r>
    <r>
      <rPr>
        <sz val="11"/>
        <color theme="1"/>
        <rFont val="Calibri"/>
        <family val="2"/>
        <charset val="1"/>
      </rPr>
      <t xml:space="preserve">/</t>
    </r>
    <r>
      <rPr>
        <sz val="11"/>
        <color theme="1"/>
        <rFont val="Noto Sans SC"/>
        <family val="2"/>
        <charset val="134"/>
      </rPr>
      <t xml:space="preserve">南美接受度更高）；消除掉落时均分法掉落同尺寸图标，整倍法一般限定掉落 </t>
    </r>
    <r>
      <rPr>
        <sz val="11"/>
        <color theme="1"/>
        <rFont val="Calibri"/>
        <family val="2"/>
        <charset val="1"/>
      </rPr>
      <t xml:space="preserve">1×1 </t>
    </r>
    <r>
      <rPr>
        <sz val="11"/>
        <color theme="1"/>
        <rFont val="Noto Sans SC"/>
        <family val="2"/>
        <charset val="134"/>
      </rPr>
      <t xml:space="preserve">小图标。</t>
    </r>
  </si>
  <si>
    <t xml:space="preserve">原文整理（全文，按原文小标题分段）</t>
  </si>
  <si>
    <r>
      <rPr>
        <sz val="11"/>
        <color theme="1"/>
        <rFont val="Noto Sans SC"/>
        <family val="2"/>
        <charset val="134"/>
      </rPr>
      <t xml:space="preserve">在之前的玩法介绍中有和大家介绍</t>
    </r>
    <r>
      <rPr>
        <sz val="11"/>
        <color theme="1"/>
        <rFont val="Calibri"/>
        <family val="2"/>
        <charset val="1"/>
      </rPr>
      <t xml:space="preserve">Megaways</t>
    </r>
    <r>
      <rPr>
        <sz val="11"/>
        <color theme="1"/>
        <rFont val="Noto Sans SC"/>
        <family val="2"/>
        <charset val="134"/>
      </rPr>
      <t xml:space="preserve">这一时下非常火爆的</t>
    </r>
    <r>
      <rPr>
        <sz val="11"/>
        <color theme="1"/>
        <rFont val="Calibri"/>
        <family val="2"/>
        <charset val="1"/>
      </rPr>
      <t xml:space="preserve">Slots</t>
    </r>
    <r>
      <rPr>
        <sz val="11"/>
        <color theme="1"/>
        <rFont val="Noto Sans SC"/>
        <family val="2"/>
        <charset val="134"/>
      </rPr>
      <t xml:space="preserve">类型</t>
    </r>
  </si>
  <si>
    <r>
      <rPr>
        <sz val="11"/>
        <color theme="1"/>
        <rFont val="Calibri"/>
        <family val="2"/>
        <charset val="1"/>
      </rPr>
      <t xml:space="preserve">Megaway Slots</t>
    </r>
    <r>
      <rPr>
        <sz val="11"/>
        <color theme="1"/>
        <rFont val="Noto Sans SC"/>
        <family val="2"/>
        <charset val="134"/>
      </rPr>
      <t xml:space="preserve">因为其每一列的图标个数不是固定的，导致每次摇奖时场上图标分布情况的事件数都存在一定的差异</t>
    </r>
  </si>
  <si>
    <r>
      <rPr>
        <sz val="11"/>
        <color theme="1"/>
        <rFont val="Noto Sans SC"/>
        <family val="2"/>
        <charset val="134"/>
      </rPr>
      <t xml:space="preserve">这些事件数在</t>
    </r>
    <r>
      <rPr>
        <sz val="11"/>
        <color theme="1"/>
        <rFont val="Calibri"/>
        <family val="2"/>
        <charset val="1"/>
      </rPr>
      <t xml:space="preserve">Way Slots</t>
    </r>
    <r>
      <rPr>
        <sz val="11"/>
        <color theme="1"/>
        <rFont val="Noto Sans SC"/>
        <family val="2"/>
        <charset val="134"/>
      </rPr>
      <t xml:space="preserve">玩法中被称为</t>
    </r>
    <r>
      <rPr>
        <sz val="11"/>
        <color theme="1"/>
        <rFont val="Calibri"/>
        <family val="2"/>
        <charset val="1"/>
      </rPr>
      <t xml:space="preserve">Ways</t>
    </r>
  </si>
  <si>
    <r>
      <rPr>
        <sz val="11"/>
        <color theme="1"/>
        <rFont val="Noto Sans SC"/>
        <family val="2"/>
        <charset val="134"/>
      </rPr>
      <t xml:space="preserve">有着多种多样</t>
    </r>
    <r>
      <rPr>
        <sz val="11"/>
        <color theme="1"/>
        <rFont val="Calibri"/>
        <family val="2"/>
        <charset val="1"/>
      </rPr>
      <t xml:space="preserve">Ways</t>
    </r>
    <r>
      <rPr>
        <sz val="11"/>
        <color theme="1"/>
        <rFont val="Noto Sans SC"/>
        <family val="2"/>
        <charset val="134"/>
      </rPr>
      <t xml:space="preserve">的玩法也就被称为了</t>
    </r>
    <r>
      <rPr>
        <sz val="11"/>
        <color theme="1"/>
        <rFont val="Calibri"/>
        <family val="2"/>
        <charset val="1"/>
      </rPr>
      <t xml:space="preserve">Megaways</t>
    </r>
  </si>
  <si>
    <r>
      <rPr>
        <sz val="11"/>
        <color theme="1"/>
        <rFont val="Noto Sans SC"/>
        <family val="2"/>
        <charset val="134"/>
      </rPr>
      <t xml:space="preserve">［配图 </t>
    </r>
    <r>
      <rPr>
        <sz val="11"/>
        <color theme="1"/>
        <rFont val="Calibri"/>
        <family val="2"/>
        <charset val="1"/>
      </rPr>
      <t xml:space="preserve">01</t>
    </r>
    <r>
      <rPr>
        <sz val="11"/>
        <color theme="1"/>
        <rFont val="Noto Sans SC"/>
        <family val="2"/>
        <charset val="134"/>
      </rPr>
      <t xml:space="preserve">］</t>
    </r>
    <r>
      <rPr>
        <sz val="11"/>
        <color theme="1"/>
        <rFont val="Calibri"/>
        <family val="2"/>
        <charset val="1"/>
      </rPr>
      <t xml:space="preserve">633527344-01.jpg</t>
    </r>
  </si>
  <si>
    <r>
      <rPr>
        <sz val="11"/>
        <color theme="1"/>
        <rFont val="Calibri"/>
        <family val="2"/>
        <charset val="1"/>
      </rPr>
      <t xml:space="preserve">Megaways</t>
    </r>
    <r>
      <rPr>
        <sz val="11"/>
        <color theme="1"/>
        <rFont val="Noto Sans SC"/>
        <family val="2"/>
        <charset val="134"/>
      </rPr>
      <t xml:space="preserve">的诞生可以追溯到</t>
    </r>
    <r>
      <rPr>
        <sz val="11"/>
        <color theme="1"/>
        <rFont val="Calibri"/>
        <family val="2"/>
        <charset val="1"/>
      </rPr>
      <t xml:space="preserve">15</t>
    </r>
    <r>
      <rPr>
        <sz val="11"/>
        <color theme="1"/>
        <rFont val="Noto Sans SC"/>
        <family val="2"/>
        <charset val="134"/>
      </rPr>
      <t xml:space="preserve">年，在</t>
    </r>
    <r>
      <rPr>
        <sz val="11"/>
        <color theme="1"/>
        <rFont val="Calibri"/>
        <family val="2"/>
        <charset val="1"/>
      </rPr>
      <t xml:space="preserve">16</t>
    </r>
    <r>
      <rPr>
        <sz val="11"/>
        <color theme="1"/>
        <rFont val="Noto Sans SC"/>
        <family val="2"/>
        <charset val="134"/>
      </rPr>
      <t xml:space="preserve">年正式进入玩家们的视野，在</t>
    </r>
    <r>
      <rPr>
        <sz val="11"/>
        <color theme="1"/>
        <rFont val="Calibri"/>
        <family val="2"/>
        <charset val="1"/>
      </rPr>
      <t xml:space="preserve">18</t>
    </r>
    <r>
      <rPr>
        <sz val="11"/>
        <color theme="1"/>
        <rFont val="Noto Sans SC"/>
        <family val="2"/>
        <charset val="134"/>
      </rPr>
      <t xml:space="preserve">年开始有大量的厂商开始制作这种类型的</t>
    </r>
    <r>
      <rPr>
        <sz val="11"/>
        <color theme="1"/>
        <rFont val="Calibri"/>
        <family val="2"/>
        <charset val="1"/>
      </rPr>
      <t xml:space="preserve">Slots</t>
    </r>
  </si>
  <si>
    <r>
      <rPr>
        <sz val="11"/>
        <color theme="1"/>
        <rFont val="Calibri"/>
        <family val="2"/>
        <charset val="1"/>
      </rPr>
      <t xml:space="preserve">Megaways</t>
    </r>
    <r>
      <rPr>
        <sz val="11"/>
        <color theme="1"/>
        <rFont val="Noto Sans SC"/>
        <family val="2"/>
        <charset val="134"/>
      </rPr>
      <t xml:space="preserve">刚诞生时，但无论时画面表现还是</t>
    </r>
    <r>
      <rPr>
        <sz val="11"/>
        <color theme="1"/>
        <rFont val="Calibri"/>
        <family val="2"/>
        <charset val="1"/>
      </rPr>
      <t xml:space="preserve">Feature</t>
    </r>
    <r>
      <rPr>
        <sz val="11"/>
        <color theme="1"/>
        <rFont val="Noto Sans SC"/>
        <family val="2"/>
        <charset val="134"/>
      </rPr>
      <t xml:space="preserve">的设置上都还不够成熟，导致其并不是很受玩家欢迎</t>
    </r>
  </si>
  <si>
    <r>
      <rPr>
        <sz val="11"/>
        <color theme="1"/>
        <rFont val="Noto Sans SC"/>
        <family val="2"/>
        <charset val="134"/>
      </rPr>
      <t xml:space="preserve">而</t>
    </r>
    <r>
      <rPr>
        <sz val="11"/>
        <color theme="1"/>
        <rFont val="Calibri"/>
        <family val="2"/>
        <charset val="1"/>
      </rPr>
      <t xml:space="preserve">Megaways</t>
    </r>
    <r>
      <rPr>
        <sz val="11"/>
        <color theme="1"/>
        <rFont val="Noto Sans SC"/>
        <family val="2"/>
        <charset val="134"/>
      </rPr>
      <t xml:space="preserve">真正进入</t>
    </r>
    <r>
      <rPr>
        <sz val="11"/>
        <color theme="1"/>
        <rFont val="Calibri"/>
        <family val="2"/>
        <charset val="1"/>
      </rPr>
      <t xml:space="preserve">Slots</t>
    </r>
    <r>
      <rPr>
        <sz val="11"/>
        <color theme="1"/>
        <rFont val="Noto Sans SC"/>
        <family val="2"/>
        <charset val="134"/>
      </rPr>
      <t xml:space="preserve">视野，成为一种标志性的</t>
    </r>
    <r>
      <rPr>
        <sz val="11"/>
        <color theme="1"/>
        <rFont val="Calibri"/>
        <family val="2"/>
        <charset val="1"/>
      </rPr>
      <t xml:space="preserve">Slots</t>
    </r>
    <r>
      <rPr>
        <sz val="11"/>
        <color theme="1"/>
        <rFont val="Noto Sans SC"/>
        <family val="2"/>
        <charset val="134"/>
      </rPr>
      <t xml:space="preserve">玩法还要从</t>
    </r>
    <r>
      <rPr>
        <sz val="11"/>
        <color theme="1"/>
        <rFont val="Calibri"/>
        <family val="2"/>
        <charset val="1"/>
      </rPr>
      <t xml:space="preserve">Big Time Gaming</t>
    </r>
    <r>
      <rPr>
        <sz val="11"/>
        <color theme="1"/>
        <rFont val="Noto Sans SC"/>
        <family val="2"/>
        <charset val="134"/>
      </rPr>
      <t xml:space="preserve">推出的</t>
    </r>
    <r>
      <rPr>
        <sz val="11"/>
        <color theme="1"/>
        <rFont val="Calibri"/>
        <family val="2"/>
        <charset val="1"/>
      </rPr>
      <t xml:space="preserve">Bonanza Megaways</t>
    </r>
    <r>
      <rPr>
        <sz val="11"/>
        <color theme="1"/>
        <rFont val="Noto Sans SC"/>
        <family val="2"/>
        <charset val="134"/>
      </rPr>
      <t xml:space="preserve">说起</t>
    </r>
  </si>
  <si>
    <r>
      <rPr>
        <sz val="11"/>
        <color theme="1"/>
        <rFont val="Calibri"/>
        <family val="2"/>
        <charset val="1"/>
      </rPr>
      <t xml:space="preserve">Big Time Gaming</t>
    </r>
    <r>
      <rPr>
        <sz val="11"/>
        <color theme="1"/>
        <rFont val="Noto Sans SC"/>
        <family val="2"/>
        <charset val="134"/>
      </rPr>
      <t xml:space="preserve">自不用说，关注欧美</t>
    </r>
    <r>
      <rPr>
        <sz val="11"/>
        <color theme="1"/>
        <rFont val="Calibri"/>
        <family val="2"/>
        <charset val="1"/>
      </rPr>
      <t xml:space="preserve">Slots</t>
    </r>
    <r>
      <rPr>
        <sz val="11"/>
        <color theme="1"/>
        <rFont val="Noto Sans SC"/>
        <family val="2"/>
        <charset val="134"/>
      </rPr>
      <t xml:space="preserve">市场的话对这个名称应该是比较熟悉的（虽然这是一家澳大利亚公司）</t>
    </r>
  </si>
  <si>
    <r>
      <rPr>
        <sz val="11"/>
        <color theme="1"/>
        <rFont val="Noto Sans SC"/>
        <family val="2"/>
        <charset val="134"/>
      </rPr>
      <t xml:space="preserve">其对整个</t>
    </r>
    <r>
      <rPr>
        <sz val="11"/>
        <color theme="1"/>
        <rFont val="Calibri"/>
        <family val="2"/>
        <charset val="1"/>
      </rPr>
      <t xml:space="preserve">Slots</t>
    </r>
    <r>
      <rPr>
        <sz val="11"/>
        <color theme="1"/>
        <rFont val="Noto Sans SC"/>
        <family val="2"/>
        <charset val="134"/>
      </rPr>
      <t xml:space="preserve">市场的影响都是巨大的，例如本片介绍的</t>
    </r>
    <r>
      <rPr>
        <sz val="11"/>
        <color theme="1"/>
        <rFont val="Calibri"/>
        <family val="2"/>
        <charset val="1"/>
      </rPr>
      <t xml:space="preserve">Megaways 6+1</t>
    </r>
    <r>
      <rPr>
        <sz val="11"/>
        <color theme="1"/>
        <rFont val="Noto Sans SC"/>
        <family val="2"/>
        <charset val="134"/>
      </rPr>
      <t xml:space="preserve">，还有之前有提到的</t>
    </r>
    <r>
      <rPr>
        <sz val="11"/>
        <color theme="1"/>
        <rFont val="Calibri"/>
        <family val="2"/>
        <charset val="1"/>
      </rPr>
      <t xml:space="preserve">MegaCluster</t>
    </r>
    <r>
      <rPr>
        <sz val="11"/>
        <color theme="1"/>
        <rFont val="Noto Sans SC"/>
        <family val="2"/>
        <charset val="134"/>
      </rPr>
      <t xml:space="preserve">等诸多创新型玩法都受到了他们制作的产品的影响，感兴趣的同学可以谷歌搜索看看，本篇就不一一列举其经典产品了</t>
    </r>
  </si>
  <si>
    <r>
      <rPr>
        <sz val="11"/>
        <color theme="1"/>
        <rFont val="Noto Sans SC"/>
        <family val="2"/>
        <charset val="134"/>
      </rPr>
      <t xml:space="preserve">［配图 </t>
    </r>
    <r>
      <rPr>
        <sz val="11"/>
        <color theme="1"/>
        <rFont val="Calibri"/>
        <family val="2"/>
        <charset val="1"/>
      </rPr>
      <t xml:space="preserve">02</t>
    </r>
    <r>
      <rPr>
        <sz val="11"/>
        <color theme="1"/>
        <rFont val="Noto Sans SC"/>
        <family val="2"/>
        <charset val="134"/>
      </rPr>
      <t xml:space="preserve">］</t>
    </r>
    <r>
      <rPr>
        <sz val="11"/>
        <color theme="1"/>
        <rFont val="Calibri"/>
        <family val="2"/>
        <charset val="1"/>
      </rPr>
      <t xml:space="preserve">633527344-02.jpg</t>
    </r>
  </si>
  <si>
    <r>
      <rPr>
        <sz val="11"/>
        <color theme="1"/>
        <rFont val="Noto Sans SC"/>
        <family val="2"/>
        <charset val="134"/>
      </rPr>
      <t xml:space="preserve">第一款</t>
    </r>
    <r>
      <rPr>
        <sz val="11"/>
        <color theme="1"/>
        <rFont val="Calibri"/>
        <family val="2"/>
        <charset val="1"/>
      </rPr>
      <t xml:space="preserve">Megaways Slots “Dragon Born”</t>
    </r>
    <r>
      <rPr>
        <sz val="11"/>
        <color theme="1"/>
        <rFont val="Noto Sans SC"/>
        <family val="2"/>
        <charset val="134"/>
      </rPr>
      <t xml:space="preserve">也是这家做的，当时还没有</t>
    </r>
    <r>
      <rPr>
        <sz val="11"/>
        <color theme="1"/>
        <rFont val="Calibri"/>
        <family val="2"/>
        <charset val="1"/>
      </rPr>
      <t xml:space="preserve">6+1 Feature</t>
    </r>
    <r>
      <rPr>
        <sz val="11"/>
        <color theme="1"/>
        <rFont val="Noto Sans SC"/>
        <family val="2"/>
        <charset val="134"/>
      </rPr>
      <t xml:space="preserve">，反响比较一般</t>
    </r>
  </si>
  <si>
    <r>
      <rPr>
        <sz val="11"/>
        <color theme="1"/>
        <rFont val="Noto Sans SC"/>
        <family val="2"/>
        <charset val="134"/>
      </rPr>
      <t xml:space="preserve">在</t>
    </r>
    <r>
      <rPr>
        <sz val="11"/>
        <color theme="1"/>
        <rFont val="Calibri"/>
        <family val="2"/>
        <charset val="1"/>
      </rPr>
      <t xml:space="preserve">Bonanza Megaways</t>
    </r>
    <r>
      <rPr>
        <sz val="11"/>
        <color theme="1"/>
        <rFont val="Noto Sans SC"/>
        <family val="2"/>
        <charset val="134"/>
      </rPr>
      <t xml:space="preserve">在</t>
    </r>
    <r>
      <rPr>
        <sz val="11"/>
        <color theme="1"/>
        <rFont val="Calibri"/>
        <family val="2"/>
        <charset val="1"/>
      </rPr>
      <t xml:space="preserve">Megaways</t>
    </r>
    <r>
      <rPr>
        <sz val="11"/>
        <color theme="1"/>
        <rFont val="Noto Sans SC"/>
        <family val="2"/>
        <charset val="134"/>
      </rPr>
      <t xml:space="preserve">推出之后，其在卷轴</t>
    </r>
    <r>
      <rPr>
        <sz val="11"/>
        <color theme="1"/>
        <rFont val="Calibri"/>
        <family val="2"/>
        <charset val="1"/>
      </rPr>
      <t xml:space="preserve">2~5</t>
    </r>
    <r>
      <rPr>
        <sz val="11"/>
        <color theme="1"/>
        <rFont val="Noto Sans SC"/>
        <family val="2"/>
        <charset val="134"/>
      </rPr>
      <t xml:space="preserve">列的上方添加了一行横向移动的卷轴、在免费摇中添加</t>
    </r>
    <r>
      <rPr>
        <sz val="11"/>
        <color theme="1"/>
        <rFont val="Calibri"/>
        <family val="2"/>
        <charset val="1"/>
      </rPr>
      <t xml:space="preserve">Multiplier Meter</t>
    </r>
    <r>
      <rPr>
        <sz val="11"/>
        <color theme="1"/>
        <rFont val="Noto Sans SC"/>
        <family val="2"/>
        <charset val="134"/>
      </rPr>
      <t xml:space="preserve">、并且图标中奖后消除图标的设计影响到了后续大量的</t>
    </r>
    <r>
      <rPr>
        <sz val="11"/>
        <color theme="1"/>
        <rFont val="Calibri"/>
        <family val="2"/>
        <charset val="1"/>
      </rPr>
      <t xml:space="preserve">Megaway Slots</t>
    </r>
    <r>
      <rPr>
        <sz val="11"/>
        <color theme="1"/>
        <rFont val="Noto Sans SC"/>
        <family val="2"/>
        <charset val="134"/>
      </rPr>
      <t xml:space="preserve">设计，当前市场上大量的</t>
    </r>
    <r>
      <rPr>
        <sz val="11"/>
        <color theme="1"/>
        <rFont val="Calibri"/>
        <family val="2"/>
        <charset val="1"/>
      </rPr>
      <t xml:space="preserve">Megaways</t>
    </r>
    <r>
      <rPr>
        <sz val="11"/>
        <color theme="1"/>
        <rFont val="Noto Sans SC"/>
        <family val="2"/>
        <charset val="134"/>
      </rPr>
      <t xml:space="preserve">产品都是在这个基础结构上进行设计的</t>
    </r>
  </si>
  <si>
    <r>
      <rPr>
        <sz val="11"/>
        <color theme="1"/>
        <rFont val="Noto Sans SC"/>
        <family val="2"/>
        <charset val="134"/>
      </rPr>
      <t xml:space="preserve">［配图 </t>
    </r>
    <r>
      <rPr>
        <sz val="11"/>
        <color theme="1"/>
        <rFont val="Calibri"/>
        <family val="2"/>
        <charset val="1"/>
      </rPr>
      <t xml:space="preserve">03</t>
    </r>
    <r>
      <rPr>
        <sz val="11"/>
        <color theme="1"/>
        <rFont val="Noto Sans SC"/>
        <family val="2"/>
        <charset val="134"/>
      </rPr>
      <t xml:space="preserve">］</t>
    </r>
    <r>
      <rPr>
        <sz val="11"/>
        <color theme="1"/>
        <rFont val="Calibri"/>
        <family val="2"/>
        <charset val="1"/>
      </rPr>
      <t xml:space="preserve">633527344-03.jpg</t>
    </r>
  </si>
  <si>
    <r>
      <rPr>
        <sz val="11"/>
        <color theme="1"/>
        <rFont val="Noto Sans SC"/>
        <family val="2"/>
        <charset val="134"/>
      </rPr>
      <t xml:space="preserve">该产品在</t>
    </r>
    <r>
      <rPr>
        <sz val="11"/>
        <color theme="1"/>
        <rFont val="Calibri"/>
        <family val="2"/>
        <charset val="1"/>
      </rPr>
      <t xml:space="preserve">2016</t>
    </r>
    <r>
      <rPr>
        <sz val="11"/>
        <color theme="1"/>
        <rFont val="Noto Sans SC"/>
        <family val="2"/>
        <charset val="134"/>
      </rPr>
      <t xml:space="preserve">年上线，并获得了玩家的喜爱，是第一款</t>
    </r>
    <r>
      <rPr>
        <sz val="11"/>
        <color theme="1"/>
        <rFont val="Calibri"/>
        <family val="2"/>
        <charset val="1"/>
      </rPr>
      <t xml:space="preserve">6+1 Megaway Slots</t>
    </r>
  </si>
  <si>
    <r>
      <rPr>
        <sz val="11"/>
        <color theme="1"/>
        <rFont val="Noto Sans SC"/>
        <family val="2"/>
        <charset val="134"/>
      </rPr>
      <t xml:space="preserve">例如在下图几款高分</t>
    </r>
    <r>
      <rPr>
        <sz val="11"/>
        <color theme="1"/>
        <rFont val="Calibri"/>
        <family val="2"/>
        <charset val="1"/>
      </rPr>
      <t xml:space="preserve">Slots</t>
    </r>
    <r>
      <rPr>
        <sz val="11"/>
        <color theme="1"/>
        <rFont val="Noto Sans SC"/>
        <family val="2"/>
        <charset val="134"/>
      </rPr>
      <t xml:space="preserve">产品中，绿圈标注出来的就是累积多倍表（</t>
    </r>
    <r>
      <rPr>
        <sz val="11"/>
        <color theme="1"/>
        <rFont val="Calibri"/>
        <family val="2"/>
        <charset val="1"/>
      </rPr>
      <t xml:space="preserve">Multipliter Meter</t>
    </r>
    <r>
      <rPr>
        <sz val="11"/>
        <color theme="1"/>
        <rFont val="Noto Sans SC"/>
        <family val="2"/>
        <charset val="134"/>
      </rPr>
      <t xml:space="preserve">）、黄框标出来的就是</t>
    </r>
    <r>
      <rPr>
        <sz val="11"/>
        <color theme="1"/>
        <rFont val="Calibri"/>
        <family val="2"/>
        <charset val="1"/>
      </rPr>
      <t xml:space="preserve">Megaways 6+1</t>
    </r>
  </si>
  <si>
    <r>
      <rPr>
        <sz val="11"/>
        <color theme="1"/>
        <rFont val="Noto Sans SC"/>
        <family val="2"/>
        <charset val="134"/>
      </rPr>
      <t xml:space="preserve">［配图 </t>
    </r>
    <r>
      <rPr>
        <sz val="11"/>
        <color theme="1"/>
        <rFont val="Calibri"/>
        <family val="2"/>
        <charset val="1"/>
      </rPr>
      <t xml:space="preserve">04</t>
    </r>
    <r>
      <rPr>
        <sz val="11"/>
        <color theme="1"/>
        <rFont val="Noto Sans SC"/>
        <family val="2"/>
        <charset val="134"/>
      </rPr>
      <t xml:space="preserve">］</t>
    </r>
    <r>
      <rPr>
        <sz val="11"/>
        <color theme="1"/>
        <rFont val="Calibri"/>
        <family val="2"/>
        <charset val="1"/>
      </rPr>
      <t xml:space="preserve">633527344-04.jpg</t>
    </r>
  </si>
  <si>
    <r>
      <rPr>
        <sz val="11"/>
        <color theme="1"/>
        <rFont val="Noto Sans SC"/>
        <family val="2"/>
        <charset val="134"/>
      </rPr>
      <t xml:space="preserve">这个基础框架里的消除</t>
    </r>
    <r>
      <rPr>
        <sz val="11"/>
        <color theme="1"/>
        <rFont val="Calibri"/>
        <family val="2"/>
        <charset val="1"/>
      </rPr>
      <t xml:space="preserve">Feature</t>
    </r>
    <r>
      <rPr>
        <sz val="11"/>
        <color theme="1"/>
        <rFont val="Noto Sans SC"/>
        <family val="2"/>
        <charset val="134"/>
      </rPr>
      <t xml:space="preserve">在之前的文章中已经介绍过，可以点击链接进行查看</t>
    </r>
  </si>
  <si>
    <t xml:space="preserve">累积多倍基本上也是配合消除出现的，也就上面这篇文章说的绑定倍数的消除</t>
  </si>
  <si>
    <r>
      <rPr>
        <sz val="11"/>
        <color theme="1"/>
        <rFont val="Noto Sans SC"/>
        <family val="2"/>
        <charset val="134"/>
      </rPr>
      <t xml:space="preserve">本篇将介绍</t>
    </r>
    <r>
      <rPr>
        <sz val="11"/>
        <color theme="1"/>
        <rFont val="Calibri"/>
        <family val="2"/>
        <charset val="1"/>
      </rPr>
      <t xml:space="preserve">Megaways</t>
    </r>
    <r>
      <rPr>
        <sz val="11"/>
        <color theme="1"/>
        <rFont val="Noto Sans SC"/>
        <family val="2"/>
        <charset val="134"/>
      </rPr>
      <t xml:space="preserve">基础框架中上方多出来的横向移动卷轴这一</t>
    </r>
    <r>
      <rPr>
        <sz val="11"/>
        <color theme="1"/>
        <rFont val="Calibri"/>
        <family val="2"/>
        <charset val="1"/>
      </rPr>
      <t xml:space="preserve">Feature</t>
    </r>
    <r>
      <rPr>
        <sz val="11"/>
        <color theme="1"/>
        <rFont val="Noto Sans SC"/>
        <family val="2"/>
        <charset val="134"/>
      </rPr>
      <t xml:space="preserve">，其一般被叫做</t>
    </r>
    <r>
      <rPr>
        <sz val="11"/>
        <color theme="1"/>
        <rFont val="Calibri"/>
        <family val="2"/>
        <charset val="1"/>
      </rPr>
      <t xml:space="preserve">Megaways 6+1</t>
    </r>
  </si>
  <si>
    <t xml:space="preserve">机制介绍</t>
  </si>
  <si>
    <r>
      <rPr>
        <sz val="11"/>
        <color theme="1"/>
        <rFont val="Calibri"/>
        <family val="2"/>
        <charset val="1"/>
      </rPr>
      <t xml:space="preserve">Megaways 6+1 Feature</t>
    </r>
    <r>
      <rPr>
        <sz val="11"/>
        <color theme="1"/>
        <rFont val="Noto Sans SC"/>
        <family val="2"/>
        <charset val="134"/>
      </rPr>
      <t xml:space="preserve">的定义非常简单，通俗的讲就是在属于</t>
    </r>
    <r>
      <rPr>
        <sz val="11"/>
        <color theme="1"/>
        <rFont val="Calibri"/>
        <family val="2"/>
        <charset val="1"/>
      </rPr>
      <t xml:space="preserve">Megaways</t>
    </r>
    <r>
      <rPr>
        <sz val="11"/>
        <color theme="1"/>
        <rFont val="Noto Sans SC"/>
        <family val="2"/>
        <charset val="134"/>
      </rPr>
      <t xml:space="preserve">类型的</t>
    </r>
    <r>
      <rPr>
        <sz val="11"/>
        <color theme="1"/>
        <rFont val="Calibri"/>
        <family val="2"/>
        <charset val="1"/>
      </rPr>
      <t xml:space="preserve">Slots</t>
    </r>
    <r>
      <rPr>
        <sz val="11"/>
        <color theme="1"/>
        <rFont val="Noto Sans SC"/>
        <family val="2"/>
        <charset val="134"/>
      </rPr>
      <t xml:space="preserve">长方形卷轴上多出了一条横着转的卷轴</t>
    </r>
  </si>
  <si>
    <r>
      <rPr>
        <sz val="11"/>
        <color theme="1"/>
        <rFont val="Noto Sans SC"/>
        <family val="2"/>
        <charset val="134"/>
      </rPr>
      <t xml:space="preserve">又因为基础长方形的部分在</t>
    </r>
    <r>
      <rPr>
        <sz val="11"/>
        <color theme="1"/>
        <rFont val="Calibri"/>
        <family val="2"/>
        <charset val="1"/>
      </rPr>
      <t xml:space="preserve">Megaways</t>
    </r>
    <r>
      <rPr>
        <sz val="11"/>
        <color theme="1"/>
        <rFont val="Noto Sans SC"/>
        <family val="2"/>
        <charset val="134"/>
      </rPr>
      <t xml:space="preserve">类型产品中一般最多出现</t>
    </r>
    <r>
      <rPr>
        <sz val="11"/>
        <color theme="1"/>
        <rFont val="Calibri"/>
        <family val="2"/>
        <charset val="1"/>
      </rPr>
      <t xml:space="preserve">6</t>
    </r>
    <r>
      <rPr>
        <sz val="11"/>
        <color theme="1"/>
        <rFont val="Noto Sans SC"/>
        <family val="2"/>
        <charset val="134"/>
      </rPr>
      <t xml:space="preserve">个图标，所以该类</t>
    </r>
    <r>
      <rPr>
        <sz val="11"/>
        <color theme="1"/>
        <rFont val="Calibri"/>
        <family val="2"/>
        <charset val="1"/>
      </rPr>
      <t xml:space="preserve">Slots</t>
    </r>
    <r>
      <rPr>
        <sz val="11"/>
        <color theme="1"/>
        <rFont val="Noto Sans SC"/>
        <family val="2"/>
        <charset val="134"/>
      </rPr>
      <t xml:space="preserve">也就被称为</t>
    </r>
    <r>
      <rPr>
        <sz val="11"/>
        <color theme="1"/>
        <rFont val="Calibri"/>
        <family val="2"/>
        <charset val="1"/>
      </rPr>
      <t xml:space="preserve">Megaways 6+1</t>
    </r>
  </si>
  <si>
    <r>
      <rPr>
        <sz val="11"/>
        <color theme="1"/>
        <rFont val="Noto Sans SC"/>
        <family val="2"/>
        <charset val="134"/>
      </rPr>
      <t xml:space="preserve">［配图 </t>
    </r>
    <r>
      <rPr>
        <sz val="11"/>
        <color theme="1"/>
        <rFont val="Calibri"/>
        <family val="2"/>
        <charset val="1"/>
      </rPr>
      <t xml:space="preserve">05</t>
    </r>
    <r>
      <rPr>
        <sz val="11"/>
        <color theme="1"/>
        <rFont val="Noto Sans SC"/>
        <family val="2"/>
        <charset val="134"/>
      </rPr>
      <t xml:space="preserve">］</t>
    </r>
    <r>
      <rPr>
        <sz val="11"/>
        <color theme="1"/>
        <rFont val="Calibri"/>
        <family val="2"/>
        <charset val="1"/>
      </rPr>
      <t xml:space="preserve">633527344-05.jpg</t>
    </r>
  </si>
  <si>
    <r>
      <rPr>
        <sz val="11"/>
        <color theme="1"/>
        <rFont val="Noto Sans SC"/>
        <family val="2"/>
        <charset val="134"/>
      </rPr>
      <t xml:space="preserve">需要注意的是，一般多出来的这一条横向移动卷轴一般只会出现在</t>
    </r>
    <r>
      <rPr>
        <sz val="11"/>
        <color theme="1"/>
        <rFont val="Calibri"/>
        <family val="2"/>
        <charset val="1"/>
      </rPr>
      <t xml:space="preserve">2~5</t>
    </r>
    <r>
      <rPr>
        <sz val="11"/>
        <color theme="1"/>
        <rFont val="Noto Sans SC"/>
        <family val="2"/>
        <charset val="134"/>
      </rPr>
      <t xml:space="preserve">列，首列和末列并没有该卷轴，相对应的首列和末列随机出现的图标个数一般会比</t>
    </r>
    <r>
      <rPr>
        <sz val="11"/>
        <color theme="1"/>
        <rFont val="Calibri"/>
        <family val="2"/>
        <charset val="1"/>
      </rPr>
      <t xml:space="preserve">2~5</t>
    </r>
    <r>
      <rPr>
        <sz val="11"/>
        <color theme="1"/>
        <rFont val="Noto Sans SC"/>
        <family val="2"/>
        <charset val="134"/>
      </rPr>
      <t xml:space="preserve">列多一个（例如上图末列的七个图标是不会出现在</t>
    </r>
    <r>
      <rPr>
        <sz val="11"/>
        <color theme="1"/>
        <rFont val="Calibri"/>
        <family val="2"/>
        <charset val="1"/>
      </rPr>
      <t xml:space="preserve">2~5</t>
    </r>
    <r>
      <rPr>
        <sz val="11"/>
        <color theme="1"/>
        <rFont val="Noto Sans SC"/>
        <family val="2"/>
        <charset val="134"/>
      </rPr>
      <t xml:space="preserve">列下半部分区域的）</t>
    </r>
  </si>
  <si>
    <t xml:space="preserve">这多出来的一行图标其图标出现几率也需要由概率表来控制</t>
  </si>
  <si>
    <t xml:space="preserve">一般情况下，上半部分和下半部分会使用两个不同的概率表进行控制</t>
  </si>
  <si>
    <t xml:space="preserve">这样设计能够方便设计只出现在上方区域的特殊图标</t>
  </si>
  <si>
    <r>
      <rPr>
        <sz val="11"/>
        <color theme="1"/>
        <rFont val="Noto Sans SC"/>
        <family val="2"/>
        <charset val="134"/>
      </rPr>
      <t xml:space="preserve">最常见的就是限定百搭图标只会出现在上方区域和</t>
    </r>
    <r>
      <rPr>
        <sz val="11"/>
        <color theme="1"/>
        <rFont val="Calibri"/>
        <family val="2"/>
        <charset val="1"/>
      </rPr>
      <t xml:space="preserve">Scatter</t>
    </r>
    <r>
      <rPr>
        <sz val="11"/>
        <color theme="1"/>
        <rFont val="Noto Sans SC"/>
        <family val="2"/>
        <charset val="134"/>
      </rPr>
      <t xml:space="preserve">图标只会出现在下方区域</t>
    </r>
  </si>
  <si>
    <r>
      <rPr>
        <sz val="11"/>
        <color theme="1"/>
        <rFont val="Noto Sans SC"/>
        <family val="2"/>
        <charset val="134"/>
      </rPr>
      <t xml:space="preserve">［配图 </t>
    </r>
    <r>
      <rPr>
        <sz val="11"/>
        <color theme="1"/>
        <rFont val="Calibri"/>
        <family val="2"/>
        <charset val="1"/>
      </rPr>
      <t xml:space="preserve">06</t>
    </r>
    <r>
      <rPr>
        <sz val="11"/>
        <color theme="1"/>
        <rFont val="Noto Sans SC"/>
        <family val="2"/>
        <charset val="134"/>
      </rPr>
      <t xml:space="preserve">］</t>
    </r>
    <r>
      <rPr>
        <sz val="11"/>
        <color theme="1"/>
        <rFont val="Calibri"/>
        <family val="2"/>
        <charset val="1"/>
      </rPr>
      <t xml:space="preserve">633527344-06.jpg</t>
    </r>
  </si>
  <si>
    <t xml:space="preserve">如果此时只使用一套概率表进行控制的话，需要单独排除下半部分区域出现百搭的情况，开发的时候也需要单独进行规避，并且由于该不确定因素，让整体的调控都比较容易失控</t>
  </si>
  <si>
    <t xml:space="preserve">使用双概率表分别处理首行和其他区域整体就要简单很多</t>
  </si>
  <si>
    <t xml:space="preserve">在数值的计算上则基本只需要注意“期望的和等于和的期望”即可</t>
  </si>
  <si>
    <r>
      <rPr>
        <sz val="11"/>
        <color theme="1"/>
        <rFont val="Noto Sans SC"/>
        <family val="2"/>
        <charset val="134"/>
      </rPr>
      <t xml:space="preserve">［配图 </t>
    </r>
    <r>
      <rPr>
        <sz val="11"/>
        <color theme="1"/>
        <rFont val="Calibri"/>
        <family val="2"/>
        <charset val="1"/>
      </rPr>
      <t xml:space="preserve">07</t>
    </r>
    <r>
      <rPr>
        <sz val="11"/>
        <color theme="1"/>
        <rFont val="Noto Sans SC"/>
        <family val="2"/>
        <charset val="134"/>
      </rPr>
      <t xml:space="preserve">］</t>
    </r>
    <r>
      <rPr>
        <sz val="11"/>
        <color theme="1"/>
        <rFont val="Calibri"/>
        <family val="2"/>
        <charset val="1"/>
      </rPr>
      <t xml:space="preserve">633527344-07.jpg</t>
    </r>
  </si>
  <si>
    <t xml:space="preserve">大家也可以尝试一下列请所有的组合情况得到的个数期望和直接把两个部分的期望相加得到数值相等</t>
  </si>
  <si>
    <r>
      <rPr>
        <sz val="11"/>
        <color theme="1"/>
        <rFont val="Noto Sans SC"/>
        <family val="2"/>
        <charset val="134"/>
      </rPr>
      <t xml:space="preserve">简单来说，在</t>
    </r>
    <r>
      <rPr>
        <sz val="11"/>
        <color theme="1"/>
        <rFont val="Calibri"/>
        <family val="2"/>
        <charset val="1"/>
      </rPr>
      <t xml:space="preserve">6+1 Megaways</t>
    </r>
    <r>
      <rPr>
        <sz val="11"/>
        <color theme="1"/>
        <rFont val="Noto Sans SC"/>
        <family val="2"/>
        <charset val="134"/>
      </rPr>
      <t xml:space="preserve">产品中，设置两套概率表控制上下两部分，在计算</t>
    </r>
    <r>
      <rPr>
        <sz val="11"/>
        <color theme="1"/>
        <rFont val="Calibri"/>
        <family val="2"/>
        <charset val="1"/>
      </rPr>
      <t xml:space="preserve">RTP</t>
    </r>
    <r>
      <rPr>
        <sz val="11"/>
        <color theme="1"/>
        <rFont val="Noto Sans SC"/>
        <family val="2"/>
        <charset val="134"/>
      </rPr>
      <t xml:space="preserve">的时候把上下两部分的期望相加即可</t>
    </r>
  </si>
  <si>
    <t xml:space="preserve">赔付规则</t>
  </si>
  <si>
    <r>
      <rPr>
        <sz val="11"/>
        <color theme="1"/>
        <rFont val="Calibri"/>
        <family val="2"/>
        <charset val="1"/>
      </rPr>
      <t xml:space="preserve">Megaways</t>
    </r>
    <r>
      <rPr>
        <sz val="11"/>
        <color theme="1"/>
        <rFont val="Noto Sans SC"/>
        <family val="2"/>
        <charset val="134"/>
      </rPr>
      <t xml:space="preserve">玩法的赔付规则是基于</t>
    </r>
    <r>
      <rPr>
        <sz val="11"/>
        <color theme="1"/>
        <rFont val="Calibri"/>
        <family val="2"/>
        <charset val="1"/>
      </rPr>
      <t xml:space="preserve">Ways</t>
    </r>
    <r>
      <rPr>
        <sz val="11"/>
        <color theme="1"/>
        <rFont val="Noto Sans SC"/>
        <family val="2"/>
        <charset val="134"/>
      </rPr>
      <t xml:space="preserve">的赔付规则衍生出来的，其赔付的基础计算逻辑和</t>
    </r>
    <r>
      <rPr>
        <sz val="11"/>
        <color theme="1"/>
        <rFont val="Calibri"/>
        <family val="2"/>
        <charset val="1"/>
      </rPr>
      <t xml:space="preserve">Ways</t>
    </r>
    <r>
      <rPr>
        <sz val="11"/>
        <color theme="1"/>
        <rFont val="Noto Sans SC"/>
        <family val="2"/>
        <charset val="134"/>
      </rPr>
      <t xml:space="preserve">类型产品基本一直，可以参见之前对</t>
    </r>
    <r>
      <rPr>
        <sz val="11"/>
        <color theme="1"/>
        <rFont val="Calibri"/>
        <family val="2"/>
        <charset val="1"/>
      </rPr>
      <t xml:space="preserve">Ways</t>
    </r>
    <r>
      <rPr>
        <sz val="11"/>
        <color theme="1"/>
        <rFont val="Noto Sans SC"/>
        <family val="2"/>
        <charset val="134"/>
      </rPr>
      <t xml:space="preserve">产品的介绍，了解该类型</t>
    </r>
    <r>
      <rPr>
        <sz val="11"/>
        <color theme="1"/>
        <rFont val="Calibri"/>
        <family val="2"/>
        <charset val="1"/>
      </rPr>
      <t xml:space="preserve">Slots</t>
    </r>
    <r>
      <rPr>
        <sz val="11"/>
        <color theme="1"/>
        <rFont val="Noto Sans SC"/>
        <family val="2"/>
        <charset val="134"/>
      </rPr>
      <t xml:space="preserve">的赔付金额计算方法</t>
    </r>
  </si>
  <si>
    <t xml:space="preserve">简单来说就是只要图标从第一列开始连续出现至满足中将组合要求就可以中奖</t>
  </si>
  <si>
    <t xml:space="preserve">当该列出现多个图标时，最终计算赔付倍数的时候可以场上该列图标的个数</t>
  </si>
  <si>
    <r>
      <rPr>
        <sz val="11"/>
        <color theme="1"/>
        <rFont val="Noto Sans SC"/>
        <family val="2"/>
        <charset val="134"/>
      </rPr>
      <t xml:space="preserve">该图标本局的实际赔付倍数为：计算基数 </t>
    </r>
    <r>
      <rPr>
        <sz val="11"/>
        <color theme="1"/>
        <rFont val="Calibri"/>
        <family val="2"/>
        <charset val="1"/>
      </rPr>
      <t xml:space="preserve">* </t>
    </r>
    <r>
      <rPr>
        <sz val="11"/>
        <color theme="1"/>
        <rFont val="Noto Sans SC"/>
        <family val="2"/>
        <charset val="134"/>
      </rPr>
      <t xml:space="preserve">赔付倍数 </t>
    </r>
    <r>
      <rPr>
        <sz val="11"/>
        <color theme="1"/>
        <rFont val="Calibri"/>
        <family val="2"/>
        <charset val="1"/>
      </rPr>
      <t xml:space="preserve">* </t>
    </r>
    <r>
      <rPr>
        <sz val="11"/>
        <color theme="1"/>
        <rFont val="Noto Sans SC"/>
        <family val="2"/>
        <charset val="134"/>
      </rPr>
      <t xml:space="preserve">中奖各列图标个数累乘乘积</t>
    </r>
  </si>
  <si>
    <r>
      <rPr>
        <sz val="11"/>
        <color theme="1"/>
        <rFont val="Calibri"/>
        <family val="2"/>
        <charset val="1"/>
      </rPr>
      <t xml:space="preserve">Megaways 6+1</t>
    </r>
    <r>
      <rPr>
        <sz val="11"/>
        <color theme="1"/>
        <rFont val="Noto Sans SC"/>
        <family val="2"/>
        <charset val="134"/>
      </rPr>
      <t xml:space="preserve">的</t>
    </r>
    <r>
      <rPr>
        <sz val="11"/>
        <color theme="1"/>
        <rFont val="Calibri"/>
        <family val="2"/>
        <charset val="1"/>
      </rPr>
      <t xml:space="preserve">Slots</t>
    </r>
    <r>
      <rPr>
        <sz val="11"/>
        <color theme="1"/>
        <rFont val="Noto Sans SC"/>
        <family val="2"/>
        <charset val="134"/>
      </rPr>
      <t xml:space="preserve">产品在该赔付规则基础上衍生出了两种主流的赔付规则，主要是针对上述公式中“中奖各列图标个数累乘乘积”中图标个数处理方式的不同</t>
    </r>
  </si>
  <si>
    <r>
      <rPr>
        <sz val="11"/>
        <color theme="1"/>
        <rFont val="Noto Sans SC"/>
        <family val="2"/>
        <charset val="134"/>
      </rPr>
      <t xml:space="preserve">方法一：将</t>
    </r>
    <r>
      <rPr>
        <sz val="11"/>
        <color theme="1"/>
        <rFont val="Calibri"/>
        <family val="2"/>
        <charset val="1"/>
      </rPr>
      <t xml:space="preserve">2~5</t>
    </r>
    <r>
      <rPr>
        <sz val="11"/>
        <color theme="1"/>
        <rFont val="Noto Sans SC"/>
        <family val="2"/>
        <charset val="134"/>
      </rPr>
      <t xml:space="preserve">列下半部分图标限定为一个</t>
    </r>
  </si>
  <si>
    <r>
      <rPr>
        <sz val="11"/>
        <color theme="1"/>
        <rFont val="Calibri"/>
        <family val="2"/>
        <charset val="1"/>
      </rPr>
      <t xml:space="preserve">2~5</t>
    </r>
    <r>
      <rPr>
        <sz val="11"/>
        <color theme="1"/>
        <rFont val="Noto Sans SC"/>
        <family val="2"/>
        <charset val="134"/>
      </rPr>
      <t xml:space="preserve">列下半部分如果没有出现该图标，则视为</t>
    </r>
    <r>
      <rPr>
        <sz val="11"/>
        <color theme="1"/>
        <rFont val="Calibri"/>
        <family val="2"/>
        <charset val="1"/>
      </rPr>
      <t xml:space="preserve">0</t>
    </r>
    <r>
      <rPr>
        <sz val="11"/>
        <color theme="1"/>
        <rFont val="Noto Sans SC"/>
        <family val="2"/>
        <charset val="134"/>
      </rPr>
      <t xml:space="preserve">，和常规处理一致</t>
    </r>
  </si>
  <si>
    <t xml:space="preserve">但是当出现多个图标时，视为出现了一个该图标</t>
  </si>
  <si>
    <r>
      <rPr>
        <sz val="11"/>
        <color theme="1"/>
        <rFont val="Noto Sans SC"/>
        <family val="2"/>
        <charset val="134"/>
      </rPr>
      <t xml:space="preserve">也就是说这些列出现的图标在计算时的最大数值就是</t>
    </r>
    <r>
      <rPr>
        <sz val="11"/>
        <color theme="1"/>
        <rFont val="Calibri"/>
        <family val="2"/>
        <charset val="1"/>
      </rPr>
      <t xml:space="preserve">2</t>
    </r>
    <r>
      <rPr>
        <sz val="11"/>
        <color theme="1"/>
        <rFont val="Noto Sans SC"/>
        <family val="2"/>
        <charset val="134"/>
      </rPr>
      <t xml:space="preserve">，分别为上方横向卷轴中出现的一个，和下方部分最多被视为的一个</t>
    </r>
  </si>
  <si>
    <r>
      <rPr>
        <sz val="11"/>
        <color theme="1"/>
        <rFont val="Noto Sans SC"/>
        <family val="2"/>
        <charset val="134"/>
      </rPr>
      <t xml:space="preserve">例如，加黑色下图中的</t>
    </r>
    <r>
      <rPr>
        <sz val="11"/>
        <color theme="1"/>
        <rFont val="Calibri"/>
        <family val="2"/>
        <charset val="1"/>
      </rPr>
      <t xml:space="preserve">Slots</t>
    </r>
    <r>
      <rPr>
        <sz val="11"/>
        <color theme="1"/>
        <rFont val="Noto Sans SC"/>
        <family val="2"/>
        <charset val="134"/>
      </rPr>
      <t xml:space="preserve">产品适用该规则，图标分布如图所示，则其图标个数的处理方式为：</t>
    </r>
  </si>
  <si>
    <r>
      <rPr>
        <sz val="11"/>
        <color theme="1"/>
        <rFont val="Noto Sans SC"/>
        <family val="2"/>
        <charset val="134"/>
      </rPr>
      <t xml:space="preserve">第一列：</t>
    </r>
    <r>
      <rPr>
        <sz val="11"/>
        <color theme="1"/>
        <rFont val="Calibri"/>
        <family val="2"/>
        <charset val="1"/>
      </rPr>
      <t xml:space="preserve">2</t>
    </r>
    <r>
      <rPr>
        <sz val="11"/>
        <color theme="1"/>
        <rFont val="Noto Sans SC"/>
        <family val="2"/>
        <charset val="134"/>
      </rPr>
      <t xml:space="preserve">个图标，和常规</t>
    </r>
    <r>
      <rPr>
        <sz val="11"/>
        <color theme="1"/>
        <rFont val="Calibri"/>
        <family val="2"/>
        <charset val="1"/>
      </rPr>
      <t xml:space="preserve">Ways</t>
    </r>
    <r>
      <rPr>
        <sz val="11"/>
        <color theme="1"/>
        <rFont val="Noto Sans SC"/>
        <family val="2"/>
        <charset val="134"/>
      </rPr>
      <t xml:space="preserve">产品一致</t>
    </r>
  </si>
  <si>
    <r>
      <rPr>
        <sz val="11"/>
        <color theme="1"/>
        <rFont val="Noto Sans SC"/>
        <family val="2"/>
        <charset val="134"/>
      </rPr>
      <t xml:space="preserve">第二列：</t>
    </r>
    <r>
      <rPr>
        <sz val="11"/>
        <color theme="1"/>
        <rFont val="Calibri"/>
        <family val="2"/>
        <charset val="1"/>
      </rPr>
      <t xml:space="preserve">1</t>
    </r>
    <r>
      <rPr>
        <sz val="11"/>
        <color theme="1"/>
        <rFont val="Noto Sans SC"/>
        <family val="2"/>
        <charset val="134"/>
      </rPr>
      <t xml:space="preserve">个图标，虽然下半部分出现了两个图标</t>
    </r>
    <r>
      <rPr>
        <sz val="11"/>
        <color theme="1"/>
        <rFont val="Calibri"/>
        <family val="2"/>
        <charset val="1"/>
      </rPr>
      <t xml:space="preserve">9</t>
    </r>
    <r>
      <rPr>
        <sz val="11"/>
        <color theme="1"/>
        <rFont val="Noto Sans SC"/>
        <family val="2"/>
        <charset val="134"/>
      </rPr>
      <t xml:space="preserve">，但是在规则上处理只算一个</t>
    </r>
  </si>
  <si>
    <r>
      <rPr>
        <sz val="11"/>
        <color theme="1"/>
        <rFont val="Noto Sans SC"/>
        <family val="2"/>
        <charset val="134"/>
      </rPr>
      <t xml:space="preserve">第三列：</t>
    </r>
    <r>
      <rPr>
        <sz val="11"/>
        <color theme="1"/>
        <rFont val="Calibri"/>
        <family val="2"/>
        <charset val="1"/>
      </rPr>
      <t xml:space="preserve">2</t>
    </r>
    <r>
      <rPr>
        <sz val="11"/>
        <color theme="1"/>
        <rFont val="Noto Sans SC"/>
        <family val="2"/>
        <charset val="134"/>
      </rPr>
      <t xml:space="preserve">个图标，其在第三列则是上半部分和下半部分个出现一个图标</t>
    </r>
    <r>
      <rPr>
        <sz val="11"/>
        <color theme="1"/>
        <rFont val="Calibri"/>
        <family val="2"/>
        <charset val="1"/>
      </rPr>
      <t xml:space="preserve">9</t>
    </r>
    <r>
      <rPr>
        <sz val="11"/>
        <color theme="1"/>
        <rFont val="Noto Sans SC"/>
        <family val="2"/>
        <charset val="134"/>
      </rPr>
      <t xml:space="preserve">，此时赔付倍数乘二</t>
    </r>
  </si>
  <si>
    <r>
      <rPr>
        <sz val="11"/>
        <color theme="1"/>
        <rFont val="Noto Sans SC"/>
        <family val="2"/>
        <charset val="134"/>
      </rPr>
      <t xml:space="preserve">第四列：</t>
    </r>
    <r>
      <rPr>
        <sz val="11"/>
        <color theme="1"/>
        <rFont val="Calibri"/>
        <family val="2"/>
        <charset val="1"/>
      </rPr>
      <t xml:space="preserve">1</t>
    </r>
    <r>
      <rPr>
        <sz val="11"/>
        <color theme="1"/>
        <rFont val="Noto Sans SC"/>
        <family val="2"/>
        <charset val="134"/>
      </rPr>
      <t xml:space="preserve">个图标，和第二列相同，规则上下半部分的两个图标视为一个</t>
    </r>
  </si>
  <si>
    <r>
      <rPr>
        <sz val="11"/>
        <color theme="1"/>
        <rFont val="Noto Sans SC"/>
        <family val="2"/>
        <charset val="134"/>
      </rPr>
      <t xml:space="preserve">第五列：</t>
    </r>
    <r>
      <rPr>
        <sz val="11"/>
        <color theme="1"/>
        <rFont val="Calibri"/>
        <family val="2"/>
        <charset val="1"/>
      </rPr>
      <t xml:space="preserve">2</t>
    </r>
    <r>
      <rPr>
        <sz val="11"/>
        <color theme="1"/>
        <rFont val="Noto Sans SC"/>
        <family val="2"/>
        <charset val="134"/>
      </rPr>
      <t xml:space="preserve">个图标，上半部分出现了一个图标</t>
    </r>
    <r>
      <rPr>
        <sz val="11"/>
        <color theme="1"/>
        <rFont val="Calibri"/>
        <family val="2"/>
        <charset val="1"/>
      </rPr>
      <t xml:space="preserve">9</t>
    </r>
    <r>
      <rPr>
        <sz val="11"/>
        <color theme="1"/>
        <rFont val="Noto Sans SC"/>
        <family val="2"/>
        <charset val="134"/>
      </rPr>
      <t xml:space="preserve">，下半部分出现了三个图标</t>
    </r>
    <r>
      <rPr>
        <sz val="11"/>
        <color theme="1"/>
        <rFont val="Calibri"/>
        <family val="2"/>
        <charset val="1"/>
      </rPr>
      <t xml:space="preserve">9</t>
    </r>
    <r>
      <rPr>
        <sz val="11"/>
        <color theme="1"/>
        <rFont val="Noto Sans SC"/>
        <family val="2"/>
        <charset val="134"/>
      </rPr>
      <t xml:space="preserve">，但下半部分只能视为出现一个</t>
    </r>
  </si>
  <si>
    <r>
      <rPr>
        <sz val="11"/>
        <color theme="1"/>
        <rFont val="Noto Sans SC"/>
        <family val="2"/>
        <charset val="134"/>
      </rPr>
      <t xml:space="preserve">第六列：</t>
    </r>
    <r>
      <rPr>
        <sz val="11"/>
        <color theme="1"/>
        <rFont val="Calibri"/>
        <family val="2"/>
        <charset val="1"/>
      </rPr>
      <t xml:space="preserve">0</t>
    </r>
    <r>
      <rPr>
        <sz val="11"/>
        <color theme="1"/>
        <rFont val="Noto Sans SC"/>
        <family val="2"/>
        <charset val="134"/>
      </rPr>
      <t xml:space="preserve">，未出现图标</t>
    </r>
    <r>
      <rPr>
        <sz val="11"/>
        <color theme="1"/>
        <rFont val="Calibri"/>
        <family val="2"/>
        <charset val="1"/>
      </rPr>
      <t xml:space="preserve">9</t>
    </r>
    <r>
      <rPr>
        <sz val="11"/>
        <color theme="1"/>
        <rFont val="Noto Sans SC"/>
        <family val="2"/>
        <charset val="134"/>
      </rPr>
      <t xml:space="preserve">，本次图标</t>
    </r>
    <r>
      <rPr>
        <sz val="11"/>
        <color theme="1"/>
        <rFont val="Calibri"/>
        <family val="2"/>
        <charset val="1"/>
      </rPr>
      <t xml:space="preserve">9</t>
    </r>
    <r>
      <rPr>
        <sz val="11"/>
        <color theme="1"/>
        <rFont val="Noto Sans SC"/>
        <family val="2"/>
        <charset val="134"/>
      </rPr>
      <t xml:space="preserve">满足的中奖组合为</t>
    </r>
    <r>
      <rPr>
        <sz val="11"/>
        <color theme="1"/>
        <rFont val="Calibri"/>
        <family val="2"/>
        <charset val="1"/>
      </rPr>
      <t xml:space="preserve">{9</t>
    </r>
    <r>
      <rPr>
        <sz val="11"/>
        <color theme="1"/>
        <rFont val="Noto Sans SC"/>
        <family val="2"/>
        <charset val="134"/>
      </rPr>
      <t xml:space="preserve">，</t>
    </r>
    <r>
      <rPr>
        <sz val="11"/>
        <color theme="1"/>
        <rFont val="Calibri"/>
        <family val="2"/>
        <charset val="1"/>
      </rPr>
      <t xml:space="preserve">9</t>
    </r>
    <r>
      <rPr>
        <sz val="11"/>
        <color theme="1"/>
        <rFont val="Noto Sans SC"/>
        <family val="2"/>
        <charset val="134"/>
      </rPr>
      <t xml:space="preserve">，</t>
    </r>
    <r>
      <rPr>
        <sz val="11"/>
        <color theme="1"/>
        <rFont val="Calibri"/>
        <family val="2"/>
        <charset val="1"/>
      </rPr>
      <t xml:space="preserve">9</t>
    </r>
    <r>
      <rPr>
        <sz val="11"/>
        <color theme="1"/>
        <rFont val="Noto Sans SC"/>
        <family val="2"/>
        <charset val="134"/>
      </rPr>
      <t xml:space="preserve">，</t>
    </r>
    <r>
      <rPr>
        <sz val="11"/>
        <color theme="1"/>
        <rFont val="Calibri"/>
        <family val="2"/>
        <charset val="1"/>
      </rPr>
      <t xml:space="preserve">9</t>
    </r>
    <r>
      <rPr>
        <sz val="11"/>
        <color theme="1"/>
        <rFont val="Noto Sans SC"/>
        <family val="2"/>
        <charset val="134"/>
      </rPr>
      <t xml:space="preserve">，</t>
    </r>
    <r>
      <rPr>
        <sz val="11"/>
        <color theme="1"/>
        <rFont val="Calibri"/>
        <family val="2"/>
        <charset val="1"/>
      </rPr>
      <t xml:space="preserve">9}</t>
    </r>
  </si>
  <si>
    <r>
      <rPr>
        <sz val="11"/>
        <color theme="1"/>
        <rFont val="Noto Sans SC"/>
        <family val="2"/>
        <charset val="134"/>
      </rPr>
      <t xml:space="preserve">［配图 </t>
    </r>
    <r>
      <rPr>
        <sz val="11"/>
        <color theme="1"/>
        <rFont val="Calibri"/>
        <family val="2"/>
        <charset val="1"/>
      </rPr>
      <t xml:space="preserve">08</t>
    </r>
    <r>
      <rPr>
        <sz val="11"/>
        <color theme="1"/>
        <rFont val="Noto Sans SC"/>
        <family val="2"/>
        <charset val="134"/>
      </rPr>
      <t xml:space="preserve">］</t>
    </r>
    <r>
      <rPr>
        <sz val="11"/>
        <color theme="1"/>
        <rFont val="Calibri"/>
        <family val="2"/>
        <charset val="1"/>
      </rPr>
      <t xml:space="preserve">633527344-08.jpg</t>
    </r>
  </si>
  <si>
    <r>
      <rPr>
        <sz val="11"/>
        <color theme="1"/>
        <rFont val="Noto Sans SC"/>
        <family val="2"/>
        <charset val="134"/>
      </rPr>
      <t xml:space="preserve">方法二：顺应</t>
    </r>
    <r>
      <rPr>
        <sz val="11"/>
        <color theme="1"/>
        <rFont val="Calibri"/>
        <family val="2"/>
        <charset val="1"/>
      </rPr>
      <t xml:space="preserve">Ways</t>
    </r>
    <r>
      <rPr>
        <sz val="11"/>
        <color theme="1"/>
        <rFont val="Noto Sans SC"/>
        <family val="2"/>
        <charset val="134"/>
      </rPr>
      <t xml:space="preserve">的计算规则，并不需要在计算时对部分列的图标个数进行额外处理</t>
    </r>
  </si>
  <si>
    <t xml:space="preserve">这两种规则在体验上差距还是存在一定差异的</t>
  </si>
  <si>
    <r>
      <rPr>
        <sz val="11"/>
        <color theme="1"/>
        <rFont val="Noto Sans SC"/>
        <family val="2"/>
        <charset val="134"/>
      </rPr>
      <t xml:space="preserve">主要是为了适应规则和</t>
    </r>
    <r>
      <rPr>
        <sz val="11"/>
        <color theme="1"/>
        <rFont val="Calibri"/>
        <family val="2"/>
        <charset val="1"/>
      </rPr>
      <t xml:space="preserve">RTP</t>
    </r>
    <r>
      <rPr>
        <sz val="11"/>
        <color theme="1"/>
        <rFont val="Noto Sans SC"/>
        <family val="2"/>
        <charset val="134"/>
      </rPr>
      <t xml:space="preserve">低于</t>
    </r>
    <r>
      <rPr>
        <sz val="11"/>
        <color theme="1"/>
        <rFont val="Calibri"/>
        <family val="2"/>
        <charset val="1"/>
      </rPr>
      <t xml:space="preserve">1</t>
    </r>
    <r>
      <rPr>
        <sz val="11"/>
        <color theme="1"/>
        <rFont val="Noto Sans SC"/>
        <family val="2"/>
        <charset val="134"/>
      </rPr>
      <t xml:space="preserve">的要求而配置的不同数值导致的玩法波动性差异</t>
    </r>
  </si>
  <si>
    <r>
      <rPr>
        <sz val="11"/>
        <color theme="1"/>
        <rFont val="Noto Sans SC"/>
        <family val="2"/>
        <charset val="134"/>
      </rPr>
      <t xml:space="preserve">具体来说，方法二在赔付倍数的增益上限上要远高于方法一，但是为了控制</t>
    </r>
    <r>
      <rPr>
        <sz val="11"/>
        <color theme="1"/>
        <rFont val="Calibri"/>
        <family val="2"/>
        <charset val="1"/>
      </rPr>
      <t xml:space="preserve">RTP</t>
    </r>
    <r>
      <rPr>
        <sz val="11"/>
        <color theme="1"/>
        <rFont val="Noto Sans SC"/>
        <family val="2"/>
        <charset val="134"/>
      </rPr>
      <t xml:space="preserve">低于</t>
    </r>
    <r>
      <rPr>
        <sz val="11"/>
        <color theme="1"/>
        <rFont val="Calibri"/>
        <family val="2"/>
        <charset val="1"/>
      </rPr>
      <t xml:space="preserve">1</t>
    </r>
    <r>
      <rPr>
        <sz val="11"/>
        <color theme="1"/>
        <rFont val="Noto Sans SC"/>
        <family val="2"/>
        <charset val="134"/>
      </rPr>
      <t xml:space="preserve">，在数值设计上一般会有意地压低赔付倍数或者是中奖率</t>
    </r>
  </si>
  <si>
    <r>
      <rPr>
        <sz val="11"/>
        <color theme="1"/>
        <rFont val="Noto Sans SC"/>
        <family val="2"/>
        <charset val="134"/>
      </rPr>
      <t xml:space="preserve">所以一般当</t>
    </r>
    <r>
      <rPr>
        <sz val="11"/>
        <color theme="1"/>
        <rFont val="Calibri"/>
        <family val="2"/>
        <charset val="1"/>
      </rPr>
      <t xml:space="preserve">Megaways</t>
    </r>
    <r>
      <rPr>
        <sz val="11"/>
        <color theme="1"/>
        <rFont val="Noto Sans SC"/>
        <family val="2"/>
        <charset val="134"/>
      </rPr>
      <t xml:space="preserve">不限制图标个数时，对数值策划的要求会更高一些</t>
    </r>
  </si>
  <si>
    <r>
      <rPr>
        <sz val="11"/>
        <color theme="1"/>
        <rFont val="Noto Sans SC"/>
        <family val="2"/>
        <charset val="134"/>
      </rPr>
      <t xml:space="preserve">在实际计算之后可以发现，不限制个数的</t>
    </r>
    <r>
      <rPr>
        <sz val="11"/>
        <color theme="1"/>
        <rFont val="Calibri"/>
        <family val="2"/>
        <charset val="1"/>
      </rPr>
      <t xml:space="preserve">Megaways</t>
    </r>
    <r>
      <rPr>
        <sz val="11"/>
        <color theme="1"/>
        <rFont val="Noto Sans SC"/>
        <family val="2"/>
        <charset val="134"/>
      </rPr>
      <t xml:space="preserve">最终定下来的数值都是比较极限的，调控空间比较小，很难在上线后针对数据表现由目的地调整图标概率数值</t>
    </r>
  </si>
  <si>
    <r>
      <rPr>
        <sz val="11"/>
        <color theme="1"/>
        <rFont val="Noto Sans SC"/>
        <family val="2"/>
        <charset val="134"/>
      </rPr>
      <t xml:space="preserve">如果是对</t>
    </r>
    <r>
      <rPr>
        <sz val="11"/>
        <color theme="1"/>
        <rFont val="Calibri"/>
        <family val="2"/>
        <charset val="1"/>
      </rPr>
      <t xml:space="preserve">Megaways</t>
    </r>
    <r>
      <rPr>
        <sz val="11"/>
        <color theme="1"/>
        <rFont val="Noto Sans SC"/>
        <family val="2"/>
        <charset val="134"/>
      </rPr>
      <t xml:space="preserve">类型产品的数值体系和游戏体验不是那么熟悉的话，建议可以先从限制个数的产品开始尝试</t>
    </r>
  </si>
  <si>
    <r>
      <rPr>
        <sz val="11"/>
        <color theme="1"/>
        <rFont val="Noto Sans SC"/>
        <family val="2"/>
        <charset val="134"/>
      </rPr>
      <t xml:space="preserve">另外，对于</t>
    </r>
    <r>
      <rPr>
        <sz val="11"/>
        <color theme="1"/>
        <rFont val="Calibri"/>
        <family val="2"/>
        <charset val="1"/>
      </rPr>
      <t xml:space="preserve">Megaways</t>
    </r>
    <r>
      <rPr>
        <sz val="11"/>
        <color theme="1"/>
        <rFont val="Noto Sans SC"/>
        <family val="2"/>
        <charset val="134"/>
      </rPr>
      <t xml:space="preserve">图标个数不确定的特征，也是使用“期望的和等于和的期望”对其数值进行处理即可</t>
    </r>
  </si>
  <si>
    <r>
      <rPr>
        <sz val="11"/>
        <color theme="1"/>
        <rFont val="Noto Sans SC"/>
        <family val="2"/>
        <charset val="134"/>
      </rPr>
      <t xml:space="preserve">首先，以首列和末列为例，其可能出现的图标个数为</t>
    </r>
    <r>
      <rPr>
        <sz val="11"/>
        <color theme="1"/>
        <rFont val="Calibri"/>
        <family val="2"/>
        <charset val="1"/>
      </rPr>
      <t xml:space="preserve">2</t>
    </r>
    <r>
      <rPr>
        <sz val="11"/>
        <color theme="1"/>
        <rFont val="Noto Sans SC"/>
        <family val="2"/>
        <charset val="134"/>
      </rPr>
      <t xml:space="preserve">、</t>
    </r>
    <r>
      <rPr>
        <sz val="11"/>
        <color theme="1"/>
        <rFont val="Calibri"/>
        <family val="2"/>
        <charset val="1"/>
      </rPr>
      <t xml:space="preserve">3</t>
    </r>
    <r>
      <rPr>
        <sz val="11"/>
        <color theme="1"/>
        <rFont val="Noto Sans SC"/>
        <family val="2"/>
        <charset val="134"/>
      </rPr>
      <t xml:space="preserve">、</t>
    </r>
    <r>
      <rPr>
        <sz val="11"/>
        <color theme="1"/>
        <rFont val="Calibri"/>
        <family val="2"/>
        <charset val="1"/>
      </rPr>
      <t xml:space="preserve">4</t>
    </r>
    <r>
      <rPr>
        <sz val="11"/>
        <color theme="1"/>
        <rFont val="Noto Sans SC"/>
        <family val="2"/>
        <charset val="134"/>
      </rPr>
      <t xml:space="preserve">、</t>
    </r>
    <r>
      <rPr>
        <sz val="11"/>
        <color theme="1"/>
        <rFont val="Calibri"/>
        <family val="2"/>
        <charset val="1"/>
      </rPr>
      <t xml:space="preserve">5</t>
    </r>
    <r>
      <rPr>
        <sz val="11"/>
        <color theme="1"/>
        <rFont val="Noto Sans SC"/>
        <family val="2"/>
        <charset val="134"/>
      </rPr>
      <t xml:space="preserve">、</t>
    </r>
    <r>
      <rPr>
        <sz val="11"/>
        <color theme="1"/>
        <rFont val="Calibri"/>
        <family val="2"/>
        <charset val="1"/>
      </rPr>
      <t xml:space="preserve">6</t>
    </r>
    <r>
      <rPr>
        <sz val="11"/>
        <color theme="1"/>
        <rFont val="Noto Sans SC"/>
        <family val="2"/>
        <charset val="134"/>
      </rPr>
      <t xml:space="preserve">、</t>
    </r>
    <r>
      <rPr>
        <sz val="11"/>
        <color theme="1"/>
        <rFont val="Calibri"/>
        <family val="2"/>
        <charset val="1"/>
      </rPr>
      <t xml:space="preserve">7</t>
    </r>
    <r>
      <rPr>
        <sz val="11"/>
        <color theme="1"/>
        <rFont val="Noto Sans SC"/>
        <family val="2"/>
        <charset val="134"/>
      </rPr>
      <t xml:space="preserve">六种</t>
    </r>
  </si>
  <si>
    <t xml:space="preserve">将这六种情况分别视为六种图标个数固定的情况</t>
  </si>
  <si>
    <t xml:space="preserve">计算得到这六种情况下目标图标不同个数的出现几率</t>
  </si>
  <si>
    <r>
      <rPr>
        <sz val="11"/>
        <color theme="1"/>
        <rFont val="Noto Sans SC"/>
        <family val="2"/>
        <charset val="134"/>
      </rPr>
      <t xml:space="preserve">［配图 </t>
    </r>
    <r>
      <rPr>
        <sz val="11"/>
        <color theme="1"/>
        <rFont val="Calibri"/>
        <family val="2"/>
        <charset val="1"/>
      </rPr>
      <t xml:space="preserve">09</t>
    </r>
    <r>
      <rPr>
        <sz val="11"/>
        <color theme="1"/>
        <rFont val="Noto Sans SC"/>
        <family val="2"/>
        <charset val="134"/>
      </rPr>
      <t xml:space="preserve">］</t>
    </r>
    <r>
      <rPr>
        <sz val="11"/>
        <color theme="1"/>
        <rFont val="Calibri"/>
        <family val="2"/>
        <charset val="1"/>
      </rPr>
      <t xml:space="preserve">633527344-09.jpg</t>
    </r>
  </si>
  <si>
    <t xml:space="preserve">再使用各出现几率乘上对应的图标个数并单行加总，得到该图标在各固定个数卷轴中出现的个数期望</t>
  </si>
  <si>
    <t xml:space="preserve">将这些个数期望求平均，得到图标的出现的个数期望</t>
  </si>
  <si>
    <t xml:space="preserve">如果此时该列出现不同图标个数的几率不一致的话，使用该几率进行加权平均即可</t>
  </si>
  <si>
    <r>
      <rPr>
        <sz val="11"/>
        <color theme="1"/>
        <rFont val="Noto Sans SC"/>
        <family val="2"/>
        <charset val="134"/>
      </rPr>
      <t xml:space="preserve">［配图 </t>
    </r>
    <r>
      <rPr>
        <sz val="11"/>
        <color theme="1"/>
        <rFont val="Calibri"/>
        <family val="2"/>
        <charset val="1"/>
      </rPr>
      <t xml:space="preserve">10</t>
    </r>
    <r>
      <rPr>
        <sz val="11"/>
        <color theme="1"/>
        <rFont val="Noto Sans SC"/>
        <family val="2"/>
        <charset val="134"/>
      </rPr>
      <t xml:space="preserve">］</t>
    </r>
    <r>
      <rPr>
        <sz val="11"/>
        <color theme="1"/>
        <rFont val="Calibri"/>
        <family val="2"/>
        <charset val="1"/>
      </rPr>
      <t xml:space="preserve">633527344-10.jpg</t>
    </r>
  </si>
  <si>
    <t xml:space="preserve">这样子计算非常复杂，在实际的计算过程中则会直接使用该列图标个数的期望乘上该图标出现的几率，即可得到一样的答案</t>
  </si>
  <si>
    <t xml:space="preserve">画面表现</t>
  </si>
  <si>
    <r>
      <rPr>
        <sz val="11"/>
        <color theme="1"/>
        <rFont val="Noto Sans SC"/>
        <family val="2"/>
        <charset val="134"/>
      </rPr>
      <t xml:space="preserve">在处理</t>
    </r>
    <r>
      <rPr>
        <sz val="11"/>
        <color theme="1"/>
        <rFont val="Calibri"/>
        <family val="2"/>
        <charset val="1"/>
      </rPr>
      <t xml:space="preserve">Megaway Slots</t>
    </r>
    <r>
      <rPr>
        <sz val="11"/>
        <color theme="1"/>
        <rFont val="Noto Sans SC"/>
        <family val="2"/>
        <charset val="134"/>
      </rPr>
      <t xml:space="preserve">的画面表现时，需要特别注意图标随机大小的表现形式</t>
    </r>
  </si>
  <si>
    <r>
      <rPr>
        <sz val="11"/>
        <color theme="1"/>
        <rFont val="Noto Sans SC"/>
        <family val="2"/>
        <charset val="134"/>
      </rPr>
      <t xml:space="preserve">和传统的</t>
    </r>
    <r>
      <rPr>
        <sz val="11"/>
        <color theme="1"/>
        <rFont val="Calibri"/>
        <family val="2"/>
        <charset val="1"/>
      </rPr>
      <t xml:space="preserve">Slots</t>
    </r>
    <r>
      <rPr>
        <sz val="11"/>
        <color theme="1"/>
        <rFont val="Noto Sans SC"/>
        <family val="2"/>
        <charset val="134"/>
      </rPr>
      <t xml:space="preserve">不同，</t>
    </r>
    <r>
      <rPr>
        <sz val="11"/>
        <color theme="1"/>
        <rFont val="Calibri"/>
        <family val="2"/>
        <charset val="1"/>
      </rPr>
      <t xml:space="preserve">Megaways</t>
    </r>
    <r>
      <rPr>
        <sz val="11"/>
        <color theme="1"/>
        <rFont val="Noto Sans SC"/>
        <family val="2"/>
        <charset val="134"/>
      </rPr>
      <t xml:space="preserve">类型产品同一个图标会存在多种尺寸，以适应不固定的每列图标个数</t>
    </r>
  </si>
  <si>
    <t xml:space="preserve">目前主流的图标个数适应方法主要有两种，一种是均分法，另一种是整倍法</t>
  </si>
  <si>
    <t xml:space="preserve">两种方法都需要先生成该列随机图标个数</t>
  </si>
  <si>
    <t xml:space="preserve">在均分法中，会依据抽取到的个数，将该列依据图标个数进行均分，致使该列每个图标的大小都是一致的</t>
  </si>
  <si>
    <t xml:space="preserve">当前大部分欧美玩法都是使用该方法对图标大小进行的控制</t>
  </si>
  <si>
    <r>
      <rPr>
        <sz val="11"/>
        <color theme="1"/>
        <rFont val="Noto Sans SC"/>
        <family val="2"/>
        <charset val="134"/>
      </rPr>
      <t xml:space="preserve">例如上文提到的</t>
    </r>
    <r>
      <rPr>
        <sz val="11"/>
        <color theme="1"/>
        <rFont val="Calibri"/>
        <family val="2"/>
        <charset val="1"/>
      </rPr>
      <t xml:space="preserve">Bonanza Megaways</t>
    </r>
    <r>
      <rPr>
        <sz val="11"/>
        <color theme="1"/>
        <rFont val="Noto Sans SC"/>
        <family val="2"/>
        <charset val="134"/>
      </rPr>
      <t xml:space="preserve">就是使用的该方法</t>
    </r>
  </si>
  <si>
    <t xml:space="preserve">该方法的优点很明显，那就是直观地展示了各列的图标个数</t>
  </si>
  <si>
    <r>
      <rPr>
        <sz val="11"/>
        <color theme="1"/>
        <rFont val="Noto Sans SC"/>
        <family val="2"/>
        <charset val="134"/>
      </rPr>
      <t xml:space="preserve">对</t>
    </r>
    <r>
      <rPr>
        <sz val="11"/>
        <color theme="1"/>
        <rFont val="Calibri"/>
        <family val="2"/>
        <charset val="1"/>
      </rPr>
      <t xml:space="preserve">Megaways</t>
    </r>
    <r>
      <rPr>
        <sz val="11"/>
        <color theme="1"/>
        <rFont val="Noto Sans SC"/>
        <family val="2"/>
        <charset val="134"/>
      </rPr>
      <t xml:space="preserve">比较熟悉的玩家只用看一眼图标的大小就大致能够知道本局各列的图标个数，突出了</t>
    </r>
    <r>
      <rPr>
        <sz val="11"/>
        <color theme="1"/>
        <rFont val="Calibri"/>
        <family val="2"/>
        <charset val="1"/>
      </rPr>
      <t xml:space="preserve">Megaways</t>
    </r>
    <r>
      <rPr>
        <sz val="11"/>
        <color theme="1"/>
        <rFont val="Noto Sans SC"/>
        <family val="2"/>
        <charset val="134"/>
      </rPr>
      <t xml:space="preserve">的机制特色</t>
    </r>
  </si>
  <si>
    <r>
      <rPr>
        <sz val="11"/>
        <color theme="1"/>
        <rFont val="Noto Sans SC"/>
        <family val="2"/>
        <charset val="134"/>
      </rPr>
      <t xml:space="preserve">但是其缺陷也是比较明显的，就是对</t>
    </r>
    <r>
      <rPr>
        <sz val="11"/>
        <color theme="1"/>
        <rFont val="Calibri"/>
        <family val="2"/>
        <charset val="1"/>
      </rPr>
      <t xml:space="preserve">Slots</t>
    </r>
    <r>
      <rPr>
        <sz val="11"/>
        <color theme="1"/>
        <rFont val="Noto Sans SC"/>
        <family val="2"/>
        <charset val="134"/>
      </rPr>
      <t xml:space="preserve">产品不是很熟悉的玩家来说，画面看上去和印象中的</t>
    </r>
    <r>
      <rPr>
        <sz val="11"/>
        <color theme="1"/>
        <rFont val="Calibri"/>
        <family val="2"/>
        <charset val="1"/>
      </rPr>
      <t xml:space="preserve">Slots</t>
    </r>
    <r>
      <rPr>
        <sz val="11"/>
        <color theme="1"/>
        <rFont val="Noto Sans SC"/>
        <family val="2"/>
        <charset val="134"/>
      </rPr>
      <t xml:space="preserve">差异是比较大，在对</t>
    </r>
    <r>
      <rPr>
        <sz val="11"/>
        <color theme="1"/>
        <rFont val="Calibri"/>
        <family val="2"/>
        <charset val="1"/>
      </rPr>
      <t xml:space="preserve">Slots</t>
    </r>
    <r>
      <rPr>
        <sz val="11"/>
        <color theme="1"/>
        <rFont val="Noto Sans SC"/>
        <family val="2"/>
        <charset val="134"/>
      </rPr>
      <t xml:space="preserve">熟悉程度比较低的市场，在培养玩家的熟悉程度之前就制作使用该方法的</t>
    </r>
    <r>
      <rPr>
        <sz val="11"/>
        <color theme="1"/>
        <rFont val="Calibri"/>
        <family val="2"/>
        <charset val="1"/>
      </rPr>
      <t xml:space="preserve">Slots</t>
    </r>
    <r>
      <rPr>
        <sz val="11"/>
        <color theme="1"/>
        <rFont val="Noto Sans SC"/>
        <family val="2"/>
        <charset val="134"/>
      </rPr>
      <t xml:space="preserve">会因为玩家接受程度较低而导致比较大的风险</t>
    </r>
  </si>
  <si>
    <r>
      <rPr>
        <sz val="11"/>
        <color theme="1"/>
        <rFont val="Noto Sans SC"/>
        <family val="2"/>
        <charset val="134"/>
      </rPr>
      <t xml:space="preserve">［配图 </t>
    </r>
    <r>
      <rPr>
        <sz val="11"/>
        <color theme="1"/>
        <rFont val="Calibri"/>
        <family val="2"/>
        <charset val="1"/>
      </rPr>
      <t xml:space="preserve">11</t>
    </r>
    <r>
      <rPr>
        <sz val="11"/>
        <color theme="1"/>
        <rFont val="Noto Sans SC"/>
        <family val="2"/>
        <charset val="134"/>
      </rPr>
      <t xml:space="preserve">］</t>
    </r>
    <r>
      <rPr>
        <sz val="11"/>
        <color theme="1"/>
        <rFont val="Calibri"/>
        <family val="2"/>
        <charset val="1"/>
      </rPr>
      <t xml:space="preserve">633527344-11.jpg</t>
    </r>
  </si>
  <si>
    <r>
      <rPr>
        <sz val="11"/>
        <color theme="1"/>
        <rFont val="Noto Sans SC"/>
        <family val="2"/>
        <charset val="134"/>
      </rPr>
      <t xml:space="preserve">在整倍法中，图标会存在一个基础的</t>
    </r>
    <r>
      <rPr>
        <sz val="11"/>
        <color theme="1"/>
        <rFont val="Calibri"/>
        <family val="2"/>
        <charset val="1"/>
      </rPr>
      <t xml:space="preserve">1*1</t>
    </r>
    <r>
      <rPr>
        <sz val="11"/>
        <color theme="1"/>
        <rFont val="Noto Sans SC"/>
        <family val="2"/>
        <charset val="134"/>
      </rPr>
      <t xml:space="preserve">大小</t>
    </r>
  </si>
  <si>
    <r>
      <rPr>
        <sz val="11"/>
        <color theme="1"/>
        <rFont val="Noto Sans SC"/>
        <family val="2"/>
        <charset val="134"/>
      </rPr>
      <t xml:space="preserve">当</t>
    </r>
    <r>
      <rPr>
        <sz val="11"/>
        <color theme="1"/>
        <rFont val="Calibri"/>
        <family val="2"/>
        <charset val="1"/>
      </rPr>
      <t xml:space="preserve">1*1</t>
    </r>
    <r>
      <rPr>
        <sz val="11"/>
        <color theme="1"/>
        <rFont val="Noto Sans SC"/>
        <family val="2"/>
        <charset val="134"/>
      </rPr>
      <t xml:space="preserve">的图标无法填满本列时，就会产生</t>
    </r>
    <r>
      <rPr>
        <sz val="11"/>
        <color theme="1"/>
        <rFont val="Calibri"/>
        <family val="2"/>
        <charset val="1"/>
      </rPr>
      <t xml:space="preserve">1*N</t>
    </r>
    <r>
      <rPr>
        <sz val="11"/>
        <color theme="1"/>
        <rFont val="Noto Sans SC"/>
        <family val="2"/>
        <charset val="134"/>
      </rPr>
      <t xml:space="preserve">的长图标，使得该列最终所有的图标高度之和和该列高度上限相同</t>
    </r>
  </si>
  <si>
    <r>
      <rPr>
        <sz val="11"/>
        <color theme="1"/>
        <rFont val="Noto Sans SC"/>
        <family val="2"/>
        <charset val="134"/>
      </rPr>
      <t xml:space="preserve">例如一个下半部分区域高度为</t>
    </r>
    <r>
      <rPr>
        <sz val="11"/>
        <color theme="1"/>
        <rFont val="Calibri"/>
        <family val="2"/>
        <charset val="1"/>
      </rPr>
      <t xml:space="preserve">5</t>
    </r>
    <r>
      <rPr>
        <sz val="11"/>
        <color theme="1"/>
        <rFont val="Noto Sans SC"/>
        <family val="2"/>
        <charset val="134"/>
      </rPr>
      <t xml:space="preserve">的产品，当该列抽取到 </t>
    </r>
    <r>
      <rPr>
        <sz val="11"/>
        <color theme="1"/>
        <rFont val="Calibri"/>
        <family val="2"/>
        <charset val="1"/>
      </rPr>
      <t xml:space="preserve">2 </t>
    </r>
    <r>
      <rPr>
        <sz val="11"/>
        <color theme="1"/>
        <rFont val="Noto Sans SC"/>
        <family val="2"/>
        <charset val="134"/>
      </rPr>
      <t xml:space="preserve">个图标时，其图标大小分布可以是以下四种：</t>
    </r>
  </si>
  <si>
    <r>
      <rPr>
        <sz val="11"/>
        <color theme="1"/>
        <rFont val="Calibri"/>
        <family val="2"/>
        <charset val="1"/>
      </rPr>
      <t xml:space="preserve">{1*1</t>
    </r>
    <r>
      <rPr>
        <sz val="11"/>
        <color theme="1"/>
        <rFont val="Noto Sans SC"/>
        <family val="2"/>
        <charset val="134"/>
      </rPr>
      <t xml:space="preserve">，</t>
    </r>
    <r>
      <rPr>
        <sz val="11"/>
        <color theme="1"/>
        <rFont val="Calibri"/>
        <family val="2"/>
        <charset val="1"/>
      </rPr>
      <t xml:space="preserve">1*4}</t>
    </r>
  </si>
  <si>
    <r>
      <rPr>
        <sz val="11"/>
        <color theme="1"/>
        <rFont val="Calibri"/>
        <family val="2"/>
        <charset val="1"/>
      </rPr>
      <t xml:space="preserve">{1*2</t>
    </r>
    <r>
      <rPr>
        <sz val="11"/>
        <color theme="1"/>
        <rFont val="Noto Sans SC"/>
        <family val="2"/>
        <charset val="134"/>
      </rPr>
      <t xml:space="preserve">，</t>
    </r>
    <r>
      <rPr>
        <sz val="11"/>
        <color theme="1"/>
        <rFont val="Calibri"/>
        <family val="2"/>
        <charset val="1"/>
      </rPr>
      <t xml:space="preserve">1*3}</t>
    </r>
  </si>
  <si>
    <r>
      <rPr>
        <sz val="11"/>
        <color theme="1"/>
        <rFont val="Calibri"/>
        <family val="2"/>
        <charset val="1"/>
      </rPr>
      <t xml:space="preserve">{1*3</t>
    </r>
    <r>
      <rPr>
        <sz val="11"/>
        <color theme="1"/>
        <rFont val="Noto Sans SC"/>
        <family val="2"/>
        <charset val="134"/>
      </rPr>
      <t xml:space="preserve">，</t>
    </r>
    <r>
      <rPr>
        <sz val="11"/>
        <color theme="1"/>
        <rFont val="Calibri"/>
        <family val="2"/>
        <charset val="1"/>
      </rPr>
      <t xml:space="preserve">1*2}</t>
    </r>
  </si>
  <si>
    <r>
      <rPr>
        <sz val="11"/>
        <color theme="1"/>
        <rFont val="Calibri"/>
        <family val="2"/>
        <charset val="1"/>
      </rPr>
      <t xml:space="preserve">{1*4</t>
    </r>
    <r>
      <rPr>
        <sz val="11"/>
        <color theme="1"/>
        <rFont val="Noto Sans SC"/>
        <family val="2"/>
        <charset val="134"/>
      </rPr>
      <t xml:space="preserve">，</t>
    </r>
    <r>
      <rPr>
        <sz val="11"/>
        <color theme="1"/>
        <rFont val="Calibri"/>
        <family val="2"/>
        <charset val="1"/>
      </rPr>
      <t xml:space="preserve">1*1}</t>
    </r>
  </si>
  <si>
    <r>
      <rPr>
        <sz val="11"/>
        <color theme="1"/>
        <rFont val="Noto Sans SC"/>
        <family val="2"/>
        <charset val="134"/>
      </rPr>
      <t xml:space="preserve">该方法的方法在画面表现上更加规整一些，更加贴近传统的</t>
    </r>
    <r>
      <rPr>
        <sz val="11"/>
        <color theme="1"/>
        <rFont val="Calibri"/>
        <family val="2"/>
        <charset val="1"/>
      </rPr>
      <t xml:space="preserve">Slots</t>
    </r>
    <r>
      <rPr>
        <sz val="11"/>
        <color theme="1"/>
        <rFont val="Noto Sans SC"/>
        <family val="2"/>
        <charset val="134"/>
      </rPr>
      <t xml:space="preserve">产品图标排列方式</t>
    </r>
  </si>
  <si>
    <t xml:space="preserve">哪一种方法更好还是得依据产品所处的市场决定</t>
  </si>
  <si>
    <r>
      <rPr>
        <sz val="11"/>
        <color theme="1"/>
        <rFont val="Noto Sans SC"/>
        <family val="2"/>
        <charset val="134"/>
      </rPr>
      <t xml:space="preserve">目前来说，欧美这些对</t>
    </r>
    <r>
      <rPr>
        <sz val="11"/>
        <color theme="1"/>
        <rFont val="Calibri"/>
        <family val="2"/>
        <charset val="1"/>
      </rPr>
      <t xml:space="preserve">Slots</t>
    </r>
    <r>
      <rPr>
        <sz val="11"/>
        <color theme="1"/>
        <rFont val="Noto Sans SC"/>
        <family val="2"/>
        <charset val="134"/>
      </rPr>
      <t xml:space="preserve">产品熟悉度比较高地区的使用均分法的产品较多，而在东南亚和南美这些比较新兴的市场，整倍法的产品接受程度明显要更高</t>
    </r>
  </si>
  <si>
    <r>
      <rPr>
        <sz val="11"/>
        <color theme="1"/>
        <rFont val="Noto Sans SC"/>
        <family val="2"/>
        <charset val="134"/>
      </rPr>
      <t xml:space="preserve">［配图 </t>
    </r>
    <r>
      <rPr>
        <sz val="11"/>
        <color theme="1"/>
        <rFont val="Calibri"/>
        <family val="2"/>
        <charset val="1"/>
      </rPr>
      <t xml:space="preserve">12</t>
    </r>
    <r>
      <rPr>
        <sz val="11"/>
        <color theme="1"/>
        <rFont val="Noto Sans SC"/>
        <family val="2"/>
        <charset val="134"/>
      </rPr>
      <t xml:space="preserve">］</t>
    </r>
    <r>
      <rPr>
        <sz val="11"/>
        <color theme="1"/>
        <rFont val="Calibri"/>
        <family val="2"/>
        <charset val="1"/>
      </rPr>
      <t xml:space="preserve">633527344-12.jpg</t>
    </r>
  </si>
  <si>
    <r>
      <rPr>
        <sz val="11"/>
        <color theme="1"/>
        <rFont val="Noto Sans SC"/>
        <family val="2"/>
        <charset val="134"/>
      </rPr>
      <t xml:space="preserve">还有一点开发和数值策划同学需要特别注意的就是</t>
    </r>
    <r>
      <rPr>
        <sz val="11"/>
        <color theme="1"/>
        <rFont val="Calibri"/>
        <family val="2"/>
        <charset val="1"/>
      </rPr>
      <t xml:space="preserve">Megaways</t>
    </r>
    <r>
      <rPr>
        <sz val="11"/>
        <color theme="1"/>
        <rFont val="Noto Sans SC"/>
        <family val="2"/>
        <charset val="134"/>
      </rPr>
      <t xml:space="preserve">是有消除机制的</t>
    </r>
  </si>
  <si>
    <t xml:space="preserve">这两种方法在图标消除后掉落的新图标的方式并不相同</t>
  </si>
  <si>
    <t xml:space="preserve">均分法比较简单，掉落相同尺寸的图标即可，也就是消除多少就掉落多少</t>
  </si>
  <si>
    <r>
      <rPr>
        <sz val="11"/>
        <color theme="1"/>
        <rFont val="Noto Sans SC"/>
        <family val="2"/>
        <charset val="134"/>
      </rPr>
      <t xml:space="preserve">但是整倍法图标的大小并不一定相同，其掉落新图标时，一般会限定掉落</t>
    </r>
    <r>
      <rPr>
        <sz val="11"/>
        <color theme="1"/>
        <rFont val="Calibri"/>
        <family val="2"/>
        <charset val="1"/>
      </rPr>
      <t xml:space="preserve">1*1</t>
    </r>
    <r>
      <rPr>
        <sz val="11"/>
        <color theme="1"/>
        <rFont val="Noto Sans SC"/>
        <family val="2"/>
        <charset val="134"/>
      </rPr>
      <t xml:space="preserve">的小图标，也就是说消除的图标越长，新掉落的图标越多。此时是否要对中奖图标的大小进行控制，就得看数值模型搭建的时候是如何处理图标大小的分配来决定是否怎么处理</t>
    </r>
  </si>
  <si>
    <r>
      <rPr>
        <sz val="11"/>
        <color theme="1"/>
        <rFont val="Noto Sans SC"/>
        <family val="2"/>
        <charset val="134"/>
      </rPr>
      <t xml:space="preserve">［配图 </t>
    </r>
    <r>
      <rPr>
        <sz val="11"/>
        <color theme="1"/>
        <rFont val="Calibri"/>
        <family val="2"/>
        <charset val="1"/>
      </rPr>
      <t xml:space="preserve">13</t>
    </r>
    <r>
      <rPr>
        <sz val="11"/>
        <color theme="1"/>
        <rFont val="Noto Sans SC"/>
        <family val="2"/>
        <charset val="134"/>
      </rPr>
      <t xml:space="preserve">］</t>
    </r>
    <r>
      <rPr>
        <sz val="11"/>
        <color theme="1"/>
        <rFont val="Calibri"/>
        <family val="2"/>
        <charset val="1"/>
      </rPr>
      <t xml:space="preserve">633527344-13.jpg</t>
    </r>
  </si>
  <si>
    <t xml:space="preserve">左侧为整倍法的消除处理、右侧为均分法的消除处理</t>
  </si>
  <si>
    <r>
      <rPr>
        <b val="true"/>
        <sz val="11"/>
        <rFont val="Noto Sans SC"/>
        <family val="2"/>
        <charset val="134"/>
      </rPr>
      <t xml:space="preserve">原文配图清单（共 </t>
    </r>
    <r>
      <rPr>
        <b val="true"/>
        <sz val="11"/>
        <rFont val="Cambria"/>
        <family val="0"/>
        <charset val="1"/>
      </rPr>
      <t xml:space="preserve">13 </t>
    </r>
    <r>
      <rPr>
        <b val="true"/>
        <sz val="11"/>
        <rFont val="Noto Sans SC"/>
        <family val="2"/>
        <charset val="134"/>
      </rPr>
      <t xml:space="preserve">张，已保存到 </t>
    </r>
    <r>
      <rPr>
        <b val="true"/>
        <sz val="11"/>
        <rFont val="Cambria"/>
        <family val="0"/>
        <charset val="1"/>
      </rPr>
      <t xml:space="preserve">images/slots/</t>
    </r>
    <r>
      <rPr>
        <b val="true"/>
        <sz val="11"/>
        <rFont val="Noto Sans SC"/>
        <family val="2"/>
        <charset val="134"/>
      </rPr>
      <t xml:space="preserve">）</t>
    </r>
  </si>
  <si>
    <r>
      <rPr>
        <sz val="11"/>
        <color rgb="FF808080"/>
        <rFont val="Noto Sans SC"/>
        <family val="2"/>
        <charset val="134"/>
      </rPr>
      <t xml:space="preserve">［配图 </t>
    </r>
    <r>
      <rPr>
        <sz val="11"/>
        <color rgb="FF808080"/>
        <rFont val="Cambria"/>
        <family val="0"/>
        <charset val="1"/>
      </rPr>
      <t xml:space="preserve">01</t>
    </r>
    <r>
      <rPr>
        <sz val="11"/>
        <color rgb="FF808080"/>
        <rFont val="Noto Sans SC"/>
        <family val="2"/>
        <charset val="134"/>
      </rPr>
      <t xml:space="preserve">］</t>
    </r>
    <r>
      <rPr>
        <sz val="11"/>
        <color rgb="FF808080"/>
        <rFont val="Cambria"/>
        <family val="0"/>
        <charset val="1"/>
      </rPr>
      <t xml:space="preserve">633527344-01.jpg</t>
    </r>
  </si>
  <si>
    <r>
      <rPr>
        <sz val="11"/>
        <color rgb="FF808080"/>
        <rFont val="Noto Sans SC"/>
        <family val="2"/>
        <charset val="134"/>
      </rPr>
      <t xml:space="preserve">［配图 </t>
    </r>
    <r>
      <rPr>
        <sz val="11"/>
        <color rgb="FF808080"/>
        <rFont val="Cambria"/>
        <family val="0"/>
        <charset val="1"/>
      </rPr>
      <t xml:space="preserve">02</t>
    </r>
    <r>
      <rPr>
        <sz val="11"/>
        <color rgb="FF808080"/>
        <rFont val="Noto Sans SC"/>
        <family val="2"/>
        <charset val="134"/>
      </rPr>
      <t xml:space="preserve">］</t>
    </r>
    <r>
      <rPr>
        <sz val="11"/>
        <color rgb="FF808080"/>
        <rFont val="Cambria"/>
        <family val="0"/>
        <charset val="1"/>
      </rPr>
      <t xml:space="preserve">633527344-02.jpg</t>
    </r>
  </si>
  <si>
    <r>
      <rPr>
        <sz val="11"/>
        <color rgb="FF808080"/>
        <rFont val="Noto Sans SC"/>
        <family val="2"/>
        <charset val="134"/>
      </rPr>
      <t xml:space="preserve">［配图 </t>
    </r>
    <r>
      <rPr>
        <sz val="11"/>
        <color rgb="FF808080"/>
        <rFont val="Cambria"/>
        <family val="0"/>
        <charset val="1"/>
      </rPr>
      <t xml:space="preserve">03</t>
    </r>
    <r>
      <rPr>
        <sz val="11"/>
        <color rgb="FF808080"/>
        <rFont val="Noto Sans SC"/>
        <family val="2"/>
        <charset val="134"/>
      </rPr>
      <t xml:space="preserve">］</t>
    </r>
    <r>
      <rPr>
        <sz val="11"/>
        <color rgb="FF808080"/>
        <rFont val="Cambria"/>
        <family val="0"/>
        <charset val="1"/>
      </rPr>
      <t xml:space="preserve">633527344-03.jpg</t>
    </r>
  </si>
  <si>
    <r>
      <rPr>
        <sz val="11"/>
        <color rgb="FF808080"/>
        <rFont val="Noto Sans SC"/>
        <family val="2"/>
        <charset val="134"/>
      </rPr>
      <t xml:space="preserve">［配图 </t>
    </r>
    <r>
      <rPr>
        <sz val="11"/>
        <color rgb="FF808080"/>
        <rFont val="Cambria"/>
        <family val="0"/>
        <charset val="1"/>
      </rPr>
      <t xml:space="preserve">04</t>
    </r>
    <r>
      <rPr>
        <sz val="11"/>
        <color rgb="FF808080"/>
        <rFont val="Noto Sans SC"/>
        <family val="2"/>
        <charset val="134"/>
      </rPr>
      <t xml:space="preserve">］</t>
    </r>
    <r>
      <rPr>
        <sz val="11"/>
        <color rgb="FF808080"/>
        <rFont val="Cambria"/>
        <family val="0"/>
        <charset val="1"/>
      </rPr>
      <t xml:space="preserve">633527344-04.jpg</t>
    </r>
  </si>
  <si>
    <r>
      <rPr>
        <sz val="11"/>
        <color rgb="FF808080"/>
        <rFont val="Noto Sans SC"/>
        <family val="2"/>
        <charset val="134"/>
      </rPr>
      <t xml:space="preserve">［配图 </t>
    </r>
    <r>
      <rPr>
        <sz val="11"/>
        <color rgb="FF808080"/>
        <rFont val="Cambria"/>
        <family val="0"/>
        <charset val="1"/>
      </rPr>
      <t xml:space="preserve">05</t>
    </r>
    <r>
      <rPr>
        <sz val="11"/>
        <color rgb="FF808080"/>
        <rFont val="Noto Sans SC"/>
        <family val="2"/>
        <charset val="134"/>
      </rPr>
      <t xml:space="preserve">］</t>
    </r>
    <r>
      <rPr>
        <sz val="11"/>
        <color rgb="FF808080"/>
        <rFont val="Cambria"/>
        <family val="0"/>
        <charset val="1"/>
      </rPr>
      <t xml:space="preserve">633527344-05.jpg</t>
    </r>
  </si>
  <si>
    <r>
      <rPr>
        <sz val="11"/>
        <color rgb="FF808080"/>
        <rFont val="Noto Sans SC"/>
        <family val="2"/>
        <charset val="134"/>
      </rPr>
      <t xml:space="preserve">［配图 </t>
    </r>
    <r>
      <rPr>
        <sz val="11"/>
        <color rgb="FF808080"/>
        <rFont val="Cambria"/>
        <family val="0"/>
        <charset val="1"/>
      </rPr>
      <t xml:space="preserve">06</t>
    </r>
    <r>
      <rPr>
        <sz val="11"/>
        <color rgb="FF808080"/>
        <rFont val="Noto Sans SC"/>
        <family val="2"/>
        <charset val="134"/>
      </rPr>
      <t xml:space="preserve">］</t>
    </r>
    <r>
      <rPr>
        <sz val="11"/>
        <color rgb="FF808080"/>
        <rFont val="Cambria"/>
        <family val="0"/>
        <charset val="1"/>
      </rPr>
      <t xml:space="preserve">633527344-06.jpg</t>
    </r>
  </si>
  <si>
    <r>
      <rPr>
        <sz val="11"/>
        <color rgb="FF808080"/>
        <rFont val="Noto Sans SC"/>
        <family val="2"/>
        <charset val="134"/>
      </rPr>
      <t xml:space="preserve">［配图 </t>
    </r>
    <r>
      <rPr>
        <sz val="11"/>
        <color rgb="FF808080"/>
        <rFont val="Cambria"/>
        <family val="0"/>
        <charset val="1"/>
      </rPr>
      <t xml:space="preserve">07</t>
    </r>
    <r>
      <rPr>
        <sz val="11"/>
        <color rgb="FF808080"/>
        <rFont val="Noto Sans SC"/>
        <family val="2"/>
        <charset val="134"/>
      </rPr>
      <t xml:space="preserve">］</t>
    </r>
    <r>
      <rPr>
        <sz val="11"/>
        <color rgb="FF808080"/>
        <rFont val="Cambria"/>
        <family val="0"/>
        <charset val="1"/>
      </rPr>
      <t xml:space="preserve">633527344-07.jpg</t>
    </r>
  </si>
  <si>
    <r>
      <rPr>
        <sz val="11"/>
        <color rgb="FF808080"/>
        <rFont val="Noto Sans SC"/>
        <family val="2"/>
        <charset val="134"/>
      </rPr>
      <t xml:space="preserve">［配图 </t>
    </r>
    <r>
      <rPr>
        <sz val="11"/>
        <color rgb="FF808080"/>
        <rFont val="Cambria"/>
        <family val="0"/>
        <charset val="1"/>
      </rPr>
      <t xml:space="preserve">08</t>
    </r>
    <r>
      <rPr>
        <sz val="11"/>
        <color rgb="FF808080"/>
        <rFont val="Noto Sans SC"/>
        <family val="2"/>
        <charset val="134"/>
      </rPr>
      <t xml:space="preserve">］</t>
    </r>
    <r>
      <rPr>
        <sz val="11"/>
        <color rgb="FF808080"/>
        <rFont val="Cambria"/>
        <family val="0"/>
        <charset val="1"/>
      </rPr>
      <t xml:space="preserve">633527344-08.jpg</t>
    </r>
  </si>
  <si>
    <r>
      <rPr>
        <sz val="11"/>
        <color rgb="FF808080"/>
        <rFont val="Noto Sans SC"/>
        <family val="2"/>
        <charset val="134"/>
      </rPr>
      <t xml:space="preserve">［配图 </t>
    </r>
    <r>
      <rPr>
        <sz val="11"/>
        <color rgb="FF808080"/>
        <rFont val="Cambria"/>
        <family val="0"/>
        <charset val="1"/>
      </rPr>
      <t xml:space="preserve">09</t>
    </r>
    <r>
      <rPr>
        <sz val="11"/>
        <color rgb="FF808080"/>
        <rFont val="Noto Sans SC"/>
        <family val="2"/>
        <charset val="134"/>
      </rPr>
      <t xml:space="preserve">］</t>
    </r>
    <r>
      <rPr>
        <sz val="11"/>
        <color rgb="FF808080"/>
        <rFont val="Cambria"/>
        <family val="0"/>
        <charset val="1"/>
      </rPr>
      <t xml:space="preserve">633527344-09.jpg</t>
    </r>
  </si>
  <si>
    <r>
      <rPr>
        <sz val="11"/>
        <color rgb="FF808080"/>
        <rFont val="Noto Sans SC"/>
        <family val="2"/>
        <charset val="134"/>
      </rPr>
      <t xml:space="preserve">［配图 </t>
    </r>
    <r>
      <rPr>
        <sz val="11"/>
        <color rgb="FF808080"/>
        <rFont val="Cambria"/>
        <family val="0"/>
        <charset val="1"/>
      </rPr>
      <t xml:space="preserve">10</t>
    </r>
    <r>
      <rPr>
        <sz val="11"/>
        <color rgb="FF808080"/>
        <rFont val="Noto Sans SC"/>
        <family val="2"/>
        <charset val="134"/>
      </rPr>
      <t xml:space="preserve">］</t>
    </r>
    <r>
      <rPr>
        <sz val="11"/>
        <color rgb="FF808080"/>
        <rFont val="Cambria"/>
        <family val="0"/>
        <charset val="1"/>
      </rPr>
      <t xml:space="preserve">633527344-10.jpg</t>
    </r>
  </si>
  <si>
    <r>
      <rPr>
        <sz val="11"/>
        <color rgb="FF808080"/>
        <rFont val="Noto Sans SC"/>
        <family val="2"/>
        <charset val="134"/>
      </rPr>
      <t xml:space="preserve">［配图 </t>
    </r>
    <r>
      <rPr>
        <sz val="11"/>
        <color rgb="FF808080"/>
        <rFont val="Cambria"/>
        <family val="0"/>
        <charset val="1"/>
      </rPr>
      <t xml:space="preserve">11</t>
    </r>
    <r>
      <rPr>
        <sz val="11"/>
        <color rgb="FF808080"/>
        <rFont val="Noto Sans SC"/>
        <family val="2"/>
        <charset val="134"/>
      </rPr>
      <t xml:space="preserve">］</t>
    </r>
    <r>
      <rPr>
        <sz val="11"/>
        <color rgb="FF808080"/>
        <rFont val="Cambria"/>
        <family val="0"/>
        <charset val="1"/>
      </rPr>
      <t xml:space="preserve">633527344-11.jpg</t>
    </r>
  </si>
  <si>
    <r>
      <rPr>
        <sz val="11"/>
        <color rgb="FF808080"/>
        <rFont val="Noto Sans SC"/>
        <family val="2"/>
        <charset val="134"/>
      </rPr>
      <t xml:space="preserve">［配图 </t>
    </r>
    <r>
      <rPr>
        <sz val="11"/>
        <color rgb="FF808080"/>
        <rFont val="Cambria"/>
        <family val="0"/>
        <charset val="1"/>
      </rPr>
      <t xml:space="preserve">12</t>
    </r>
    <r>
      <rPr>
        <sz val="11"/>
        <color rgb="FF808080"/>
        <rFont val="Noto Sans SC"/>
        <family val="2"/>
        <charset val="134"/>
      </rPr>
      <t xml:space="preserve">］</t>
    </r>
    <r>
      <rPr>
        <sz val="11"/>
        <color rgb="FF808080"/>
        <rFont val="Cambria"/>
        <family val="0"/>
        <charset val="1"/>
      </rPr>
      <t xml:space="preserve">633527344-12.jpg</t>
    </r>
  </si>
  <si>
    <r>
      <rPr>
        <sz val="11"/>
        <color rgb="FF808080"/>
        <rFont val="Noto Sans SC"/>
        <family val="2"/>
        <charset val="134"/>
      </rPr>
      <t xml:space="preserve">［配图 </t>
    </r>
    <r>
      <rPr>
        <sz val="11"/>
        <color rgb="FF808080"/>
        <rFont val="Cambria"/>
        <family val="0"/>
        <charset val="1"/>
      </rPr>
      <t xml:space="preserve">13</t>
    </r>
    <r>
      <rPr>
        <sz val="11"/>
        <color rgb="FF808080"/>
        <rFont val="Noto Sans SC"/>
        <family val="2"/>
        <charset val="134"/>
      </rPr>
      <t xml:space="preserve">］</t>
    </r>
    <r>
      <rPr>
        <sz val="11"/>
        <color rgb="FF808080"/>
        <rFont val="Cambria"/>
        <family val="0"/>
        <charset val="1"/>
      </rPr>
      <t xml:space="preserve">633527344-13.jpg</t>
    </r>
  </si>
  <si>
    <t xml:space="preserve">校验</t>
  </si>
  <si>
    <r>
      <rPr>
        <sz val="11"/>
        <color theme="1"/>
        <rFont val="Noto Sans SC"/>
        <family val="2"/>
        <charset val="134"/>
      </rPr>
      <t xml:space="preserve">① 本簿由 </t>
    </r>
    <r>
      <rPr>
        <sz val="11"/>
        <color theme="1"/>
        <rFont val="Calibri"/>
        <family val="2"/>
        <charset val="1"/>
      </rPr>
      <t xml:space="preserve">openpyxl </t>
    </r>
    <r>
      <rPr>
        <sz val="11"/>
        <color theme="1"/>
        <rFont val="Noto Sans SC"/>
        <family val="2"/>
        <charset val="134"/>
      </rPr>
      <t xml:space="preserve">生成并已开启打开时重算；② 另用 </t>
    </r>
    <r>
      <rPr>
        <sz val="11"/>
        <color theme="1"/>
        <rFont val="Calibri"/>
        <family val="2"/>
        <charset val="1"/>
      </rPr>
      <t xml:space="preserve">LibreOffice </t>
    </r>
    <r>
      <rPr>
        <sz val="11"/>
        <color theme="1"/>
        <rFont val="Noto Sans SC"/>
        <family val="2"/>
        <charset val="134"/>
      </rPr>
      <t xml:space="preserve">独立重算复核，公式错误值 </t>
    </r>
    <r>
      <rPr>
        <sz val="11"/>
        <color theme="1"/>
        <rFont val="Calibri"/>
        <family val="2"/>
        <charset val="1"/>
      </rPr>
      <t xml:space="preserve">0 </t>
    </r>
    <r>
      <rPr>
        <sz val="11"/>
        <color theme="1"/>
        <rFont val="Noto Sans SC"/>
        <family val="2"/>
        <charset val="134"/>
      </rPr>
      <t xml:space="preserve">个；</t>
    </r>
  </si>
  <si>
    <t xml:space="preserve">③ 正文与原文逐句一致（用户离线保存的网页原件），配图按正文出现顺序编号。</t>
  </si>
  <si>
    <t xml:space="preserve">说明</t>
  </si>
  <si>
    <t xml:space="preserve">本簿是原文的整理与配表实现，非原文替代品；原文未提供的数值一律标注来源，不臆造。</t>
  </si>
  <si>
    <r>
      <rPr>
        <sz val="11"/>
        <color theme="1"/>
        <rFont val="Noto Sans SC"/>
        <family val="2"/>
        <charset val="134"/>
      </rPr>
      <t xml:space="preserve">原文版权归作者 </t>
    </r>
    <r>
      <rPr>
        <sz val="11"/>
        <color theme="1"/>
        <rFont val="Calibri"/>
        <family val="2"/>
        <charset val="1"/>
      </rPr>
      <t xml:space="preserve">ASlot </t>
    </r>
    <r>
      <rPr>
        <sz val="11"/>
        <color theme="1"/>
        <rFont val="Noto Sans SC"/>
        <family val="2"/>
        <charset val="134"/>
      </rPr>
      <t xml:space="preserve">与知乎所有，本簿仅供个人学习整理使用。</t>
    </r>
  </si>
  <si>
    <r>
      <rPr>
        <sz val="11"/>
        <color rgb="FF808080"/>
        <rFont val="Cambria"/>
        <family val="0"/>
        <charset val="1"/>
      </rPr>
      <t xml:space="preserve">Source: zhihu.com</t>
    </r>
    <r>
      <rPr>
        <sz val="11"/>
        <color rgb="FF808080"/>
        <rFont val="Noto Sans SC"/>
        <family val="2"/>
        <charset val="134"/>
      </rPr>
      <t xml:space="preserve">《</t>
    </r>
    <r>
      <rPr>
        <sz val="11"/>
        <color rgb="FF808080"/>
        <rFont val="Cambria"/>
        <family val="0"/>
        <charset val="1"/>
      </rPr>
      <t xml:space="preserve">Slots</t>
    </r>
    <r>
      <rPr>
        <sz val="11"/>
        <color rgb="FF808080"/>
        <rFont val="Noto Sans SC"/>
        <family val="2"/>
        <charset val="134"/>
      </rPr>
      <t xml:space="preserve">基础篇——</t>
    </r>
    <r>
      <rPr>
        <sz val="11"/>
        <color rgb="FF808080"/>
        <rFont val="Cambria"/>
        <family val="0"/>
        <charset val="1"/>
      </rPr>
      <t xml:space="preserve">Megaways 6+1</t>
    </r>
    <r>
      <rPr>
        <sz val="11"/>
        <color rgb="FF808080"/>
        <rFont val="Noto Sans SC"/>
        <family val="2"/>
        <charset val="134"/>
      </rPr>
      <t xml:space="preserve">》</t>
    </r>
    <r>
      <rPr>
        <sz val="11"/>
        <color rgb="FF808080"/>
        <rFont val="Cambria"/>
        <family val="0"/>
        <charset val="1"/>
      </rPr>
      <t xml:space="preserve">, https://zhuanlan.zhihu.com/p/633527344</t>
    </r>
  </si>
  <si>
    <r>
      <rPr>
        <b val="true"/>
        <sz val="14"/>
        <color rgb="FF1F4E79"/>
        <rFont val="Noto Sans SC"/>
        <family val="2"/>
        <charset val="134"/>
      </rPr>
      <t xml:space="preserve">基础篇 </t>
    </r>
    <r>
      <rPr>
        <b val="true"/>
        <sz val="14"/>
        <color rgb="FF1F4E79"/>
        <rFont val="Cambria"/>
        <family val="0"/>
        <charset val="1"/>
      </rPr>
      <t xml:space="preserve">· Megaways 6+1 —— </t>
    </r>
    <r>
      <rPr>
        <b val="true"/>
        <sz val="14"/>
        <color rgb="FF1F4E79"/>
        <rFont val="Noto Sans SC"/>
        <family val="2"/>
        <charset val="134"/>
      </rPr>
      <t xml:space="preserve">数据配表（蓝字＝可改 </t>
    </r>
    <r>
      <rPr>
        <b val="true"/>
        <sz val="14"/>
        <color rgb="FF1F4E79"/>
        <rFont val="Cambria"/>
        <family val="0"/>
        <charset val="1"/>
      </rPr>
      <t xml:space="preserve">/ </t>
    </r>
    <r>
      <rPr>
        <b val="true"/>
        <sz val="14"/>
        <color rgb="FF1F4E79"/>
        <rFont val="Noto Sans SC"/>
        <family val="2"/>
        <charset val="134"/>
      </rPr>
      <t xml:space="preserve">黑字＝公式 </t>
    </r>
    <r>
      <rPr>
        <b val="true"/>
        <sz val="14"/>
        <color rgb="FF1F4E79"/>
        <rFont val="Cambria"/>
        <family val="0"/>
        <charset val="1"/>
      </rPr>
      <t xml:space="preserve">/ </t>
    </r>
    <r>
      <rPr>
        <b val="true"/>
        <sz val="14"/>
        <color rgb="FF1F4E79"/>
        <rFont val="Noto Sans SC"/>
        <family val="2"/>
        <charset val="134"/>
      </rPr>
      <t xml:space="preserve">黄底＝结果）</t>
    </r>
  </si>
  <si>
    <r>
      <rPr>
        <b val="true"/>
        <sz val="11"/>
        <color rgb="FF1F4E79"/>
        <rFont val="Noto Sans SC"/>
        <family val="2"/>
        <charset val="134"/>
      </rPr>
      <t xml:space="preserve">【</t>
    </r>
    <r>
      <rPr>
        <b val="true"/>
        <sz val="11"/>
        <color rgb="FF1F4E79"/>
        <rFont val="Cambria"/>
        <family val="0"/>
        <charset val="1"/>
      </rPr>
      <t xml:space="preserve">1</t>
    </r>
    <r>
      <rPr>
        <b val="true"/>
        <sz val="11"/>
        <color rgb="FF1F4E79"/>
        <rFont val="Noto Sans SC"/>
        <family val="2"/>
        <charset val="134"/>
      </rPr>
      <t xml:space="preserve">】机制要点</t>
    </r>
  </si>
  <si>
    <t xml:space="preserve">项目</t>
  </si>
  <si>
    <t xml:space="preserve">内容</t>
  </si>
  <si>
    <t xml:space="preserve">横向卷轴位置</t>
  </si>
  <si>
    <r>
      <rPr>
        <sz val="11"/>
        <color theme="1"/>
        <rFont val="Noto Sans SC"/>
        <family val="2"/>
        <charset val="134"/>
      </rPr>
      <t xml:space="preserve">只出现在 </t>
    </r>
    <r>
      <rPr>
        <sz val="11"/>
        <color theme="1"/>
        <rFont val="Calibri"/>
        <family val="2"/>
        <charset val="1"/>
      </rPr>
      <t xml:space="preserve">2~5 </t>
    </r>
    <r>
      <rPr>
        <sz val="11"/>
        <color theme="1"/>
        <rFont val="Noto Sans SC"/>
        <family val="2"/>
        <charset val="134"/>
      </rPr>
      <t xml:space="preserve">列上方（首列、末列没有）</t>
    </r>
  </si>
  <si>
    <t xml:space="preserve">首末列特征</t>
  </si>
  <si>
    <r>
      <rPr>
        <sz val="11"/>
        <color theme="1"/>
        <rFont val="Noto Sans SC"/>
        <family val="2"/>
        <charset val="134"/>
      </rPr>
      <t xml:space="preserve">图标个数一般比 </t>
    </r>
    <r>
      <rPr>
        <sz val="11"/>
        <color theme="1"/>
        <rFont val="Calibri"/>
        <family val="2"/>
        <charset val="1"/>
      </rPr>
      <t xml:space="preserve">2~5 </t>
    </r>
    <r>
      <rPr>
        <sz val="11"/>
        <color theme="1"/>
        <rFont val="Noto Sans SC"/>
        <family val="2"/>
        <charset val="134"/>
      </rPr>
      <t xml:space="preserve">列多 </t>
    </r>
    <r>
      <rPr>
        <sz val="11"/>
        <color theme="1"/>
        <rFont val="Calibri"/>
        <family val="2"/>
        <charset val="1"/>
      </rPr>
      <t xml:space="preserve">1</t>
    </r>
    <r>
      <rPr>
        <sz val="11"/>
        <color theme="1"/>
        <rFont val="Noto Sans SC"/>
        <family val="2"/>
        <charset val="134"/>
      </rPr>
      <t xml:space="preserve">（例如末列 </t>
    </r>
    <r>
      <rPr>
        <sz val="11"/>
        <color theme="1"/>
        <rFont val="Calibri"/>
        <family val="2"/>
        <charset val="1"/>
      </rPr>
      <t xml:space="preserve">7 </t>
    </r>
    <r>
      <rPr>
        <sz val="11"/>
        <color theme="1"/>
        <rFont val="Noto Sans SC"/>
        <family val="2"/>
        <charset val="134"/>
      </rPr>
      <t xml:space="preserve">个图标）</t>
    </r>
  </si>
  <si>
    <t xml:space="preserve">命名由来</t>
  </si>
  <si>
    <r>
      <rPr>
        <sz val="11"/>
        <color theme="1"/>
        <rFont val="Noto Sans SC"/>
        <family val="2"/>
        <charset val="134"/>
      </rPr>
      <t xml:space="preserve">基础部分最多 </t>
    </r>
    <r>
      <rPr>
        <sz val="11"/>
        <color theme="1"/>
        <rFont val="Calibri"/>
        <family val="2"/>
        <charset val="1"/>
      </rPr>
      <t xml:space="preserve">6 </t>
    </r>
    <r>
      <rPr>
        <sz val="11"/>
        <color theme="1"/>
        <rFont val="Noto Sans SC"/>
        <family val="2"/>
        <charset val="134"/>
      </rPr>
      <t xml:space="preserve">个图标 ＋ 上方 </t>
    </r>
    <r>
      <rPr>
        <sz val="11"/>
        <color theme="1"/>
        <rFont val="Calibri"/>
        <family val="2"/>
        <charset val="1"/>
      </rPr>
      <t xml:space="preserve">1 </t>
    </r>
    <r>
      <rPr>
        <sz val="11"/>
        <color theme="1"/>
        <rFont val="Noto Sans SC"/>
        <family val="2"/>
        <charset val="134"/>
      </rPr>
      <t xml:space="preserve">条横轴 → </t>
    </r>
    <r>
      <rPr>
        <sz val="11"/>
        <color theme="1"/>
        <rFont val="Calibri"/>
        <family val="2"/>
        <charset val="1"/>
      </rPr>
      <t xml:space="preserve">6+1</t>
    </r>
  </si>
  <si>
    <r>
      <rPr>
        <sz val="11"/>
        <color theme="1"/>
        <rFont val="Noto Sans SC"/>
        <family val="2"/>
        <charset val="134"/>
      </rPr>
      <t xml:space="preserve">常见搭配 </t>
    </r>
    <r>
      <rPr>
        <sz val="11"/>
        <color theme="1"/>
        <rFont val="Calibri"/>
        <family val="2"/>
        <charset val="1"/>
      </rPr>
      <t xml:space="preserve">Feature</t>
    </r>
  </si>
  <si>
    <r>
      <rPr>
        <sz val="11"/>
        <color theme="1"/>
        <rFont val="Noto Sans SC"/>
        <family val="2"/>
        <charset val="134"/>
      </rPr>
      <t xml:space="preserve">消除（</t>
    </r>
    <r>
      <rPr>
        <sz val="11"/>
        <color theme="1"/>
        <rFont val="Calibri"/>
        <family val="2"/>
        <charset val="1"/>
      </rPr>
      <t xml:space="preserve">Cascading</t>
    </r>
    <r>
      <rPr>
        <sz val="11"/>
        <color theme="1"/>
        <rFont val="Noto Sans SC"/>
        <family val="2"/>
        <charset val="134"/>
      </rPr>
      <t xml:space="preserve">）＋ 累积多倍表（</t>
    </r>
    <r>
      <rPr>
        <sz val="11"/>
        <color theme="1"/>
        <rFont val="Calibri"/>
        <family val="2"/>
        <charset val="1"/>
      </rPr>
      <t xml:space="preserve">Multiplier Meter</t>
    </r>
    <r>
      <rPr>
        <sz val="11"/>
        <color theme="1"/>
        <rFont val="Noto Sans SC"/>
        <family val="2"/>
        <charset val="134"/>
      </rPr>
      <t xml:space="preserve">）</t>
    </r>
  </si>
  <si>
    <t xml:space="preserve">目标图标出现几率（示意，蓝字可改）</t>
  </si>
  <si>
    <r>
      <rPr>
        <sz val="11"/>
        <color theme="1"/>
        <rFont val="Noto Sans SC"/>
        <family val="2"/>
        <charset val="134"/>
      </rPr>
      <t xml:space="preserve">用于演示【</t>
    </r>
    <r>
      <rPr>
        <sz val="11"/>
        <color theme="1"/>
        <rFont val="Calibri"/>
        <family val="2"/>
        <charset val="1"/>
      </rPr>
      <t xml:space="preserve">5</t>
    </r>
    <r>
      <rPr>
        <sz val="11"/>
        <color theme="1"/>
        <rFont val="Noto Sans SC"/>
        <family val="2"/>
        <charset val="134"/>
      </rPr>
      <t xml:space="preserve">】的两种等价算法</t>
    </r>
  </si>
  <si>
    <r>
      <rPr>
        <b val="true"/>
        <sz val="11"/>
        <color rgb="FF1F4E79"/>
        <rFont val="Noto Sans SC"/>
        <family val="2"/>
        <charset val="134"/>
      </rPr>
      <t xml:space="preserve">【</t>
    </r>
    <r>
      <rPr>
        <b val="true"/>
        <sz val="11"/>
        <color rgb="FF1F4E79"/>
        <rFont val="Cambria"/>
        <family val="0"/>
        <charset val="1"/>
      </rPr>
      <t xml:space="preserve">2</t>
    </r>
    <r>
      <rPr>
        <b val="true"/>
        <sz val="11"/>
        <color rgb="FF1F4E79"/>
        <rFont val="Noto Sans SC"/>
        <family val="2"/>
        <charset val="134"/>
      </rPr>
      <t xml:space="preserve">】两套概率表（上</t>
    </r>
    <r>
      <rPr>
        <b val="true"/>
        <sz val="11"/>
        <color rgb="FF1F4E79"/>
        <rFont val="Cambria"/>
        <family val="0"/>
        <charset val="1"/>
      </rPr>
      <t xml:space="preserve">/</t>
    </r>
    <r>
      <rPr>
        <b val="true"/>
        <sz val="11"/>
        <color rgb="FF1F4E79"/>
        <rFont val="Noto Sans SC"/>
        <family val="2"/>
        <charset val="134"/>
      </rPr>
      <t xml:space="preserve">下分别控制）</t>
    </r>
  </si>
  <si>
    <t xml:space="preserve">方案</t>
  </si>
  <si>
    <t xml:space="preserve">做法</t>
  </si>
  <si>
    <t xml:space="preserve">数值处理</t>
  </si>
  <si>
    <t xml:space="preserve">双概率表（推荐）</t>
  </si>
  <si>
    <t xml:space="preserve">上方横轴、下方主区各一套概率表</t>
  </si>
  <si>
    <t xml:space="preserve">上下期望相加（期望的和 ＝ 和的期望）</t>
  </si>
  <si>
    <t xml:space="preserve">单概率表</t>
  </si>
  <si>
    <t xml:space="preserve">一套表控制全部区域</t>
  </si>
  <si>
    <t xml:space="preserve">需单独排除下半区域出现百搭的情况，开发和调控都更复杂</t>
  </si>
  <si>
    <t xml:space="preserve">典型用途</t>
  </si>
  <si>
    <r>
      <rPr>
        <sz val="11"/>
        <color theme="1"/>
        <rFont val="Calibri"/>
        <family val="2"/>
        <charset val="1"/>
      </rPr>
      <t xml:space="preserve">Wild </t>
    </r>
    <r>
      <rPr>
        <sz val="11"/>
        <color theme="1"/>
        <rFont val="Noto Sans SC"/>
        <family val="2"/>
        <charset val="134"/>
      </rPr>
      <t xml:space="preserve">只出现在上方区域、</t>
    </r>
    <r>
      <rPr>
        <sz val="11"/>
        <color theme="1"/>
        <rFont val="Calibri"/>
        <family val="2"/>
        <charset val="1"/>
      </rPr>
      <t xml:space="preserve">Scatter </t>
    </r>
    <r>
      <rPr>
        <sz val="11"/>
        <color theme="1"/>
        <rFont val="Noto Sans SC"/>
        <family val="2"/>
        <charset val="134"/>
      </rPr>
      <t xml:space="preserve">只出现在下方区域</t>
    </r>
  </si>
  <si>
    <t xml:space="preserve">便于做「区域限定」的特殊图标</t>
  </si>
  <si>
    <r>
      <rPr>
        <b val="true"/>
        <sz val="11"/>
        <color rgb="FF1F4E79"/>
        <rFont val="Noto Sans SC"/>
        <family val="2"/>
        <charset val="134"/>
      </rPr>
      <t xml:space="preserve">【</t>
    </r>
    <r>
      <rPr>
        <b val="true"/>
        <sz val="11"/>
        <color rgb="FF1F4E79"/>
        <rFont val="Cambria"/>
        <family val="0"/>
        <charset val="1"/>
      </rPr>
      <t xml:space="preserve">3</t>
    </r>
    <r>
      <rPr>
        <b val="true"/>
        <sz val="11"/>
        <color rgb="FF1F4E79"/>
        <rFont val="Noto Sans SC"/>
        <family val="2"/>
        <charset val="134"/>
      </rPr>
      <t xml:space="preserve">】赔付规则（与 </t>
    </r>
    <r>
      <rPr>
        <b val="true"/>
        <sz val="11"/>
        <color rgb="FF1F4E79"/>
        <rFont val="Cambria"/>
        <family val="0"/>
        <charset val="1"/>
      </rPr>
      <t xml:space="preserve">Ways </t>
    </r>
    <r>
      <rPr>
        <b val="true"/>
        <sz val="11"/>
        <color rgb="FF1F4E79"/>
        <rFont val="Noto Sans SC"/>
        <family val="2"/>
        <charset val="134"/>
      </rPr>
      <t xml:space="preserve">同源）</t>
    </r>
  </si>
  <si>
    <r>
      <rPr>
        <b val="true"/>
        <sz val="11"/>
        <color rgb="FF1F4E79"/>
        <rFont val="Noto Sans SC"/>
        <family val="2"/>
        <charset val="134"/>
      </rPr>
      <t xml:space="preserve">公式 </t>
    </r>
    <r>
      <rPr>
        <b val="true"/>
        <sz val="11"/>
        <color rgb="FF1F4E79"/>
        <rFont val="Cambria"/>
        <family val="0"/>
        <charset val="1"/>
      </rPr>
      <t xml:space="preserve">/ </t>
    </r>
    <r>
      <rPr>
        <b val="true"/>
        <sz val="11"/>
        <color rgb="FF1F4E79"/>
        <rFont val="Noto Sans SC"/>
        <family val="2"/>
        <charset val="134"/>
      </rPr>
      <t xml:space="preserve">说明</t>
    </r>
  </si>
  <si>
    <t xml:space="preserve">中奖条件</t>
  </si>
  <si>
    <t xml:space="preserve">图标从第一列开始连续出现到满足中奖组合要求即可中奖</t>
  </si>
  <si>
    <t xml:space="preserve">实际赔付倍数</t>
  </si>
  <si>
    <r>
      <rPr>
        <sz val="11"/>
        <color theme="1"/>
        <rFont val="Noto Sans SC"/>
        <family val="2"/>
        <charset val="134"/>
      </rPr>
      <t xml:space="preserve">＝ 计算基数 </t>
    </r>
    <r>
      <rPr>
        <sz val="11"/>
        <color theme="1"/>
        <rFont val="Calibri"/>
        <family val="2"/>
        <charset val="1"/>
      </rPr>
      <t xml:space="preserve">× </t>
    </r>
    <r>
      <rPr>
        <sz val="11"/>
        <color theme="1"/>
        <rFont val="Noto Sans SC"/>
        <family val="2"/>
        <charset val="134"/>
      </rPr>
      <t xml:space="preserve">赔付倍数 </t>
    </r>
    <r>
      <rPr>
        <sz val="11"/>
        <color theme="1"/>
        <rFont val="Calibri"/>
        <family val="2"/>
        <charset val="1"/>
      </rPr>
      <t xml:space="preserve">× </t>
    </r>
    <r>
      <rPr>
        <sz val="11"/>
        <color theme="1"/>
        <rFont val="Noto Sans SC"/>
        <family val="2"/>
        <charset val="134"/>
      </rPr>
      <t xml:space="preserve">中奖各列图标个数乘积</t>
    </r>
  </si>
  <si>
    <r>
      <rPr>
        <sz val="11"/>
        <color theme="1"/>
        <rFont val="Calibri"/>
        <family val="2"/>
        <charset val="1"/>
      </rPr>
      <t xml:space="preserve">6+1 </t>
    </r>
    <r>
      <rPr>
        <sz val="11"/>
        <color theme="1"/>
        <rFont val="Noto Sans SC"/>
        <family val="2"/>
        <charset val="134"/>
      </rPr>
      <t xml:space="preserve">的差异点</t>
    </r>
  </si>
  <si>
    <t xml:space="preserve">只在于「中奖各列图标个数」如何处理上半区域与下半区域</t>
  </si>
  <si>
    <r>
      <rPr>
        <b val="true"/>
        <sz val="11"/>
        <color rgb="FF1F4E79"/>
        <rFont val="Noto Sans SC"/>
        <family val="2"/>
        <charset val="134"/>
      </rPr>
      <t xml:space="preserve">【</t>
    </r>
    <r>
      <rPr>
        <b val="true"/>
        <sz val="11"/>
        <color rgb="FF1F4E79"/>
        <rFont val="Cambria"/>
        <family val="0"/>
        <charset val="1"/>
      </rPr>
      <t xml:space="preserve">4</t>
    </r>
    <r>
      <rPr>
        <b val="true"/>
        <sz val="11"/>
        <color rgb="FF1F4E79"/>
        <rFont val="Noto Sans SC"/>
        <family val="2"/>
        <charset val="134"/>
      </rPr>
      <t xml:space="preserve">】两种主流赔付规则的差异（原文案例：图标 </t>
    </r>
    <r>
      <rPr>
        <b val="true"/>
        <sz val="11"/>
        <color rgb="FF1F4E79"/>
        <rFont val="Cambria"/>
        <family val="0"/>
        <charset val="1"/>
      </rPr>
      <t xml:space="preserve">9</t>
    </r>
    <r>
      <rPr>
        <b val="true"/>
        <sz val="11"/>
        <color rgb="FF1F4E79"/>
        <rFont val="Noto Sans SC"/>
        <family val="2"/>
        <charset val="134"/>
      </rPr>
      <t xml:space="preserve">，各列出现情况见下）</t>
    </r>
  </si>
  <si>
    <t xml:space="preserve">列</t>
  </si>
  <si>
    <t xml:space="preserve">下方主区实际出现</t>
  </si>
  <si>
    <t xml:space="preserve">方法一 计数值</t>
  </si>
  <si>
    <t xml:space="preserve">方法二 计数值</t>
  </si>
  <si>
    <r>
      <rPr>
        <sz val="11"/>
        <color theme="1"/>
        <rFont val="Noto Sans SC"/>
        <family val="2"/>
        <charset val="134"/>
      </rPr>
      <t xml:space="preserve">第</t>
    </r>
    <r>
      <rPr>
        <sz val="11"/>
        <color theme="1"/>
        <rFont val="Calibri"/>
        <family val="2"/>
        <charset val="1"/>
      </rPr>
      <t xml:space="preserve">1</t>
    </r>
    <r>
      <rPr>
        <sz val="11"/>
        <color theme="1"/>
        <rFont val="Noto Sans SC"/>
        <family val="2"/>
        <charset val="134"/>
      </rPr>
      <t xml:space="preserve">列</t>
    </r>
  </si>
  <si>
    <r>
      <rPr>
        <sz val="11"/>
        <color theme="1"/>
        <rFont val="Noto Sans SC"/>
        <family val="2"/>
        <charset val="134"/>
      </rPr>
      <t xml:space="preserve">首列没有横轴，与常规 </t>
    </r>
    <r>
      <rPr>
        <sz val="11"/>
        <color theme="1"/>
        <rFont val="Calibri"/>
        <family val="2"/>
        <charset val="1"/>
      </rPr>
      <t xml:space="preserve">Ways </t>
    </r>
    <r>
      <rPr>
        <sz val="11"/>
        <color theme="1"/>
        <rFont val="Noto Sans SC"/>
        <family val="2"/>
        <charset val="134"/>
      </rPr>
      <t xml:space="preserve">一致</t>
    </r>
  </si>
  <si>
    <r>
      <rPr>
        <sz val="11"/>
        <color theme="1"/>
        <rFont val="Noto Sans SC"/>
        <family val="2"/>
        <charset val="134"/>
      </rPr>
      <t xml:space="preserve">第</t>
    </r>
    <r>
      <rPr>
        <sz val="11"/>
        <color theme="1"/>
        <rFont val="Calibri"/>
        <family val="2"/>
        <charset val="1"/>
      </rPr>
      <t xml:space="preserve">2</t>
    </r>
    <r>
      <rPr>
        <sz val="11"/>
        <color theme="1"/>
        <rFont val="Noto Sans SC"/>
        <family val="2"/>
        <charset val="134"/>
      </rPr>
      <t xml:space="preserve">列</t>
    </r>
  </si>
  <si>
    <r>
      <rPr>
        <sz val="11"/>
        <color theme="1"/>
        <rFont val="Noto Sans SC"/>
        <family val="2"/>
        <charset val="134"/>
      </rPr>
      <t xml:space="preserve">下方出现 </t>
    </r>
    <r>
      <rPr>
        <sz val="11"/>
        <color theme="1"/>
        <rFont val="Calibri"/>
        <family val="2"/>
        <charset val="1"/>
      </rPr>
      <t xml:space="preserve">2 </t>
    </r>
    <r>
      <rPr>
        <sz val="11"/>
        <color theme="1"/>
        <rFont val="Noto Sans SC"/>
        <family val="2"/>
        <charset val="134"/>
      </rPr>
      <t xml:space="preserve">个，方法一按 </t>
    </r>
    <r>
      <rPr>
        <sz val="11"/>
        <color theme="1"/>
        <rFont val="Calibri"/>
        <family val="2"/>
        <charset val="1"/>
      </rPr>
      <t xml:space="preserve">1 </t>
    </r>
    <r>
      <rPr>
        <sz val="11"/>
        <color theme="1"/>
        <rFont val="Noto Sans SC"/>
        <family val="2"/>
        <charset val="134"/>
      </rPr>
      <t xml:space="preserve">个算</t>
    </r>
  </si>
  <si>
    <r>
      <rPr>
        <sz val="11"/>
        <color theme="1"/>
        <rFont val="Noto Sans SC"/>
        <family val="2"/>
        <charset val="134"/>
      </rPr>
      <t xml:space="preserve">第</t>
    </r>
    <r>
      <rPr>
        <sz val="11"/>
        <color theme="1"/>
        <rFont val="Calibri"/>
        <family val="2"/>
        <charset val="1"/>
      </rPr>
      <t xml:space="preserve">3</t>
    </r>
    <r>
      <rPr>
        <sz val="11"/>
        <color theme="1"/>
        <rFont val="Noto Sans SC"/>
        <family val="2"/>
        <charset val="134"/>
      </rPr>
      <t xml:space="preserve">列</t>
    </r>
  </si>
  <si>
    <r>
      <rPr>
        <sz val="11"/>
        <color theme="1"/>
        <rFont val="Noto Sans SC"/>
        <family val="2"/>
        <charset val="134"/>
      </rPr>
      <t xml:space="preserve">上下各 </t>
    </r>
    <r>
      <rPr>
        <sz val="11"/>
        <color theme="1"/>
        <rFont val="Calibri"/>
        <family val="2"/>
        <charset val="1"/>
      </rPr>
      <t xml:space="preserve">1 </t>
    </r>
    <r>
      <rPr>
        <sz val="11"/>
        <color theme="1"/>
        <rFont val="Noto Sans SC"/>
        <family val="2"/>
        <charset val="134"/>
      </rPr>
      <t xml:space="preserve">个 → 两种方法都乘 </t>
    </r>
    <r>
      <rPr>
        <sz val="11"/>
        <color theme="1"/>
        <rFont val="Calibri"/>
        <family val="2"/>
        <charset val="1"/>
      </rPr>
      <t xml:space="preserve">2</t>
    </r>
  </si>
  <si>
    <r>
      <rPr>
        <sz val="11"/>
        <color theme="1"/>
        <rFont val="Noto Sans SC"/>
        <family val="2"/>
        <charset val="134"/>
      </rPr>
      <t xml:space="preserve">第</t>
    </r>
    <r>
      <rPr>
        <sz val="11"/>
        <color theme="1"/>
        <rFont val="Calibri"/>
        <family val="2"/>
        <charset val="1"/>
      </rPr>
      <t xml:space="preserve">4</t>
    </r>
    <r>
      <rPr>
        <sz val="11"/>
        <color theme="1"/>
        <rFont val="Noto Sans SC"/>
        <family val="2"/>
        <charset val="134"/>
      </rPr>
      <t xml:space="preserve">列</t>
    </r>
  </si>
  <si>
    <r>
      <rPr>
        <sz val="11"/>
        <color theme="1"/>
        <rFont val="Noto Sans SC"/>
        <family val="2"/>
        <charset val="134"/>
      </rPr>
      <t xml:space="preserve">同第 </t>
    </r>
    <r>
      <rPr>
        <sz val="11"/>
        <color theme="1"/>
        <rFont val="Calibri"/>
        <family val="2"/>
        <charset val="1"/>
      </rPr>
      <t xml:space="preserve">2 </t>
    </r>
    <r>
      <rPr>
        <sz val="11"/>
        <color theme="1"/>
        <rFont val="Noto Sans SC"/>
        <family val="2"/>
        <charset val="134"/>
      </rPr>
      <t xml:space="preserve">列</t>
    </r>
  </si>
  <si>
    <r>
      <rPr>
        <sz val="11"/>
        <color theme="1"/>
        <rFont val="Noto Sans SC"/>
        <family val="2"/>
        <charset val="134"/>
      </rPr>
      <t xml:space="preserve">第</t>
    </r>
    <r>
      <rPr>
        <sz val="11"/>
        <color theme="1"/>
        <rFont val="Calibri"/>
        <family val="2"/>
        <charset val="1"/>
      </rPr>
      <t xml:space="preserve">5</t>
    </r>
    <r>
      <rPr>
        <sz val="11"/>
        <color theme="1"/>
        <rFont val="Noto Sans SC"/>
        <family val="2"/>
        <charset val="134"/>
      </rPr>
      <t xml:space="preserve">列</t>
    </r>
  </si>
  <si>
    <r>
      <rPr>
        <sz val="11"/>
        <color theme="1"/>
        <rFont val="Noto Sans SC"/>
        <family val="2"/>
        <charset val="134"/>
      </rPr>
      <t xml:space="preserve">上方 </t>
    </r>
    <r>
      <rPr>
        <sz val="11"/>
        <color theme="1"/>
        <rFont val="Calibri"/>
        <family val="2"/>
        <charset val="1"/>
      </rPr>
      <t xml:space="preserve">1 </t>
    </r>
    <r>
      <rPr>
        <sz val="11"/>
        <color theme="1"/>
        <rFont val="Noto Sans SC"/>
        <family val="2"/>
        <charset val="134"/>
      </rPr>
      <t xml:space="preserve">个 ＋ 下方最多 </t>
    </r>
    <r>
      <rPr>
        <sz val="11"/>
        <color theme="1"/>
        <rFont val="Calibri"/>
        <family val="2"/>
        <charset val="1"/>
      </rPr>
      <t xml:space="preserve">1 </t>
    </r>
    <r>
      <rPr>
        <sz val="11"/>
        <color theme="1"/>
        <rFont val="Noto Sans SC"/>
        <family val="2"/>
        <charset val="134"/>
      </rPr>
      <t xml:space="preserve">个 ＝ </t>
    </r>
    <r>
      <rPr>
        <sz val="11"/>
        <color theme="1"/>
        <rFont val="Calibri"/>
        <family val="2"/>
        <charset val="1"/>
      </rPr>
      <t xml:space="preserve">2</t>
    </r>
    <r>
      <rPr>
        <sz val="11"/>
        <color theme="1"/>
        <rFont val="Noto Sans SC"/>
        <family val="2"/>
        <charset val="134"/>
      </rPr>
      <t xml:space="preserve">；方法二可到 </t>
    </r>
    <r>
      <rPr>
        <sz val="11"/>
        <color theme="1"/>
        <rFont val="Calibri"/>
        <family val="2"/>
        <charset val="1"/>
      </rPr>
      <t xml:space="preserve">4</t>
    </r>
  </si>
  <si>
    <r>
      <rPr>
        <sz val="11"/>
        <color theme="1"/>
        <rFont val="Noto Sans SC"/>
        <family val="2"/>
        <charset val="134"/>
      </rPr>
      <t xml:space="preserve">第</t>
    </r>
    <r>
      <rPr>
        <sz val="11"/>
        <color theme="1"/>
        <rFont val="Calibri"/>
        <family val="2"/>
        <charset val="1"/>
      </rPr>
      <t xml:space="preserve">6</t>
    </r>
    <r>
      <rPr>
        <sz val="11"/>
        <color theme="1"/>
        <rFont val="Noto Sans SC"/>
        <family val="2"/>
        <charset val="134"/>
      </rPr>
      <t xml:space="preserve">列</t>
    </r>
  </si>
  <si>
    <r>
      <rPr>
        <sz val="11"/>
        <color theme="1"/>
        <rFont val="Noto Sans SC"/>
        <family val="2"/>
        <charset val="134"/>
      </rPr>
      <t xml:space="preserve">未出现 → 本次满足的中奖组合为 </t>
    </r>
    <r>
      <rPr>
        <sz val="11"/>
        <color theme="1"/>
        <rFont val="Calibri"/>
        <family val="2"/>
        <charset val="1"/>
      </rPr>
      <t xml:space="preserve">{9,9,9,9,9}</t>
    </r>
  </si>
  <si>
    <r>
      <rPr>
        <b val="true"/>
        <sz val="11"/>
        <rFont val="Noto Sans SC"/>
        <family val="2"/>
        <charset val="134"/>
      </rPr>
      <t xml:space="preserve">本局 </t>
    </r>
    <r>
      <rPr>
        <b val="true"/>
        <sz val="11"/>
        <rFont val="Cambria"/>
        <family val="0"/>
        <charset val="1"/>
      </rPr>
      <t xml:space="preserve">Ways</t>
    </r>
    <r>
      <rPr>
        <b val="true"/>
        <sz val="11"/>
        <rFont val="Noto Sans SC"/>
        <family val="2"/>
        <charset val="134"/>
      </rPr>
      <t xml:space="preserve">（前 </t>
    </r>
    <r>
      <rPr>
        <b val="true"/>
        <sz val="11"/>
        <rFont val="Cambria"/>
        <family val="0"/>
        <charset val="1"/>
      </rPr>
      <t xml:space="preserve">5 </t>
    </r>
    <r>
      <rPr>
        <b val="true"/>
        <sz val="11"/>
        <rFont val="Noto Sans SC"/>
        <family val="2"/>
        <charset val="134"/>
      </rPr>
      <t xml:space="preserve">列计数值乘积；第 </t>
    </r>
    <r>
      <rPr>
        <b val="true"/>
        <sz val="11"/>
        <rFont val="Cambria"/>
        <family val="0"/>
        <charset val="1"/>
      </rPr>
      <t xml:space="preserve">6 </t>
    </r>
    <r>
      <rPr>
        <b val="true"/>
        <sz val="11"/>
        <rFont val="Noto Sans SC"/>
        <family val="2"/>
        <charset val="134"/>
      </rPr>
      <t xml:space="preserve">列未出现）</t>
    </r>
  </si>
  <si>
    <r>
      <rPr>
        <sz val="11"/>
        <color theme="1"/>
        <rFont val="Noto Sans SC"/>
        <family val="2"/>
        <charset val="134"/>
      </rPr>
      <t xml:space="preserve">方法二增益上限远高于方法一 → 为压 </t>
    </r>
    <r>
      <rPr>
        <sz val="11"/>
        <color theme="1"/>
        <rFont val="Calibri"/>
        <family val="2"/>
        <charset val="1"/>
      </rPr>
      <t xml:space="preserve">RTP</t>
    </r>
    <r>
      <rPr>
        <sz val="11"/>
        <color theme="1"/>
        <rFont val="Noto Sans SC"/>
        <family val="2"/>
        <charset val="134"/>
      </rPr>
      <t xml:space="preserve">，方法二通常压低赔付倍数或中奖率</t>
    </r>
  </si>
  <si>
    <r>
      <rPr>
        <sz val="11"/>
        <color rgb="FF808080"/>
        <rFont val="Noto Sans SC"/>
        <family val="2"/>
        <charset val="134"/>
      </rPr>
      <t xml:space="preserve">规则差异的本质：方法一「限定 </t>
    </r>
    <r>
      <rPr>
        <sz val="11"/>
        <color rgb="FF808080"/>
        <rFont val="Cambria"/>
        <family val="0"/>
        <charset val="1"/>
      </rPr>
      <t xml:space="preserve">2~5 </t>
    </r>
    <r>
      <rPr>
        <sz val="11"/>
        <color rgb="FF808080"/>
        <rFont val="Noto Sans SC"/>
        <family val="2"/>
        <charset val="134"/>
      </rPr>
      <t xml:space="preserve">列下半部分最多算 </t>
    </r>
    <r>
      <rPr>
        <sz val="11"/>
        <color rgb="FF808080"/>
        <rFont val="Cambria"/>
        <family val="0"/>
        <charset val="1"/>
      </rPr>
      <t xml:space="preserve">1 </t>
    </r>
    <r>
      <rPr>
        <sz val="11"/>
        <color rgb="FF808080"/>
        <rFont val="Noto Sans SC"/>
        <family val="2"/>
        <charset val="134"/>
      </rPr>
      <t xml:space="preserve">个」，把每列上限锁在 </t>
    </r>
    <r>
      <rPr>
        <sz val="11"/>
        <color rgb="FF808080"/>
        <rFont val="Cambria"/>
        <family val="0"/>
        <charset val="1"/>
      </rPr>
      <t xml:space="preserve">2</t>
    </r>
    <r>
      <rPr>
        <sz val="11"/>
        <color rgb="FF808080"/>
        <rFont val="Noto Sans SC"/>
        <family val="2"/>
        <charset val="134"/>
      </rPr>
      <t xml:space="preserve">；方法二不做限制，列上限可达「上方 </t>
    </r>
    <r>
      <rPr>
        <sz val="11"/>
        <color rgb="FF808080"/>
        <rFont val="Cambria"/>
        <family val="0"/>
        <charset val="1"/>
      </rPr>
      <t xml:space="preserve">1 </t>
    </r>
    <r>
      <rPr>
        <sz val="11"/>
        <color rgb="FF808080"/>
        <rFont val="Noto Sans SC"/>
        <family val="2"/>
        <charset val="134"/>
      </rPr>
      <t xml:space="preserve">＋ 下方全部」。</t>
    </r>
  </si>
  <si>
    <r>
      <rPr>
        <b val="true"/>
        <sz val="11"/>
        <color rgb="FF1F4E79"/>
        <rFont val="Noto Sans SC"/>
        <family val="2"/>
        <charset val="134"/>
      </rPr>
      <t xml:space="preserve">【</t>
    </r>
    <r>
      <rPr>
        <b val="true"/>
        <sz val="11"/>
        <color rgb="FF1F4E79"/>
        <rFont val="Cambria"/>
        <family val="0"/>
        <charset val="1"/>
      </rPr>
      <t xml:space="preserve">5</t>
    </r>
    <r>
      <rPr>
        <b val="true"/>
        <sz val="11"/>
        <color rgb="FF1F4E79"/>
        <rFont val="Noto Sans SC"/>
        <family val="2"/>
        <charset val="134"/>
      </rPr>
      <t xml:space="preserve">】图标个数不固定时的期望处理（期望的和 ＝ 和的期望）</t>
    </r>
  </si>
  <si>
    <r>
      <rPr>
        <b val="true"/>
        <sz val="11"/>
        <color rgb="FF1F4E79"/>
        <rFont val="Noto Sans SC"/>
        <family val="2"/>
        <charset val="134"/>
      </rPr>
      <t xml:space="preserve">首</t>
    </r>
    <r>
      <rPr>
        <b val="true"/>
        <sz val="11"/>
        <color rgb="FF1F4E79"/>
        <rFont val="Cambria"/>
        <family val="0"/>
        <charset val="1"/>
      </rPr>
      <t xml:space="preserve">/</t>
    </r>
    <r>
      <rPr>
        <b val="true"/>
        <sz val="11"/>
        <color rgb="FF1F4E79"/>
        <rFont val="Noto Sans SC"/>
        <family val="2"/>
        <charset val="134"/>
      </rPr>
      <t xml:space="preserve">末列可能的图标个数</t>
    </r>
  </si>
  <si>
    <t xml:space="preserve">该情况几率（示例）</t>
  </si>
  <si>
    <t xml:space="preserve">该情况下目标图标出现个数期望</t>
  </si>
  <si>
    <t xml:space="preserve">加权后</t>
  </si>
  <si>
    <r>
      <rPr>
        <sz val="11"/>
        <color theme="1"/>
        <rFont val="Noto Sans SC"/>
        <family val="2"/>
        <charset val="134"/>
      </rPr>
      <t xml:space="preserve">照此把 </t>
    </r>
    <r>
      <rPr>
        <sz val="11"/>
        <color theme="1"/>
        <rFont val="Calibri"/>
        <family val="2"/>
        <charset val="1"/>
      </rPr>
      <t xml:space="preserve">6 </t>
    </r>
    <r>
      <rPr>
        <sz val="11"/>
        <color theme="1"/>
        <rFont val="Noto Sans SC"/>
        <family val="2"/>
        <charset val="134"/>
      </rPr>
      <t xml:space="preserve">种情况分别当作「固定个数卷轴」处理</t>
    </r>
  </si>
  <si>
    <t xml:space="preserve">加权平均（复杂算法）</t>
  </si>
  <si>
    <r>
      <rPr>
        <sz val="11"/>
        <color theme="1"/>
        <rFont val="Noto Sans SC"/>
        <family val="2"/>
        <charset val="134"/>
      </rPr>
      <t xml:space="preserve">各情况几率 </t>
    </r>
    <r>
      <rPr>
        <sz val="11"/>
        <color theme="1"/>
        <rFont val="Calibri"/>
        <family val="2"/>
        <charset val="1"/>
      </rPr>
      <t xml:space="preserve">× </t>
    </r>
    <r>
      <rPr>
        <sz val="11"/>
        <color theme="1"/>
        <rFont val="Noto Sans SC"/>
        <family val="2"/>
        <charset val="134"/>
      </rPr>
      <t xml:space="preserve">该情况下的个数期望，再单列加总</t>
    </r>
  </si>
  <si>
    <t xml:space="preserve">简单算法</t>
  </si>
  <si>
    <r>
      <rPr>
        <sz val="11"/>
        <color theme="1"/>
        <rFont val="Noto Sans SC"/>
        <family val="2"/>
        <charset val="134"/>
      </rPr>
      <t xml:space="preserve">该列图标个数期望（本例 </t>
    </r>
    <r>
      <rPr>
        <sz val="11"/>
        <color theme="1"/>
        <rFont val="Calibri"/>
        <family val="2"/>
        <charset val="1"/>
      </rPr>
      <t xml:space="preserve">4.5</t>
    </r>
    <r>
      <rPr>
        <sz val="11"/>
        <color theme="1"/>
        <rFont val="Noto Sans SC"/>
        <family val="2"/>
        <charset val="134"/>
      </rPr>
      <t xml:space="preserve">）</t>
    </r>
  </si>
  <si>
    <t xml:space="preserve">目标图标出现个数期望（简单法）</t>
  </si>
  <si>
    <r>
      <rPr>
        <sz val="11"/>
        <color theme="1"/>
        <rFont val="Noto Sans SC"/>
        <family val="2"/>
        <charset val="134"/>
      </rPr>
      <t xml:space="preserve">＝ 该列图标个数期望 </t>
    </r>
    <r>
      <rPr>
        <sz val="11"/>
        <color theme="1"/>
        <rFont val="Calibri"/>
        <family val="2"/>
        <charset val="1"/>
      </rPr>
      <t xml:space="preserve">× </t>
    </r>
    <r>
      <rPr>
        <sz val="11"/>
        <color theme="1"/>
        <rFont val="Noto Sans SC"/>
        <family val="2"/>
        <charset val="134"/>
      </rPr>
      <t xml:space="preserve">图标出现几率 → 与加权平均完全相等</t>
    </r>
  </si>
  <si>
    <r>
      <rPr>
        <sz val="11"/>
        <color rgb="FF808080"/>
        <rFont val="Noto Sans SC"/>
        <family val="2"/>
        <charset val="134"/>
      </rPr>
      <t xml:space="preserve">只要各情况几率不同才需要加权；实操中直接「该列图标个数期望 </t>
    </r>
    <r>
      <rPr>
        <sz val="11"/>
        <color rgb="FF808080"/>
        <rFont val="Cambria"/>
        <family val="0"/>
        <charset val="1"/>
      </rPr>
      <t xml:space="preserve">× </t>
    </r>
    <r>
      <rPr>
        <sz val="11"/>
        <color rgb="FF808080"/>
        <rFont val="Noto Sans SC"/>
        <family val="2"/>
        <charset val="134"/>
      </rPr>
      <t xml:space="preserve">该图标出现几率」即可得到同样答案——这就是「期望的和等于和的期望」在 </t>
    </r>
    <r>
      <rPr>
        <sz val="11"/>
        <color rgb="FF808080"/>
        <rFont val="Cambria"/>
        <family val="0"/>
        <charset val="1"/>
      </rPr>
      <t xml:space="preserve">Megaways </t>
    </r>
    <r>
      <rPr>
        <sz val="11"/>
        <color rgb="FF808080"/>
        <rFont val="Noto Sans SC"/>
        <family val="2"/>
        <charset val="134"/>
      </rPr>
      <t xml:space="preserve">上的用法。</t>
    </r>
  </si>
  <si>
    <r>
      <rPr>
        <b val="true"/>
        <sz val="11"/>
        <color rgb="FF1F4E79"/>
        <rFont val="Noto Sans SC"/>
        <family val="2"/>
        <charset val="134"/>
      </rPr>
      <t xml:space="preserve">【</t>
    </r>
    <r>
      <rPr>
        <b val="true"/>
        <sz val="11"/>
        <color rgb="FF1F4E79"/>
        <rFont val="Cambria"/>
        <family val="0"/>
        <charset val="1"/>
      </rPr>
      <t xml:space="preserve">6</t>
    </r>
    <r>
      <rPr>
        <b val="true"/>
        <sz val="11"/>
        <color rgb="FF1F4E79"/>
        <rFont val="Noto Sans SC"/>
        <family val="2"/>
        <charset val="134"/>
      </rPr>
      <t xml:space="preserve">】画面表现：均分法 </t>
    </r>
    <r>
      <rPr>
        <b val="true"/>
        <sz val="11"/>
        <color rgb="FF1F4E79"/>
        <rFont val="Cambria"/>
        <family val="0"/>
        <charset val="1"/>
      </rPr>
      <t xml:space="preserve">vs </t>
    </r>
    <r>
      <rPr>
        <b val="true"/>
        <sz val="11"/>
        <color rgb="FF1F4E79"/>
        <rFont val="Noto Sans SC"/>
        <family val="2"/>
        <charset val="134"/>
      </rPr>
      <t xml:space="preserve">整倍法</t>
    </r>
  </si>
  <si>
    <t xml:space="preserve">方法</t>
  </si>
  <si>
    <t xml:space="preserve">优点</t>
  </si>
  <si>
    <r>
      <rPr>
        <b val="true"/>
        <sz val="11"/>
        <color rgb="FF1F4E79"/>
        <rFont val="Noto Sans SC"/>
        <family val="2"/>
        <charset val="134"/>
      </rPr>
      <t xml:space="preserve">缺点 </t>
    </r>
    <r>
      <rPr>
        <b val="true"/>
        <sz val="11"/>
        <color rgb="FF1F4E79"/>
        <rFont val="Cambria"/>
        <family val="0"/>
        <charset val="1"/>
      </rPr>
      <t xml:space="preserve">/ </t>
    </r>
    <r>
      <rPr>
        <b val="true"/>
        <sz val="11"/>
        <color rgb="FF1F4E79"/>
        <rFont val="Noto Sans SC"/>
        <family val="2"/>
        <charset val="134"/>
      </rPr>
      <t xml:space="preserve">适用市场</t>
    </r>
  </si>
  <si>
    <t xml:space="preserve">均分法</t>
  </si>
  <si>
    <t xml:space="preserve">按抽到的个数把该列高度均分，每个图标等大</t>
  </si>
  <si>
    <r>
      <rPr>
        <sz val="11"/>
        <color theme="1"/>
        <rFont val="Noto Sans SC"/>
        <family val="2"/>
        <charset val="134"/>
      </rPr>
      <t xml:space="preserve">直观展示各列个数，突出 </t>
    </r>
    <r>
      <rPr>
        <sz val="11"/>
        <color theme="1"/>
        <rFont val="Calibri"/>
        <family val="2"/>
        <charset val="1"/>
      </rPr>
      <t xml:space="preserve">Megaways </t>
    </r>
    <r>
      <rPr>
        <sz val="11"/>
        <color theme="1"/>
        <rFont val="Noto Sans SC"/>
        <family val="2"/>
        <charset val="134"/>
      </rPr>
      <t xml:space="preserve">机制特色</t>
    </r>
  </si>
  <si>
    <r>
      <rPr>
        <sz val="11"/>
        <color theme="1"/>
        <rFont val="Noto Sans SC"/>
        <family val="2"/>
        <charset val="134"/>
      </rPr>
      <t xml:space="preserve">不熟悉 </t>
    </r>
    <r>
      <rPr>
        <sz val="11"/>
        <color theme="1"/>
        <rFont val="Calibri"/>
        <family val="2"/>
        <charset val="1"/>
      </rPr>
      <t xml:space="preserve">Slots </t>
    </r>
    <r>
      <rPr>
        <sz val="11"/>
        <color theme="1"/>
        <rFont val="Noto Sans SC"/>
        <family val="2"/>
        <charset val="134"/>
      </rPr>
      <t xml:space="preserve">的玩家会觉得与传统 </t>
    </r>
    <r>
      <rPr>
        <sz val="11"/>
        <color theme="1"/>
        <rFont val="Calibri"/>
        <family val="2"/>
        <charset val="1"/>
      </rPr>
      <t xml:space="preserve">Slots </t>
    </r>
    <r>
      <rPr>
        <sz val="11"/>
        <color theme="1"/>
        <rFont val="Noto Sans SC"/>
        <family val="2"/>
        <charset val="134"/>
      </rPr>
      <t xml:space="preserve">差异大；欧美市场主流</t>
    </r>
  </si>
  <si>
    <t xml:space="preserve">整倍法</t>
  </si>
  <si>
    <r>
      <rPr>
        <sz val="11"/>
        <color theme="1"/>
        <rFont val="Noto Sans SC"/>
        <family val="2"/>
        <charset val="134"/>
      </rPr>
      <t xml:space="preserve">以 </t>
    </r>
    <r>
      <rPr>
        <sz val="11"/>
        <color theme="1"/>
        <rFont val="Calibri"/>
        <family val="2"/>
        <charset val="1"/>
      </rPr>
      <t xml:space="preserve">1×1 </t>
    </r>
    <r>
      <rPr>
        <sz val="11"/>
        <color theme="1"/>
        <rFont val="Noto Sans SC"/>
        <family val="2"/>
        <charset val="134"/>
      </rPr>
      <t xml:space="preserve">为基础，不足处用 </t>
    </r>
    <r>
      <rPr>
        <sz val="11"/>
        <color theme="1"/>
        <rFont val="Calibri"/>
        <family val="2"/>
        <charset val="1"/>
      </rPr>
      <t xml:space="preserve">1×N </t>
    </r>
    <r>
      <rPr>
        <sz val="11"/>
        <color theme="1"/>
        <rFont val="Noto Sans SC"/>
        <family val="2"/>
        <charset val="134"/>
      </rPr>
      <t xml:space="preserve">长图标补齐，使高度之和等于列高上限</t>
    </r>
  </si>
  <si>
    <r>
      <rPr>
        <sz val="11"/>
        <color theme="1"/>
        <rFont val="Noto Sans SC"/>
        <family val="2"/>
        <charset val="134"/>
      </rPr>
      <t xml:space="preserve">排列规整，更接近传统 </t>
    </r>
    <r>
      <rPr>
        <sz val="11"/>
        <color theme="1"/>
        <rFont val="Calibri"/>
        <family val="2"/>
        <charset val="1"/>
      </rPr>
      <t xml:space="preserve">Slots</t>
    </r>
  </si>
  <si>
    <t xml:space="preserve">不如均分法直观；东南亚、南美等新兴市场接受度更高</t>
  </si>
  <si>
    <r>
      <rPr>
        <b val="true"/>
        <sz val="11"/>
        <color rgb="FF1F4E79"/>
        <rFont val="Noto Sans SC"/>
        <family val="2"/>
        <charset val="134"/>
      </rPr>
      <t xml:space="preserve">整倍法示例：下半区域高 </t>
    </r>
    <r>
      <rPr>
        <b val="true"/>
        <sz val="11"/>
        <color rgb="FF1F4E79"/>
        <rFont val="Cambria"/>
        <family val="0"/>
        <charset val="1"/>
      </rPr>
      <t xml:space="preserve">5</t>
    </r>
    <r>
      <rPr>
        <b val="true"/>
        <sz val="11"/>
        <color rgb="FF1F4E79"/>
        <rFont val="Noto Sans SC"/>
        <family val="2"/>
        <charset val="134"/>
      </rPr>
      <t xml:space="preserve">、该列抽到 </t>
    </r>
    <r>
      <rPr>
        <b val="true"/>
        <sz val="11"/>
        <color rgb="FF1F4E79"/>
        <rFont val="Cambria"/>
        <family val="0"/>
        <charset val="1"/>
      </rPr>
      <t xml:space="preserve">2 </t>
    </r>
    <r>
      <rPr>
        <b val="true"/>
        <sz val="11"/>
        <color rgb="FF1F4E79"/>
        <rFont val="Noto Sans SC"/>
        <family val="2"/>
        <charset val="134"/>
      </rPr>
      <t xml:space="preserve">个图标</t>
    </r>
  </si>
  <si>
    <t xml:space="preserve">可能的图标大小组合</t>
  </si>
  <si>
    <r>
      <rPr>
        <sz val="11"/>
        <color theme="1"/>
        <rFont val="Calibri"/>
        <family val="2"/>
        <charset val="1"/>
      </rPr>
      <t xml:space="preserve">{1×1</t>
    </r>
    <r>
      <rPr>
        <sz val="11"/>
        <color theme="1"/>
        <rFont val="Noto Sans SC"/>
        <family val="2"/>
        <charset val="134"/>
      </rPr>
      <t xml:space="preserve">，</t>
    </r>
    <r>
      <rPr>
        <sz val="11"/>
        <color theme="1"/>
        <rFont val="Calibri"/>
        <family val="2"/>
        <charset val="1"/>
      </rPr>
      <t xml:space="preserve">1×4}</t>
    </r>
  </si>
  <si>
    <r>
      <rPr>
        <sz val="11"/>
        <color theme="1"/>
        <rFont val="Calibri"/>
        <family val="2"/>
        <charset val="1"/>
      </rPr>
      <t xml:space="preserve">{1×2</t>
    </r>
    <r>
      <rPr>
        <sz val="11"/>
        <color theme="1"/>
        <rFont val="Noto Sans SC"/>
        <family val="2"/>
        <charset val="134"/>
      </rPr>
      <t xml:space="preserve">，</t>
    </r>
    <r>
      <rPr>
        <sz val="11"/>
        <color theme="1"/>
        <rFont val="Calibri"/>
        <family val="2"/>
        <charset val="1"/>
      </rPr>
      <t xml:space="preserve">1×3}</t>
    </r>
  </si>
  <si>
    <r>
      <rPr>
        <sz val="11"/>
        <color theme="1"/>
        <rFont val="Calibri"/>
        <family val="2"/>
        <charset val="1"/>
      </rPr>
      <t xml:space="preserve">{1×3</t>
    </r>
    <r>
      <rPr>
        <sz val="11"/>
        <color theme="1"/>
        <rFont val="Noto Sans SC"/>
        <family val="2"/>
        <charset val="134"/>
      </rPr>
      <t xml:space="preserve">，</t>
    </r>
    <r>
      <rPr>
        <sz val="11"/>
        <color theme="1"/>
        <rFont val="Calibri"/>
        <family val="2"/>
        <charset val="1"/>
      </rPr>
      <t xml:space="preserve">1×2}</t>
    </r>
  </si>
  <si>
    <r>
      <rPr>
        <sz val="11"/>
        <color theme="1"/>
        <rFont val="Calibri"/>
        <family val="2"/>
        <charset val="1"/>
      </rPr>
      <t xml:space="preserve">{1×4</t>
    </r>
    <r>
      <rPr>
        <sz val="11"/>
        <color theme="1"/>
        <rFont val="Noto Sans SC"/>
        <family val="2"/>
        <charset val="134"/>
      </rPr>
      <t xml:space="preserve">，</t>
    </r>
    <r>
      <rPr>
        <sz val="11"/>
        <color theme="1"/>
        <rFont val="Calibri"/>
        <family val="2"/>
        <charset val="1"/>
      </rPr>
      <t xml:space="preserve">1×1}</t>
    </r>
  </si>
  <si>
    <t xml:space="preserve">组合数</t>
  </si>
  <si>
    <t xml:space="preserve">整倍法可能的分布数</t>
  </si>
  <si>
    <t xml:space="preserve">消除后掉落</t>
  </si>
  <si>
    <t xml:space="preserve">掉落规则</t>
  </si>
  <si>
    <t xml:space="preserve">掉落相同尺寸的图标（消除几个补几个）</t>
  </si>
  <si>
    <r>
      <rPr>
        <sz val="11"/>
        <color theme="1"/>
        <rFont val="Noto Sans SC"/>
        <family val="2"/>
        <charset val="134"/>
      </rPr>
      <t xml:space="preserve">一般限定掉落 </t>
    </r>
    <r>
      <rPr>
        <sz val="11"/>
        <color theme="1"/>
        <rFont val="Calibri"/>
        <family val="2"/>
        <charset val="1"/>
      </rPr>
      <t xml:space="preserve">1×1 </t>
    </r>
    <r>
      <rPr>
        <sz val="11"/>
        <color theme="1"/>
        <rFont val="Noto Sans SC"/>
        <family val="2"/>
        <charset val="134"/>
      </rPr>
      <t xml:space="preserve">小图标（消除得越长，新掉落越多）</t>
    </r>
  </si>
  <si>
    <t xml:space="preserve">对数值的影响</t>
  </si>
  <si>
    <t xml:space="preserve">图标大小不参与赔付，等价于按列个数处理</t>
  </si>
  <si>
    <t xml:space="preserve">是否要控制中奖图标的大小，取决于数值模型如何分配图标大小</t>
  </si>
  <si>
    <r>
      <rPr>
        <b val="true"/>
        <sz val="11"/>
        <color rgb="FF1F4E79"/>
        <rFont val="Noto Sans SC"/>
        <family val="2"/>
        <charset val="134"/>
      </rPr>
      <t xml:space="preserve">【</t>
    </r>
    <r>
      <rPr>
        <b val="true"/>
        <sz val="11"/>
        <color rgb="FF1F4E79"/>
        <rFont val="Cambria"/>
        <family val="0"/>
        <charset val="1"/>
      </rPr>
      <t xml:space="preserve">7</t>
    </r>
    <r>
      <rPr>
        <b val="true"/>
        <sz val="11"/>
        <color rgb="FF1F4E79"/>
        <rFont val="Noto Sans SC"/>
        <family val="2"/>
        <charset val="134"/>
      </rPr>
      <t xml:space="preserve">】自检</t>
    </r>
  </si>
  <si>
    <t xml:space="preserve">检查项</t>
  </si>
  <si>
    <t xml:space="preserve">结果</t>
  </si>
  <si>
    <r>
      <rPr>
        <sz val="11"/>
        <color theme="1"/>
        <rFont val="Noto Sans SC"/>
        <family val="2"/>
        <charset val="134"/>
      </rPr>
      <t xml:space="preserve">方法一 </t>
    </r>
    <r>
      <rPr>
        <sz val="11"/>
        <color theme="1"/>
        <rFont val="Calibri"/>
        <family val="2"/>
        <charset val="1"/>
      </rPr>
      <t xml:space="preserve">Ways </t>
    </r>
    <r>
      <rPr>
        <sz val="11"/>
        <color theme="1"/>
        <rFont val="Noto Sans SC"/>
        <family val="2"/>
        <charset val="134"/>
      </rPr>
      <t xml:space="preserve">＜ 方法二 </t>
    </r>
    <r>
      <rPr>
        <sz val="11"/>
        <color theme="1"/>
        <rFont val="Calibri"/>
        <family val="2"/>
        <charset val="1"/>
      </rPr>
      <t xml:space="preserve">Ways</t>
    </r>
  </si>
  <si>
    <r>
      <rPr>
        <sz val="11"/>
        <color theme="1"/>
        <rFont val="Noto Sans SC"/>
        <family val="2"/>
        <charset val="134"/>
      </rPr>
      <t xml:space="preserve">本例 </t>
    </r>
    <r>
      <rPr>
        <sz val="11"/>
        <color theme="1"/>
        <rFont val="Calibri"/>
        <family val="2"/>
        <charset val="1"/>
      </rPr>
      <t xml:space="preserve">8 </t>
    </r>
    <r>
      <rPr>
        <sz val="11"/>
        <color theme="1"/>
        <rFont val="Noto Sans SC"/>
        <family val="2"/>
        <charset val="134"/>
      </rPr>
      <t xml:space="preserve">＜ </t>
    </r>
    <r>
      <rPr>
        <sz val="11"/>
        <color theme="1"/>
        <rFont val="Calibri"/>
        <family val="2"/>
        <charset val="1"/>
      </rPr>
      <t xml:space="preserve">128</t>
    </r>
  </si>
  <si>
    <r>
      <rPr>
        <sz val="11"/>
        <color theme="1"/>
        <rFont val="Noto Sans SC"/>
        <family val="2"/>
        <charset val="134"/>
      </rPr>
      <t xml:space="preserve">方法一每列上限 ＝ </t>
    </r>
    <r>
      <rPr>
        <sz val="11"/>
        <color theme="1"/>
        <rFont val="Calibri"/>
        <family val="2"/>
        <charset val="1"/>
      </rPr>
      <t xml:space="preserve">2</t>
    </r>
  </si>
  <si>
    <r>
      <rPr>
        <sz val="11"/>
        <color theme="1"/>
        <rFont val="Noto Sans SC"/>
        <family val="2"/>
        <charset val="134"/>
      </rPr>
      <t xml:space="preserve">上半 </t>
    </r>
    <r>
      <rPr>
        <sz val="11"/>
        <color theme="1"/>
        <rFont val="Calibri"/>
        <family val="2"/>
        <charset val="1"/>
      </rPr>
      <t xml:space="preserve">1 </t>
    </r>
    <r>
      <rPr>
        <sz val="11"/>
        <color theme="1"/>
        <rFont val="Noto Sans SC"/>
        <family val="2"/>
        <charset val="134"/>
      </rPr>
      <t xml:space="preserve">＋ 下半最多 </t>
    </r>
    <r>
      <rPr>
        <sz val="11"/>
        <color theme="1"/>
        <rFont val="Calibri"/>
        <family val="2"/>
        <charset val="1"/>
      </rPr>
      <t xml:space="preserve">1</t>
    </r>
  </si>
  <si>
    <t xml:space="preserve">加权平均 ＝ 简单算法（期望的和＝和的期望）</t>
  </si>
  <si>
    <t xml:space="preserve">两种算法结果必须相等</t>
  </si>
  <si>
    <r>
      <rPr>
        <sz val="11"/>
        <color theme="1"/>
        <rFont val="Noto Sans SC"/>
        <family val="2"/>
        <charset val="134"/>
      </rPr>
      <t xml:space="preserve">本例列图标个数期望 ＝ </t>
    </r>
    <r>
      <rPr>
        <sz val="11"/>
        <color theme="1"/>
        <rFont val="Calibri"/>
        <family val="2"/>
        <charset val="1"/>
      </rPr>
      <t xml:space="preserve">4.5</t>
    </r>
  </si>
  <si>
    <t xml:space="preserve">(2+3+4+5+6+7)/6</t>
  </si>
  <si>
    <r>
      <rPr>
        <sz val="11"/>
        <color theme="1"/>
        <rFont val="Noto Sans SC"/>
        <family val="2"/>
        <charset val="134"/>
      </rPr>
      <t xml:space="preserve">整倍法示例组合数 ＝ </t>
    </r>
    <r>
      <rPr>
        <sz val="11"/>
        <color theme="1"/>
        <rFont val="Calibri"/>
        <family val="2"/>
        <charset val="1"/>
      </rPr>
      <t xml:space="preserve">4</t>
    </r>
  </si>
  <si>
    <r>
      <rPr>
        <sz val="11"/>
        <color theme="1"/>
        <rFont val="Calibri"/>
        <family val="2"/>
        <charset val="1"/>
      </rPr>
      <t xml:space="preserve">{1×1,1×4} </t>
    </r>
    <r>
      <rPr>
        <sz val="11"/>
        <color theme="1"/>
        <rFont val="Noto Sans SC"/>
        <family val="2"/>
        <charset val="134"/>
      </rPr>
      <t xml:space="preserve">的四种分法</t>
    </r>
  </si>
  <si>
    <t xml:space="preserve">说明：本页为按原文方法落地的配表实现；表内示例数值取自原文，原文未给的部分沿用同项目示例（蓝字可改）。</t>
  </si>
</sst>
</file>

<file path=xl/styles.xml><?xml version="1.0" encoding="utf-8"?>
<styleSheet xmlns="http://schemas.openxmlformats.org/spreadsheetml/2006/main">
  <numFmts count="4">
    <numFmt numFmtId="164" formatCode="General"/>
    <numFmt numFmtId="165" formatCode="0.00%"/>
    <numFmt numFmtId="166" formatCode="#,##0"/>
    <numFmt numFmtId="167" formatCode="0.0000"/>
  </numFmts>
  <fonts count="16">
    <font>
      <sz val="11"/>
      <color theme="1"/>
      <name val="Noto Sans SC"/>
      <family val="2"/>
      <charset val="134"/>
    </font>
    <font>
      <sz val="10"/>
      <name val="Arial"/>
      <family val="0"/>
      <charset val="134"/>
    </font>
    <font>
      <sz val="10"/>
      <name val="Arial"/>
      <family val="0"/>
      <charset val="134"/>
    </font>
    <font>
      <sz val="10"/>
      <name val="Arial"/>
      <family val="0"/>
      <charset val="134"/>
    </font>
    <font>
      <b val="true"/>
      <sz val="14"/>
      <color rgb="FF1F4E79"/>
      <name val="Noto Sans SC"/>
      <family val="2"/>
      <charset val="134"/>
    </font>
    <font>
      <b val="true"/>
      <sz val="14"/>
      <color rgb="FF1F4E79"/>
      <name val="Cambria"/>
      <family val="0"/>
      <charset val="1"/>
    </font>
    <font>
      <sz val="11"/>
      <color rgb="FF808080"/>
      <name val="Noto Sans SC"/>
      <family val="2"/>
      <charset val="134"/>
    </font>
    <font>
      <sz val="11"/>
      <color rgb="FF808080"/>
      <name val="Cambria"/>
      <family val="0"/>
      <charset val="1"/>
    </font>
    <font>
      <b val="true"/>
      <sz val="11"/>
      <name val="Noto Sans SC"/>
      <family val="2"/>
      <charset val="134"/>
    </font>
    <font>
      <sz val="11"/>
      <color theme="1"/>
      <name val="Calibri"/>
      <family val="2"/>
      <charset val="1"/>
    </font>
    <font>
      <b val="true"/>
      <sz val="11"/>
      <name val="Cambria"/>
      <family val="0"/>
      <charset val="1"/>
    </font>
    <font>
      <b val="true"/>
      <sz val="11"/>
      <color rgb="FF1F4E79"/>
      <name val="Noto Sans SC"/>
      <family val="2"/>
      <charset val="134"/>
    </font>
    <font>
      <b val="true"/>
      <sz val="11"/>
      <color rgb="FF1F4E79"/>
      <name val="Cambria"/>
      <family val="0"/>
      <charset val="1"/>
    </font>
    <font>
      <sz val="11"/>
      <color rgb="FF0000FF"/>
      <name val="Cambria"/>
      <family val="0"/>
      <charset val="1"/>
    </font>
    <font>
      <sz val="11"/>
      <color rgb="FF000000"/>
      <name val="Cambria"/>
      <family val="0"/>
      <charset val="1"/>
    </font>
    <font>
      <sz val="11"/>
      <color rgb="FF000000"/>
      <name val="Noto Sans SC"/>
      <family val="2"/>
      <charset val="134"/>
    </font>
  </fonts>
  <fills count="5">
    <fill>
      <patternFill patternType="none"/>
    </fill>
    <fill>
      <patternFill patternType="gray125"/>
    </fill>
    <fill>
      <patternFill patternType="solid">
        <fgColor rgb="FFB4C7E7"/>
        <bgColor rgb="FFCCCCFF"/>
      </patternFill>
    </fill>
    <fill>
      <patternFill patternType="solid">
        <fgColor rgb="FFDEEBF7"/>
        <bgColor rgb="FFCCFFFF"/>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top" textRotation="0" wrapText="true" indent="0" shrinkToFit="false"/>
      <protection locked="true" hidden="false"/>
    </xf>
    <xf numFmtId="164" fontId="9" fillId="0" borderId="0" xfId="0" applyFont="true" applyBorder="false" applyAlignment="true" applyProtection="true">
      <alignment horizontal="general" vertical="top" textRotation="0" wrapText="true" indent="0" shrinkToFit="false"/>
      <protection locked="true" hidden="false"/>
    </xf>
    <xf numFmtId="164" fontId="9" fillId="0" borderId="0" xfId="0" applyFont="true" applyBorder="tru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0" fillId="0" borderId="0" xfId="0" applyFont="true" applyBorder="true" applyAlignment="true" applyProtection="true">
      <alignment horizontal="general" vertical="top" textRotation="0" wrapText="tru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11" fillId="2" borderId="0" xfId="0" applyFont="true" applyBorder="tru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11" fillId="3" borderId="0" xfId="0" applyFont="true" applyBorder="false" applyAlignment="true" applyProtection="true">
      <alignment horizontal="center" vertical="center" textRotation="0" wrapText="false" indent="0" shrinkToFit="false"/>
      <protection locked="true" hidden="false"/>
    </xf>
    <xf numFmtId="164" fontId="0" fillId="0" borderId="0" xfId="0" applyFont="true" applyBorder="true" applyAlignment="true" applyProtection="true">
      <alignment horizontal="general" vertical="bottom" textRotation="0" wrapText="false" indent="0" shrinkToFit="false"/>
      <protection locked="true" hidden="false"/>
    </xf>
    <xf numFmtId="165" fontId="13"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6" fontId="14"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true" applyAlignment="true" applyProtection="true">
      <alignment horizontal="general" vertical="bottom" textRotation="0" wrapText="false" indent="0" shrinkToFit="false"/>
      <protection locked="true" hidden="false"/>
    </xf>
    <xf numFmtId="166" fontId="10" fillId="4"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general" vertical="top" textRotation="0" wrapText="true" indent="0" shrinkToFit="false"/>
      <protection locked="true" hidden="false"/>
    </xf>
    <xf numFmtId="167" fontId="14"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7" fontId="10" fillId="4" borderId="0" xfId="0" applyFont="true" applyBorder="false" applyAlignment="true" applyProtection="true">
      <alignment horizontal="general" vertical="bottom" textRotation="0" wrapText="false" indent="0" shrinkToFit="false"/>
      <protection locked="true" hidden="false"/>
    </xf>
    <xf numFmtId="164" fontId="11" fillId="3" borderId="0" xfId="0" applyFont="true" applyBorder="true" applyAlignment="true" applyProtection="true">
      <alignment horizontal="center" vertical="center" textRotation="0" wrapText="fals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tru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top" textRotation="0" indent="0" shrinkToFit="false"/>
      <protection locked="true" hidden="false"/>
    </xf>
    <xf numFmtId="164" fontId="9" fillId="0" borderId="0" xfId="0" applyFont="true" applyBorder="true" applyAlignment="true" applyProtection="true">
      <alignment horizontal="general" vertical="top" textRotation="0" indent="0" shrinkToFit="false"/>
      <protection locked="true" hidden="false"/>
    </xf>
    <xf numFmtId="164" fontId="0" fillId="0" borderId="0" xfId="0" applyFont="true" applyBorder="false" applyAlignment="true" applyProtection="true">
      <alignment horizontal="general" vertical="top" textRotation="0" indent="0" shrinkToFit="false"/>
      <protection locked="true" hidden="false"/>
    </xf>
    <xf numFmtId="164" fontId="0" fillId="0" borderId="0" xfId="0" applyFont="true" applyBorder="true" applyAlignment="true" applyProtection="true">
      <alignment horizontal="general" vertical="top" textRotation="0" indent="0" shrinkToFit="false"/>
      <protection locked="true" hidden="false"/>
    </xf>
    <xf numFmtId="164" fontId="8" fillId="0" borderId="0" xfId="0" applyFont="true" applyBorder="false" applyAlignment="true" applyProtection="true">
      <alignment horizontal="general" vertical="top" textRotation="0"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C7E7"/>
      <rgbColor rgb="FF808080"/>
      <rgbColor rgb="FF9999FF"/>
      <rgbColor rgb="FF993366"/>
      <rgbColor rgb="FFFFFFCC"/>
      <rgbColor rgb="FFDE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8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7.69140625" defaultRowHeight="15" customHeight="false" zeroHeight="false" outlineLevelRow="0" outlineLevelCol="0"/>
  <cols>
    <col collapsed="false" customWidth="true" hidden="false" outlineLevel="0" max="1" min="1" style="0" width="42.14"/>
  </cols>
  <sheetData>
    <row r="1" customFormat="false" ht="19" hidden="false" customHeight="false" outlineLevel="0" collapsed="false">
      <c r="A1" s="1" t="s">
        <v>0</v>
      </c>
    </row>
    <row r="3" customFormat="false" ht="15.5" hidden="false" customHeight="false" outlineLevel="0" collapsed="false">
      <c r="A3" s="2" t="s">
        <v>1</v>
      </c>
    </row>
    <row r="4" customFormat="false" ht="15.5" hidden="false" customHeight="false" outlineLevel="0" collapsed="false">
      <c r="A4" s="2" t="s">
        <v>2</v>
      </c>
    </row>
    <row r="5" customFormat="false" ht="15.5" hidden="false" customHeight="false" outlineLevel="0" collapsed="false">
      <c r="A5" s="3" t="s">
        <v>3</v>
      </c>
      <c r="B5" s="3"/>
      <c r="C5" s="3"/>
      <c r="D5" s="3"/>
    </row>
    <row r="6" customFormat="false" ht="15.5" hidden="false" customHeight="false" outlineLevel="0" collapsed="false">
      <c r="A6" s="3" t="s">
        <v>4</v>
      </c>
      <c r="B6" s="3"/>
      <c r="C6" s="3"/>
    </row>
    <row r="7" customFormat="false" ht="15.5" hidden="false" customHeight="false" outlineLevel="0" collapsed="false">
      <c r="A7" s="3" t="s">
        <v>5</v>
      </c>
      <c r="B7" s="3"/>
      <c r="C7" s="3"/>
      <c r="D7" s="3"/>
      <c r="E7" s="3"/>
      <c r="F7" s="3"/>
      <c r="G7" s="3"/>
      <c r="H7" s="3"/>
      <c r="I7" s="3"/>
    </row>
    <row r="9" customFormat="false" ht="15" hidden="false" customHeight="false" outlineLevel="0" collapsed="false">
      <c r="A9" s="4" t="s">
        <v>6</v>
      </c>
    </row>
    <row r="10" customFormat="false" ht="29" hidden="false" customHeight="false" outlineLevel="0" collapsed="false">
      <c r="A10" s="29" t="s">
        <v>7</v>
      </c>
    </row>
    <row r="11" customFormat="false" ht="29" hidden="false" customHeight="false" outlineLevel="0" collapsed="false">
      <c r="A11" s="29" t="s">
        <v>8</v>
      </c>
    </row>
    <row r="12" customFormat="false" ht="15" hidden="false" customHeight="false" outlineLevel="0" collapsed="false">
      <c r="A12" s="5"/>
    </row>
    <row r="13" customFormat="false" ht="15" hidden="false" customHeight="false" outlineLevel="0" collapsed="false">
      <c r="A13" s="4" t="s">
        <v>9</v>
      </c>
    </row>
    <row r="14" customFormat="false" ht="15" hidden="false" customHeight="1" outlineLevel="0" collapsed="false">
      <c r="A14" s="30" t="s">
        <v>10</v>
      </c>
      <c r="B14" s="6"/>
      <c r="C14" s="6"/>
    </row>
    <row r="15" customFormat="false" ht="42" hidden="false" customHeight="false" outlineLevel="0" collapsed="false">
      <c r="A15" s="29" t="s">
        <v>11</v>
      </c>
    </row>
    <row r="16" customFormat="false" ht="15" hidden="false" customHeight="1" outlineLevel="0" collapsed="false">
      <c r="A16" s="30" t="s">
        <v>12</v>
      </c>
      <c r="B16" s="6"/>
      <c r="C16" s="6"/>
    </row>
    <row r="17" customFormat="false" ht="15" hidden="false" customHeight="false" outlineLevel="0" collapsed="false">
      <c r="A17" s="5"/>
    </row>
    <row r="18" customFormat="false" ht="15" hidden="false" customHeight="false" outlineLevel="0" collapsed="false">
      <c r="A18" s="4" t="s">
        <v>13</v>
      </c>
    </row>
    <row r="19" customFormat="false" ht="30" hidden="false" customHeight="false" outlineLevel="0" collapsed="false">
      <c r="A19" s="29" t="s">
        <v>14</v>
      </c>
    </row>
    <row r="20" customFormat="false" ht="30" hidden="false" customHeight="false" outlineLevel="0" collapsed="false">
      <c r="A20" s="29" t="s">
        <v>15</v>
      </c>
    </row>
    <row r="21" customFormat="false" ht="44" hidden="false" customHeight="false" outlineLevel="0" collapsed="false">
      <c r="A21" s="31" t="s">
        <v>16</v>
      </c>
    </row>
    <row r="22" customFormat="false" ht="29" hidden="false" customHeight="false" outlineLevel="0" collapsed="false">
      <c r="A22" s="29" t="s">
        <v>17</v>
      </c>
    </row>
    <row r="23" customFormat="false" ht="29" hidden="false" customHeight="false" outlineLevel="0" collapsed="false">
      <c r="A23" s="31" t="s">
        <v>18</v>
      </c>
    </row>
    <row r="24" customFormat="false" ht="28" hidden="false" customHeight="false" outlineLevel="0" collapsed="false">
      <c r="A24" s="31" t="s">
        <v>19</v>
      </c>
    </row>
    <row r="25" customFormat="false" ht="42" hidden="false" customHeight="false" outlineLevel="0" collapsed="false">
      <c r="A25" s="29" t="s">
        <v>20</v>
      </c>
    </row>
    <row r="26" customFormat="false" ht="30" hidden="false" customHeight="false" outlineLevel="0" collapsed="false">
      <c r="A26" s="29" t="s">
        <v>21</v>
      </c>
    </row>
    <row r="27" customFormat="false" ht="43" hidden="false" customHeight="false" outlineLevel="0" collapsed="false">
      <c r="A27" s="31" t="s">
        <v>22</v>
      </c>
    </row>
    <row r="28" customFormat="false" ht="15" hidden="false" customHeight="1" outlineLevel="0" collapsed="false">
      <c r="A28" s="32" t="s">
        <v>23</v>
      </c>
      <c r="B28" s="8"/>
      <c r="C28" s="8"/>
      <c r="D28" s="8"/>
      <c r="E28" s="8"/>
    </row>
    <row r="29" customFormat="false" ht="30" hidden="false" customHeight="false" outlineLevel="0" collapsed="false">
      <c r="A29" s="29" t="s">
        <v>24</v>
      </c>
    </row>
    <row r="30" customFormat="false" ht="29" hidden="false" customHeight="false" outlineLevel="0" collapsed="false">
      <c r="A30" s="31" t="s">
        <v>25</v>
      </c>
    </row>
    <row r="31" customFormat="false" ht="43" hidden="false" customHeight="false" outlineLevel="0" collapsed="false">
      <c r="A31" s="29" t="s">
        <v>26</v>
      </c>
    </row>
    <row r="32" customFormat="false" ht="30" hidden="false" customHeight="false" outlineLevel="0" collapsed="false">
      <c r="A32" s="31" t="s">
        <v>27</v>
      </c>
    </row>
    <row r="34" customFormat="false" ht="15" hidden="false" customHeight="false" outlineLevel="0" collapsed="false">
      <c r="A34" s="4" t="s">
        <v>28</v>
      </c>
    </row>
    <row r="35" customFormat="false" ht="15" hidden="false" customHeight="false" outlineLevel="0" collapsed="false">
      <c r="A35" s="7"/>
    </row>
    <row r="36" customFormat="false" ht="30" hidden="false" customHeight="false" outlineLevel="0" collapsed="false">
      <c r="A36" s="31" t="s">
        <v>29</v>
      </c>
    </row>
    <row r="37" customFormat="false" ht="42" hidden="false" customHeight="false" outlineLevel="0" collapsed="false">
      <c r="A37" s="29" t="s">
        <v>30</v>
      </c>
    </row>
    <row r="38" customFormat="false" ht="16" hidden="false" customHeight="false" outlineLevel="0" collapsed="false">
      <c r="A38" s="7" t="s">
        <v>31</v>
      </c>
    </row>
    <row r="39" customFormat="false" ht="16" hidden="false" customHeight="false" outlineLevel="0" collapsed="false">
      <c r="A39" s="31" t="s">
        <v>32</v>
      </c>
    </row>
    <row r="40" customFormat="false" ht="15" hidden="false" customHeight="false" outlineLevel="0" collapsed="false">
      <c r="A40" s="7"/>
    </row>
    <row r="41" customFormat="false" ht="16" hidden="false" customHeight="false" outlineLevel="0" collapsed="false">
      <c r="A41" s="7" t="s">
        <v>33</v>
      </c>
    </row>
    <row r="42" customFormat="false" ht="15" hidden="false" customHeight="false" outlineLevel="0" collapsed="false">
      <c r="A42" s="7"/>
    </row>
    <row r="43" customFormat="false" ht="44" hidden="false" customHeight="false" outlineLevel="0" collapsed="false">
      <c r="A43" s="29" t="s">
        <v>34</v>
      </c>
    </row>
    <row r="44" customFormat="false" ht="42" hidden="false" customHeight="false" outlineLevel="0" collapsed="false">
      <c r="A44" s="29" t="s">
        <v>35</v>
      </c>
    </row>
    <row r="45" customFormat="false" ht="44" hidden="false" customHeight="false" outlineLevel="0" collapsed="false">
      <c r="A45" s="31" t="s">
        <v>36</v>
      </c>
    </row>
    <row r="46" customFormat="false" ht="42" hidden="false" customHeight="false" outlineLevel="0" collapsed="false">
      <c r="A46" s="29" t="s">
        <v>37</v>
      </c>
    </row>
    <row r="47" customFormat="false" ht="15" hidden="false" customHeight="1" outlineLevel="0" collapsed="false">
      <c r="A47" s="32" t="s">
        <v>38</v>
      </c>
      <c r="B47" s="8"/>
      <c r="C47" s="8"/>
      <c r="D47" s="8"/>
      <c r="E47" s="8"/>
      <c r="F47" s="8"/>
      <c r="G47" s="8"/>
      <c r="H47" s="8"/>
      <c r="I47" s="8"/>
    </row>
    <row r="48" customFormat="false" ht="15" hidden="false" customHeight="false" outlineLevel="0" collapsed="false">
      <c r="A48" s="7"/>
    </row>
    <row r="49" customFormat="false" ht="16" hidden="false" customHeight="false" outlineLevel="0" collapsed="false">
      <c r="A49" s="7" t="s">
        <v>39</v>
      </c>
    </row>
    <row r="50" customFormat="false" ht="15" hidden="false" customHeight="false" outlineLevel="0" collapsed="false">
      <c r="A50" s="7"/>
    </row>
    <row r="51" customFormat="false" ht="30" hidden="false" customHeight="false" outlineLevel="0" collapsed="false">
      <c r="A51" s="31" t="s">
        <v>40</v>
      </c>
    </row>
    <row r="52" customFormat="false" ht="15" hidden="false" customHeight="false" outlineLevel="0" collapsed="false">
      <c r="A52" s="7"/>
    </row>
    <row r="53" customFormat="false" ht="15" hidden="false" customHeight="1" outlineLevel="0" collapsed="false">
      <c r="A53" s="32" t="s">
        <v>41</v>
      </c>
      <c r="B53" s="8"/>
      <c r="C53" s="8"/>
      <c r="D53" s="8"/>
      <c r="E53" s="8"/>
      <c r="F53" s="8"/>
      <c r="G53" s="8"/>
      <c r="H53" s="8"/>
      <c r="I53" s="8"/>
    </row>
    <row r="54" customFormat="false" ht="15" hidden="false" customHeight="false" outlineLevel="0" collapsed="false">
      <c r="A54" s="7"/>
    </row>
    <row r="55" customFormat="false" ht="16" hidden="false" customHeight="false" outlineLevel="0" collapsed="false">
      <c r="A55" s="7" t="s">
        <v>42</v>
      </c>
    </row>
    <row r="56" customFormat="false" ht="15" hidden="false" customHeight="false" outlineLevel="0" collapsed="false">
      <c r="A56" s="7"/>
    </row>
    <row r="57" customFormat="false" ht="30" hidden="false" customHeight="false" outlineLevel="0" collapsed="false">
      <c r="A57" s="31" t="s">
        <v>43</v>
      </c>
    </row>
    <row r="58" customFormat="false" ht="15" hidden="false" customHeight="false" outlineLevel="0" collapsed="false">
      <c r="A58" s="7"/>
    </row>
    <row r="59" customFormat="false" ht="15" hidden="false" customHeight="1" outlineLevel="0" collapsed="false">
      <c r="A59" s="32" t="s">
        <v>44</v>
      </c>
      <c r="B59" s="8"/>
      <c r="C59" s="8"/>
    </row>
    <row r="60" customFormat="false" ht="15" hidden="false" customHeight="false" outlineLevel="0" collapsed="false">
      <c r="A60" s="7"/>
    </row>
    <row r="61" customFormat="false" ht="16" hidden="false" customHeight="false" outlineLevel="0" collapsed="false">
      <c r="A61" s="7" t="s">
        <v>45</v>
      </c>
    </row>
    <row r="62" customFormat="false" ht="15" hidden="false" customHeight="false" outlineLevel="0" collapsed="false">
      <c r="A62" s="7"/>
    </row>
    <row r="63" customFormat="false" ht="29" hidden="false" customHeight="false" outlineLevel="0" collapsed="false">
      <c r="A63" s="31" t="s">
        <v>46</v>
      </c>
    </row>
    <row r="64" customFormat="false" ht="28" hidden="false" customHeight="false" outlineLevel="0" collapsed="false">
      <c r="A64" s="31" t="s">
        <v>47</v>
      </c>
    </row>
    <row r="65" customFormat="false" ht="30" hidden="false" customHeight="false" outlineLevel="0" collapsed="false">
      <c r="A65" s="31" t="s">
        <v>48</v>
      </c>
    </row>
    <row r="66" customFormat="false" ht="15" hidden="false" customHeight="false" outlineLevel="0" collapsed="false">
      <c r="A66" s="7" t="s">
        <v>49</v>
      </c>
    </row>
    <row r="67" customFormat="false" ht="43" hidden="false" customHeight="false" outlineLevel="0" collapsed="false">
      <c r="A67" s="29" t="s">
        <v>50</v>
      </c>
    </row>
    <row r="68" customFormat="false" ht="41.5" hidden="false" customHeight="false" outlineLevel="0" collapsed="false">
      <c r="A68" s="31" t="s">
        <v>51</v>
      </c>
    </row>
    <row r="69" customFormat="false" ht="15" hidden="false" customHeight="false" outlineLevel="0" collapsed="false">
      <c r="A69" s="7"/>
    </row>
    <row r="70" customFormat="false" ht="16" hidden="false" customHeight="false" outlineLevel="0" collapsed="false">
      <c r="A70" s="7" t="s">
        <v>52</v>
      </c>
    </row>
    <row r="71" customFormat="false" ht="15" hidden="false" customHeight="false" outlineLevel="0" collapsed="false">
      <c r="A71" s="7"/>
    </row>
    <row r="72" customFormat="false" ht="15" hidden="false" customHeight="1" outlineLevel="0" collapsed="false">
      <c r="A72" s="32" t="s">
        <v>53</v>
      </c>
      <c r="B72" s="8"/>
      <c r="C72" s="8"/>
      <c r="D72" s="8"/>
      <c r="E72" s="8"/>
      <c r="F72" s="8"/>
      <c r="G72" s="8"/>
      <c r="H72" s="8"/>
      <c r="I72" s="8"/>
    </row>
    <row r="73" customFormat="false" ht="28" hidden="false" customHeight="false" outlineLevel="0" collapsed="false">
      <c r="A73" s="31" t="s">
        <v>54</v>
      </c>
    </row>
    <row r="74" customFormat="false" ht="28" hidden="false" customHeight="false" outlineLevel="0" collapsed="false">
      <c r="A74" s="31" t="s">
        <v>55</v>
      </c>
    </row>
    <row r="75" customFormat="false" ht="28" hidden="false" customHeight="false" outlineLevel="0" collapsed="false">
      <c r="A75" s="31" t="s">
        <v>56</v>
      </c>
    </row>
    <row r="76" customFormat="false" ht="29" hidden="false" customHeight="false" outlineLevel="0" collapsed="false">
      <c r="A76" s="31" t="s">
        <v>57</v>
      </c>
    </row>
    <row r="77" customFormat="false" ht="15" hidden="false" customHeight="false" outlineLevel="0" collapsed="false">
      <c r="A77" s="7"/>
    </row>
    <row r="78" customFormat="false" ht="16" hidden="false" customHeight="false" outlineLevel="0" collapsed="false">
      <c r="A78" s="7" t="s">
        <v>58</v>
      </c>
    </row>
    <row r="79" customFormat="false" ht="15" hidden="false" customHeight="false" outlineLevel="0" collapsed="false">
      <c r="A79" s="7"/>
    </row>
    <row r="80" customFormat="false" ht="15" hidden="false" customHeight="1" outlineLevel="0" collapsed="false">
      <c r="A80" s="32" t="s">
        <v>59</v>
      </c>
      <c r="B80" s="8"/>
      <c r="C80" s="8"/>
      <c r="D80" s="8"/>
      <c r="E80" s="8"/>
      <c r="F80" s="8"/>
    </row>
    <row r="81" customFormat="false" ht="28" hidden="false" customHeight="false" outlineLevel="0" collapsed="false">
      <c r="A81" s="31" t="s">
        <v>60</v>
      </c>
    </row>
    <row r="82" customFormat="false" ht="28" hidden="false" customHeight="false" outlineLevel="0" collapsed="false">
      <c r="A82" s="31" t="s">
        <v>61</v>
      </c>
    </row>
    <row r="83" customFormat="false" ht="15" hidden="false" customHeight="false" outlineLevel="0" collapsed="false">
      <c r="A83" s="7"/>
    </row>
    <row r="84" customFormat="false" ht="16" hidden="false" customHeight="false" outlineLevel="0" collapsed="false">
      <c r="A84" s="7" t="s">
        <v>62</v>
      </c>
    </row>
    <row r="85" customFormat="false" ht="15" hidden="false" customHeight="false" outlineLevel="0" collapsed="false">
      <c r="A85" s="7"/>
    </row>
    <row r="86" customFormat="false" ht="28" hidden="false" customHeight="false" outlineLevel="0" collapsed="false">
      <c r="A86" s="31" t="s">
        <v>63</v>
      </c>
    </row>
    <row r="87" customFormat="false" ht="43" hidden="false" customHeight="false" outlineLevel="0" collapsed="false">
      <c r="A87" s="31" t="s">
        <v>64</v>
      </c>
    </row>
    <row r="88" customFormat="false" ht="15" hidden="false" customHeight="false" outlineLevel="0" collapsed="false">
      <c r="A88" s="7" t="s">
        <v>65</v>
      </c>
    </row>
    <row r="89" customFormat="false" ht="15" hidden="false" customHeight="1" outlineLevel="0" collapsed="false">
      <c r="A89" s="30" t="s">
        <v>66</v>
      </c>
      <c r="B89" s="6"/>
      <c r="C89" s="6"/>
      <c r="D89" s="6"/>
      <c r="E89" s="6"/>
      <c r="F89" s="6"/>
      <c r="G89" s="6"/>
    </row>
    <row r="90" customFormat="false" ht="28" hidden="false" customHeight="false" outlineLevel="0" collapsed="false">
      <c r="A90" s="31" t="s">
        <v>67</v>
      </c>
    </row>
    <row r="91" customFormat="false" ht="28" hidden="false" customHeight="false" outlineLevel="0" collapsed="false">
      <c r="A91" s="31" t="s">
        <v>68</v>
      </c>
    </row>
    <row r="92" customFormat="false" ht="30" hidden="false" customHeight="false" outlineLevel="0" collapsed="false">
      <c r="A92" s="31" t="s">
        <v>69</v>
      </c>
    </row>
    <row r="93" customFormat="false" ht="15" hidden="false" customHeight="1" outlineLevel="0" collapsed="false">
      <c r="A93" s="30" t="s">
        <v>70</v>
      </c>
      <c r="B93" s="6"/>
      <c r="C93" s="6"/>
      <c r="D93" s="6"/>
      <c r="E93" s="6"/>
    </row>
    <row r="94" customFormat="false" ht="16" hidden="false" customHeight="false" outlineLevel="0" collapsed="false">
      <c r="A94" s="7" t="s">
        <v>71</v>
      </c>
    </row>
    <row r="95" customFormat="false" ht="29" hidden="false" customHeight="false" outlineLevel="0" collapsed="false">
      <c r="A95" s="29" t="s">
        <v>72</v>
      </c>
    </row>
    <row r="96" customFormat="false" ht="15" hidden="false" customHeight="false" outlineLevel="0" collapsed="false">
      <c r="A96" s="31" t="s">
        <v>73</v>
      </c>
    </row>
    <row r="97" customFormat="false" ht="42" hidden="false" customHeight="false" outlineLevel="0" collapsed="false">
      <c r="A97" s="31" t="s">
        <v>74</v>
      </c>
    </row>
    <row r="98" customFormat="false" ht="29" hidden="false" customHeight="false" outlineLevel="0" collapsed="false">
      <c r="A98" s="31" t="s">
        <v>75</v>
      </c>
    </row>
    <row r="99" customFormat="false" ht="16" hidden="false" customHeight="false" outlineLevel="0" collapsed="false">
      <c r="A99" s="7" t="s">
        <v>76</v>
      </c>
    </row>
    <row r="100" customFormat="false" ht="30" hidden="false" customHeight="false" outlineLevel="0" collapsed="false">
      <c r="A100" s="31" t="s">
        <v>77</v>
      </c>
    </row>
    <row r="101" customFormat="false" ht="30" hidden="false" customHeight="false" outlineLevel="0" collapsed="false">
      <c r="A101" s="31" t="s">
        <v>78</v>
      </c>
    </row>
    <row r="102" customFormat="false" ht="29" hidden="false" customHeight="false" outlineLevel="0" collapsed="false">
      <c r="A102" s="31" t="s">
        <v>79</v>
      </c>
    </row>
    <row r="103" customFormat="false" ht="43" hidden="false" customHeight="false" outlineLevel="0" collapsed="false">
      <c r="A103" s="31" t="s">
        <v>80</v>
      </c>
    </row>
    <row r="104" customFormat="false" ht="30" hidden="false" customHeight="false" outlineLevel="0" collapsed="false">
      <c r="A104" s="31" t="s">
        <v>81</v>
      </c>
    </row>
    <row r="105" customFormat="false" ht="15" hidden="false" customHeight="false" outlineLevel="0" collapsed="false">
      <c r="A105" s="7"/>
    </row>
    <row r="106" customFormat="false" ht="16" hidden="false" customHeight="false" outlineLevel="0" collapsed="false">
      <c r="A106" s="7" t="s">
        <v>82</v>
      </c>
    </row>
    <row r="107" customFormat="false" ht="15" hidden="false" customHeight="false" outlineLevel="0" collapsed="false">
      <c r="A107" s="7"/>
    </row>
    <row r="108" customFormat="false" ht="29" hidden="false" customHeight="false" outlineLevel="0" collapsed="false">
      <c r="A108" s="31" t="s">
        <v>83</v>
      </c>
    </row>
    <row r="109" customFormat="false" ht="15" hidden="false" customHeight="false" outlineLevel="0" collapsed="false">
      <c r="A109" s="7" t="s">
        <v>84</v>
      </c>
    </row>
    <row r="110" customFormat="false" ht="29" hidden="false" customHeight="false" outlineLevel="0" collapsed="false">
      <c r="A110" s="31" t="s">
        <v>85</v>
      </c>
    </row>
    <row r="111" customFormat="false" ht="15" hidden="false" customHeight="1" outlineLevel="0" collapsed="false">
      <c r="A111" s="32" t="s">
        <v>86</v>
      </c>
      <c r="B111" s="8"/>
      <c r="C111" s="8"/>
      <c r="D111" s="8"/>
    </row>
    <row r="112" customFormat="false" ht="29" hidden="false" customHeight="false" outlineLevel="0" collapsed="false">
      <c r="A112" s="31" t="s">
        <v>87</v>
      </c>
    </row>
    <row r="113" customFormat="false" ht="15" hidden="false" customHeight="1" outlineLevel="0" collapsed="false">
      <c r="A113" s="32" t="s">
        <v>88</v>
      </c>
      <c r="B113" s="8"/>
      <c r="C113" s="8"/>
      <c r="D113" s="8"/>
      <c r="E113" s="8"/>
    </row>
    <row r="114" customFormat="false" ht="42" hidden="false" customHeight="false" outlineLevel="0" collapsed="false">
      <c r="A114" s="31" t="s">
        <v>89</v>
      </c>
    </row>
    <row r="115" customFormat="false" ht="42" hidden="false" customHeight="false" outlineLevel="0" collapsed="false">
      <c r="A115" s="31" t="s">
        <v>90</v>
      </c>
    </row>
    <row r="116" customFormat="false" ht="29" hidden="false" customHeight="false" outlineLevel="0" collapsed="false">
      <c r="A116" s="31" t="s">
        <v>91</v>
      </c>
    </row>
    <row r="117" customFormat="false" ht="15" hidden="false" customHeight="false" outlineLevel="0" collapsed="false">
      <c r="A117" s="31" t="s">
        <v>92</v>
      </c>
    </row>
    <row r="118" customFormat="false" ht="28" hidden="false" customHeight="false" outlineLevel="0" collapsed="false">
      <c r="A118" s="31" t="s">
        <v>93</v>
      </c>
    </row>
    <row r="119" customFormat="false" ht="15" hidden="false" customHeight="false" outlineLevel="0" collapsed="false">
      <c r="A119" s="7"/>
    </row>
    <row r="120" customFormat="false" ht="16" hidden="false" customHeight="false" outlineLevel="0" collapsed="false">
      <c r="A120" s="7" t="s">
        <v>94</v>
      </c>
    </row>
    <row r="121" customFormat="false" ht="15" hidden="false" customHeight="false" outlineLevel="0" collapsed="false">
      <c r="A121" s="7"/>
    </row>
    <row r="122" customFormat="false" ht="28" hidden="false" customHeight="false" outlineLevel="0" collapsed="false">
      <c r="A122" s="31" t="s">
        <v>95</v>
      </c>
    </row>
    <row r="123" customFormat="false" ht="28" hidden="false" customHeight="false" outlineLevel="0" collapsed="false">
      <c r="A123" s="31" t="s">
        <v>96</v>
      </c>
    </row>
    <row r="124" customFormat="false" ht="28" hidden="false" customHeight="false" outlineLevel="0" collapsed="false">
      <c r="A124" s="31" t="s">
        <v>97</v>
      </c>
    </row>
    <row r="125" customFormat="false" ht="15" hidden="false" customHeight="false" outlineLevel="0" collapsed="false">
      <c r="A125" s="7"/>
    </row>
    <row r="126" customFormat="false" ht="16" hidden="false" customHeight="false" outlineLevel="0" collapsed="false">
      <c r="A126" s="7" t="s">
        <v>98</v>
      </c>
    </row>
    <row r="127" customFormat="false" ht="15" hidden="false" customHeight="false" outlineLevel="0" collapsed="false">
      <c r="A127" s="7"/>
    </row>
    <row r="128" customFormat="false" ht="15" hidden="false" customHeight="1" outlineLevel="0" collapsed="false">
      <c r="A128" s="32" t="s">
        <v>99</v>
      </c>
      <c r="B128" s="8"/>
      <c r="C128" s="8"/>
    </row>
    <row r="129" customFormat="false" ht="15" hidden="false" customHeight="false" outlineLevel="0" collapsed="false">
      <c r="A129" s="7" t="s">
        <v>100</v>
      </c>
    </row>
    <row r="130" customFormat="false" ht="29" hidden="false" customHeight="false" outlineLevel="0" collapsed="false">
      <c r="A130" s="31" t="s">
        <v>101</v>
      </c>
    </row>
    <row r="131" customFormat="false" ht="29" hidden="false" customHeight="false" outlineLevel="0" collapsed="false">
      <c r="A131" s="31" t="s">
        <v>102</v>
      </c>
    </row>
    <row r="132" customFormat="false" ht="28" hidden="false" customHeight="false" outlineLevel="0" collapsed="false">
      <c r="A132" s="31" t="s">
        <v>103</v>
      </c>
    </row>
    <row r="133" customFormat="false" ht="15" hidden="false" customHeight="false" outlineLevel="0" collapsed="false">
      <c r="A133" s="7" t="s">
        <v>104</v>
      </c>
    </row>
    <row r="134" customFormat="false" ht="15" hidden="false" customHeight="false" outlineLevel="0" collapsed="false">
      <c r="A134" s="7"/>
    </row>
    <row r="135" customFormat="false" ht="41" hidden="false" customHeight="false" outlineLevel="0" collapsed="false">
      <c r="A135" s="31" t="s">
        <v>105</v>
      </c>
    </row>
    <row r="136" customFormat="false" ht="28" hidden="false" customHeight="false" outlineLevel="0" collapsed="false">
      <c r="A136" s="31" t="s">
        <v>106</v>
      </c>
    </row>
    <row r="137" customFormat="false" ht="29" hidden="false" customHeight="false" outlineLevel="0" collapsed="false">
      <c r="A137" s="31" t="s">
        <v>107</v>
      </c>
    </row>
    <row r="138" customFormat="false" ht="28" hidden="false" customHeight="false" outlineLevel="0" collapsed="false">
      <c r="A138" s="31" t="s">
        <v>108</v>
      </c>
    </row>
    <row r="139" customFormat="false" ht="43" hidden="false" customHeight="false" outlineLevel="0" collapsed="false">
      <c r="A139" s="31" t="s">
        <v>109</v>
      </c>
    </row>
    <row r="140" customFormat="false" ht="15" hidden="false" customHeight="1" outlineLevel="0" collapsed="false">
      <c r="A140" s="32" t="s">
        <v>110</v>
      </c>
      <c r="B140" s="8"/>
      <c r="C140" s="8"/>
      <c r="D140" s="8"/>
      <c r="E140" s="8"/>
      <c r="F140" s="8"/>
      <c r="G140" s="8"/>
      <c r="H140" s="8"/>
      <c r="I140" s="8"/>
    </row>
    <row r="141" customFormat="false" ht="15" hidden="false" customHeight="false" outlineLevel="0" collapsed="false">
      <c r="A141" s="7"/>
    </row>
    <row r="142" customFormat="false" ht="16" hidden="false" customHeight="false" outlineLevel="0" collapsed="false">
      <c r="A142" s="7" t="s">
        <v>111</v>
      </c>
    </row>
    <row r="143" customFormat="false" ht="15" hidden="false" customHeight="false" outlineLevel="0" collapsed="false">
      <c r="A143" s="7"/>
    </row>
    <row r="144" customFormat="false" ht="16" hidden="false" customHeight="false" outlineLevel="0" collapsed="false">
      <c r="A144" s="7" t="s">
        <v>112</v>
      </c>
    </row>
    <row r="145" customFormat="false" ht="42" hidden="false" customHeight="false" outlineLevel="0" collapsed="false">
      <c r="A145" s="31" t="s">
        <v>113</v>
      </c>
    </row>
    <row r="146" customFormat="false" ht="30" hidden="false" customHeight="false" outlineLevel="0" collapsed="false">
      <c r="A146" s="31" t="s">
        <v>114</v>
      </c>
    </row>
    <row r="147" customFormat="false" ht="16" hidden="false" customHeight="false" outlineLevel="0" collapsed="false">
      <c r="A147" s="5" t="s">
        <v>115</v>
      </c>
    </row>
    <row r="148" customFormat="false" ht="16" hidden="false" customHeight="false" outlineLevel="0" collapsed="false">
      <c r="A148" s="5" t="s">
        <v>116</v>
      </c>
    </row>
    <row r="149" customFormat="false" ht="16" hidden="false" customHeight="false" outlineLevel="0" collapsed="false">
      <c r="A149" s="5" t="s">
        <v>117</v>
      </c>
    </row>
    <row r="150" customFormat="false" ht="16" hidden="false" customHeight="false" outlineLevel="0" collapsed="false">
      <c r="A150" s="5" t="s">
        <v>118</v>
      </c>
    </row>
    <row r="151" customFormat="false" ht="29" hidden="false" customHeight="false" outlineLevel="0" collapsed="false">
      <c r="A151" s="31" t="s">
        <v>119</v>
      </c>
    </row>
    <row r="152" customFormat="false" ht="15" hidden="false" customHeight="false" outlineLevel="0" collapsed="false">
      <c r="A152" s="31" t="s">
        <v>120</v>
      </c>
    </row>
    <row r="153" customFormat="false" ht="15" hidden="false" customHeight="1" outlineLevel="0" collapsed="false">
      <c r="A153" s="32" t="s">
        <v>121</v>
      </c>
      <c r="B153" s="8"/>
      <c r="C153" s="8"/>
      <c r="D153" s="8"/>
      <c r="E153" s="8"/>
    </row>
    <row r="154" customFormat="false" ht="15" hidden="false" customHeight="false" outlineLevel="0" collapsed="false">
      <c r="A154" s="7"/>
    </row>
    <row r="155" customFormat="false" ht="16" hidden="false" customHeight="false" outlineLevel="0" collapsed="false">
      <c r="A155" s="7" t="s">
        <v>122</v>
      </c>
    </row>
    <row r="156" customFormat="false" ht="15" hidden="false" customHeight="false" outlineLevel="0" collapsed="false">
      <c r="A156" s="7"/>
    </row>
    <row r="157" customFormat="false" ht="29" hidden="false" customHeight="false" outlineLevel="0" collapsed="false">
      <c r="A157" s="31" t="s">
        <v>123</v>
      </c>
    </row>
    <row r="158" customFormat="false" ht="28" hidden="false" customHeight="false" outlineLevel="0" collapsed="false">
      <c r="A158" s="31" t="s">
        <v>124</v>
      </c>
    </row>
    <row r="159" customFormat="false" ht="28" hidden="false" customHeight="false" outlineLevel="0" collapsed="false">
      <c r="A159" s="31" t="s">
        <v>125</v>
      </c>
    </row>
    <row r="160" customFormat="false" ht="15" hidden="false" customHeight="1" outlineLevel="0" collapsed="false">
      <c r="A160" s="32" t="s">
        <v>126</v>
      </c>
      <c r="B160" s="8"/>
      <c r="C160" s="8"/>
      <c r="D160" s="8"/>
      <c r="E160" s="8"/>
      <c r="F160" s="8"/>
      <c r="G160" s="8"/>
      <c r="H160" s="8"/>
      <c r="I160" s="8"/>
    </row>
    <row r="161" customFormat="false" ht="15" hidden="false" customHeight="false" outlineLevel="0" collapsed="false">
      <c r="A161" s="7"/>
    </row>
    <row r="162" customFormat="false" ht="16" hidden="false" customHeight="false" outlineLevel="0" collapsed="false">
      <c r="A162" s="7" t="s">
        <v>127</v>
      </c>
    </row>
    <row r="163" customFormat="false" ht="15" hidden="false" customHeight="false" outlineLevel="0" collapsed="false">
      <c r="A163" s="7"/>
    </row>
    <row r="164" customFormat="false" ht="28" hidden="false" customHeight="false" outlineLevel="0" collapsed="false">
      <c r="A164" s="31" t="s">
        <v>128</v>
      </c>
    </row>
    <row r="166" customFormat="false" ht="29" hidden="false" customHeight="false" outlineLevel="0" collapsed="false">
      <c r="A166" s="33" t="s">
        <v>129</v>
      </c>
    </row>
    <row r="167" customFormat="false" ht="15.5" hidden="false" customHeight="false" outlineLevel="0" collapsed="false">
      <c r="A167" s="2" t="s">
        <v>130</v>
      </c>
    </row>
    <row r="168" customFormat="false" ht="15.5" hidden="false" customHeight="false" outlineLevel="0" collapsed="false">
      <c r="A168" s="2" t="s">
        <v>131</v>
      </c>
    </row>
    <row r="169" customFormat="false" ht="15.5" hidden="false" customHeight="false" outlineLevel="0" collapsed="false">
      <c r="A169" s="2" t="s">
        <v>132</v>
      </c>
    </row>
    <row r="170" customFormat="false" ht="15.5" hidden="false" customHeight="false" outlineLevel="0" collapsed="false">
      <c r="A170" s="2" t="s">
        <v>133</v>
      </c>
    </row>
    <row r="171" customFormat="false" ht="15.5" hidden="false" customHeight="false" outlineLevel="0" collapsed="false">
      <c r="A171" s="2" t="s">
        <v>134</v>
      </c>
    </row>
    <row r="172" customFormat="false" ht="15.5" hidden="false" customHeight="false" outlineLevel="0" collapsed="false">
      <c r="A172" s="2" t="s">
        <v>135</v>
      </c>
    </row>
    <row r="173" customFormat="false" ht="15.5" hidden="false" customHeight="false" outlineLevel="0" collapsed="false">
      <c r="A173" s="2" t="s">
        <v>136</v>
      </c>
    </row>
    <row r="174" customFormat="false" ht="15.5" hidden="false" customHeight="false" outlineLevel="0" collapsed="false">
      <c r="A174" s="2" t="s">
        <v>137</v>
      </c>
    </row>
    <row r="175" customFormat="false" ht="15.5" hidden="false" customHeight="false" outlineLevel="0" collapsed="false">
      <c r="A175" s="2" t="s">
        <v>138</v>
      </c>
    </row>
    <row r="176" customFormat="false" ht="15.5" hidden="false" customHeight="false" outlineLevel="0" collapsed="false">
      <c r="A176" s="2" t="s">
        <v>139</v>
      </c>
    </row>
    <row r="177" customFormat="false" ht="15.5" hidden="false" customHeight="false" outlineLevel="0" collapsed="false">
      <c r="A177" s="2" t="s">
        <v>140</v>
      </c>
    </row>
    <row r="178" customFormat="false" ht="15.5" hidden="false" customHeight="false" outlineLevel="0" collapsed="false">
      <c r="A178" s="2" t="s">
        <v>141</v>
      </c>
    </row>
    <row r="179" customFormat="false" ht="15.5" hidden="false" customHeight="false" outlineLevel="0" collapsed="false">
      <c r="A179" s="2" t="s">
        <v>142</v>
      </c>
    </row>
    <row r="181" customFormat="false" ht="15" hidden="false" customHeight="false" outlineLevel="0" collapsed="false">
      <c r="A181" s="4" t="s">
        <v>143</v>
      </c>
    </row>
    <row r="182" customFormat="false" ht="30" hidden="false" customHeight="false" outlineLevel="0" collapsed="false">
      <c r="A182" s="31" t="s">
        <v>144</v>
      </c>
    </row>
    <row r="183" customFormat="false" ht="28" hidden="false" customHeight="false" outlineLevel="0" collapsed="false">
      <c r="A183" s="31" t="s">
        <v>145</v>
      </c>
    </row>
    <row r="184" customFormat="false" ht="15" hidden="false" customHeight="false" outlineLevel="0" collapsed="false">
      <c r="A184" s="7"/>
    </row>
    <row r="185" customFormat="false" ht="15" hidden="false" customHeight="false" outlineLevel="0" collapsed="false">
      <c r="A185" s="4" t="s">
        <v>146</v>
      </c>
    </row>
    <row r="186" customFormat="false" ht="28" hidden="false" customHeight="false" outlineLevel="0" collapsed="false">
      <c r="A186" s="31" t="s">
        <v>147</v>
      </c>
    </row>
    <row r="187" customFormat="false" ht="29" hidden="false" customHeight="false" outlineLevel="0" collapsed="false">
      <c r="A187" s="31" t="s">
        <v>148</v>
      </c>
    </row>
    <row r="189" customFormat="false" ht="15.5" hidden="false" customHeight="false" outlineLevel="0" collapsed="false">
      <c r="A189" s="9" t="s">
        <v>149</v>
      </c>
    </row>
  </sheetData>
  <mergeCells count="19">
    <mergeCell ref="A5:L5"/>
    <mergeCell ref="A6:J6"/>
    <mergeCell ref="A7:Y7"/>
    <mergeCell ref="A14:I14"/>
    <mergeCell ref="A16:J16"/>
    <mergeCell ref="A28:N28"/>
    <mergeCell ref="A47:T47"/>
    <mergeCell ref="A53:Y53"/>
    <mergeCell ref="A59:J59"/>
    <mergeCell ref="A72:T72"/>
    <mergeCell ref="A80:O80"/>
    <mergeCell ref="A89:P89"/>
    <mergeCell ref="A93:M93"/>
    <mergeCell ref="A111:K111"/>
    <mergeCell ref="A113:M113"/>
    <mergeCell ref="A128:I128"/>
    <mergeCell ref="A140:W140"/>
    <mergeCell ref="A153:M153"/>
    <mergeCell ref="A160:W16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7.69140625" defaultRowHeight="15" customHeight="false" zeroHeight="false" outlineLevelRow="0" outlineLevelCol="0"/>
  <cols>
    <col collapsed="false" customWidth="true" hidden="false" outlineLevel="0" max="1" min="1" style="10" width="27.31"/>
    <col collapsed="false" customWidth="true" hidden="false" outlineLevel="0" max="7" min="2" style="10" width="14.56"/>
    <col collapsed="false" customWidth="true" hidden="false" outlineLevel="0" max="8" min="8" style="10" width="49.13"/>
  </cols>
  <sheetData>
    <row r="1" customFormat="false" ht="19" hidden="false" customHeight="false" outlineLevel="0" collapsed="false">
      <c r="A1" s="11" t="s">
        <v>150</v>
      </c>
      <c r="B1" s="11"/>
      <c r="C1" s="11"/>
      <c r="D1" s="11"/>
      <c r="E1" s="11"/>
    </row>
    <row r="3" customFormat="false" ht="15.5" hidden="false" customHeight="false" outlineLevel="0" collapsed="false">
      <c r="A3" s="12" t="s">
        <v>151</v>
      </c>
      <c r="B3" s="12"/>
      <c r="C3" s="12"/>
      <c r="D3" s="13"/>
      <c r="E3" s="13"/>
      <c r="F3" s="13"/>
      <c r="G3" s="13"/>
      <c r="H3" s="13"/>
    </row>
    <row r="4" customFormat="false" ht="15" hidden="false" customHeight="false" outlineLevel="0" collapsed="false">
      <c r="A4" s="14" t="s">
        <v>152</v>
      </c>
      <c r="B4" s="14" t="s">
        <v>153</v>
      </c>
      <c r="C4" s="14"/>
      <c r="D4" s="14"/>
    </row>
    <row r="5" customFormat="false" ht="16" hidden="false" customHeight="false" outlineLevel="0" collapsed="false">
      <c r="A5" s="10" t="s">
        <v>154</v>
      </c>
      <c r="B5" s="15" t="s">
        <v>155</v>
      </c>
      <c r="C5" s="15"/>
      <c r="D5" s="15"/>
      <c r="E5" s="15"/>
    </row>
    <row r="6" customFormat="false" ht="16" hidden="false" customHeight="false" outlineLevel="0" collapsed="false">
      <c r="A6" s="10" t="s">
        <v>156</v>
      </c>
      <c r="B6" s="15" t="s">
        <v>157</v>
      </c>
      <c r="C6" s="15"/>
      <c r="D6" s="15"/>
      <c r="E6" s="15"/>
    </row>
    <row r="7" customFormat="false" ht="16" hidden="false" customHeight="false" outlineLevel="0" collapsed="false">
      <c r="A7" s="10" t="s">
        <v>158</v>
      </c>
      <c r="B7" s="15" t="s">
        <v>159</v>
      </c>
      <c r="C7" s="15"/>
      <c r="D7" s="15"/>
      <c r="E7" s="15"/>
    </row>
    <row r="8" customFormat="false" ht="16" hidden="false" customHeight="false" outlineLevel="0" collapsed="false">
      <c r="A8" s="10" t="s">
        <v>160</v>
      </c>
      <c r="B8" s="15" t="s">
        <v>161</v>
      </c>
      <c r="C8" s="15"/>
      <c r="D8" s="15"/>
      <c r="E8" s="15"/>
      <c r="F8" s="15"/>
    </row>
    <row r="9" customFormat="false" ht="16" hidden="false" customHeight="false" outlineLevel="0" collapsed="false">
      <c r="A9" s="10" t="s">
        <v>162</v>
      </c>
      <c r="B9" s="16" t="n">
        <v>0.2</v>
      </c>
      <c r="C9" s="15" t="s">
        <v>163</v>
      </c>
      <c r="D9" s="15"/>
      <c r="E9" s="15"/>
    </row>
    <row r="11" customFormat="false" ht="15.5" hidden="false" customHeight="false" outlineLevel="0" collapsed="false">
      <c r="A11" s="12" t="s">
        <v>164</v>
      </c>
      <c r="B11" s="12"/>
      <c r="C11" s="12"/>
      <c r="D11" s="13"/>
      <c r="E11" s="13"/>
      <c r="F11" s="13"/>
      <c r="G11" s="13"/>
      <c r="H11" s="13"/>
    </row>
    <row r="12" customFormat="false" ht="15" hidden="false" customHeight="false" outlineLevel="0" collapsed="false">
      <c r="A12" s="14" t="s">
        <v>165</v>
      </c>
      <c r="B12" s="14" t="s">
        <v>166</v>
      </c>
      <c r="C12" s="14" t="s">
        <v>167</v>
      </c>
      <c r="D12" s="14"/>
    </row>
    <row r="13" customFormat="false" ht="15" hidden="false" customHeight="false" outlineLevel="0" collapsed="false">
      <c r="A13" s="10" t="s">
        <v>168</v>
      </c>
      <c r="B13" s="10" t="s">
        <v>169</v>
      </c>
      <c r="C13" s="15" t="s">
        <v>170</v>
      </c>
      <c r="D13" s="15"/>
      <c r="E13" s="15"/>
      <c r="F13" s="15"/>
    </row>
    <row r="14" customFormat="false" ht="15" hidden="false" customHeight="false" outlineLevel="0" collapsed="false">
      <c r="A14" s="10" t="s">
        <v>171</v>
      </c>
      <c r="B14" s="10" t="s">
        <v>172</v>
      </c>
      <c r="C14" s="15" t="s">
        <v>173</v>
      </c>
      <c r="D14" s="15"/>
      <c r="E14" s="15"/>
      <c r="F14" s="15"/>
      <c r="G14" s="15"/>
    </row>
    <row r="15" customFormat="false" ht="16" hidden="false" customHeight="false" outlineLevel="0" collapsed="false">
      <c r="A15" s="10" t="s">
        <v>174</v>
      </c>
      <c r="B15" s="17" t="s">
        <v>175</v>
      </c>
      <c r="C15" s="15" t="s">
        <v>176</v>
      </c>
      <c r="D15" s="15"/>
      <c r="E15" s="15"/>
    </row>
    <row r="17" customFormat="false" ht="15.5" hidden="false" customHeight="false" outlineLevel="0" collapsed="false">
      <c r="A17" s="12" t="s">
        <v>177</v>
      </c>
      <c r="B17" s="12"/>
      <c r="C17" s="12"/>
      <c r="D17" s="13"/>
      <c r="E17" s="13"/>
      <c r="F17" s="13"/>
      <c r="G17" s="13"/>
      <c r="H17" s="13"/>
    </row>
    <row r="18" customFormat="false" ht="15.5" hidden="false" customHeight="false" outlineLevel="0" collapsed="false">
      <c r="A18" s="14" t="s">
        <v>152</v>
      </c>
      <c r="B18" s="14" t="s">
        <v>178</v>
      </c>
      <c r="C18" s="14"/>
      <c r="D18" s="14"/>
      <c r="E18" s="14"/>
      <c r="F18" s="14"/>
      <c r="G18" s="14"/>
      <c r="H18" s="14"/>
    </row>
    <row r="19" customFormat="false" ht="15" hidden="false" customHeight="false" outlineLevel="0" collapsed="false">
      <c r="A19" s="10" t="s">
        <v>179</v>
      </c>
      <c r="B19" s="15" t="s">
        <v>180</v>
      </c>
      <c r="C19" s="15"/>
      <c r="D19" s="15"/>
      <c r="E19" s="15"/>
      <c r="F19" s="15"/>
    </row>
    <row r="20" customFormat="false" ht="16" hidden="false" customHeight="false" outlineLevel="0" collapsed="false">
      <c r="A20" s="10" t="s">
        <v>181</v>
      </c>
      <c r="B20" s="15" t="s">
        <v>182</v>
      </c>
      <c r="C20" s="15"/>
      <c r="D20" s="15"/>
      <c r="E20" s="15"/>
    </row>
    <row r="21" customFormat="false" ht="16" hidden="false" customHeight="false" outlineLevel="0" collapsed="false">
      <c r="A21" s="17" t="s">
        <v>183</v>
      </c>
      <c r="B21" s="15" t="s">
        <v>184</v>
      </c>
      <c r="C21" s="15"/>
      <c r="D21" s="15"/>
      <c r="E21" s="15"/>
      <c r="F21" s="15"/>
    </row>
    <row r="23" customFormat="false" ht="15.5" hidden="false" customHeight="false" outlineLevel="0" collapsed="false">
      <c r="A23" s="12" t="s">
        <v>185</v>
      </c>
      <c r="B23" s="12"/>
      <c r="C23" s="12"/>
      <c r="D23" s="12"/>
      <c r="E23" s="12"/>
      <c r="F23" s="13"/>
      <c r="G23" s="13"/>
      <c r="H23" s="13"/>
    </row>
    <row r="24" customFormat="false" ht="15" hidden="false" customHeight="false" outlineLevel="0" collapsed="false">
      <c r="A24" s="14" t="s">
        <v>186</v>
      </c>
      <c r="B24" s="14" t="s">
        <v>187</v>
      </c>
      <c r="C24" s="14" t="s">
        <v>188</v>
      </c>
      <c r="D24" s="14" t="s">
        <v>189</v>
      </c>
      <c r="E24" s="14" t="s">
        <v>146</v>
      </c>
      <c r="F24" s="14"/>
      <c r="G24" s="14"/>
      <c r="H24" s="14"/>
    </row>
    <row r="25" customFormat="false" ht="16" hidden="false" customHeight="false" outlineLevel="0" collapsed="false">
      <c r="A25" s="10" t="s">
        <v>190</v>
      </c>
      <c r="B25" s="18" t="n">
        <v>2</v>
      </c>
      <c r="C25" s="19" t="n">
        <f aca="false">B25</f>
        <v>2</v>
      </c>
      <c r="D25" s="19" t="n">
        <f aca="false">B25</f>
        <v>2</v>
      </c>
      <c r="E25" s="15" t="s">
        <v>191</v>
      </c>
      <c r="F25" s="15"/>
      <c r="G25" s="15"/>
    </row>
    <row r="26" customFormat="false" ht="16" hidden="false" customHeight="false" outlineLevel="0" collapsed="false">
      <c r="A26" s="10" t="s">
        <v>192</v>
      </c>
      <c r="B26" s="18" t="n">
        <v>2</v>
      </c>
      <c r="C26" s="18" t="n">
        <v>1</v>
      </c>
      <c r="D26" s="19" t="n">
        <f aca="false">B26</f>
        <v>2</v>
      </c>
      <c r="E26" s="15" t="s">
        <v>193</v>
      </c>
      <c r="F26" s="15"/>
      <c r="G26" s="15"/>
    </row>
    <row r="27" customFormat="false" ht="16" hidden="false" customHeight="false" outlineLevel="0" collapsed="false">
      <c r="A27" s="10" t="s">
        <v>194</v>
      </c>
      <c r="B27" s="18" t="n">
        <v>1</v>
      </c>
      <c r="C27" s="18" t="n">
        <v>2</v>
      </c>
      <c r="D27" s="18" t="n">
        <v>2</v>
      </c>
      <c r="E27" s="15" t="s">
        <v>195</v>
      </c>
      <c r="F27" s="15"/>
      <c r="G27" s="15"/>
    </row>
    <row r="28" customFormat="false" ht="16" hidden="false" customHeight="false" outlineLevel="0" collapsed="false">
      <c r="A28" s="10" t="s">
        <v>196</v>
      </c>
      <c r="B28" s="18" t="n">
        <v>2</v>
      </c>
      <c r="C28" s="18" t="n">
        <v>1</v>
      </c>
      <c r="D28" s="19" t="n">
        <f aca="false">B28</f>
        <v>2</v>
      </c>
      <c r="E28" s="10" t="s">
        <v>197</v>
      </c>
    </row>
    <row r="29" customFormat="false" ht="16" hidden="false" customHeight="false" outlineLevel="0" collapsed="false">
      <c r="A29" s="10" t="s">
        <v>198</v>
      </c>
      <c r="B29" s="18" t="n">
        <v>3</v>
      </c>
      <c r="C29" s="18" t="n">
        <v>2</v>
      </c>
      <c r="D29" s="19" t="n">
        <f aca="false">B29+1</f>
        <v>4</v>
      </c>
      <c r="E29" s="15" t="s">
        <v>199</v>
      </c>
      <c r="F29" s="15"/>
      <c r="G29" s="15"/>
      <c r="H29" s="15"/>
    </row>
    <row r="30" customFormat="false" ht="16" hidden="false" customHeight="false" outlineLevel="0" collapsed="false">
      <c r="A30" s="10" t="s">
        <v>200</v>
      </c>
      <c r="B30" s="18" t="n">
        <v>0</v>
      </c>
      <c r="C30" s="18" t="n">
        <v>0</v>
      </c>
      <c r="D30" s="18" t="n">
        <v>0</v>
      </c>
      <c r="E30" s="15" t="s">
        <v>201</v>
      </c>
      <c r="F30" s="15"/>
      <c r="G30" s="15"/>
      <c r="H30" s="15"/>
    </row>
    <row r="31" customFormat="false" ht="16" hidden="false" customHeight="false" outlineLevel="0" collapsed="false">
      <c r="A31" s="20" t="s">
        <v>202</v>
      </c>
      <c r="B31" s="20"/>
      <c r="C31" s="21" t="n">
        <f aca="false">PRODUCT(C25:C29)</f>
        <v>8</v>
      </c>
      <c r="D31" s="21" t="n">
        <f aca="false">PRODUCT(D25:D29)</f>
        <v>64</v>
      </c>
      <c r="E31" s="15" t="s">
        <v>203</v>
      </c>
      <c r="F31" s="15"/>
      <c r="G31" s="15"/>
      <c r="H31" s="15"/>
    </row>
    <row r="32" customFormat="false" ht="15.5" hidden="false" customHeight="true" outlineLevel="0" collapsed="false">
      <c r="A32" s="22" t="s">
        <v>204</v>
      </c>
      <c r="B32" s="22"/>
      <c r="C32" s="22"/>
      <c r="D32" s="22"/>
      <c r="E32" s="22"/>
      <c r="F32" s="22"/>
      <c r="G32" s="22"/>
      <c r="H32" s="22"/>
    </row>
    <row r="34" customFormat="false" ht="15.5" hidden="false" customHeight="false" outlineLevel="0" collapsed="false">
      <c r="A34" s="12" t="s">
        <v>205</v>
      </c>
      <c r="B34" s="12"/>
      <c r="C34" s="12"/>
      <c r="D34" s="12"/>
      <c r="E34" s="12"/>
      <c r="F34" s="13"/>
      <c r="G34" s="13"/>
      <c r="H34" s="13"/>
    </row>
    <row r="35" customFormat="false" ht="15.5" hidden="false" customHeight="false" outlineLevel="0" collapsed="false">
      <c r="A35" s="14" t="s">
        <v>206</v>
      </c>
      <c r="B35" s="14" t="s">
        <v>207</v>
      </c>
      <c r="C35" s="14" t="s">
        <v>208</v>
      </c>
      <c r="D35" s="14" t="s">
        <v>209</v>
      </c>
      <c r="E35" s="14" t="s">
        <v>146</v>
      </c>
      <c r="F35" s="14"/>
      <c r="G35" s="14"/>
      <c r="H35" s="14"/>
    </row>
    <row r="36" customFormat="false" ht="16" hidden="false" customHeight="false" outlineLevel="0" collapsed="false">
      <c r="A36" s="10" t="n">
        <v>2</v>
      </c>
      <c r="B36" s="16" t="n">
        <v>0.166666666666667</v>
      </c>
      <c r="C36" s="23" t="n">
        <f aca="false">A36*$B$9</f>
        <v>0.4</v>
      </c>
      <c r="D36" s="23" t="n">
        <f aca="false">B36*C36</f>
        <v>0.0666666666666667</v>
      </c>
      <c r="E36" s="15" t="s">
        <v>210</v>
      </c>
      <c r="F36" s="15"/>
      <c r="G36" s="15"/>
      <c r="H36" s="15"/>
    </row>
    <row r="37" customFormat="false" ht="15" hidden="false" customHeight="false" outlineLevel="0" collapsed="false">
      <c r="A37" s="10" t="n">
        <v>3</v>
      </c>
      <c r="B37" s="16" t="n">
        <v>0.166666666666667</v>
      </c>
      <c r="C37" s="23" t="n">
        <f aca="false">A37*$B$9</f>
        <v>0.6</v>
      </c>
      <c r="D37" s="23" t="n">
        <f aca="false">B37*C37</f>
        <v>0.1</v>
      </c>
    </row>
    <row r="38" customFormat="false" ht="15" hidden="false" customHeight="false" outlineLevel="0" collapsed="false">
      <c r="A38" s="10" t="n">
        <v>4</v>
      </c>
      <c r="B38" s="16" t="n">
        <v>0.166666666666667</v>
      </c>
      <c r="C38" s="23" t="n">
        <f aca="false">A38*$B$9</f>
        <v>0.8</v>
      </c>
      <c r="D38" s="23" t="n">
        <f aca="false">B38*C38</f>
        <v>0.133333333333333</v>
      </c>
    </row>
    <row r="39" customFormat="false" ht="15" hidden="false" customHeight="false" outlineLevel="0" collapsed="false">
      <c r="A39" s="10" t="n">
        <v>5</v>
      </c>
      <c r="B39" s="16" t="n">
        <v>0.166666666666667</v>
      </c>
      <c r="C39" s="23" t="n">
        <f aca="false">A39*$B$9</f>
        <v>1</v>
      </c>
      <c r="D39" s="23" t="n">
        <f aca="false">B39*C39</f>
        <v>0.166666666666667</v>
      </c>
    </row>
    <row r="40" customFormat="false" ht="15" hidden="false" customHeight="false" outlineLevel="0" collapsed="false">
      <c r="A40" s="10" t="n">
        <v>6</v>
      </c>
      <c r="B40" s="16" t="n">
        <v>0.166666666666667</v>
      </c>
      <c r="C40" s="23" t="n">
        <f aca="false">A40*$B$9</f>
        <v>1.2</v>
      </c>
      <c r="D40" s="23" t="n">
        <f aca="false">B40*C40</f>
        <v>0.2</v>
      </c>
    </row>
    <row r="41" customFormat="false" ht="15" hidden="false" customHeight="false" outlineLevel="0" collapsed="false">
      <c r="A41" s="10" t="n">
        <v>7</v>
      </c>
      <c r="B41" s="16" t="n">
        <v>0.166666666666667</v>
      </c>
      <c r="C41" s="23" t="n">
        <f aca="false">A41*$B$9</f>
        <v>1.4</v>
      </c>
      <c r="D41" s="23" t="n">
        <f aca="false">B41*C41</f>
        <v>0.233333333333333</v>
      </c>
    </row>
    <row r="42" customFormat="false" ht="16" hidden="false" customHeight="false" outlineLevel="0" collapsed="false">
      <c r="A42" s="24" t="s">
        <v>211</v>
      </c>
      <c r="D42" s="25" t="n">
        <f aca="false">SUM(D36:D41)</f>
        <v>0.9</v>
      </c>
      <c r="E42" s="15" t="s">
        <v>212</v>
      </c>
      <c r="F42" s="15"/>
      <c r="G42" s="15"/>
      <c r="H42" s="15"/>
    </row>
    <row r="43" customFormat="false" ht="16" hidden="false" customHeight="false" outlineLevel="0" collapsed="false">
      <c r="A43" s="24" t="s">
        <v>213</v>
      </c>
      <c r="B43" s="25" t="n">
        <f aca="false">AVERAGE(A36:A41)</f>
        <v>4.5</v>
      </c>
      <c r="E43" s="15" t="s">
        <v>214</v>
      </c>
      <c r="F43" s="15"/>
      <c r="G43" s="15"/>
    </row>
    <row r="44" customFormat="false" ht="16" hidden="false" customHeight="false" outlineLevel="0" collapsed="false">
      <c r="A44" s="20" t="s">
        <v>215</v>
      </c>
      <c r="B44" s="20"/>
      <c r="D44" s="25" t="n">
        <f aca="false">B43*$B$9</f>
        <v>0.9</v>
      </c>
      <c r="E44" s="15" t="s">
        <v>216</v>
      </c>
      <c r="F44" s="15"/>
      <c r="G44" s="15"/>
      <c r="H44" s="15"/>
    </row>
    <row r="45" customFormat="false" ht="15.5" hidden="false" customHeight="true" outlineLevel="0" collapsed="false">
      <c r="A45" s="22" t="s">
        <v>217</v>
      </c>
      <c r="B45" s="22"/>
      <c r="C45" s="22"/>
      <c r="D45" s="22"/>
      <c r="E45" s="22"/>
      <c r="F45" s="22"/>
      <c r="G45" s="22"/>
      <c r="H45" s="22"/>
      <c r="I45" s="22"/>
    </row>
    <row r="47" customFormat="false" ht="15.5" hidden="false" customHeight="false" outlineLevel="0" collapsed="false">
      <c r="A47" s="12" t="s">
        <v>218</v>
      </c>
      <c r="B47" s="12"/>
      <c r="C47" s="12"/>
      <c r="D47" s="12"/>
      <c r="E47" s="13"/>
      <c r="F47" s="13"/>
      <c r="G47" s="13"/>
      <c r="H47" s="13"/>
    </row>
    <row r="48" customFormat="false" ht="15.5" hidden="false" customHeight="false" outlineLevel="0" collapsed="false">
      <c r="A48" s="14" t="s">
        <v>219</v>
      </c>
      <c r="B48" s="14" t="s">
        <v>166</v>
      </c>
      <c r="C48" s="14" t="s">
        <v>220</v>
      </c>
      <c r="D48" s="26" t="s">
        <v>221</v>
      </c>
      <c r="E48" s="26"/>
    </row>
    <row r="49" customFormat="false" ht="16" hidden="false" customHeight="false" outlineLevel="0" collapsed="false">
      <c r="A49" s="10" t="s">
        <v>222</v>
      </c>
      <c r="B49" s="10" t="s">
        <v>223</v>
      </c>
      <c r="C49" s="10" t="s">
        <v>224</v>
      </c>
      <c r="D49" s="15" t="s">
        <v>225</v>
      </c>
      <c r="E49" s="15"/>
      <c r="F49" s="15"/>
      <c r="G49" s="15"/>
      <c r="H49" s="15"/>
    </row>
    <row r="50" customFormat="false" ht="16" hidden="false" customHeight="false" outlineLevel="0" collapsed="false">
      <c r="A50" s="10" t="s">
        <v>226</v>
      </c>
      <c r="B50" s="10" t="s">
        <v>227</v>
      </c>
      <c r="C50" s="10" t="s">
        <v>228</v>
      </c>
      <c r="D50" s="15" t="s">
        <v>229</v>
      </c>
      <c r="E50" s="15"/>
      <c r="F50" s="15"/>
      <c r="G50" s="15"/>
      <c r="H50" s="15"/>
    </row>
    <row r="52" customFormat="false" ht="15.5" hidden="false" customHeight="false" outlineLevel="0" collapsed="false">
      <c r="A52" s="14" t="s">
        <v>230</v>
      </c>
      <c r="B52" s="26" t="s">
        <v>231</v>
      </c>
      <c r="C52" s="26"/>
      <c r="D52" s="14"/>
    </row>
    <row r="53" customFormat="false" ht="16" hidden="false" customHeight="false" outlineLevel="0" collapsed="false">
      <c r="A53" s="10" t="n">
        <v>1</v>
      </c>
      <c r="B53" s="17" t="s">
        <v>232</v>
      </c>
    </row>
    <row r="54" customFormat="false" ht="16" hidden="false" customHeight="false" outlineLevel="0" collapsed="false">
      <c r="A54" s="10" t="n">
        <v>2</v>
      </c>
      <c r="B54" s="17" t="s">
        <v>233</v>
      </c>
    </row>
    <row r="55" customFormat="false" ht="16" hidden="false" customHeight="false" outlineLevel="0" collapsed="false">
      <c r="A55" s="10" t="n">
        <v>3</v>
      </c>
      <c r="B55" s="17" t="s">
        <v>234</v>
      </c>
    </row>
    <row r="56" customFormat="false" ht="16" hidden="false" customHeight="false" outlineLevel="0" collapsed="false">
      <c r="A56" s="10" t="n">
        <v>4</v>
      </c>
      <c r="B56" s="17" t="s">
        <v>235</v>
      </c>
    </row>
    <row r="57" customFormat="false" ht="15" hidden="false" customHeight="false" outlineLevel="0" collapsed="false">
      <c r="A57" s="24" t="s">
        <v>236</v>
      </c>
      <c r="B57" s="21" t="n">
        <f aca="false">COUNTA(B53:B56)</f>
        <v>4</v>
      </c>
      <c r="D57" s="15" t="s">
        <v>237</v>
      </c>
      <c r="E57" s="15"/>
    </row>
    <row r="59" customFormat="false" ht="15" hidden="false" customHeight="false" outlineLevel="0" collapsed="false">
      <c r="A59" s="14" t="s">
        <v>238</v>
      </c>
      <c r="B59" s="14" t="s">
        <v>222</v>
      </c>
      <c r="C59" s="14" t="s">
        <v>226</v>
      </c>
      <c r="D59" s="14"/>
    </row>
    <row r="60" customFormat="false" ht="16" hidden="false" customHeight="false" outlineLevel="0" collapsed="false">
      <c r="A60" s="10" t="s">
        <v>239</v>
      </c>
      <c r="B60" s="10" t="s">
        <v>240</v>
      </c>
      <c r="C60" s="15" t="s">
        <v>241</v>
      </c>
      <c r="D60" s="15"/>
      <c r="E60" s="15"/>
      <c r="F60" s="15"/>
      <c r="G60" s="15"/>
    </row>
    <row r="61" customFormat="false" ht="15" hidden="false" customHeight="false" outlineLevel="0" collapsed="false">
      <c r="A61" s="10" t="s">
        <v>242</v>
      </c>
      <c r="B61" s="10" t="s">
        <v>243</v>
      </c>
      <c r="C61" s="15" t="s">
        <v>244</v>
      </c>
      <c r="D61" s="15"/>
      <c r="E61" s="15"/>
      <c r="F61" s="15"/>
      <c r="G61" s="15"/>
    </row>
    <row r="63" customFormat="false" ht="15.5" hidden="false" customHeight="false" outlineLevel="0" collapsed="false">
      <c r="A63" s="12" t="s">
        <v>245</v>
      </c>
      <c r="B63" s="12"/>
      <c r="C63" s="12"/>
      <c r="D63" s="13"/>
      <c r="E63" s="13"/>
      <c r="F63" s="13"/>
      <c r="G63" s="13"/>
      <c r="H63" s="13"/>
    </row>
    <row r="64" customFormat="false" ht="15" hidden="false" customHeight="false" outlineLevel="0" collapsed="false">
      <c r="A64" s="14" t="s">
        <v>246</v>
      </c>
      <c r="B64" s="14" t="s">
        <v>247</v>
      </c>
      <c r="C64" s="14" t="s">
        <v>146</v>
      </c>
      <c r="D64" s="14"/>
      <c r="E64" s="14"/>
      <c r="F64" s="14"/>
      <c r="G64" s="14"/>
      <c r="H64" s="14"/>
    </row>
    <row r="65" customFormat="false" ht="16" hidden="false" customHeight="false" outlineLevel="0" collapsed="false">
      <c r="A65" s="10" t="s">
        <v>248</v>
      </c>
      <c r="B65" s="27" t="str">
        <f aca="false">IF(C31&lt;D31,"✓","✗")</f>
        <v>✓</v>
      </c>
      <c r="C65" s="10" t="s">
        <v>249</v>
      </c>
    </row>
    <row r="66" customFormat="false" ht="16" hidden="false" customHeight="false" outlineLevel="0" collapsed="false">
      <c r="A66" s="10" t="s">
        <v>250</v>
      </c>
      <c r="B66" s="27" t="str">
        <f aca="false">IF(MAX(C25:C30)&lt;=2,"✓","✗")</f>
        <v>✓</v>
      </c>
      <c r="C66" s="15" t="s">
        <v>251</v>
      </c>
      <c r="D66" s="15"/>
    </row>
    <row r="67" customFormat="false" ht="15" hidden="false" customHeight="false" outlineLevel="0" collapsed="false">
      <c r="A67" s="10" t="s">
        <v>252</v>
      </c>
      <c r="B67" s="27" t="str">
        <f aca="false">IF(ABS(D42-D44)&lt;0.0000001,"✓","✗")</f>
        <v>✓</v>
      </c>
      <c r="C67" s="15" t="s">
        <v>253</v>
      </c>
      <c r="D67" s="15"/>
    </row>
    <row r="68" customFormat="false" ht="16" hidden="false" customHeight="false" outlineLevel="0" collapsed="false">
      <c r="A68" s="10" t="s">
        <v>254</v>
      </c>
      <c r="B68" s="27" t="str">
        <f aca="false">IF(ABS(B43-4.5)&lt;0.0001,"✓","✗")</f>
        <v>✓</v>
      </c>
      <c r="C68" s="28" t="s">
        <v>255</v>
      </c>
      <c r="D68" s="28"/>
    </row>
    <row r="69" customFormat="false" ht="16" hidden="false" customHeight="false" outlineLevel="0" collapsed="false">
      <c r="A69" s="10" t="s">
        <v>256</v>
      </c>
      <c r="B69" s="27" t="str">
        <f aca="false">IF(B57=4,"✓","✗")</f>
        <v>✓</v>
      </c>
      <c r="C69" s="28" t="s">
        <v>257</v>
      </c>
      <c r="D69" s="28"/>
    </row>
    <row r="71" customFormat="false" ht="28" hidden="false" customHeight="true" outlineLevel="0" collapsed="false">
      <c r="A71" s="22" t="s">
        <v>258</v>
      </c>
      <c r="B71" s="22"/>
      <c r="C71" s="22"/>
      <c r="D71" s="22"/>
      <c r="E71" s="22"/>
    </row>
  </sheetData>
  <mergeCells count="45">
    <mergeCell ref="A1:E1"/>
    <mergeCell ref="A3:C3"/>
    <mergeCell ref="B5:E5"/>
    <mergeCell ref="B6:E6"/>
    <mergeCell ref="B7:E7"/>
    <mergeCell ref="B8:F8"/>
    <mergeCell ref="C9:E9"/>
    <mergeCell ref="A11:C11"/>
    <mergeCell ref="C13:F13"/>
    <mergeCell ref="C14:G14"/>
    <mergeCell ref="C15:E15"/>
    <mergeCell ref="A17:C17"/>
    <mergeCell ref="B19:F19"/>
    <mergeCell ref="B20:E20"/>
    <mergeCell ref="B21:F21"/>
    <mergeCell ref="A23:E23"/>
    <mergeCell ref="E25:G25"/>
    <mergeCell ref="E26:G26"/>
    <mergeCell ref="E27:G27"/>
    <mergeCell ref="E29:H29"/>
    <mergeCell ref="E30:H30"/>
    <mergeCell ref="A31:B31"/>
    <mergeCell ref="E31:H31"/>
    <mergeCell ref="A32:H32"/>
    <mergeCell ref="A34:E34"/>
    <mergeCell ref="E36:H36"/>
    <mergeCell ref="E42:H42"/>
    <mergeCell ref="E43:G43"/>
    <mergeCell ref="A44:B44"/>
    <mergeCell ref="E44:H44"/>
    <mergeCell ref="A45:I45"/>
    <mergeCell ref="A47:D47"/>
    <mergeCell ref="D48:E48"/>
    <mergeCell ref="D49:H49"/>
    <mergeCell ref="D50:H50"/>
    <mergeCell ref="B52:C52"/>
    <mergeCell ref="D57:E57"/>
    <mergeCell ref="C60:G60"/>
    <mergeCell ref="C61:G61"/>
    <mergeCell ref="A63:C63"/>
    <mergeCell ref="C66:D66"/>
    <mergeCell ref="C67:D67"/>
    <mergeCell ref="C68:D68"/>
    <mergeCell ref="C69:D69"/>
    <mergeCell ref="A71:E7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LibreOffice/26.2.2.2$Windows_X86_64 LibreOffice_project/1f77d10d6938fd34972958f64b2bcfa54f8b1ba5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2026-09-29T15:06:27Z</dcterms:created>
  <dc:creator>openpyxl</dc:creator>
  <dc:description/>
  <dc:language>zh-CN</dc:language>
  <cp:lastModifiedBy/>
  <dcterms:modified xsi:type="dcterms:W3CDTF">2026-09-29T15:06:27Z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