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<sst xmlns="http://schemas.openxmlformats.org/spreadsheetml/2006/main" count="382" uniqueCount="255">
  <si>
    <r>
      <rPr>
        <b val="true"/>
        <sz val="14"/>
        <color rgb="FF1F4E79"/>
        <rFont val="Noto Sans SC"/>
        <family val="2"/>
        <charset val="134"/>
      </rPr>
      <t xml:space="preserve">从零开始学</t>
    </r>
    <r>
      <rPr>
        <b val="true"/>
        <sz val="14"/>
        <color rgb="FF1F4E79"/>
        <rFont val="Cambria"/>
        <family val="0"/>
        <charset val="1"/>
      </rPr>
      <t xml:space="preserve">Slots 22 —— </t>
    </r>
    <r>
      <rPr>
        <b val="true"/>
        <sz val="14"/>
        <color rgb="FF1F4E79"/>
        <rFont val="Noto Sans SC"/>
        <family val="2"/>
        <charset val="134"/>
      </rPr>
      <t xml:space="preserve">数值篇：不规则窗口</t>
    </r>
    <r>
      <rPr>
        <b val="true"/>
        <sz val="14"/>
        <color rgb="FF1F4E79"/>
        <rFont val="Cambria"/>
        <family val="0"/>
        <charset val="1"/>
      </rPr>
      <t xml:space="preserve">(2)</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</si>
  <si>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数值篇——不规则窗口</t>
    </r>
    <r>
      <rPr>
        <sz val="11"/>
        <color rgb="FF808080"/>
        <rFont val="Cambria"/>
        <family val="0"/>
        <charset val="1"/>
      </rPr>
      <t xml:space="preserve">(2)</t>
    </r>
    <r>
      <rPr>
        <sz val="11"/>
        <color rgb="FF808080"/>
        <rFont val="Noto Sans SC"/>
        <family val="2"/>
        <charset val="134"/>
      </rPr>
      <t xml:space="preserve">》  </t>
    </r>
    <r>
      <rPr>
        <sz val="11"/>
        <color rgb="FF808080"/>
        <rFont val="Cambria"/>
        <family val="0"/>
        <charset val="1"/>
      </rPr>
      <t xml:space="preserve">https://zhuanlan.zhihu.com/p/627624679</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</si>
  <si>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</si>
  <si>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</si>
  <si>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</si>
  <si>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配表说明：原文①卷轴、②图标个数、③事件数、④不出现事件数、⑥</t>
    </r>
    <r>
      <rPr>
        <sz val="11"/>
        <color rgb="FF808080"/>
        <rFont val="Cambria"/>
        <family val="0"/>
        <charset val="1"/>
      </rPr>
      <t xml:space="preserve">RTP </t>
    </r>
    <r>
      <rPr>
        <sz val="11"/>
        <color rgb="FF808080"/>
        <rFont val="Noto Sans SC"/>
        <family val="2"/>
        <charset val="134"/>
      </rPr>
      <t xml:space="preserve">均取自原文配图；不出现事件数保留原文④的两种口径（</t>
    </r>
    <r>
      <rPr>
        <sz val="11"/>
        <color rgb="FF808080"/>
        <rFont val="Cambria"/>
        <family val="0"/>
        <charset val="1"/>
      </rPr>
      <t xml:space="preserve">3 </t>
    </r>
    <r>
      <rPr>
        <sz val="11"/>
        <color rgb="FF808080"/>
        <rFont val="Noto Sans SC"/>
        <family val="2"/>
        <charset val="134"/>
      </rPr>
      <t xml:space="preserve">连的第 </t>
    </r>
    <r>
      <rPr>
        <sz val="11"/>
        <color rgb="FF808080"/>
        <rFont val="Cambria"/>
        <family val="0"/>
        <charset val="1"/>
      </rPr>
      <t xml:space="preserve">4 </t>
    </r>
    <r>
      <rPr>
        <sz val="11"/>
        <color rgb="FF808080"/>
        <rFont val="Noto Sans SC"/>
        <family val="2"/>
        <charset val="134"/>
      </rPr>
      <t xml:space="preserve">列用 窗口数 </t>
    </r>
    <r>
      <rPr>
        <sz val="11"/>
        <color rgb="FF808080"/>
        <rFont val="Cambria"/>
        <family val="0"/>
        <charset val="1"/>
      </rPr>
      <t xml:space="preserve">× </t>
    </r>
    <r>
      <rPr>
        <sz val="11"/>
        <color rgb="FF808080"/>
        <rFont val="Noto Sans SC"/>
        <family val="2"/>
        <charset val="134"/>
      </rPr>
      <t xml:space="preserve">每列停位数，</t>
    </r>
    <r>
      <rPr>
        <sz val="11"/>
        <color rgb="FF808080"/>
        <rFont val="Cambria"/>
        <family val="0"/>
        <charset val="1"/>
      </rPr>
      <t xml:space="preserve">4 </t>
    </r>
    <r>
      <rPr>
        <sz val="11"/>
        <color rgb="FF808080"/>
        <rFont val="Noto Sans SC"/>
        <family val="2"/>
        <charset val="134"/>
      </rPr>
      <t xml:space="preserve">连的第 </t>
    </r>
    <r>
      <rPr>
        <sz val="11"/>
        <color rgb="FF808080"/>
        <rFont val="Cambria"/>
        <family val="0"/>
        <charset val="1"/>
      </rPr>
      <t xml:space="preserve">5 </t>
    </r>
    <r>
      <rPr>
        <sz val="11"/>
        <color rgb="FF808080"/>
        <rFont val="Noto Sans SC"/>
        <family val="2"/>
        <charset val="134"/>
      </rPr>
      <t xml:space="preserve">列用窗口数原值），因此本簿可逐行复现原文⑥的 </t>
    </r>
    <r>
      <rPr>
        <sz val="11"/>
        <color rgb="FF808080"/>
        <rFont val="Cambria"/>
        <family val="0"/>
        <charset val="1"/>
      </rPr>
      <t xml:space="preserve">15 </t>
    </r>
    <r>
      <rPr>
        <sz val="11"/>
        <color rgb="FF808080"/>
        <rFont val="Noto Sans SC"/>
        <family val="2"/>
        <charset val="134"/>
      </rPr>
      <t xml:space="preserve">行 </t>
    </r>
    <r>
      <rPr>
        <sz val="11"/>
        <color rgb="FF808080"/>
        <rFont val="Cambria"/>
        <family val="0"/>
        <charset val="1"/>
      </rPr>
      <t xml:space="preserve">RTP</t>
    </r>
    <r>
      <rPr>
        <sz val="11"/>
        <color rgb="FF808080"/>
        <rFont val="Noto Sans SC"/>
        <family val="2"/>
        <charset val="134"/>
      </rPr>
      <t xml:space="preserve">（合计 </t>
    </r>
    <r>
      <rPr>
        <sz val="11"/>
        <color rgb="FF808080"/>
        <rFont val="Cambria"/>
        <family val="0"/>
        <charset val="1"/>
      </rPr>
      <t xml:space="preserve">99.7917</t>
    </r>
    <r>
      <rPr>
        <sz val="11"/>
        <color rgb="FF808080"/>
        <rFont val="Noto Sans SC"/>
        <family val="2"/>
        <charset val="134"/>
      </rPr>
      <t xml:space="preserve">）。</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</si>
  <si>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</si>
  <si>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</si>
  <si>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</si>
  <si>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</si>
  <si>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images/slots/627624679-NN.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</si>
  <si>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</si>
  <si>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</si>
  <si>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</si>
  <si>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3-4-5-4-3 </t>
    </r>
    <r>
      <rPr>
        <sz val="11"/>
        <color theme="1"/>
        <rFont val="Noto Sans SC"/>
        <family val="2"/>
        <charset val="134"/>
      </rPr>
      <t xml:space="preserve">的 </t>
    </r>
    <r>
      <rPr>
        <sz val="11"/>
        <color theme="1"/>
        <rFont val="Calibri"/>
        <family val="2"/>
        <charset val="1"/>
      </rPr>
      <t xml:space="preserve">Way Slots</t>
    </r>
    <r>
      <rPr>
        <sz val="11"/>
        <color theme="1"/>
        <rFont val="Noto Sans SC"/>
        <family val="2"/>
        <charset val="134"/>
      </rPr>
      <t xml:space="preserve">：</t>
    </r>
    <r>
      <rPr>
        <sz val="11"/>
        <color theme="1"/>
        <rFont val="Calibri"/>
        <family val="2"/>
        <charset val="1"/>
      </rPr>
      <t xml:space="preserve">5 </t>
    </r>
    <r>
      <rPr>
        <sz val="11"/>
        <color theme="1"/>
        <rFont val="Noto Sans SC"/>
        <family val="2"/>
        <charset val="134"/>
      </rPr>
      <t xml:space="preserve">个标准图标（</t>
    </r>
    <r>
      <rPr>
        <sz val="11"/>
        <color theme="1"/>
        <rFont val="Calibri"/>
        <family val="2"/>
        <charset val="1"/>
      </rPr>
      <t xml:space="preserve">9/10/J/Q/K</t>
    </r>
    <r>
      <rPr>
        <sz val="11"/>
        <color theme="1"/>
        <rFont val="Noto Sans SC"/>
        <family val="2"/>
        <charset val="134"/>
      </rPr>
      <t xml:space="preserve">）＋ </t>
    </r>
    <r>
      <rPr>
        <sz val="11"/>
        <color theme="1"/>
        <rFont val="Calibri"/>
        <family val="2"/>
        <charset val="1"/>
      </rPr>
      <t xml:space="preserve">1 </t>
    </r>
    <r>
      <rPr>
        <sz val="11"/>
        <color theme="1"/>
        <rFont val="Noto Sans SC"/>
        <family val="2"/>
        <charset val="134"/>
      </rPr>
      <t xml:space="preserve">个百搭，无特殊模式。</t>
    </r>
  </si>
  <si>
    <r>
      <rPr>
        <sz val="11"/>
        <color theme="1"/>
        <rFont val="Calibri"/>
        <family val="2"/>
        <charset val="1"/>
      </rPr>
      <t xml:space="preserve">· </t>
    </r>
    <r>
      <rPr>
        <sz val="11"/>
        <color theme="1"/>
        <rFont val="Noto Sans SC"/>
        <family val="2"/>
        <charset val="134"/>
      </rPr>
      <t xml:space="preserve">不规则窗口 </t>
    </r>
    <r>
      <rPr>
        <sz val="11"/>
        <color theme="1"/>
        <rFont val="Calibri"/>
        <family val="2"/>
        <charset val="1"/>
      </rPr>
      <t xml:space="preserve">+ </t>
    </r>
    <r>
      <rPr>
        <sz val="11"/>
        <color theme="1"/>
        <rFont val="Noto Sans SC"/>
        <family val="2"/>
        <charset val="134"/>
      </rPr>
      <t xml:space="preserve">固定卷轴要注意：① 遍历「不出现」要按各列自己的窗口高度分情况处理</t>
    </r>
  </si>
  <si>
    <r>
      <rPr>
        <sz val="11"/>
        <color theme="1"/>
        <rFont val="Noto Sans SC"/>
        <family val="2"/>
        <charset val="134"/>
      </rPr>
      <t xml:space="preserve">  （连续 </t>
    </r>
    <r>
      <rPr>
        <sz val="11"/>
        <color theme="1"/>
        <rFont val="Calibri"/>
        <family val="2"/>
        <charset val="1"/>
      </rPr>
      <t xml:space="preserve">3 </t>
    </r>
    <r>
      <rPr>
        <sz val="11"/>
        <color theme="1"/>
        <rFont val="Noto Sans SC"/>
        <family val="2"/>
        <charset val="134"/>
      </rPr>
      <t xml:space="preserve">行 </t>
    </r>
    <r>
      <rPr>
        <sz val="11"/>
        <color theme="1"/>
        <rFont val="Calibri"/>
        <family val="2"/>
        <charset val="1"/>
      </rPr>
      <t xml:space="preserve">/ 4 </t>
    </r>
    <r>
      <rPr>
        <sz val="11"/>
        <color theme="1"/>
        <rFont val="Noto Sans SC"/>
        <family val="2"/>
        <charset val="134"/>
      </rPr>
      <t xml:space="preserve">行 </t>
    </r>
    <r>
      <rPr>
        <sz val="11"/>
        <color theme="1"/>
        <rFont val="Calibri"/>
        <family val="2"/>
        <charset val="1"/>
      </rPr>
      <t xml:space="preserve">/ 5 </t>
    </r>
    <r>
      <rPr>
        <sz val="11"/>
        <color theme="1"/>
        <rFont val="Noto Sans SC"/>
        <family val="2"/>
        <charset val="134"/>
      </rPr>
      <t xml:space="preserve">行），并在卷轴末尾补上卷轴头部以模拟首尾相连（列</t>
    </r>
    <r>
      <rPr>
        <sz val="11"/>
        <color theme="1"/>
        <rFont val="Calibri"/>
        <family val="2"/>
        <charset val="1"/>
      </rPr>
      <t xml:space="preserve">3 </t>
    </r>
    <r>
      <rPr>
        <sz val="11"/>
        <color theme="1"/>
        <rFont val="Noto Sans SC"/>
        <family val="2"/>
        <charset val="134"/>
      </rPr>
      <t xml:space="preserve">补 </t>
    </r>
    <r>
      <rPr>
        <sz val="11"/>
        <color theme="1"/>
        <rFont val="Calibri"/>
        <family val="2"/>
        <charset val="1"/>
      </rPr>
      <t xml:space="preserve">4 </t>
    </r>
    <r>
      <rPr>
        <sz val="11"/>
        <color theme="1"/>
        <rFont val="Noto Sans SC"/>
        <family val="2"/>
        <charset val="134"/>
      </rPr>
      <t xml:space="preserve">行、其余列补 </t>
    </r>
    <r>
      <rPr>
        <sz val="11"/>
        <color theme="1"/>
        <rFont val="Calibri"/>
        <family val="2"/>
        <charset val="1"/>
      </rPr>
      <t xml:space="preserve">2 </t>
    </r>
    <r>
      <rPr>
        <sz val="11"/>
        <color theme="1"/>
        <rFont val="Noto Sans SC"/>
        <family val="2"/>
        <charset val="134"/>
      </rPr>
      <t xml:space="preserve">行）；</t>
    </r>
  </si>
  <si>
    <t xml:space="preserve">  ② 建议把各列行数单独列出，方便算「个数期望」。</t>
  </si>
  <si>
    <r>
      <rPr>
        <sz val="11"/>
        <color theme="1"/>
        <rFont val="Calibri"/>
        <family val="2"/>
        <charset val="1"/>
      </rPr>
      <t xml:space="preserve">· </t>
    </r>
    <r>
      <rPr>
        <sz val="11"/>
        <color theme="1"/>
        <rFont val="Noto Sans SC"/>
        <family val="2"/>
        <charset val="134"/>
      </rPr>
      <t xml:space="preserve">事件数（</t>
    </r>
    <r>
      <rPr>
        <sz val="11"/>
        <color theme="1"/>
        <rFont val="Calibri"/>
        <family val="2"/>
        <charset val="1"/>
      </rPr>
      <t xml:space="preserve">Way </t>
    </r>
    <r>
      <rPr>
        <sz val="11"/>
        <color theme="1"/>
        <rFont val="Noto Sans SC"/>
        <family val="2"/>
        <charset val="134"/>
      </rPr>
      <t xml:space="preserve">口径）＝（图标个数 ＋ 百搭个数）</t>
    </r>
    <r>
      <rPr>
        <sz val="11"/>
        <color theme="1"/>
        <rFont val="Calibri"/>
        <family val="2"/>
        <charset val="1"/>
      </rPr>
      <t xml:space="preserve">× </t>
    </r>
    <r>
      <rPr>
        <sz val="11"/>
        <color theme="1"/>
        <rFont val="Noto Sans SC"/>
        <family val="2"/>
        <charset val="134"/>
      </rPr>
      <t xml:space="preserve">该列行数；</t>
    </r>
  </si>
  <si>
    <r>
      <rPr>
        <sz val="11"/>
        <color theme="1"/>
        <rFont val="Noto Sans SC"/>
        <family val="2"/>
        <charset val="134"/>
      </rPr>
      <t xml:space="preserve">  例：第一列有 </t>
    </r>
    <r>
      <rPr>
        <sz val="11"/>
        <color theme="1"/>
        <rFont val="Calibri"/>
        <family val="2"/>
        <charset val="1"/>
      </rPr>
      <t xml:space="preserve">2 </t>
    </r>
    <r>
      <rPr>
        <sz val="11"/>
        <color theme="1"/>
        <rFont val="Noto Sans SC"/>
        <family val="2"/>
        <charset val="134"/>
      </rPr>
      <t xml:space="preserve">个「</t>
    </r>
    <r>
      <rPr>
        <sz val="11"/>
        <color theme="1"/>
        <rFont val="Calibri"/>
        <family val="2"/>
        <charset val="1"/>
      </rPr>
      <t xml:space="preserve">9</t>
    </r>
    <r>
      <rPr>
        <sz val="11"/>
        <color theme="1"/>
        <rFont val="Noto Sans SC"/>
        <family val="2"/>
        <charset val="134"/>
      </rPr>
      <t xml:space="preserve">」＋ </t>
    </r>
    <r>
      <rPr>
        <sz val="11"/>
        <color theme="1"/>
        <rFont val="Calibri"/>
        <family val="2"/>
        <charset val="1"/>
      </rPr>
      <t xml:space="preserve">2 </t>
    </r>
    <r>
      <rPr>
        <sz val="11"/>
        <color theme="1"/>
        <rFont val="Noto Sans SC"/>
        <family val="2"/>
        <charset val="134"/>
      </rPr>
      <t xml:space="preserve">个百搭 → </t>
    </r>
    <r>
      <rPr>
        <sz val="11"/>
        <color theme="1"/>
        <rFont val="Calibri"/>
        <family val="2"/>
        <charset val="1"/>
      </rPr>
      <t xml:space="preserve">4</t>
    </r>
    <r>
      <rPr>
        <sz val="11"/>
        <color theme="1"/>
        <rFont val="Noto Sans SC"/>
        <family val="2"/>
        <charset val="134"/>
      </rPr>
      <t xml:space="preserve">，再 </t>
    </r>
    <r>
      <rPr>
        <sz val="11"/>
        <color theme="1"/>
        <rFont val="Calibri"/>
        <family val="2"/>
        <charset val="1"/>
      </rPr>
      <t xml:space="preserve">× </t>
    </r>
    <r>
      <rPr>
        <sz val="11"/>
        <color theme="1"/>
        <rFont val="Noto Sans SC"/>
        <family val="2"/>
        <charset val="134"/>
      </rPr>
      <t xml:space="preserve">该列行数 </t>
    </r>
    <r>
      <rPr>
        <sz val="11"/>
        <color theme="1"/>
        <rFont val="Calibri"/>
        <family val="2"/>
        <charset val="1"/>
      </rPr>
      <t xml:space="preserve">3 </t>
    </r>
    <r>
      <rPr>
        <sz val="11"/>
        <color theme="1"/>
        <rFont val="Noto Sans SC"/>
        <family val="2"/>
        <charset val="134"/>
      </rPr>
      <t xml:space="preserve">＝ </t>
    </r>
    <r>
      <rPr>
        <sz val="11"/>
        <color theme="1"/>
        <rFont val="Calibri"/>
        <family val="2"/>
        <charset val="1"/>
      </rPr>
      <t xml:space="preserve">12</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</si>
  <si>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中奖率 ＝ 出现各列事件数之积 </t>
    </r>
    <r>
      <rPr>
        <sz val="11"/>
        <color theme="1"/>
        <rFont val="Calibri"/>
        <family val="2"/>
        <charset val="1"/>
      </rPr>
      <t xml:space="preserve">× </t>
    </r>
    <r>
      <rPr>
        <sz val="11"/>
        <color theme="1"/>
        <rFont val="Noto Sans SC"/>
        <family val="2"/>
        <charset val="134"/>
      </rPr>
      <t xml:space="preserve">不出现事件数 </t>
    </r>
    <r>
      <rPr>
        <sz val="11"/>
        <color theme="1"/>
        <rFont val="Calibri"/>
        <family val="2"/>
        <charset val="1"/>
      </rPr>
      <t xml:space="preserve">÷ 15⁵</t>
    </r>
    <r>
      <rPr>
        <sz val="11"/>
        <color theme="1"/>
        <rFont val="Noto Sans SC"/>
        <family val="2"/>
        <charset val="134"/>
      </rPr>
      <t xml:space="preserve">；本例 </t>
    </r>
    <r>
      <rPr>
        <sz val="11"/>
        <color theme="1"/>
        <rFont val="Calibri"/>
        <family val="2"/>
        <charset val="1"/>
      </rPr>
      <t xml:space="preserve">RTP </t>
    </r>
    <r>
      <rPr>
        <sz val="11"/>
        <color theme="1"/>
        <rFont val="Noto Sans SC"/>
        <family val="2"/>
        <charset val="134"/>
      </rPr>
      <t xml:space="preserve">合计 </t>
    </r>
    <r>
      <rPr>
        <sz val="11"/>
        <color theme="1"/>
        <rFont val="Calibri"/>
        <family val="2"/>
        <charset val="1"/>
      </rPr>
      <t xml:space="preserve">99.7917</t>
    </r>
    <r>
      <rPr>
        <sz val="11"/>
        <color theme="1"/>
        <rFont val="Noto Sans SC"/>
        <family val="2"/>
        <charset val="134"/>
      </rPr>
      <t xml:space="preserve">，</t>
    </r>
  </si>
  <si>
    <r>
      <rPr>
        <sz val="11"/>
        <color theme="1"/>
        <rFont val="Calibri"/>
        <family val="2"/>
        <charset val="1"/>
      </rPr>
      <t xml:space="preserve">  ÷ </t>
    </r>
    <r>
      <rPr>
        <sz val="11"/>
        <color theme="1"/>
        <rFont val="Noto Sans SC"/>
        <family val="2"/>
        <charset val="134"/>
      </rPr>
      <t xml:space="preserve">人为设定的除数 </t>
    </r>
    <r>
      <rPr>
        <sz val="11"/>
        <color theme="1"/>
        <rFont val="Calibri"/>
        <family val="2"/>
        <charset val="1"/>
      </rPr>
      <t xml:space="preserve">100 → </t>
    </r>
    <r>
      <rPr>
        <sz val="11"/>
        <color theme="1"/>
        <rFont val="Noto Sans SC"/>
        <family val="2"/>
        <charset val="134"/>
      </rPr>
      <t xml:space="preserve">固定卷轴实际 </t>
    </r>
    <r>
      <rPr>
        <sz val="11"/>
        <color theme="1"/>
        <rFont val="Calibri"/>
        <family val="2"/>
        <charset val="1"/>
      </rPr>
      <t xml:space="preserve">RTP 0.9979</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</si>
  <si>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换随机卷轴则不必遍历：出现几率 ＝（自身几率 ＋ 百搭几率）</t>
    </r>
    <r>
      <rPr>
        <sz val="11"/>
        <color theme="1"/>
        <rFont val="Calibri"/>
        <family val="2"/>
        <charset val="1"/>
      </rPr>
      <t xml:space="preserve">× </t>
    </r>
    <r>
      <rPr>
        <sz val="11"/>
        <color theme="1"/>
        <rFont val="Noto Sans SC"/>
        <family val="2"/>
        <charset val="134"/>
      </rPr>
      <t xml:space="preserve">该列图标个数；</t>
    </r>
  </si>
  <si>
    <r>
      <rPr>
        <sz val="11"/>
        <color theme="1"/>
        <rFont val="Noto Sans SC"/>
        <family val="2"/>
        <charset val="134"/>
      </rPr>
      <t xml:space="preserve">  不出现几率用 </t>
    </r>
    <r>
      <rPr>
        <sz val="11"/>
        <color theme="1"/>
        <rFont val="Calibri"/>
        <family val="2"/>
        <charset val="1"/>
      </rPr>
      <t xml:space="preserve">BINOM.DIST.RANGE </t>
    </r>
    <r>
      <rPr>
        <sz val="11"/>
        <color theme="1"/>
        <rFont val="Noto Sans SC"/>
        <family val="2"/>
        <charset val="134"/>
      </rPr>
      <t xml:space="preserve">求「出现 </t>
    </r>
    <r>
      <rPr>
        <sz val="11"/>
        <color theme="1"/>
        <rFont val="Calibri"/>
        <family val="2"/>
        <charset val="1"/>
      </rPr>
      <t xml:space="preserve">0 </t>
    </r>
    <r>
      <rPr>
        <sz val="11"/>
        <color theme="1"/>
        <rFont val="Noto Sans SC"/>
        <family val="2"/>
        <charset val="134"/>
      </rPr>
      <t xml:space="preserve">个」（各列图标个数不同）；原文随机卷轴版综合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0.9630</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</si>
  <si>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除数（赔付基数）从 </t>
    </r>
    <r>
      <rPr>
        <sz val="11"/>
        <color theme="1"/>
        <rFont val="Calibri"/>
        <family val="2"/>
        <charset val="1"/>
      </rPr>
      <t xml:space="preserve">10~1000 </t>
    </r>
    <r>
      <rPr>
        <sz val="11"/>
        <color theme="1"/>
        <rFont val="Noto Sans SC"/>
        <family val="2"/>
        <charset val="134"/>
      </rPr>
      <t xml:space="preserve">不等，要结合中奖频率与波动性综合选择——</t>
    </r>
  </si>
  <si>
    <r>
      <rPr>
        <sz val="11"/>
        <color theme="1"/>
        <rFont val="Noto Sans SC"/>
        <family val="2"/>
        <charset val="134"/>
      </rPr>
      <t xml:space="preserve">  本质上是从 </t>
    </r>
    <r>
      <rPr>
        <sz val="11"/>
        <color theme="1"/>
        <rFont val="Calibri"/>
        <family val="2"/>
        <charset val="1"/>
      </rPr>
      <t xml:space="preserve">Line Slots </t>
    </r>
    <r>
      <rPr>
        <sz val="11"/>
        <color theme="1"/>
        <rFont val="Noto Sans SC"/>
        <family val="2"/>
        <charset val="134"/>
      </rPr>
      <t xml:space="preserve">进化到 </t>
    </r>
    <r>
      <rPr>
        <sz val="11"/>
        <color theme="1"/>
        <rFont val="Calibri"/>
        <family val="2"/>
        <charset val="1"/>
      </rPr>
      <t xml:space="preserve">Way Slots </t>
    </r>
    <r>
      <rPr>
        <sz val="11"/>
        <color theme="1"/>
        <rFont val="Noto Sans SC"/>
        <family val="2"/>
        <charset val="134"/>
      </rPr>
      <t xml:space="preserve">后做的适应性调整。</t>
    </r>
  </si>
  <si>
    <t xml:space="preserve">原文整理（全文，按原文小标题分段）</t>
  </si>
  <si>
    <r>
      <rPr>
        <sz val="11"/>
        <color theme="1"/>
        <rFont val="Noto Sans SC"/>
        <family val="2"/>
        <charset val="134"/>
      </rPr>
      <t xml:space="preserve">在体验</t>
    </r>
    <r>
      <rPr>
        <sz val="11"/>
        <color theme="1"/>
        <rFont val="Calibri"/>
        <family val="2"/>
        <charset val="1"/>
      </rPr>
      <t xml:space="preserve">Slots</t>
    </r>
    <r>
      <rPr>
        <sz val="11"/>
        <color theme="1"/>
        <rFont val="Noto Sans SC"/>
        <family val="2"/>
        <charset val="134"/>
      </rPr>
      <t xml:space="preserve">产品时，经常能够体验到每列图标个数分布并不相同的</t>
    </r>
    <r>
      <rPr>
        <sz val="11"/>
        <color theme="1"/>
        <rFont val="Calibri"/>
        <family val="2"/>
        <charset val="1"/>
      </rPr>
      <t xml:space="preserve">Slots</t>
    </r>
    <r>
      <rPr>
        <sz val="11"/>
        <color theme="1"/>
        <rFont val="Noto Sans SC"/>
        <family val="2"/>
        <charset val="134"/>
      </rPr>
      <t xml:space="preserve">产品</t>
    </r>
  </si>
  <si>
    <r>
      <rPr>
        <sz val="11"/>
        <color theme="1"/>
        <rFont val="Noto Sans SC"/>
        <family val="2"/>
        <charset val="134"/>
      </rPr>
      <t xml:space="preserve">我们管这类</t>
    </r>
    <r>
      <rPr>
        <sz val="11"/>
        <color theme="1"/>
        <rFont val="Calibri"/>
        <family val="2"/>
        <charset val="1"/>
      </rPr>
      <t xml:space="preserve">Slots</t>
    </r>
    <r>
      <rPr>
        <sz val="11"/>
        <color theme="1"/>
        <rFont val="Noto Sans SC"/>
        <family val="2"/>
        <charset val="134"/>
      </rPr>
      <t xml:space="preserve">叫做</t>
    </r>
    <r>
      <rPr>
        <sz val="11"/>
        <color theme="1"/>
        <rFont val="Calibri"/>
        <family val="2"/>
        <charset val="1"/>
      </rPr>
      <t xml:space="preserve">Irregular Grids</t>
    </r>
    <r>
      <rPr>
        <sz val="11"/>
        <color theme="1"/>
        <rFont val="Noto Sans SC"/>
        <family val="2"/>
        <charset val="134"/>
      </rPr>
      <t xml:space="preserve">或</t>
    </r>
    <r>
      <rPr>
        <sz val="11"/>
        <color theme="1"/>
        <rFont val="Calibri"/>
        <family val="2"/>
        <charset val="1"/>
      </rPr>
      <t xml:space="preserve">Irregular Windows</t>
    </r>
    <r>
      <rPr>
        <sz val="11"/>
        <color theme="1"/>
        <rFont val="Noto Sans SC"/>
        <family val="2"/>
        <charset val="134"/>
      </rPr>
      <t xml:space="preserve">，也就是不规则窗口</t>
    </r>
    <r>
      <rPr>
        <sz val="11"/>
        <color theme="1"/>
        <rFont val="Calibri"/>
        <family val="2"/>
        <charset val="1"/>
      </rPr>
      <t xml:space="preserve">Slots</t>
    </r>
  </si>
  <si>
    <r>
      <rPr>
        <sz val="11"/>
        <color theme="1"/>
        <rFont val="Noto Sans SC"/>
        <family val="2"/>
        <charset val="134"/>
      </rPr>
      <t xml:space="preserve">上期 介绍了当该类</t>
    </r>
    <r>
      <rPr>
        <sz val="11"/>
        <color theme="1"/>
        <rFont val="Calibri"/>
        <family val="2"/>
        <charset val="1"/>
      </rPr>
      <t xml:space="preserve">Feature</t>
    </r>
    <r>
      <rPr>
        <sz val="11"/>
        <color theme="1"/>
        <rFont val="Noto Sans SC"/>
        <family val="2"/>
        <charset val="134"/>
      </rPr>
      <t xml:space="preserve">在</t>
    </r>
    <r>
      <rPr>
        <sz val="11"/>
        <color theme="1"/>
        <rFont val="Calibri"/>
        <family val="2"/>
        <charset val="1"/>
      </rPr>
      <t xml:space="preserve">Line Slots</t>
    </r>
    <r>
      <rPr>
        <sz val="11"/>
        <color theme="1"/>
        <rFont val="Noto Sans SC"/>
        <family val="2"/>
        <charset val="134"/>
      </rPr>
      <t xml:space="preserve">中的数值计算方法</t>
    </r>
  </si>
  <si>
    <r>
      <rPr>
        <sz val="11"/>
        <color theme="1"/>
        <rFont val="Noto Sans SC"/>
        <family val="2"/>
        <charset val="134"/>
      </rPr>
      <t xml:space="preserve">［内链卡片封面］</t>
    </r>
    <r>
      <rPr>
        <sz val="11"/>
        <color theme="1"/>
        <rFont val="Calibri"/>
        <family val="2"/>
        <charset val="1"/>
      </rPr>
      <t xml:space="preserve">627624679-01.png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</si>
  <si>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数值篇——不规则窗口</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7 </t>
    </r>
    <r>
      <rPr>
        <sz val="11"/>
        <color theme="1"/>
        <rFont val="Noto Sans SC"/>
        <family val="2"/>
        <charset val="134"/>
      </rPr>
      <t xml:space="preserve">赞同 </t>
    </r>
    <r>
      <rPr>
        <sz val="11"/>
        <color theme="1"/>
        <rFont val="Calibri"/>
        <family val="2"/>
        <charset val="1"/>
      </rPr>
      <t xml:space="preserve">· 2 </t>
    </r>
    <r>
      <rPr>
        <sz val="11"/>
        <color theme="1"/>
        <rFont val="Noto Sans SC"/>
        <family val="2"/>
        <charset val="134"/>
      </rPr>
      <t xml:space="preserve">评论）</t>
    </r>
  </si>
  <si>
    <r>
      <rPr>
        <sz val="11"/>
        <color theme="1"/>
        <rFont val="Noto Sans SC"/>
        <family val="2"/>
        <charset val="134"/>
      </rPr>
      <t xml:space="preserve">本期将介绍当不规则窗口被运用在</t>
    </r>
    <r>
      <rPr>
        <sz val="11"/>
        <color theme="1"/>
        <rFont val="Calibri"/>
        <family val="2"/>
        <charset val="1"/>
      </rPr>
      <t xml:space="preserve">Way Slots</t>
    </r>
    <r>
      <rPr>
        <sz val="11"/>
        <color theme="1"/>
        <rFont val="Noto Sans SC"/>
        <family val="2"/>
        <charset val="134"/>
      </rPr>
      <t xml:space="preserve">时，应当如何快速搭建</t>
    </r>
    <r>
      <rPr>
        <sz val="11"/>
        <color theme="1"/>
        <rFont val="Calibri"/>
        <family val="2"/>
        <charset val="1"/>
      </rPr>
      <t xml:space="preserve">Slots</t>
    </r>
    <r>
      <rPr>
        <sz val="11"/>
        <color theme="1"/>
        <rFont val="Noto Sans SC"/>
        <family val="2"/>
        <charset val="134"/>
      </rPr>
      <t xml:space="preserve">的数值</t>
    </r>
  </si>
  <si>
    <r>
      <rPr>
        <sz val="11"/>
        <color theme="1"/>
        <rFont val="Noto Sans SC"/>
        <family val="2"/>
        <charset val="134"/>
      </rPr>
      <t xml:space="preserve">不了解</t>
    </r>
    <r>
      <rPr>
        <sz val="11"/>
        <color theme="1"/>
        <rFont val="Calibri"/>
        <family val="2"/>
        <charset val="1"/>
      </rPr>
      <t xml:space="preserve">Slots</t>
    </r>
    <r>
      <rPr>
        <sz val="11"/>
        <color theme="1"/>
        <rFont val="Noto Sans SC"/>
        <family val="2"/>
        <charset val="134"/>
      </rPr>
      <t xml:space="preserve">数值体系计算过程的话可以点击我的头像查看专栏和往期文章</t>
    </r>
  </si>
  <si>
    <r>
      <rPr>
        <sz val="11"/>
        <color theme="1"/>
        <rFont val="Calibri"/>
        <family val="2"/>
        <charset val="1"/>
      </rPr>
      <t xml:space="preserve">Slots</t>
    </r>
    <r>
      <rPr>
        <sz val="11"/>
        <color theme="1"/>
        <rFont val="Noto Sans SC"/>
        <family val="2"/>
        <charset val="134"/>
      </rPr>
      <t xml:space="preserve">示例基础信息</t>
    </r>
  </si>
  <si>
    <r>
      <rPr>
        <sz val="11"/>
        <color theme="1"/>
        <rFont val="Noto Sans SC"/>
        <family val="2"/>
        <charset val="134"/>
      </rPr>
      <t xml:space="preserve">上篇使用的时</t>
    </r>
    <r>
      <rPr>
        <sz val="11"/>
        <color theme="1"/>
        <rFont val="Calibri"/>
        <family val="2"/>
        <charset val="1"/>
      </rPr>
      <t xml:space="preserve">1-3-1</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，这篇使用</t>
    </r>
    <r>
      <rPr>
        <sz val="11"/>
        <color theme="1"/>
        <rFont val="Calibri"/>
        <family val="2"/>
        <charset val="1"/>
      </rPr>
      <t xml:space="preserve">3-4-5-4-3</t>
    </r>
    <r>
      <rPr>
        <sz val="11"/>
        <color theme="1"/>
        <rFont val="Noto Sans SC"/>
        <family val="2"/>
        <charset val="134"/>
      </rPr>
      <t xml:space="preserve">的</t>
    </r>
    <r>
      <rPr>
        <sz val="11"/>
        <color theme="1"/>
        <rFont val="Calibri"/>
        <family val="2"/>
        <charset val="1"/>
      </rPr>
      <t xml:space="preserve">Way Slots</t>
    </r>
    <r>
      <rPr>
        <sz val="11"/>
        <color theme="1"/>
        <rFont val="Noto Sans SC"/>
        <family val="2"/>
        <charset val="134"/>
      </rPr>
      <t xml:space="preserve">作为示例</t>
    </r>
  </si>
  <si>
    <r>
      <rPr>
        <sz val="11"/>
        <color theme="1"/>
        <rFont val="Noto Sans SC"/>
        <family val="2"/>
        <charset val="134"/>
      </rPr>
      <t xml:space="preserve">这种布局的</t>
    </r>
    <r>
      <rPr>
        <sz val="11"/>
        <color theme="1"/>
        <rFont val="Calibri"/>
        <family val="2"/>
        <charset val="1"/>
      </rPr>
      <t xml:space="preserve">Slots</t>
    </r>
    <r>
      <rPr>
        <sz val="11"/>
        <color theme="1"/>
        <rFont val="Noto Sans SC"/>
        <family val="2"/>
        <charset val="134"/>
      </rPr>
      <t xml:space="preserve">在不规则窗口</t>
    </r>
    <r>
      <rPr>
        <sz val="11"/>
        <color theme="1"/>
        <rFont val="Calibri"/>
        <family val="2"/>
        <charset val="1"/>
      </rPr>
      <t xml:space="preserve">Slots</t>
    </r>
    <r>
      <rPr>
        <sz val="11"/>
        <color theme="1"/>
        <rFont val="Noto Sans SC"/>
        <family val="2"/>
        <charset val="134"/>
      </rPr>
      <t xml:space="preserve">产品中算是相对比较常见的类型</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</si>
  <si>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627624679-02.png</t>
    </r>
  </si>
  <si>
    <r>
      <rPr>
        <sz val="11"/>
        <color theme="1"/>
        <rFont val="Calibri"/>
        <family val="2"/>
        <charset val="1"/>
      </rPr>
      <t xml:space="preserve">Slots</t>
    </r>
    <r>
      <rPr>
        <sz val="11"/>
        <color theme="1"/>
        <rFont val="Noto Sans SC"/>
        <family val="2"/>
        <charset val="134"/>
      </rPr>
      <t xml:space="preserve">类型：</t>
    </r>
    <r>
      <rPr>
        <sz val="11"/>
        <color theme="1"/>
        <rFont val="Calibri"/>
        <family val="2"/>
        <charset val="1"/>
      </rPr>
      <t xml:space="preserve">Way Slots</t>
    </r>
  </si>
  <si>
    <r>
      <rPr>
        <sz val="11"/>
        <color theme="1"/>
        <rFont val="Noto Sans SC"/>
        <family val="2"/>
        <charset val="134"/>
      </rPr>
      <t xml:space="preserve">卷轴尺寸：</t>
    </r>
    <r>
      <rPr>
        <sz val="11"/>
        <color theme="1"/>
        <rFont val="Calibri"/>
        <family val="2"/>
        <charset val="1"/>
      </rPr>
      <t xml:space="preserve">3-4-5-4-3</t>
    </r>
  </si>
  <si>
    <r>
      <rPr>
        <sz val="11"/>
        <color theme="1"/>
        <rFont val="Noto Sans SC"/>
        <family val="2"/>
        <charset val="134"/>
      </rPr>
      <t xml:space="preserve">图标个数：</t>
    </r>
    <r>
      <rPr>
        <sz val="11"/>
        <color theme="1"/>
        <rFont val="Calibri"/>
        <family val="2"/>
        <charset val="1"/>
      </rPr>
      <t xml:space="preserve">5</t>
    </r>
    <r>
      <rPr>
        <sz val="11"/>
        <color theme="1"/>
        <rFont val="Noto Sans SC"/>
        <family val="2"/>
        <charset val="134"/>
      </rPr>
      <t xml:space="preserve">个标准图标 </t>
    </r>
    <r>
      <rPr>
        <sz val="11"/>
        <color theme="1"/>
        <rFont val="Calibri"/>
        <family val="2"/>
        <charset val="1"/>
      </rPr>
      <t xml:space="preserve">+ 1</t>
    </r>
    <r>
      <rPr>
        <sz val="11"/>
        <color theme="1"/>
        <rFont val="Noto Sans SC"/>
        <family val="2"/>
        <charset val="134"/>
      </rPr>
      <t xml:space="preserve">个百搭图标</t>
    </r>
  </si>
  <si>
    <t xml:space="preserve">无特殊模式</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</si>
  <si>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627624679-03.jpg</t>
    </r>
  </si>
  <si>
    <t xml:space="preserve">数值计算——固定卷轴</t>
  </si>
  <si>
    <t xml:space="preserve">第一步：设置固定卷轴</t>
  </si>
  <si>
    <t xml:space="preserve">和常规步骤一样，先设定一款固定卷轴</t>
  </si>
  <si>
    <t xml:space="preserve">这里的固定卷轴仅仅是初步设计</t>
  </si>
  <si>
    <r>
      <rPr>
        <sz val="11"/>
        <color theme="1"/>
        <rFont val="Noto Sans SC"/>
        <family val="2"/>
        <charset val="134"/>
      </rPr>
      <t xml:space="preserve">在搭建数值系统后还需要调试卷轴，实现合适</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</si>
  <si>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627624679-04.png</t>
    </r>
  </si>
  <si>
    <r>
      <rPr>
        <sz val="11"/>
        <color theme="1"/>
        <rFont val="Noto Sans SC"/>
        <family val="2"/>
        <charset val="134"/>
      </rPr>
      <t xml:space="preserve">当</t>
    </r>
    <r>
      <rPr>
        <sz val="11"/>
        <color theme="1"/>
        <rFont val="Calibri"/>
        <family val="2"/>
        <charset val="1"/>
      </rPr>
      <t xml:space="preserve">Slots</t>
    </r>
    <r>
      <rPr>
        <sz val="11"/>
        <color theme="1"/>
        <rFont val="Noto Sans SC"/>
        <family val="2"/>
        <charset val="134"/>
      </rPr>
      <t xml:space="preserve">使用不规则窗口作为</t>
    </r>
    <r>
      <rPr>
        <sz val="11"/>
        <color theme="1"/>
        <rFont val="Calibri"/>
        <family val="2"/>
        <charset val="1"/>
      </rPr>
      <t xml:space="preserve">Feature</t>
    </r>
    <r>
      <rPr>
        <sz val="11"/>
        <color theme="1"/>
        <rFont val="Noto Sans SC"/>
        <family val="2"/>
        <charset val="134"/>
      </rPr>
      <t xml:space="preserve">时，搭建固定卷轴时需要注意以下两点：</t>
    </r>
  </si>
  <si>
    <r>
      <rPr>
        <sz val="11"/>
        <color theme="1"/>
        <rFont val="Calibri"/>
        <family val="2"/>
        <charset val="1"/>
      </rPr>
      <t xml:space="preserve">1.</t>
    </r>
    <r>
      <rPr>
        <sz val="11"/>
        <color theme="1"/>
        <rFont val="Noto Sans SC"/>
        <family val="2"/>
        <charset val="134"/>
      </rPr>
      <t xml:space="preserve">计算图标不出现的概率时需要遍历固定卷轴图标出现的组合数，为了方便遍历，需要在卷轴末尾添加卷轴头部部分以在遍历的时候模拟首尾相连的卷轴起到循环的作用，这里因为各列窗口的尺寸并不一样，因此这里需要添加模拟循环的行数也不同</t>
    </r>
  </si>
  <si>
    <r>
      <rPr>
        <sz val="11"/>
        <color theme="1"/>
        <rFont val="Calibri"/>
        <family val="2"/>
        <charset val="1"/>
      </rPr>
      <t xml:space="preserve">2.</t>
    </r>
    <r>
      <rPr>
        <sz val="11"/>
        <color theme="1"/>
        <rFont val="Noto Sans SC"/>
        <family val="2"/>
        <charset val="134"/>
      </rPr>
      <t xml:space="preserve">因为</t>
    </r>
    <r>
      <rPr>
        <sz val="11"/>
        <color theme="1"/>
        <rFont val="Calibri"/>
        <family val="2"/>
        <charset val="1"/>
      </rPr>
      <t xml:space="preserve">Way Slots</t>
    </r>
    <r>
      <rPr>
        <sz val="11"/>
        <color theme="1"/>
        <rFont val="Noto Sans SC"/>
        <family val="2"/>
        <charset val="134"/>
      </rPr>
      <t xml:space="preserve">在计算图标事件数时需要考虑每列出现的图标个数，这里最好把各列的行数列出来，方便后续的计算每列出现图标的个数期望</t>
    </r>
  </si>
  <si>
    <t xml:space="preserve">第二步：读取卷轴上的图标分布信息</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</si>
  <si>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627624679-05.jpg</t>
    </r>
  </si>
  <si>
    <r>
      <rPr>
        <sz val="11"/>
        <color theme="1"/>
        <rFont val="Noto Sans SC"/>
        <family val="2"/>
        <charset val="134"/>
      </rPr>
      <t xml:space="preserve">这一步使用</t>
    </r>
    <r>
      <rPr>
        <sz val="11"/>
        <color theme="1"/>
        <rFont val="Calibri"/>
        <family val="2"/>
        <charset val="1"/>
      </rPr>
      <t xml:space="preserve">COUNTIF</t>
    </r>
    <r>
      <rPr>
        <sz val="11"/>
        <color theme="1"/>
        <rFont val="Noto Sans SC"/>
        <family val="2"/>
        <charset val="134"/>
      </rPr>
      <t xml:space="preserve">函数读取卷轴上对应列的该图标信息即可</t>
    </r>
  </si>
  <si>
    <t xml:space="preserve">注意在计算出现的事件数时需要加上百搭图标的个数</t>
  </si>
  <si>
    <r>
      <rPr>
        <sz val="11"/>
        <color theme="1"/>
        <rFont val="Noto Sans SC"/>
        <family val="2"/>
        <charset val="134"/>
      </rPr>
      <t xml:space="preserve">例如第一列有两个“</t>
    </r>
    <r>
      <rPr>
        <sz val="11"/>
        <color theme="1"/>
        <rFont val="Calibri"/>
        <family val="2"/>
        <charset val="1"/>
      </rPr>
      <t xml:space="preserve">9”</t>
    </r>
    <r>
      <rPr>
        <sz val="11"/>
        <color theme="1"/>
        <rFont val="Noto Sans SC"/>
        <family val="2"/>
        <charset val="134"/>
      </rPr>
      <t xml:space="preserve">图标，但是这里的“</t>
    </r>
    <r>
      <rPr>
        <sz val="11"/>
        <color theme="1"/>
        <rFont val="Calibri"/>
        <family val="2"/>
        <charset val="1"/>
      </rPr>
      <t xml:space="preserve">9”</t>
    </r>
    <r>
      <rPr>
        <sz val="11"/>
        <color theme="1"/>
        <rFont val="Noto Sans SC"/>
        <family val="2"/>
        <charset val="134"/>
      </rPr>
      <t xml:space="preserve">图标在第一列的事件数为</t>
    </r>
    <r>
      <rPr>
        <sz val="11"/>
        <color theme="1"/>
        <rFont val="Calibri"/>
        <family val="2"/>
        <charset val="1"/>
      </rPr>
      <t xml:space="preserve">4</t>
    </r>
    <r>
      <rPr>
        <sz val="11"/>
        <color theme="1"/>
        <rFont val="Noto Sans SC"/>
        <family val="2"/>
        <charset val="134"/>
      </rPr>
      <t xml:space="preserve">，因为加上了第一列的两个百搭图标</t>
    </r>
  </si>
  <si>
    <t xml:space="preserve">第三步：计算考虑了单列出现个数期望的图标分布信息</t>
  </si>
  <si>
    <t xml:space="preserve">这一步就是使用上一步得到的图标分布个数乘上该列对应的行数，得到该列出现该图标的考虑行数之后的事件数</t>
  </si>
  <si>
    <r>
      <rPr>
        <sz val="11"/>
        <color theme="1"/>
        <rFont val="Noto Sans SC"/>
        <family val="2"/>
        <charset val="134"/>
      </rPr>
      <t xml:space="preserve">这是</t>
    </r>
    <r>
      <rPr>
        <sz val="11"/>
        <color theme="1"/>
        <rFont val="Calibri"/>
        <family val="2"/>
        <charset val="1"/>
      </rPr>
      <t xml:space="preserve">Way Slots</t>
    </r>
    <r>
      <rPr>
        <sz val="11"/>
        <color theme="1"/>
        <rFont val="Noto Sans SC"/>
        <family val="2"/>
        <charset val="134"/>
      </rPr>
      <t xml:space="preserve">计算时特有的步骤</t>
    </r>
  </si>
  <si>
    <r>
      <rPr>
        <sz val="11"/>
        <color theme="1"/>
        <rFont val="Noto Sans SC"/>
        <family val="2"/>
        <charset val="134"/>
      </rPr>
      <t xml:space="preserve">因为</t>
    </r>
    <r>
      <rPr>
        <sz val="11"/>
        <color theme="1"/>
        <rFont val="Calibri"/>
        <family val="2"/>
        <charset val="1"/>
      </rPr>
      <t xml:space="preserve">Way Slots</t>
    </r>
    <r>
      <rPr>
        <sz val="11"/>
        <color theme="1"/>
        <rFont val="Noto Sans SC"/>
        <family val="2"/>
        <charset val="134"/>
      </rPr>
      <t xml:space="preserve">在结算时需要乘上中奖各列出现的中奖图标个数将出现几率转化成个数期望</t>
    </r>
  </si>
  <si>
    <t xml:space="preserve">因此这里需要考虑该列中奖并出现不同个数图标的综合情况</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</si>
  <si>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627624679-06.jpg</t>
    </r>
  </si>
  <si>
    <t xml:space="preserve">第四步：使用数组函数读取各列不出现该图标的事件数</t>
  </si>
  <si>
    <t xml:space="preserve">使用数组函数对连续不出现该图标的事件数进行统计</t>
  </si>
  <si>
    <t xml:space="preserve">这里需要注意，因为卷轴各列的区域大小不一，在设置函数时，分为连续三行不出现、连续四行不出现和连续五行不出现三种情况</t>
  </si>
  <si>
    <t xml:space="preserve">结合之前固定卷轴下方留出的循环区间，就能更好地理解这一步操作了</t>
  </si>
  <si>
    <t xml:space="preserve">处理后得到如下表格：</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</si>
  <si>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627624679-07.jpg</t>
    </r>
  </si>
  <si>
    <r>
      <rPr>
        <sz val="11"/>
        <color theme="1"/>
        <rFont val="Noto Sans SC"/>
        <family val="2"/>
        <charset val="134"/>
      </rPr>
      <t xml:space="preserve">数组函数的处理方式是同时按下</t>
    </r>
    <r>
      <rPr>
        <sz val="11"/>
        <color theme="1"/>
        <rFont val="Calibri"/>
        <family val="2"/>
        <charset val="1"/>
      </rPr>
      <t xml:space="preserve">&amp;quot;Enter+Shift+Ctrl&amp;quot;</t>
    </r>
  </si>
  <si>
    <t xml:space="preserve">第五步：计算中奖率</t>
  </si>
  <si>
    <t xml:space="preserve">需要注意这里的中奖率时考虑了该列出现多个图标后的加权值，并不能直接当做玩法中奖率</t>
  </si>
  <si>
    <t xml:space="preserve">这里要计算中奖率的话比较方便快捷的方法是计算图标不中奖的概率再倒推中奖率</t>
  </si>
  <si>
    <r>
      <rPr>
        <sz val="11"/>
        <color theme="1"/>
        <rFont val="Noto Sans SC"/>
        <family val="2"/>
        <charset val="134"/>
      </rPr>
      <t xml:space="preserve">表格里写中奖率主要是处于搭建</t>
    </r>
    <r>
      <rPr>
        <sz val="11"/>
        <color theme="1"/>
        <rFont val="Calibri"/>
        <family val="2"/>
        <charset val="1"/>
      </rPr>
      <t xml:space="preserve">Slots</t>
    </r>
    <r>
      <rPr>
        <sz val="11"/>
        <color theme="1"/>
        <rFont val="Noto Sans SC"/>
        <family val="2"/>
        <charset val="134"/>
      </rPr>
      <t xml:space="preserve">数值的习惯，大家可以根据自己的习惯给该数值命名</t>
    </r>
  </si>
  <si>
    <t xml:space="preserve">其代表的就是该满足该中奖组合条件并考虑各列出现的中奖图标数之后得到的数值</t>
  </si>
  <si>
    <t xml:space="preserve">再乘上人为设置的赔付倍数就能直接得到到该中奖组合的期望了</t>
  </si>
  <si>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627624679-08.jpg</t>
    </r>
  </si>
  <si>
    <r>
      <rPr>
        <sz val="11"/>
        <color theme="1"/>
        <rFont val="Noto Sans SC"/>
        <family val="2"/>
        <charset val="134"/>
      </rPr>
      <t xml:space="preserve">第六步：计算</t>
    </r>
    <r>
      <rPr>
        <sz val="11"/>
        <color theme="1"/>
        <rFont val="Calibri"/>
        <family val="2"/>
        <charset val="1"/>
      </rPr>
      <t xml:space="preserve">RTP</t>
    </r>
  </si>
  <si>
    <t xml:space="preserve">使用各中奖组合对应的赔付倍数乘上上一步处理后的中奖率，得到各中奖组合的期望</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</si>
  <si>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627624679-09.jpg</t>
    </r>
  </si>
  <si>
    <r>
      <rPr>
        <sz val="11"/>
        <color theme="1"/>
        <rFont val="Noto Sans SC"/>
        <family val="2"/>
        <charset val="134"/>
      </rPr>
      <t xml:space="preserve">最后，再把得到的期望之和除以人为设定的除数后得到该</t>
    </r>
    <r>
      <rPr>
        <sz val="11"/>
        <color theme="1"/>
        <rFont val="Calibri"/>
        <family val="2"/>
        <charset val="1"/>
      </rPr>
      <t xml:space="preserve">Slots</t>
    </r>
    <r>
      <rPr>
        <sz val="11"/>
        <color theme="1"/>
        <rFont val="Noto Sans SC"/>
        <family val="2"/>
        <charset val="134"/>
      </rPr>
      <t xml:space="preserve">的最终</t>
    </r>
    <r>
      <rPr>
        <sz val="11"/>
        <color theme="1"/>
        <rFont val="Calibri"/>
        <family val="2"/>
        <charset val="1"/>
      </rPr>
      <t xml:space="preserve">RTP</t>
    </r>
    <r>
      <rPr>
        <sz val="11"/>
        <color theme="1"/>
        <rFont val="Noto Sans SC"/>
        <family val="2"/>
        <charset val="134"/>
      </rPr>
      <t xml:space="preserve">，固定卷轴的不规则窗口</t>
    </r>
    <r>
      <rPr>
        <sz val="11"/>
        <color theme="1"/>
        <rFont val="Calibri"/>
        <family val="2"/>
        <charset val="1"/>
      </rPr>
      <t xml:space="preserve">Way Slots</t>
    </r>
    <r>
      <rPr>
        <sz val="11"/>
        <color theme="1"/>
        <rFont val="Noto Sans SC"/>
        <family val="2"/>
        <charset val="134"/>
      </rPr>
      <t xml:space="preserve">的数值体系就搭建完成了</t>
    </r>
  </si>
  <si>
    <r>
      <rPr>
        <sz val="11"/>
        <color theme="1"/>
        <rFont val="Noto Sans SC"/>
        <family val="2"/>
        <charset val="134"/>
      </rPr>
      <t xml:space="preserve">人为设定的除数从</t>
    </r>
    <r>
      <rPr>
        <sz val="11"/>
        <color theme="1"/>
        <rFont val="Calibri"/>
        <family val="2"/>
        <charset val="1"/>
      </rPr>
      <t xml:space="preserve">10~1000</t>
    </r>
    <r>
      <rPr>
        <sz val="11"/>
        <color theme="1"/>
        <rFont val="Noto Sans SC"/>
        <family val="2"/>
        <charset val="134"/>
      </rPr>
      <t xml:space="preserve">不等，需要结合</t>
    </r>
    <r>
      <rPr>
        <sz val="11"/>
        <color theme="1"/>
        <rFont val="Calibri"/>
        <family val="2"/>
        <charset val="1"/>
      </rPr>
      <t xml:space="preserve">Slots</t>
    </r>
    <r>
      <rPr>
        <sz val="11"/>
        <color theme="1"/>
        <rFont val="Noto Sans SC"/>
        <family val="2"/>
        <charset val="134"/>
      </rPr>
      <t xml:space="preserve">的定位，例如中奖频率、奖励波动性等多种因素考量，本质上是</t>
    </r>
    <r>
      <rPr>
        <sz val="11"/>
        <color theme="1"/>
        <rFont val="Calibri"/>
        <family val="2"/>
        <charset val="1"/>
      </rPr>
      <t xml:space="preserve">Line Slot</t>
    </r>
    <r>
      <rPr>
        <sz val="11"/>
        <color theme="1"/>
        <rFont val="Noto Sans SC"/>
        <family val="2"/>
        <charset val="134"/>
      </rPr>
      <t xml:space="preserve">发展成</t>
    </r>
    <r>
      <rPr>
        <sz val="11"/>
        <color theme="1"/>
        <rFont val="Calibri"/>
        <family val="2"/>
        <charset val="1"/>
      </rPr>
      <t xml:space="preserve">Way Slots</t>
    </r>
    <r>
      <rPr>
        <sz val="11"/>
        <color theme="1"/>
        <rFont val="Noto Sans SC"/>
        <family val="2"/>
        <charset val="134"/>
      </rPr>
      <t xml:space="preserve">后做的适应性调整，可以参考往期对两者区别的介绍</t>
    </r>
  </si>
  <si>
    <t xml:space="preserve">数值计算——随机卷轴</t>
  </si>
  <si>
    <t xml:space="preserve">使用和固定卷轴一样的示例进行随机卷轴数值搭建的介绍</t>
  </si>
  <si>
    <t xml:space="preserve">如果这里使用随机卷轴对不规则窗口进行处理，整体比固定卷轴要更简便一些</t>
  </si>
  <si>
    <r>
      <rPr>
        <sz val="11"/>
        <color theme="1"/>
        <rFont val="Noto Sans SC"/>
        <family val="2"/>
        <charset val="134"/>
      </rPr>
      <t xml:space="preserve">主要是随机卷轴本身没有限定图标出现在卷轴上的顺序和</t>
    </r>
    <r>
      <rPr>
        <sz val="11"/>
        <color theme="1"/>
        <rFont val="Calibri"/>
        <family val="2"/>
        <charset val="1"/>
      </rPr>
      <t xml:space="preserve">Way Slots</t>
    </r>
    <r>
      <rPr>
        <sz val="11"/>
        <color theme="1"/>
        <rFont val="Noto Sans SC"/>
        <family val="2"/>
        <charset val="134"/>
      </rPr>
      <t xml:space="preserve">跳脱出</t>
    </r>
    <r>
      <rPr>
        <sz val="11"/>
        <color theme="1"/>
        <rFont val="Calibri"/>
        <family val="2"/>
        <charset val="1"/>
      </rPr>
      <t xml:space="preserve">Pay Lines</t>
    </r>
    <r>
      <rPr>
        <sz val="11"/>
        <color theme="1"/>
        <rFont val="Noto Sans SC"/>
        <family val="2"/>
        <charset val="134"/>
      </rPr>
      <t xml:space="preserve">的机制比较契合</t>
    </r>
  </si>
  <si>
    <t xml:space="preserve">在计算过程中不需要遍历卷轴，降低了计算的难度和出现错误的可能</t>
  </si>
  <si>
    <t xml:space="preserve">这里简单列一下计算步骤</t>
  </si>
  <si>
    <t xml:space="preserve">第一步：设置和计算图标出现概率</t>
  </si>
  <si>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627624679-10.jpg</t>
    </r>
  </si>
  <si>
    <t xml:space="preserve">这里和固定卷轴一样最好列出各列的图标数，方便之后的计算</t>
  </si>
  <si>
    <t xml:space="preserve">但是不用遍历，所以不用复制表头模拟卷轴的首尾相连了</t>
  </si>
  <si>
    <t xml:space="preserve">第二步：计算图标出现的几率</t>
  </si>
  <si>
    <r>
      <rPr>
        <sz val="11"/>
        <color theme="1"/>
        <rFont val="Calibri"/>
        <family val="2"/>
        <charset val="1"/>
      </rPr>
      <t xml:space="preserve">Way Slots</t>
    </r>
    <r>
      <rPr>
        <sz val="11"/>
        <color theme="1"/>
        <rFont val="Noto Sans SC"/>
        <family val="2"/>
        <charset val="134"/>
      </rPr>
      <t xml:space="preserve">的标准图标出现几率为 </t>
    </r>
    <r>
      <rPr>
        <sz val="11"/>
        <color theme="1"/>
        <rFont val="Calibri"/>
        <family val="2"/>
        <charset val="1"/>
      </rPr>
      <t xml:space="preserve">( </t>
    </r>
    <r>
      <rPr>
        <sz val="11"/>
        <color theme="1"/>
        <rFont val="Noto Sans SC"/>
        <family val="2"/>
        <charset val="134"/>
      </rPr>
      <t xml:space="preserve">该标准图标出现几率 </t>
    </r>
    <r>
      <rPr>
        <sz val="11"/>
        <color theme="1"/>
        <rFont val="Calibri"/>
        <family val="2"/>
        <charset val="1"/>
      </rPr>
      <t xml:space="preserve">+ </t>
    </r>
    <r>
      <rPr>
        <sz val="11"/>
        <color theme="1"/>
        <rFont val="Noto Sans SC"/>
        <family val="2"/>
        <charset val="134"/>
      </rPr>
      <t xml:space="preserve">百搭图标出现几率 </t>
    </r>
    <r>
      <rPr>
        <sz val="11"/>
        <color theme="1"/>
        <rFont val="Calibri"/>
        <family val="2"/>
        <charset val="1"/>
      </rPr>
      <t xml:space="preserve">) * </t>
    </r>
    <r>
      <rPr>
        <sz val="11"/>
        <color theme="1"/>
        <rFont val="Noto Sans SC"/>
        <family val="2"/>
        <charset val="134"/>
      </rPr>
      <t xml:space="preserve">该列图标个数</t>
    </r>
  </si>
  <si>
    <r>
      <rPr>
        <sz val="11"/>
        <color theme="1"/>
        <rFont val="Noto Sans SC"/>
        <family val="2"/>
        <charset val="134"/>
      </rPr>
      <t xml:space="preserve">使用该计算方法的原因可以参见之前对</t>
    </r>
    <r>
      <rPr>
        <sz val="11"/>
        <color theme="1"/>
        <rFont val="Calibri"/>
        <family val="2"/>
        <charset val="1"/>
      </rPr>
      <t xml:space="preserve">Way Slots</t>
    </r>
    <r>
      <rPr>
        <sz val="11"/>
        <color theme="1"/>
        <rFont val="Noto Sans SC"/>
        <family val="2"/>
        <charset val="134"/>
      </rPr>
      <t xml:space="preserve">的数值介绍，这里就不再赘述了</t>
    </r>
  </si>
  <si>
    <t xml:space="preserve">主要逻辑是需要考虑该列图标出现的个数期望，使用各个数乘上出现几率之和和使用出现几率直接乘上该列图标个数得到的数值是一致的，所以直接成上该列的图标个数即可</t>
  </si>
  <si>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627624679-11.jpg</t>
    </r>
  </si>
  <si>
    <r>
      <rPr>
        <sz val="11"/>
        <color theme="1"/>
        <rFont val="Noto Sans SC"/>
        <family val="2"/>
        <charset val="134"/>
      </rPr>
      <t xml:space="preserve">乘上各列的图标个数之后，第三列的图标出现几率已经超过了</t>
    </r>
    <r>
      <rPr>
        <sz val="11"/>
        <color theme="1"/>
        <rFont val="Calibri"/>
        <family val="2"/>
        <charset val="1"/>
      </rPr>
      <t xml:space="preserve">100%</t>
    </r>
  </si>
  <si>
    <t xml:space="preserve">和上方固定卷轴一样，这里的几率已经是考虑了该列图标个数后的期望值</t>
  </si>
  <si>
    <t xml:space="preserve">注意不要把这里的几率当做图标的实际几率理解就好</t>
  </si>
  <si>
    <t xml:space="preserve">第三步：计算图标不出现几率</t>
  </si>
  <si>
    <r>
      <rPr>
        <sz val="11"/>
        <color theme="1"/>
        <rFont val="Noto Sans SC"/>
        <family val="2"/>
        <charset val="134"/>
      </rPr>
      <t xml:space="preserve">只要是中奖组合之间存在包含关系的</t>
    </r>
    <r>
      <rPr>
        <sz val="11"/>
        <color theme="1"/>
        <rFont val="Calibri"/>
        <family val="2"/>
        <charset val="1"/>
      </rPr>
      <t xml:space="preserve">Slots</t>
    </r>
    <r>
      <rPr>
        <sz val="11"/>
        <color theme="1"/>
        <rFont val="Noto Sans SC"/>
        <family val="2"/>
        <charset val="134"/>
      </rPr>
      <t xml:space="preserve">，但是对应不同赔付倍数</t>
    </r>
  </si>
  <si>
    <r>
      <rPr>
        <sz val="11"/>
        <color theme="1"/>
        <rFont val="Noto Sans SC"/>
        <family val="2"/>
        <charset val="134"/>
      </rPr>
      <t xml:space="preserve">例如在连续出现</t>
    </r>
    <r>
      <rPr>
        <sz val="11"/>
        <color theme="1"/>
        <rFont val="Calibri"/>
        <family val="2"/>
        <charset val="1"/>
      </rPr>
      <t xml:space="preserve">3</t>
    </r>
    <r>
      <rPr>
        <sz val="11"/>
        <color theme="1"/>
        <rFont val="Noto Sans SC"/>
        <family val="2"/>
        <charset val="134"/>
      </rPr>
      <t xml:space="preserve">个、</t>
    </r>
    <r>
      <rPr>
        <sz val="11"/>
        <color theme="1"/>
        <rFont val="Calibri"/>
        <family val="2"/>
        <charset val="1"/>
      </rPr>
      <t xml:space="preserve">4</t>
    </r>
    <r>
      <rPr>
        <sz val="11"/>
        <color theme="1"/>
        <rFont val="Noto Sans SC"/>
        <family val="2"/>
        <charset val="134"/>
      </rPr>
      <t xml:space="preserve">个或</t>
    </r>
    <r>
      <rPr>
        <sz val="11"/>
        <color theme="1"/>
        <rFont val="Calibri"/>
        <family val="2"/>
        <charset val="1"/>
      </rPr>
      <t xml:space="preserve">5</t>
    </r>
    <r>
      <rPr>
        <sz val="11"/>
        <color theme="1"/>
        <rFont val="Noto Sans SC"/>
        <family val="2"/>
        <charset val="134"/>
      </rPr>
      <t xml:space="preserve">个图标均可以中奖，但是对应的赔付倍数不同</t>
    </r>
  </si>
  <si>
    <t xml:space="preserve">在计算数值时需要计算图标不出现的几率用来排除重复情况</t>
  </si>
  <si>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627624679-12.jpg</t>
    </r>
  </si>
  <si>
    <r>
      <rPr>
        <sz val="11"/>
        <color theme="1"/>
        <rFont val="Calibri"/>
        <family val="2"/>
        <charset val="1"/>
      </rPr>
      <t xml:space="preserve">Way Slots</t>
    </r>
    <r>
      <rPr>
        <sz val="11"/>
        <color theme="1"/>
        <rFont val="Noto Sans SC"/>
        <family val="2"/>
        <charset val="134"/>
      </rPr>
      <t xml:space="preserve">和</t>
    </r>
    <r>
      <rPr>
        <sz val="11"/>
        <color theme="1"/>
        <rFont val="Calibri"/>
        <family val="2"/>
        <charset val="1"/>
      </rPr>
      <t xml:space="preserve">Line Slots</t>
    </r>
    <r>
      <rPr>
        <sz val="11"/>
        <color theme="1"/>
        <rFont val="Noto Sans SC"/>
        <family val="2"/>
        <charset val="134"/>
      </rPr>
      <t xml:space="preserve">不同，不是简单的用</t>
    </r>
    <r>
      <rPr>
        <sz val="11"/>
        <color theme="1"/>
        <rFont val="Calibri"/>
        <family val="2"/>
        <charset val="1"/>
      </rPr>
      <t xml:space="preserve">100%</t>
    </r>
    <r>
      <rPr>
        <sz val="11"/>
        <color theme="1"/>
        <rFont val="Noto Sans SC"/>
        <family val="2"/>
        <charset val="134"/>
      </rPr>
      <t xml:space="preserve">减去出现的概率即可</t>
    </r>
  </si>
  <si>
    <r>
      <rPr>
        <sz val="11"/>
        <color theme="1"/>
        <rFont val="Noto Sans SC"/>
        <family val="2"/>
        <charset val="134"/>
      </rPr>
      <t xml:space="preserve">而是需要分别减去出现</t>
    </r>
    <r>
      <rPr>
        <sz val="11"/>
        <color theme="1"/>
        <rFont val="Calibri"/>
        <family val="2"/>
        <charset val="1"/>
      </rPr>
      <t xml:space="preserve">1</t>
    </r>
    <r>
      <rPr>
        <sz val="11"/>
        <color theme="1"/>
        <rFont val="Noto Sans SC"/>
        <family val="2"/>
        <charset val="134"/>
      </rPr>
      <t xml:space="preserve">个、</t>
    </r>
    <r>
      <rPr>
        <sz val="11"/>
        <color theme="1"/>
        <rFont val="Calibri"/>
        <family val="2"/>
        <charset val="1"/>
      </rPr>
      <t xml:space="preserve">2</t>
    </r>
    <r>
      <rPr>
        <sz val="11"/>
        <color theme="1"/>
        <rFont val="Noto Sans SC"/>
        <family val="2"/>
        <charset val="134"/>
      </rPr>
      <t xml:space="preserve">个</t>
    </r>
    <r>
      <rPr>
        <sz val="11"/>
        <color theme="1"/>
        <rFont val="Calibri"/>
        <family val="2"/>
        <charset val="1"/>
      </rPr>
      <t xml:space="preserve">... ...N</t>
    </r>
    <r>
      <rPr>
        <sz val="11"/>
        <color theme="1"/>
        <rFont val="Noto Sans SC"/>
        <family val="2"/>
        <charset val="134"/>
      </rPr>
      <t xml:space="preserve">个的概率</t>
    </r>
  </si>
  <si>
    <r>
      <rPr>
        <sz val="11"/>
        <color theme="1"/>
        <rFont val="Noto Sans SC"/>
        <family val="2"/>
        <charset val="134"/>
      </rPr>
      <t xml:space="preserve">这里使用</t>
    </r>
    <r>
      <rPr>
        <sz val="11"/>
        <color theme="1"/>
        <rFont val="Calibri"/>
        <family val="2"/>
        <charset val="1"/>
      </rPr>
      <t xml:space="preserve">BINOM.DIST.RANGE</t>
    </r>
    <r>
      <rPr>
        <sz val="11"/>
        <color theme="1"/>
        <rFont val="Noto Sans SC"/>
        <family val="2"/>
        <charset val="134"/>
      </rPr>
      <t xml:space="preserve">函数进行计算</t>
    </r>
  </si>
  <si>
    <r>
      <rPr>
        <sz val="11"/>
        <color theme="1"/>
        <rFont val="Noto Sans SC"/>
        <family val="2"/>
        <charset val="134"/>
      </rPr>
      <t xml:space="preserve">如果</t>
    </r>
    <r>
      <rPr>
        <sz val="11"/>
        <color theme="1"/>
        <rFont val="Calibri"/>
        <family val="2"/>
        <charset val="1"/>
      </rPr>
      <t xml:space="preserve">Slots</t>
    </r>
    <r>
      <rPr>
        <sz val="11"/>
        <color theme="1"/>
        <rFont val="Noto Sans SC"/>
        <family val="2"/>
        <charset val="134"/>
      </rPr>
      <t xml:space="preserve">的图标出现在每个位置的几率并不相同时则不可以使用该函数</t>
    </r>
  </si>
  <si>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627624679-13.jpg</t>
    </r>
  </si>
  <si>
    <t xml:space="preserve">函数的具体用法可以参照之前的使用攻略，简单来说按照下方描述填入数值即可</t>
  </si>
  <si>
    <r>
      <rPr>
        <sz val="11"/>
        <color theme="1"/>
        <rFont val="Calibri"/>
        <family val="2"/>
        <charset val="1"/>
      </rPr>
      <t xml:space="preserve">BINOM.DIST.RANGE(</t>
    </r>
    <r>
      <rPr>
        <sz val="11"/>
        <color theme="1"/>
        <rFont val="Noto Sans SC"/>
        <family val="2"/>
        <charset val="134"/>
      </rPr>
      <t xml:space="preserve">该列图标个数</t>
    </r>
    <r>
      <rPr>
        <sz val="11"/>
        <color theme="1"/>
        <rFont val="Calibri"/>
        <family val="2"/>
        <charset val="1"/>
      </rPr>
      <t xml:space="preserve">,</t>
    </r>
    <r>
      <rPr>
        <sz val="11"/>
        <color theme="1"/>
        <rFont val="Noto Sans SC"/>
        <family val="2"/>
        <charset val="134"/>
      </rPr>
      <t xml:space="preserve">该图标出现几率</t>
    </r>
    <r>
      <rPr>
        <sz val="11"/>
        <color theme="1"/>
        <rFont val="Calibri"/>
        <family val="2"/>
        <charset val="1"/>
      </rPr>
      <t xml:space="preserve">,</t>
    </r>
    <r>
      <rPr>
        <sz val="11"/>
        <color theme="1"/>
        <rFont val="Noto Sans SC"/>
        <family val="2"/>
        <charset val="134"/>
      </rPr>
      <t xml:space="preserve">该图标实际出现个数</t>
    </r>
    <r>
      <rPr>
        <sz val="11"/>
        <color theme="1"/>
        <rFont val="Calibri"/>
        <family val="2"/>
        <charset val="1"/>
      </rPr>
      <t xml:space="preserve">,[</t>
    </r>
    <r>
      <rPr>
        <sz val="11"/>
        <color theme="1"/>
        <rFont val="Noto Sans SC"/>
        <family val="2"/>
        <charset val="134"/>
      </rPr>
      <t xml:space="preserve">该图标实际出现个数</t>
    </r>
    <r>
      <rPr>
        <sz val="11"/>
        <color theme="1"/>
        <rFont val="Calibri"/>
        <family val="2"/>
        <charset val="1"/>
      </rPr>
      <t xml:space="preserve">])</t>
    </r>
  </si>
  <si>
    <r>
      <rPr>
        <sz val="11"/>
        <color theme="1"/>
        <rFont val="Noto Sans SC"/>
        <family val="2"/>
        <charset val="134"/>
      </rPr>
      <t xml:space="preserve">当只配置两个该图标实际出现个数时，例如配置</t>
    </r>
    <r>
      <rPr>
        <sz val="11"/>
        <color theme="1"/>
        <rFont val="Calibri"/>
        <family val="2"/>
        <charset val="1"/>
      </rPr>
      <t xml:space="preserve">0</t>
    </r>
    <r>
      <rPr>
        <sz val="11"/>
        <color theme="1"/>
        <rFont val="Noto Sans SC"/>
        <family val="2"/>
        <charset val="134"/>
      </rPr>
      <t xml:space="preserve">和</t>
    </r>
    <r>
      <rPr>
        <sz val="11"/>
        <color theme="1"/>
        <rFont val="Calibri"/>
        <family val="2"/>
        <charset val="1"/>
      </rPr>
      <t xml:space="preserve">5</t>
    </r>
    <r>
      <rPr>
        <sz val="11"/>
        <color theme="1"/>
        <rFont val="Noto Sans SC"/>
        <family val="2"/>
        <charset val="134"/>
      </rPr>
      <t xml:space="preserve">，公式计算的就是该列出现</t>
    </r>
    <r>
      <rPr>
        <sz val="11"/>
        <color theme="1"/>
        <rFont val="Calibri"/>
        <family val="2"/>
        <charset val="1"/>
      </rPr>
      <t xml:space="preserve">0~5</t>
    </r>
    <r>
      <rPr>
        <sz val="11"/>
        <color theme="1"/>
        <rFont val="Noto Sans SC"/>
        <family val="2"/>
        <charset val="134"/>
      </rPr>
      <t xml:space="preserve">个该图标的几率</t>
    </r>
  </si>
  <si>
    <r>
      <rPr>
        <sz val="11"/>
        <color theme="1"/>
        <rFont val="Noto Sans SC"/>
        <family val="2"/>
        <charset val="134"/>
      </rPr>
      <t xml:space="preserve">第四步：计算标准图标</t>
    </r>
    <r>
      <rPr>
        <sz val="11"/>
        <color theme="1"/>
        <rFont val="Calibri"/>
        <family val="2"/>
        <charset val="1"/>
      </rPr>
      <t xml:space="preserve">RTP</t>
    </r>
  </si>
  <si>
    <t xml:space="preserve">这一步相对比较简单，使用上表中计算得到的各列出现图标的概率计算得到各中奖组合的中奖概率</t>
  </si>
  <si>
    <t xml:space="preserve">因为这里的中奖率已经考虑了出现的图标个数，因此只要再乘上赔付倍数就能得到该中奖组合的奖励期望</t>
  </si>
  <si>
    <r>
      <rPr>
        <sz val="11"/>
        <color theme="1"/>
        <rFont val="Noto Sans SC"/>
        <family val="2"/>
        <charset val="134"/>
      </rPr>
      <t xml:space="preserve">再把期望加总，得到普通摇标准图标的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</si>
  <si>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14</t>
    </r>
    <r>
      <rPr>
        <sz val="11"/>
        <color theme="1"/>
        <rFont val="Noto Sans SC"/>
        <family val="2"/>
        <charset val="134"/>
      </rPr>
      <t xml:space="preserve">］</t>
    </r>
    <r>
      <rPr>
        <sz val="11"/>
        <color theme="1"/>
        <rFont val="Calibri"/>
        <family val="2"/>
        <charset val="1"/>
      </rPr>
      <t xml:space="preserve">627624679-14.jpg</t>
    </r>
  </si>
  <si>
    <r>
      <rPr>
        <sz val="11"/>
        <color theme="1"/>
        <rFont val="Noto Sans SC"/>
        <family val="2"/>
        <charset val="134"/>
      </rPr>
      <t xml:space="preserve">第五步：计算免费摇</t>
    </r>
    <r>
      <rPr>
        <sz val="11"/>
        <color theme="1"/>
        <rFont val="Calibri"/>
        <family val="2"/>
        <charset val="1"/>
      </rPr>
      <t xml:space="preserve">RTP</t>
    </r>
  </si>
  <si>
    <r>
      <rPr>
        <sz val="11"/>
        <color theme="1"/>
        <rFont val="Noto Sans SC"/>
        <family val="2"/>
        <charset val="134"/>
      </rPr>
      <t xml:space="preserve">搞懂了上述内容这一步就相对比较简单了，在计算标准图标</t>
    </r>
    <r>
      <rPr>
        <sz val="11"/>
        <color theme="1"/>
        <rFont val="Calibri"/>
        <family val="2"/>
        <charset val="1"/>
      </rPr>
      <t xml:space="preserve">RTP</t>
    </r>
    <r>
      <rPr>
        <sz val="11"/>
        <color theme="1"/>
        <rFont val="Noto Sans SC"/>
        <family val="2"/>
        <charset val="134"/>
      </rPr>
      <t xml:space="preserve">的基础上，再乘上</t>
    </r>
    <r>
      <rPr>
        <sz val="11"/>
        <color theme="1"/>
        <rFont val="Calibri"/>
        <family val="2"/>
        <charset val="1"/>
      </rPr>
      <t xml:space="preserve">Scatter</t>
    </r>
    <r>
      <rPr>
        <sz val="11"/>
        <color theme="1"/>
        <rFont val="Noto Sans SC"/>
        <family val="2"/>
        <charset val="134"/>
      </rPr>
      <t xml:space="preserve">触发免费摇和额外免费摇的期望，使其相乘，即可得到最终的免费摇</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</si>
  <si>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15</t>
    </r>
    <r>
      <rPr>
        <sz val="11"/>
        <color theme="1"/>
        <rFont val="Noto Sans SC"/>
        <family val="2"/>
        <charset val="134"/>
      </rPr>
      <t xml:space="preserve">］</t>
    </r>
    <r>
      <rPr>
        <sz val="11"/>
        <color theme="1"/>
        <rFont val="Calibri"/>
        <family val="2"/>
        <charset val="1"/>
      </rPr>
      <t xml:space="preserve">627624679-15.jpg</t>
    </r>
  </si>
  <si>
    <r>
      <rPr>
        <sz val="11"/>
        <color theme="1"/>
        <rFont val="Noto Sans SC"/>
        <family val="2"/>
        <charset val="134"/>
      </rPr>
      <t xml:space="preserve">经过上述步骤，就完成了</t>
    </r>
    <r>
      <rPr>
        <sz val="11"/>
        <color theme="1"/>
        <rFont val="Calibri"/>
        <family val="2"/>
        <charset val="1"/>
      </rPr>
      <t xml:space="preserve">3-4-5-4-3</t>
    </r>
    <r>
      <rPr>
        <sz val="11"/>
        <color theme="1"/>
        <rFont val="Noto Sans SC"/>
        <family val="2"/>
        <charset val="134"/>
      </rPr>
      <t xml:space="preserve">的随机卷轴</t>
    </r>
    <r>
      <rPr>
        <sz val="11"/>
        <color theme="1"/>
        <rFont val="Calibri"/>
        <family val="2"/>
        <charset val="1"/>
      </rPr>
      <t xml:space="preserve">Way Slots</t>
    </r>
    <r>
      <rPr>
        <sz val="11"/>
        <color theme="1"/>
        <rFont val="Noto Sans SC"/>
        <family val="2"/>
        <charset val="134"/>
      </rPr>
      <t xml:space="preserve">数值搭建，得到其综合</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0.9630</t>
    </r>
  </si>
  <si>
    <r>
      <rPr>
        <sz val="11"/>
        <color theme="1"/>
        <rFont val="Noto Sans SC"/>
        <family val="2"/>
        <charset val="134"/>
      </rPr>
      <t xml:space="preserve">［配图 </t>
    </r>
    <r>
      <rPr>
        <sz val="11"/>
        <color theme="1"/>
        <rFont val="Calibri"/>
        <family val="2"/>
        <charset val="1"/>
      </rPr>
      <t xml:space="preserve">16</t>
    </r>
    <r>
      <rPr>
        <sz val="11"/>
        <color theme="1"/>
        <rFont val="Noto Sans SC"/>
        <family val="2"/>
        <charset val="134"/>
      </rPr>
      <t xml:space="preserve">］</t>
    </r>
    <r>
      <rPr>
        <sz val="11"/>
        <color theme="1"/>
        <rFont val="Calibri"/>
        <family val="2"/>
        <charset val="1"/>
      </rPr>
      <t xml:space="preserve">627624679-16.jpeg</t>
    </r>
  </si>
  <si>
    <r>
      <rPr>
        <b val="true"/>
        <sz val="11"/>
        <rFont val="Noto Sans SC"/>
        <family val="2"/>
        <charset val="134"/>
      </rPr>
      <t xml:space="preserve">原文配图清单（共 </t>
    </r>
    <r>
      <rPr>
        <b val="true"/>
        <sz val="11"/>
        <rFont val="Cambria"/>
        <family val="0"/>
        <charset val="1"/>
      </rPr>
      <t xml:space="preserve">15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</si>
  <si>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627624679-02.png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</si>
  <si>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627624679-03.jpg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</si>
  <si>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627624679-04.png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</si>
  <si>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627624679-05.jpg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</si>
  <si>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627624679-06.jpg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</si>
  <si>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627624679-07.jpg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</si>
  <si>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627624679-08.jpg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</si>
  <si>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627624679-09.jpg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</si>
  <si>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627624679-10.jpg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</si>
  <si>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627624679-11.jpg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</si>
  <si>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627624679-12.jpg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</si>
  <si>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627624679-13.jpg</t>
    </r>
  </si>
  <si>
    <r>
      <rPr>
        <sz val="11"/>
        <color rgb="FF808080"/>
        <rFont val="Noto Sans SC"/>
        <family val="2"/>
        <charset val="134"/>
      </rPr>
      <t xml:space="preserve">［配图 </t>
    </r>
    <r>
      <rPr>
        <sz val="11"/>
        <color rgb="FF808080"/>
        <rFont val="Cambria"/>
        <family val="0"/>
        <charset val="1"/>
      </rPr>
      <t xml:space="preserve">14</t>
    </r>
    <r>
      <rPr>
        <sz val="11"/>
        <color rgb="FF808080"/>
        <rFont val="Noto Sans SC"/>
        <family val="2"/>
        <charset val="134"/>
      </rPr>
      <t xml:space="preserve">］</t>
    </r>
    <r>
      <rPr>
        <sz val="11"/>
        <color rgb="FF808080"/>
        <rFont val="Cambria"/>
        <family val="0"/>
        <charset val="1"/>
      </rPr>
      <t xml:space="preserve">627624679-14.jpg</t>
    </r>
  </si>
  <si>
    <r>
      <rPr>
        <sz val="11"/>
        <color rgb="FF808080"/>
        <rFont val="Noto Sans SC"/>
        <family val="2"/>
        <charset val="134"/>
      </rPr>
      <t xml:space="preserve">［配图 </t>
    </r>
    <r>
      <rPr>
        <sz val="11"/>
        <color rgb="FF808080"/>
        <rFont val="Cambria"/>
        <family val="0"/>
        <charset val="1"/>
      </rPr>
      <t xml:space="preserve">15</t>
    </r>
    <r>
      <rPr>
        <sz val="11"/>
        <color rgb="FF808080"/>
        <rFont val="Noto Sans SC"/>
        <family val="2"/>
        <charset val="134"/>
      </rPr>
      <t xml:space="preserve">］</t>
    </r>
    <r>
      <rPr>
        <sz val="11"/>
        <color rgb="FF808080"/>
        <rFont val="Cambria"/>
        <family val="0"/>
        <charset val="1"/>
      </rPr>
      <t xml:space="preserve">627624679-15.jpg</t>
    </r>
  </si>
  <si>
    <r>
      <rPr>
        <sz val="11"/>
        <color rgb="FF808080"/>
        <rFont val="Noto Sans SC"/>
        <family val="2"/>
        <charset val="134"/>
      </rPr>
      <t xml:space="preserve">［配图 </t>
    </r>
    <r>
      <rPr>
        <sz val="11"/>
        <color rgb="FF808080"/>
        <rFont val="Cambria"/>
        <family val="0"/>
        <charset val="1"/>
      </rPr>
      <t xml:space="preserve">16</t>
    </r>
    <r>
      <rPr>
        <sz val="11"/>
        <color rgb="FF808080"/>
        <rFont val="Noto Sans SC"/>
        <family val="2"/>
        <charset val="134"/>
      </rPr>
      <t xml:space="preserve">］</t>
    </r>
    <r>
      <rPr>
        <sz val="11"/>
        <color rgb="FF808080"/>
        <rFont val="Cambria"/>
        <family val="0"/>
        <charset val="1"/>
      </rPr>
      <t xml:space="preserve">627624679-16.jpeg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</si>
  <si>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</si>
  <si>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</si>
  <si>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</si>
  <si>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</si>
  <si>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</si>
  <si>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</si>
  <si>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数值篇——不规则窗口</t>
    </r>
    <r>
      <rPr>
        <sz val="11"/>
        <color rgb="FF808080"/>
        <rFont val="Cambria"/>
        <family val="0"/>
        <charset val="1"/>
      </rPr>
      <t xml:space="preserve">(2)</t>
    </r>
    <r>
      <rPr>
        <sz val="11"/>
        <color rgb="FF808080"/>
        <rFont val="Noto Sans SC"/>
        <family val="2"/>
        <charset val="134"/>
      </rPr>
      <t xml:space="preserve">》</t>
    </r>
    <r>
      <rPr>
        <sz val="11"/>
        <color rgb="FF808080"/>
        <rFont val="Cambria"/>
        <family val="0"/>
        <charset val="1"/>
      </rPr>
      <t xml:space="preserve">, https://zhuanlan.zhihu.com/p/627624679</t>
    </r>
  </si>
  <si>
    <r>
      <rPr>
        <b val="true"/>
        <sz val="14"/>
        <color rgb="FF1F4E79"/>
        <rFont val="Noto Sans SC"/>
        <family val="2"/>
        <charset val="134"/>
      </rPr>
      <t xml:space="preserve">数值篇 </t>
    </r>
    <r>
      <rPr>
        <b val="true"/>
        <sz val="14"/>
        <color rgb="FF1F4E79"/>
        <rFont val="Cambria"/>
        <family val="0"/>
        <charset val="1"/>
      </rPr>
      <t xml:space="preserve">· </t>
    </r>
    <r>
      <rPr>
        <b val="true"/>
        <sz val="14"/>
        <color rgb="FF1F4E79"/>
        <rFont val="Noto Sans SC"/>
        <family val="2"/>
        <charset val="134"/>
      </rPr>
      <t xml:space="preserve">不规则窗口</t>
    </r>
    <r>
      <rPr>
        <b val="true"/>
        <sz val="14"/>
        <color rgb="FF1F4E79"/>
        <rFont val="Cambria"/>
        <family val="0"/>
        <charset val="1"/>
      </rPr>
      <t xml:space="preserve">(2)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</si>
  <si>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</si>
  <si>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</si>
  <si>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</si>
  <si>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</si>
  <si>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t xml:space="preserve">3-4-5-4-3 Way Slots</t>
  </si>
  <si>
    <r>
      <rPr>
        <sz val="11"/>
        <color theme="1"/>
        <rFont val="Calibri"/>
        <family val="2"/>
        <charset val="1"/>
      </rPr>
      <t xml:space="preserve">Way </t>
    </r>
    <r>
      <rPr>
        <sz val="11"/>
        <color theme="1"/>
        <rFont val="Noto Sans SC"/>
        <family val="2"/>
        <charset val="134"/>
      </rPr>
      <t xml:space="preserve">玩法：按列判定，列内按行数放大个数期望</t>
    </r>
  </si>
  <si>
    <t xml:space="preserve">卷轴列数</t>
  </si>
  <si>
    <t xml:space="preserve">各列行数</t>
  </si>
  <si>
    <t xml:space="preserve">3 / 4 / 5 / 4 / 3</t>
  </si>
  <si>
    <r>
      <rPr>
        <sz val="11"/>
        <color theme="1"/>
        <rFont val="Noto Sans SC"/>
        <family val="2"/>
        <charset val="134"/>
      </rPr>
      <t xml:space="preserve">见【</t>
    </r>
    <r>
      <rPr>
        <sz val="11"/>
        <color theme="1"/>
        <rFont val="Calibri"/>
        <family val="2"/>
        <charset val="1"/>
      </rPr>
      <t xml:space="preserve">2</t>
    </r>
    <r>
      <rPr>
        <sz val="11"/>
        <color theme="1"/>
        <rFont val="Noto Sans SC"/>
        <family val="2"/>
        <charset val="134"/>
      </rPr>
      <t xml:space="preserve">】行数行与【</t>
    </r>
    <r>
      <rPr>
        <sz val="11"/>
        <color theme="1"/>
        <rFont val="Calibri"/>
        <family val="2"/>
        <charset val="1"/>
      </rPr>
      <t xml:space="preserve">4</t>
    </r>
    <r>
      <rPr>
        <sz val="11"/>
        <color theme="1"/>
        <rFont val="Noto Sans SC"/>
        <family val="2"/>
        <charset val="134"/>
      </rPr>
      <t xml:space="preserve">】</t>
    </r>
  </si>
  <si>
    <t xml:space="preserve">每列停位数</t>
  </si>
  <si>
    <r>
      <rPr>
        <sz val="11"/>
        <color theme="1"/>
        <rFont val="Noto Sans SC"/>
        <family val="2"/>
        <charset val="134"/>
      </rPr>
      <t xml:space="preserve">每列 </t>
    </r>
    <r>
      <rPr>
        <sz val="11"/>
        <color theme="1"/>
        <rFont val="Calibri"/>
        <family val="2"/>
        <charset val="1"/>
      </rPr>
      <t xml:space="preserve">15 </t>
    </r>
    <r>
      <rPr>
        <sz val="11"/>
        <color theme="1"/>
        <rFont val="Noto Sans SC"/>
        <family val="2"/>
        <charset val="134"/>
      </rPr>
      <t xml:space="preserve">停；末尾另补循环行（不参与概率分母）</t>
    </r>
  </si>
  <si>
    <t xml:space="preserve">总事件数</t>
  </si>
  <si>
    <r>
      <rPr>
        <sz val="11"/>
        <color theme="1"/>
        <rFont val="Noto Sans SC"/>
        <family val="2"/>
        <charset val="134"/>
      </rPr>
      <t xml:space="preserve">＝ </t>
    </r>
    <r>
      <rPr>
        <sz val="11"/>
        <color theme="1"/>
        <rFont val="Calibri"/>
        <family val="2"/>
        <charset val="1"/>
      </rPr>
      <t xml:space="preserve">15⁵ </t>
    </r>
    <r>
      <rPr>
        <sz val="11"/>
        <color theme="1"/>
        <rFont val="Noto Sans SC"/>
        <family val="2"/>
        <charset val="134"/>
      </rPr>
      <t xml:space="preserve">＝ </t>
    </r>
    <r>
      <rPr>
        <sz val="11"/>
        <color theme="1"/>
        <rFont val="Calibri"/>
        <family val="2"/>
        <charset val="1"/>
      </rPr>
      <t xml:space="preserve">759,375</t>
    </r>
  </si>
  <si>
    <t xml:space="preserve">赔付基数（人为设定的除数）</t>
  </si>
  <si>
    <r>
      <rPr>
        <sz val="11"/>
        <color theme="1"/>
        <rFont val="Noto Sans SC"/>
        <family val="2"/>
        <charset val="134"/>
      </rPr>
      <t xml:space="preserve">原文：</t>
    </r>
    <r>
      <rPr>
        <sz val="11"/>
        <color theme="1"/>
        <rFont val="Calibri"/>
        <family val="2"/>
        <charset val="1"/>
      </rPr>
      <t xml:space="preserve">10~1000 </t>
    </r>
    <r>
      <rPr>
        <sz val="11"/>
        <color theme="1"/>
        <rFont val="Noto Sans SC"/>
        <family val="2"/>
        <charset val="134"/>
      </rPr>
      <t xml:space="preserve">不等，本例 </t>
    </r>
    <r>
      <rPr>
        <sz val="11"/>
        <color theme="1"/>
        <rFont val="Calibri"/>
        <family val="2"/>
        <charset val="1"/>
      </rPr>
      <t xml:space="preserve">100</t>
    </r>
  </si>
  <si>
    <t xml:space="preserve">图标集</t>
  </si>
  <si>
    <r>
      <rPr>
        <sz val="11"/>
        <color rgb="FF0000FF"/>
        <rFont val="Cambria"/>
        <family val="0"/>
        <charset val="1"/>
      </rPr>
      <t xml:space="preserve">9 / 10 / J / Q / K </t>
    </r>
    <r>
      <rPr>
        <sz val="11"/>
        <color rgb="FF0000FF"/>
        <rFont val="Noto Sans SC"/>
        <family val="2"/>
        <charset val="134"/>
      </rPr>
      <t xml:space="preserve">＋ </t>
    </r>
    <r>
      <rPr>
        <sz val="11"/>
        <color rgb="FF0000FF"/>
        <rFont val="Cambria"/>
        <family val="0"/>
        <charset val="1"/>
      </rPr>
      <t xml:space="preserve">Wild</t>
    </r>
  </si>
  <si>
    <r>
      <rPr>
        <sz val="11"/>
        <color theme="1"/>
        <rFont val="Calibri"/>
        <family val="2"/>
        <charset val="1"/>
      </rPr>
      <t xml:space="preserve">5 </t>
    </r>
    <r>
      <rPr>
        <sz val="11"/>
        <color theme="1"/>
        <rFont val="Noto Sans SC"/>
        <family val="2"/>
        <charset val="134"/>
      </rPr>
      <t xml:space="preserve">个标准图标 ＋ </t>
    </r>
    <r>
      <rPr>
        <sz val="11"/>
        <color theme="1"/>
        <rFont val="Calibri"/>
        <family val="2"/>
        <charset val="1"/>
      </rPr>
      <t xml:space="preserve">1 </t>
    </r>
    <r>
      <rPr>
        <sz val="11"/>
        <color theme="1"/>
        <rFont val="Noto Sans SC"/>
        <family val="2"/>
        <charset val="134"/>
      </rPr>
      <t xml:space="preserve">个百搭；无特殊模式</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</si>
  <si>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】固定卷轴排列（</t>
    </r>
    <r>
      <rPr>
        <b val="true"/>
        <sz val="11"/>
        <color rgb="FF1F4E79"/>
        <rFont val="Cambria"/>
        <family val="0"/>
        <charset val="1"/>
      </rPr>
      <t xml:space="preserve">15 </t>
    </r>
    <r>
      <rPr>
        <b val="true"/>
        <sz val="11"/>
        <color rgb="FF1F4E79"/>
        <rFont val="Noto Sans SC"/>
        <family val="2"/>
        <charset val="134"/>
      </rPr>
      <t xml:space="preserve">停 </t>
    </r>
    <r>
      <rPr>
        <b val="true"/>
        <sz val="11"/>
        <color rgb="FF1F4E79"/>
        <rFont val="Cambria"/>
        <family val="0"/>
        <charset val="1"/>
      </rPr>
      <t xml:space="preserve">× 5 </t>
    </r>
    <r>
      <rPr>
        <b val="true"/>
        <sz val="11"/>
        <color rgb="FF1F4E79"/>
        <rFont val="Noto Sans SC"/>
        <family val="2"/>
        <charset val="134"/>
      </rPr>
      <t xml:space="preserve">列，按原文配图逐格转录；列</t>
    </r>
    <r>
      <rPr>
        <b val="true"/>
        <sz val="11"/>
        <color rgb="FF1F4E79"/>
        <rFont val="Cambria"/>
        <family val="0"/>
        <charset val="1"/>
      </rPr>
      <t xml:space="preserve">3 </t>
    </r>
    <r>
      <rPr>
        <b val="true"/>
        <sz val="11"/>
        <color rgb="FF1F4E79"/>
        <rFont val="Noto Sans SC"/>
        <family val="2"/>
        <charset val="134"/>
      </rPr>
      <t xml:space="preserve">第 </t>
    </r>
    <r>
      <rPr>
        <b val="true"/>
        <sz val="11"/>
        <color rgb="FF1F4E79"/>
        <rFont val="Cambria"/>
        <family val="0"/>
        <charset val="1"/>
      </rPr>
      <t xml:space="preserve">12 </t>
    </r>
    <r>
      <rPr>
        <b val="true"/>
        <sz val="11"/>
        <color rgb="FF1F4E79"/>
        <rFont val="Noto Sans SC"/>
        <family val="2"/>
        <charset val="134"/>
      </rPr>
      <t xml:space="preserve">行为 </t>
    </r>
    <r>
      <rPr>
        <b val="true"/>
        <sz val="11"/>
        <color rgb="FF1F4E79"/>
        <rFont val="Cambria"/>
        <family val="0"/>
        <charset val="1"/>
      </rPr>
      <t xml:space="preserve">K</t>
    </r>
    <r>
      <rPr>
        <b val="true"/>
        <sz val="11"/>
        <color rgb="FF1F4E79"/>
        <rFont val="Noto Sans SC"/>
        <family val="2"/>
        <charset val="134"/>
      </rPr>
      <t xml:space="preserve">）</t>
    </r>
  </si>
  <si>
    <t xml:space="preserve">停位</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</si>
  <si>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</si>
  <si>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</si>
  <si>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</si>
  <si>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r>
      <rPr>
        <b val="true"/>
        <sz val="11"/>
        <color rgb="FF1F4E79"/>
        <rFont val="Noto Sans SC"/>
        <family val="2"/>
        <charset val="134"/>
      </rPr>
      <t xml:space="preserve">列</t>
    </r>
    <r>
      <rPr>
        <b val="true"/>
        <sz val="11"/>
        <color rgb="FF1F4E79"/>
        <rFont val="Cambria"/>
        <family val="0"/>
        <charset val="1"/>
      </rPr>
      <t xml:space="preserve">4</t>
    </r>
  </si>
  <si>
    <r>
      <rPr>
        <b val="true"/>
        <sz val="11"/>
        <color rgb="FF1F4E79"/>
        <rFont val="Noto Sans SC"/>
        <family val="2"/>
        <charset val="134"/>
      </rPr>
      <t xml:space="preserve">列</t>
    </r>
    <r>
      <rPr>
        <b val="true"/>
        <sz val="11"/>
        <color rgb="FF1F4E79"/>
        <rFont val="Cambria"/>
        <family val="0"/>
        <charset val="1"/>
      </rPr>
      <t xml:space="preserve">5</t>
    </r>
  </si>
  <si>
    <t xml:space="preserve">9</t>
  </si>
  <si>
    <t xml:space="preserve">Wild</t>
  </si>
  <si>
    <t xml:space="preserve">10</t>
  </si>
  <si>
    <t xml:space="preserve">J</t>
  </si>
  <si>
    <t xml:space="preserve">Q</t>
  </si>
  <si>
    <t xml:space="preserve">K</t>
  </si>
  <si>
    <t xml:space="preserve">窗口行数；「不出现」要按它遍历</t>
  </si>
  <si>
    <r>
      <rPr>
        <sz val="11"/>
        <color rgb="FF808080"/>
        <rFont val="Noto Sans SC"/>
        <family val="2"/>
        <charset val="134"/>
      </rPr>
      <t xml:space="preserve">循环补充行（原文配图下方）：列</t>
    </r>
    <r>
      <rPr>
        <sz val="11"/>
        <color rgb="FF808080"/>
        <rFont val="Cambria"/>
        <family val="0"/>
        <charset val="1"/>
      </rPr>
      <t xml:space="preserve">1/2/4/5 </t>
    </r>
    <r>
      <rPr>
        <sz val="11"/>
        <color rgb="FF808080"/>
        <rFont val="Noto Sans SC"/>
        <family val="2"/>
        <charset val="134"/>
      </rPr>
      <t xml:space="preserve">各补 </t>
    </r>
    <r>
      <rPr>
        <sz val="11"/>
        <color rgb="FF808080"/>
        <rFont val="Cambria"/>
        <family val="0"/>
        <charset val="1"/>
      </rPr>
      <t xml:space="preserve">2 </t>
    </r>
    <r>
      <rPr>
        <sz val="11"/>
        <color rgb="FF808080"/>
        <rFont val="Noto Sans SC"/>
        <family val="2"/>
        <charset val="134"/>
      </rPr>
      <t xml:space="preserve">行、列</t>
    </r>
    <r>
      <rPr>
        <sz val="11"/>
        <color rgb="FF808080"/>
        <rFont val="Cambria"/>
        <family val="0"/>
        <charset val="1"/>
      </rPr>
      <t xml:space="preserve">3 </t>
    </r>
    <r>
      <rPr>
        <sz val="11"/>
        <color rgb="FF808080"/>
        <rFont val="Noto Sans SC"/>
        <family val="2"/>
        <charset val="134"/>
      </rPr>
      <t xml:space="preserve">补 </t>
    </r>
    <r>
      <rPr>
        <sz val="11"/>
        <color rgb="FF808080"/>
        <rFont val="Cambria"/>
        <family val="0"/>
        <charset val="1"/>
      </rPr>
      <t xml:space="preserve">4 </t>
    </r>
    <r>
      <rPr>
        <sz val="11"/>
        <color rgb="FF808080"/>
        <rFont val="Noto Sans SC"/>
        <family val="2"/>
        <charset val="134"/>
      </rPr>
      <t xml:space="preserve">行（＝该列行数 − </t>
    </r>
    <r>
      <rPr>
        <sz val="11"/>
        <color rgb="FF808080"/>
        <rFont val="Cambria"/>
        <family val="0"/>
        <charset val="1"/>
      </rPr>
      <t xml:space="preserve">1</t>
    </r>
    <r>
      <rPr>
        <sz val="11"/>
        <color rgb="FF808080"/>
        <rFont val="Noto Sans SC"/>
        <family val="2"/>
        <charset val="134"/>
      </rPr>
      <t xml:space="preserve">），用于模拟首尾相连的卷轴；它们只用于遍历，不参与概率分母。</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</si>
  <si>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】图标个数分布（原文②：基础个数 ＋ 该列百搭数）</t>
    </r>
  </si>
  <si>
    <t xml:space="preserve">图标</t>
  </si>
  <si>
    <t xml:space="preserve">合计</t>
  </si>
  <si>
    <t xml:space="preserve">＝ 基础个数 ＋ 该列百搭数</t>
  </si>
  <si>
    <r>
      <rPr>
        <sz val="11"/>
        <color theme="1"/>
        <rFont val="Calibri"/>
        <family val="2"/>
        <charset val="1"/>
      </rPr>
      <t xml:space="preserve">Wild</t>
    </r>
    <r>
      <rPr>
        <sz val="11"/>
        <color theme="1"/>
        <rFont val="Noto Sans SC"/>
        <family val="2"/>
        <charset val="134"/>
      </rPr>
      <t xml:space="preserve">（参考）</t>
    </r>
  </si>
  <si>
    <t xml:space="preserve">百搭本身无赔付倍数</t>
  </si>
  <si>
    <t xml:space="preserve">卷轴停位数（不含百搭折算）</t>
  </si>
  <si>
    <r>
      <rPr>
        <sz val="11"/>
        <color theme="1"/>
        <rFont val="Noto Sans SC"/>
        <family val="2"/>
        <charset val="134"/>
      </rPr>
      <t xml:space="preserve">每列应＝ </t>
    </r>
    <r>
      <rPr>
        <sz val="11"/>
        <color theme="1"/>
        <rFont val="Calibri"/>
        <family val="2"/>
        <charset val="1"/>
      </rPr>
      <t xml:space="preserve">15</t>
    </r>
    <r>
      <rPr>
        <sz val="11"/>
        <color theme="1"/>
        <rFont val="Noto Sans SC"/>
        <family val="2"/>
        <charset val="134"/>
      </rPr>
      <t xml:space="preserve">；各图标个数之和会大于 </t>
    </r>
    <r>
      <rPr>
        <sz val="11"/>
        <color theme="1"/>
        <rFont val="Calibri"/>
        <family val="2"/>
        <charset val="1"/>
      </rPr>
      <t xml:space="preserve">15</t>
    </r>
    <r>
      <rPr>
        <sz val="11"/>
        <color theme="1"/>
        <rFont val="Noto Sans SC"/>
        <family val="2"/>
        <charset val="134"/>
      </rPr>
      <t xml:space="preserve">，因为百搭被各标准图标各计一次</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</si>
  <si>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】实际事件数 ＝ 该列个数 </t>
    </r>
    <r>
      <rPr>
        <b val="true"/>
        <sz val="11"/>
        <color rgb="FF1F4E79"/>
        <rFont val="Cambria"/>
        <family val="0"/>
        <charset val="1"/>
      </rPr>
      <t xml:space="preserve">× </t>
    </r>
    <r>
      <rPr>
        <b val="true"/>
        <sz val="11"/>
        <color rgb="FF1F4E79"/>
        <rFont val="Noto Sans SC"/>
        <family val="2"/>
        <charset val="134"/>
      </rPr>
      <t xml:space="preserve">该列行数（原文③）</t>
    </r>
  </si>
  <si>
    <r>
      <rPr>
        <sz val="11"/>
        <color theme="1"/>
        <rFont val="Noto Sans SC"/>
        <family val="2"/>
        <charset val="134"/>
      </rPr>
      <t xml:space="preserve">＝ 个数（含百搭）</t>
    </r>
    <r>
      <rPr>
        <sz val="11"/>
        <color theme="1"/>
        <rFont val="Calibri"/>
        <family val="2"/>
        <charset val="1"/>
      </rPr>
      <t xml:space="preserve">× </t>
    </r>
    <r>
      <rPr>
        <sz val="11"/>
        <color theme="1"/>
        <rFont val="Noto Sans SC"/>
        <family val="2"/>
        <charset val="134"/>
      </rPr>
      <t xml:space="preserve">该列行数</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</si>
  <si>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】不出现事件数（原文④；</t>
    </r>
    <r>
      <rPr>
        <b val="true"/>
        <sz val="11"/>
        <color rgb="FF1F4E79"/>
        <rFont val="Cambria"/>
        <family val="0"/>
        <charset val="1"/>
      </rPr>
      <t xml:space="preserve">3 </t>
    </r>
    <r>
      <rPr>
        <b val="true"/>
        <sz val="11"/>
        <color rgb="FF1F4E79"/>
        <rFont val="Noto Sans SC"/>
        <family val="2"/>
        <charset val="134"/>
      </rPr>
      <t xml:space="preserve">连取第 </t>
    </r>
    <r>
      <rPr>
        <b val="true"/>
        <sz val="11"/>
        <color rgb="FF1F4E79"/>
        <rFont val="Cambria"/>
        <family val="0"/>
        <charset val="1"/>
      </rPr>
      <t xml:space="preserve">4 </t>
    </r>
    <r>
      <rPr>
        <b val="true"/>
        <sz val="11"/>
        <color rgb="FF1F4E79"/>
        <rFont val="Noto Sans SC"/>
        <family val="2"/>
        <charset val="134"/>
      </rPr>
      <t xml:space="preserve">列、</t>
    </r>
    <r>
      <rPr>
        <b val="true"/>
        <sz val="11"/>
        <color rgb="FF1F4E79"/>
        <rFont val="Cambria"/>
        <family val="0"/>
        <charset val="1"/>
      </rPr>
      <t xml:space="preserve">4 </t>
    </r>
    <r>
      <rPr>
        <b val="true"/>
        <sz val="11"/>
        <color rgb="FF1F4E79"/>
        <rFont val="Noto Sans SC"/>
        <family val="2"/>
        <charset val="134"/>
      </rPr>
      <t xml:space="preserve">连取第 </t>
    </r>
    <r>
      <rPr>
        <b val="true"/>
        <sz val="11"/>
        <color rgb="FF1F4E79"/>
        <rFont val="Cambria"/>
        <family val="0"/>
        <charset val="1"/>
      </rPr>
      <t xml:space="preserve">5 </t>
    </r>
    <r>
      <rPr>
        <b val="true"/>
        <sz val="11"/>
        <color rgb="FF1F4E79"/>
        <rFont val="Noto Sans SC"/>
        <family val="2"/>
        <charset val="134"/>
      </rPr>
      <t xml:space="preserve">列、</t>
    </r>
    <r>
      <rPr>
        <b val="true"/>
        <sz val="11"/>
        <color rgb="FF1F4E79"/>
        <rFont val="Cambria"/>
        <family val="0"/>
        <charset val="1"/>
      </rPr>
      <t xml:space="preserve">5 </t>
    </r>
    <r>
      <rPr>
        <b val="true"/>
        <sz val="11"/>
        <color rgb="FF1F4E79"/>
        <rFont val="Noto Sans SC"/>
        <family val="2"/>
        <charset val="134"/>
      </rPr>
      <t xml:space="preserve">连乘 </t>
    </r>
    <r>
      <rPr>
        <b val="true"/>
        <sz val="11"/>
        <color rgb="FF1F4E79"/>
        <rFont val="Cambria"/>
        <family val="0"/>
        <charset val="1"/>
      </rPr>
      <t xml:space="preserve">1</t>
    </r>
    <r>
      <rPr>
        <b val="true"/>
        <sz val="11"/>
        <color rgb="FF1F4E79"/>
        <rFont val="Noto Sans SC"/>
        <family val="2"/>
        <charset val="134"/>
      </rPr>
      <t xml:space="preserve">）</t>
    </r>
  </si>
  <si>
    <t xml:space="preserve">中奖组合</t>
  </si>
  <si>
    <r>
      <rPr>
        <b val="true"/>
        <sz val="11"/>
        <rFont val="Cambria"/>
        <family val="0"/>
        <charset val="1"/>
      </rPr>
      <t xml:space="preserve">3 </t>
    </r>
    <r>
      <rPr>
        <b val="true"/>
        <sz val="11"/>
        <rFont val="Noto Sans SC"/>
        <family val="2"/>
        <charset val="134"/>
      </rPr>
      <t xml:space="preserve">连：第 </t>
    </r>
    <r>
      <rPr>
        <b val="true"/>
        <sz val="11"/>
        <rFont val="Cambria"/>
        <family val="0"/>
        <charset val="1"/>
      </rPr>
      <t xml:space="preserve">4 </t>
    </r>
    <r>
      <rPr>
        <b val="true"/>
        <sz val="11"/>
        <rFont val="Noto Sans SC"/>
        <family val="2"/>
        <charset val="134"/>
      </rPr>
      <t xml:space="preserve">列不出现</t>
    </r>
  </si>
  <si>
    <r>
      <rPr>
        <sz val="11"/>
        <color theme="1"/>
        <rFont val="Noto Sans SC"/>
        <family val="2"/>
        <charset val="134"/>
      </rPr>
      <t xml:space="preserve">原文④列</t>
    </r>
    <r>
      <rPr>
        <sz val="11"/>
        <color theme="1"/>
        <rFont val="Calibri"/>
        <family val="2"/>
        <charset val="1"/>
      </rPr>
      <t xml:space="preserve">4 </t>
    </r>
    <r>
      <rPr>
        <sz val="11"/>
        <color theme="1"/>
        <rFont val="Noto Sans SC"/>
        <family val="2"/>
        <charset val="134"/>
      </rPr>
      <t xml:space="preserve">口径：窗口数 </t>
    </r>
    <r>
      <rPr>
        <sz val="11"/>
        <color theme="1"/>
        <rFont val="Calibri"/>
        <family val="2"/>
        <charset val="1"/>
      </rPr>
      <t xml:space="preserve">× </t>
    </r>
    <r>
      <rPr>
        <sz val="11"/>
        <color theme="1"/>
        <rFont val="Noto Sans SC"/>
        <family val="2"/>
        <charset val="134"/>
      </rPr>
      <t xml:space="preserve">每列停位数（</t>
    </r>
    <r>
      <rPr>
        <sz val="11"/>
        <color theme="1"/>
        <rFont val="Calibri"/>
        <family val="2"/>
        <charset val="1"/>
      </rPr>
      <t xml:space="preserve">5 × 15 </t>
    </r>
    <r>
      <rPr>
        <sz val="11"/>
        <color theme="1"/>
        <rFont val="Noto Sans SC"/>
        <family val="2"/>
        <charset val="134"/>
      </rPr>
      <t xml:space="preserve">＝ </t>
    </r>
    <r>
      <rPr>
        <sz val="11"/>
        <color theme="1"/>
        <rFont val="Calibri"/>
        <family val="2"/>
        <charset val="1"/>
      </rPr>
      <t xml:space="preserve">75</t>
    </r>
    <r>
      <rPr>
        <sz val="11"/>
        <color theme="1"/>
        <rFont val="Noto Sans SC"/>
        <family val="2"/>
        <charset val="134"/>
      </rPr>
      <t xml:space="preserve">）</t>
    </r>
  </si>
  <si>
    <r>
      <rPr>
        <b val="true"/>
        <sz val="11"/>
        <rFont val="Cambria"/>
        <family val="0"/>
        <charset val="1"/>
      </rPr>
      <t xml:space="preserve">4 </t>
    </r>
    <r>
      <rPr>
        <b val="true"/>
        <sz val="11"/>
        <rFont val="Noto Sans SC"/>
        <family val="2"/>
        <charset val="134"/>
      </rPr>
      <t xml:space="preserve">连：第 </t>
    </r>
    <r>
      <rPr>
        <b val="true"/>
        <sz val="11"/>
        <rFont val="Cambria"/>
        <family val="0"/>
        <charset val="1"/>
      </rPr>
      <t xml:space="preserve">5 </t>
    </r>
    <r>
      <rPr>
        <b val="true"/>
        <sz val="11"/>
        <rFont val="Noto Sans SC"/>
        <family val="2"/>
        <charset val="134"/>
      </rPr>
      <t xml:space="preserve">列不出现</t>
    </r>
  </si>
  <si>
    <r>
      <rPr>
        <sz val="11"/>
        <color theme="1"/>
        <rFont val="Noto Sans SC"/>
        <family val="2"/>
        <charset val="134"/>
      </rPr>
      <t xml:space="preserve">原文④列</t>
    </r>
    <r>
      <rPr>
        <sz val="11"/>
        <color theme="1"/>
        <rFont val="Calibri"/>
        <family val="2"/>
        <charset val="1"/>
      </rPr>
      <t xml:space="preserve">5 </t>
    </r>
    <r>
      <rPr>
        <sz val="11"/>
        <color theme="1"/>
        <rFont val="Noto Sans SC"/>
        <family val="2"/>
        <charset val="134"/>
      </rPr>
      <t xml:space="preserve">口径：窗口数原值（如 </t>
    </r>
    <r>
      <rPr>
        <sz val="11"/>
        <color theme="1"/>
        <rFont val="Calibri"/>
        <family val="2"/>
        <charset val="1"/>
      </rPr>
      <t xml:space="preserve">7</t>
    </r>
    <r>
      <rPr>
        <sz val="11"/>
        <color theme="1"/>
        <rFont val="Noto Sans SC"/>
        <family val="2"/>
        <charset val="134"/>
      </rPr>
      <t xml:space="preserve">）</t>
    </r>
  </si>
  <si>
    <r>
      <rPr>
        <b val="true"/>
        <sz val="11"/>
        <rFont val="Cambria"/>
        <family val="0"/>
        <charset val="1"/>
      </rPr>
      <t xml:space="preserve">5 </t>
    </r>
    <r>
      <rPr>
        <b val="true"/>
        <sz val="11"/>
        <rFont val="Noto Sans SC"/>
        <family val="2"/>
        <charset val="134"/>
      </rPr>
      <t xml:space="preserve">连：不限（乘 </t>
    </r>
    <r>
      <rPr>
        <b val="true"/>
        <sz val="11"/>
        <rFont val="Cambria"/>
        <family val="0"/>
        <charset val="1"/>
      </rPr>
      <t xml:space="preserve">1</t>
    </r>
    <r>
      <rPr>
        <b val="true"/>
        <sz val="11"/>
        <rFont val="Noto Sans SC"/>
        <family val="2"/>
        <charset val="134"/>
      </rPr>
      <t xml:space="preserve">）</t>
    </r>
  </si>
  <si>
    <t xml:space="preserve">五列全出现，无「不出现」项</t>
  </si>
  <si>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】中奖组合 </t>
    </r>
    <r>
      <rPr>
        <b val="true"/>
        <sz val="11"/>
        <color rgb="FF1F4E79"/>
        <rFont val="Cambria"/>
        <family val="0"/>
        <charset val="1"/>
      </rPr>
      <t xml:space="preserve">RTP</t>
    </r>
    <r>
      <rPr>
        <b val="true"/>
        <sz val="11"/>
        <color rgb="FF1F4E79"/>
        <rFont val="Noto Sans SC"/>
        <family val="2"/>
        <charset val="134"/>
      </rPr>
      <t xml:space="preserve">（原文⑥；事件数与赔付倍数为转录，中奖率与 </t>
    </r>
    <r>
      <rPr>
        <b val="true"/>
        <sz val="11"/>
        <color rgb="FF1F4E79"/>
        <rFont val="Cambria"/>
        <family val="0"/>
        <charset val="1"/>
      </rPr>
      <t xml:space="preserve">RTP </t>
    </r>
    <r>
      <rPr>
        <b val="true"/>
        <sz val="11"/>
        <color rgb="FF1F4E79"/>
        <rFont val="Noto Sans SC"/>
        <family val="2"/>
        <charset val="134"/>
      </rPr>
      <t xml:space="preserve">为公式）</t>
    </r>
  </si>
  <si>
    <t xml:space="preserve">出现列数</t>
  </si>
  <si>
    <t xml:space="preserve">组合事件数</t>
  </si>
  <si>
    <t xml:space="preserve">中奖率</t>
  </si>
  <si>
    <t xml:space="preserve">赔付倍数</t>
  </si>
  <si>
    <t xml:space="preserve">RTP</t>
  </si>
  <si>
    <t xml:space="preserve">{9,9,9,#9,#9}</t>
  </si>
  <si>
    <t xml:space="preserve">{9,9,9,9,#9}</t>
  </si>
  <si>
    <t xml:space="preserve">{9,9,9,9,9}</t>
  </si>
  <si>
    <t xml:space="preserve">{10,10,10,#10,#10}</t>
  </si>
  <si>
    <t xml:space="preserve">{10,10,10,10,#10}</t>
  </si>
  <si>
    <t xml:space="preserve">{10,10,10,10,10}</t>
  </si>
  <si>
    <t xml:space="preserve">{J,J,J,#J,#J}</t>
  </si>
  <si>
    <t xml:space="preserve">{J,J,J,J,#J}</t>
  </si>
  <si>
    <t xml:space="preserve">{J,J,J,J,J}</t>
  </si>
  <si>
    <t xml:space="preserve">{Q,Q,Q,#Q,#Q}</t>
  </si>
  <si>
    <t xml:space="preserve">{Q,Q,Q,Q,#Q}</t>
  </si>
  <si>
    <t xml:space="preserve">{Q,Q,Q,Q,Q}</t>
  </si>
  <si>
    <t xml:space="preserve">{K,K,K,#K,#K}</t>
  </si>
  <si>
    <t xml:space="preserve">{K,K,K,K,#K}</t>
  </si>
  <si>
    <t xml:space="preserve">{K,K,K,K,K}</t>
  </si>
  <si>
    <t xml:space="preserve">总计</t>
  </si>
  <si>
    <t xml:space="preserve">期望合计</t>
  </si>
  <si>
    <r>
      <rPr>
        <b val="true"/>
        <sz val="11"/>
        <rFont val="Noto Sans SC"/>
        <family val="2"/>
        <charset val="134"/>
      </rPr>
      <t xml:space="preserve">固定卷轴实际 </t>
    </r>
    <r>
      <rPr>
        <b val="true"/>
        <sz val="11"/>
        <rFont val="Cambria"/>
        <family val="0"/>
        <charset val="1"/>
      </rPr>
      <t xml:space="preserve">RTP</t>
    </r>
  </si>
  <si>
    <r>
      <rPr>
        <b val="true"/>
        <sz val="11"/>
        <rFont val="Cambria"/>
        <family val="0"/>
        <charset val="1"/>
      </rPr>
      <t xml:space="preserve">÷ </t>
    </r>
    <r>
      <rPr>
        <b val="true"/>
        <sz val="11"/>
        <rFont val="Noto Sans SC"/>
        <family val="2"/>
        <charset val="134"/>
      </rPr>
      <t xml:space="preserve">赔付基数</t>
    </r>
  </si>
  <si>
    <r>
      <rPr>
        <sz val="11"/>
        <color rgb="FF808080"/>
        <rFont val="Noto Sans SC"/>
        <family val="2"/>
        <charset val="134"/>
      </rPr>
      <t xml:space="preserve">原文⑥合计 </t>
    </r>
    <r>
      <rPr>
        <sz val="11"/>
        <color rgb="FF808080"/>
        <rFont val="Cambria"/>
        <family val="0"/>
        <charset val="1"/>
      </rPr>
      <t xml:space="preserve">99.7917</t>
    </r>
    <r>
      <rPr>
        <sz val="11"/>
        <color rgb="FF808080"/>
        <rFont val="Noto Sans SC"/>
        <family val="2"/>
        <charset val="134"/>
      </rPr>
      <t xml:space="preserve">，</t>
    </r>
    <r>
      <rPr>
        <sz val="11"/>
        <color rgb="FF808080"/>
        <rFont val="Cambria"/>
        <family val="0"/>
        <charset val="1"/>
      </rPr>
      <t xml:space="preserve">÷100 </t>
    </r>
    <r>
      <rPr>
        <sz val="11"/>
        <color rgb="FF808080"/>
        <rFont val="Noto Sans SC"/>
        <family val="2"/>
        <charset val="134"/>
      </rPr>
      <t xml:space="preserve">＝ </t>
    </r>
    <r>
      <rPr>
        <sz val="11"/>
        <color rgb="FF808080"/>
        <rFont val="Cambria"/>
        <family val="0"/>
        <charset val="1"/>
      </rPr>
      <t xml:space="preserve">0.9979</t>
    </r>
    <r>
      <rPr>
        <sz val="11"/>
        <color rgb="FF808080"/>
        <rFont val="Noto Sans SC"/>
        <family val="2"/>
        <charset val="134"/>
      </rPr>
      <t xml:space="preserve">。组合事件数 ＝ 出现各列事件数之积 </t>
    </r>
    <r>
      <rPr>
        <sz val="11"/>
        <color rgb="FF808080"/>
        <rFont val="Cambria"/>
        <family val="0"/>
        <charset val="1"/>
      </rPr>
      <t xml:space="preserve">× </t>
    </r>
    <r>
      <rPr>
        <sz val="11"/>
        <color rgb="FF808080"/>
        <rFont val="Noto Sans SC"/>
        <family val="2"/>
        <charset val="134"/>
      </rPr>
      <t xml:space="preserve">不出现事件数（</t>
    </r>
    <r>
      <rPr>
        <sz val="11"/>
        <color rgb="FF808080"/>
        <rFont val="Cambria"/>
        <family val="0"/>
        <charset val="1"/>
      </rPr>
      <t xml:space="preserve">3 </t>
    </r>
    <r>
      <rPr>
        <sz val="11"/>
        <color rgb="FF808080"/>
        <rFont val="Noto Sans SC"/>
        <family val="2"/>
        <charset val="134"/>
      </rPr>
      <t xml:space="preserve">连第 </t>
    </r>
    <r>
      <rPr>
        <sz val="11"/>
        <color rgb="FF808080"/>
        <rFont val="Cambria"/>
        <family val="0"/>
        <charset val="1"/>
      </rPr>
      <t xml:space="preserve">4 </t>
    </r>
    <r>
      <rPr>
        <sz val="11"/>
        <color rgb="FF808080"/>
        <rFont val="Noto Sans SC"/>
        <family val="2"/>
        <charset val="134"/>
      </rPr>
      <t xml:space="preserve">列、</t>
    </r>
    <r>
      <rPr>
        <sz val="11"/>
        <color rgb="FF808080"/>
        <rFont val="Cambria"/>
        <family val="0"/>
        <charset val="1"/>
      </rPr>
      <t xml:space="preserve">4 </t>
    </r>
    <r>
      <rPr>
        <sz val="11"/>
        <color rgb="FF808080"/>
        <rFont val="Noto Sans SC"/>
        <family val="2"/>
        <charset val="134"/>
      </rPr>
      <t xml:space="preserve">连第 </t>
    </r>
    <r>
      <rPr>
        <sz val="11"/>
        <color rgb="FF808080"/>
        <rFont val="Cambria"/>
        <family val="0"/>
        <charset val="1"/>
      </rPr>
      <t xml:space="preserve">5 </t>
    </r>
    <r>
      <rPr>
        <sz val="11"/>
        <color rgb="FF808080"/>
        <rFont val="Noto Sans SC"/>
        <family val="2"/>
        <charset val="134"/>
      </rPr>
      <t xml:space="preserve">列、</t>
    </r>
    <r>
      <rPr>
        <sz val="11"/>
        <color rgb="FF808080"/>
        <rFont val="Cambria"/>
        <family val="0"/>
        <charset val="1"/>
      </rPr>
      <t xml:space="preserve">5 </t>
    </r>
    <r>
      <rPr>
        <sz val="11"/>
        <color rgb="FF808080"/>
        <rFont val="Noto Sans SC"/>
        <family val="2"/>
        <charset val="134"/>
      </rPr>
      <t xml:space="preserve">连乘 </t>
    </r>
    <r>
      <rPr>
        <sz val="11"/>
        <color rgb="FF808080"/>
        <rFont val="Cambria"/>
        <family val="0"/>
        <charset val="1"/>
      </rPr>
      <t xml:space="preserve">1</t>
    </r>
    <r>
      <rPr>
        <sz val="11"/>
        <color rgb="FF808080"/>
        <rFont val="Noto Sans SC"/>
        <family val="2"/>
        <charset val="134"/>
      </rPr>
      <t xml:space="preserve">），与原文④口径一致，可逐行复现原文 </t>
    </r>
    <r>
      <rPr>
        <sz val="11"/>
        <color rgb="FF808080"/>
        <rFont val="Cambria"/>
        <family val="0"/>
        <charset val="1"/>
      </rPr>
      <t xml:space="preserve">RTP</t>
    </r>
    <r>
      <rPr>
        <sz val="11"/>
        <color rgb="FF80808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</si>
  <si>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】随机卷轴法（原文后半段：不遍历，改概率 </t>
    </r>
    <r>
      <rPr>
        <b val="true"/>
        <sz val="11"/>
        <color rgb="FF1F4E79"/>
        <rFont val="Cambria"/>
        <family val="0"/>
        <charset val="1"/>
      </rPr>
      <t xml:space="preserve">× </t>
    </r>
    <r>
      <rPr>
        <b val="true"/>
        <sz val="11"/>
        <color rgb="FF1F4E79"/>
        <rFont val="Noto Sans SC"/>
        <family val="2"/>
        <charset val="134"/>
      </rPr>
      <t xml:space="preserve">列高 ＋ </t>
    </r>
    <r>
      <rPr>
        <b val="true"/>
        <sz val="11"/>
        <color rgb="FF1F4E79"/>
        <rFont val="Cambria"/>
        <family val="0"/>
        <charset val="1"/>
      </rPr>
      <t xml:space="preserve">BINOM </t>
    </r>
    <r>
      <rPr>
        <b val="true"/>
        <sz val="11"/>
        <color rgb="FF1F4E79"/>
        <rFont val="Noto Sans SC"/>
        <family val="2"/>
        <charset val="134"/>
      </rPr>
      <t xml:space="preserve">不出现）</t>
    </r>
  </si>
  <si>
    <t xml:space="preserve">步骤</t>
  </si>
  <si>
    <t xml:space="preserve">做法</t>
  </si>
  <si>
    <t xml:space="preserve">① 概率设定</t>
  </si>
  <si>
    <t xml:space="preserve">每列给出各图标权重 → 算出出现概率（各列图标个数不同）</t>
  </si>
  <si>
    <t xml:space="preserve">② 出现几率</t>
  </si>
  <si>
    <r>
      <rPr>
        <sz val="11"/>
        <color theme="1"/>
        <rFont val="Noto Sans SC"/>
        <family val="2"/>
        <charset val="134"/>
      </rPr>
      <t xml:space="preserve">＝（该标准图标几率 ＋ 百搭几率）</t>
    </r>
    <r>
      <rPr>
        <sz val="11"/>
        <color theme="1"/>
        <rFont val="Calibri"/>
        <family val="2"/>
        <charset val="1"/>
      </rPr>
      <t xml:space="preserve">× </t>
    </r>
    <r>
      <rPr>
        <sz val="11"/>
        <color theme="1"/>
        <rFont val="Noto Sans SC"/>
        <family val="2"/>
        <charset val="134"/>
      </rPr>
      <t xml:space="preserve">该列图标个数（列</t>
    </r>
    <r>
      <rPr>
        <sz val="11"/>
        <color theme="1"/>
        <rFont val="Calibri"/>
        <family val="2"/>
        <charset val="1"/>
      </rPr>
      <t xml:space="preserve">3 </t>
    </r>
    <r>
      <rPr>
        <sz val="11"/>
        <color theme="1"/>
        <rFont val="Noto Sans SC"/>
        <family val="2"/>
        <charset val="134"/>
      </rPr>
      <t xml:space="preserve">会 </t>
    </r>
    <r>
      <rPr>
        <sz val="11"/>
        <color theme="1"/>
        <rFont val="Calibri"/>
        <family val="2"/>
        <charset val="1"/>
      </rPr>
      <t xml:space="preserve">&gt;100%</t>
    </r>
    <r>
      <rPr>
        <sz val="11"/>
        <color theme="1"/>
        <rFont val="Noto Sans SC"/>
        <family val="2"/>
        <charset val="134"/>
      </rPr>
      <t xml:space="preserve">，是个数期望）</t>
    </r>
  </si>
  <si>
    <t xml:space="preserve">③ 不出现几率</t>
  </si>
  <si>
    <r>
      <rPr>
        <sz val="11"/>
        <color theme="1"/>
        <rFont val="Calibri"/>
        <family val="2"/>
        <charset val="1"/>
      </rPr>
      <t xml:space="preserve">BINOM.DIST.RANGE(</t>
    </r>
    <r>
      <rPr>
        <sz val="11"/>
        <color theme="1"/>
        <rFont val="Noto Sans SC"/>
        <family val="2"/>
        <charset val="134"/>
      </rPr>
      <t xml:space="preserve">该列图标个数</t>
    </r>
    <r>
      <rPr>
        <sz val="11"/>
        <color theme="1"/>
        <rFont val="Calibri"/>
        <family val="2"/>
        <charset val="1"/>
      </rPr>
      <t xml:space="preserve">, </t>
    </r>
    <r>
      <rPr>
        <sz val="11"/>
        <color theme="1"/>
        <rFont val="Noto Sans SC"/>
        <family val="2"/>
        <charset val="134"/>
      </rPr>
      <t xml:space="preserve">图标几率</t>
    </r>
    <r>
      <rPr>
        <sz val="11"/>
        <color theme="1"/>
        <rFont val="Calibri"/>
        <family val="2"/>
        <charset val="1"/>
      </rPr>
      <t xml:space="preserve">, 0) </t>
    </r>
    <r>
      <rPr>
        <sz val="11"/>
        <color theme="1"/>
        <rFont val="Noto Sans SC"/>
        <family val="2"/>
        <charset val="134"/>
      </rPr>
      <t xml:space="preserve">求「出现 </t>
    </r>
    <r>
      <rPr>
        <sz val="11"/>
        <color theme="1"/>
        <rFont val="Calibri"/>
        <family val="2"/>
        <charset val="1"/>
      </rPr>
      <t xml:space="preserve">0 </t>
    </r>
    <r>
      <rPr>
        <sz val="11"/>
        <color theme="1"/>
        <rFont val="Noto Sans SC"/>
        <family val="2"/>
        <charset val="134"/>
      </rPr>
      <t xml:space="preserve">个」；若各位置几率不等则不能使用该函数</t>
    </r>
  </si>
  <si>
    <r>
      <rPr>
        <sz val="11"/>
        <color theme="1"/>
        <rFont val="Noto Sans SC"/>
        <family val="2"/>
        <charset val="134"/>
      </rPr>
      <t xml:space="preserve">④ 标准图标 </t>
    </r>
    <r>
      <rPr>
        <sz val="11"/>
        <color theme="1"/>
        <rFont val="Calibri"/>
        <family val="2"/>
        <charset val="1"/>
      </rPr>
      <t xml:space="preserve">RTP</t>
    </r>
  </si>
  <si>
    <r>
      <rPr>
        <sz val="11"/>
        <color theme="1"/>
        <rFont val="Noto Sans SC"/>
        <family val="2"/>
        <charset val="134"/>
      </rPr>
      <t xml:space="preserve">各中奖组合中奖率（已含个数期望）</t>
    </r>
    <r>
      <rPr>
        <sz val="11"/>
        <color theme="1"/>
        <rFont val="Calibri"/>
        <family val="2"/>
        <charset val="1"/>
      </rPr>
      <t xml:space="preserve">× </t>
    </r>
    <r>
      <rPr>
        <sz val="11"/>
        <color theme="1"/>
        <rFont val="Noto Sans SC"/>
        <family val="2"/>
        <charset val="134"/>
      </rPr>
      <t xml:space="preserve">赔付倍数后求和</t>
    </r>
  </si>
  <si>
    <r>
      <rPr>
        <sz val="11"/>
        <color theme="1"/>
        <rFont val="Noto Sans SC"/>
        <family val="2"/>
        <charset val="134"/>
      </rPr>
      <t xml:space="preserve">⑤ 免费摇 </t>
    </r>
    <r>
      <rPr>
        <sz val="11"/>
        <color theme="1"/>
        <rFont val="Calibri"/>
        <family val="2"/>
        <charset val="1"/>
      </rPr>
      <t xml:space="preserve">RTP</t>
    </r>
  </si>
  <si>
    <r>
      <rPr>
        <sz val="11"/>
        <color theme="1"/>
        <rFont val="Noto Sans SC"/>
        <family val="2"/>
        <charset val="134"/>
      </rPr>
      <t xml:space="preserve">在标准图标 </t>
    </r>
    <r>
      <rPr>
        <sz val="11"/>
        <color theme="1"/>
        <rFont val="Calibri"/>
        <family val="2"/>
        <charset val="1"/>
      </rPr>
      <t xml:space="preserve">RTP </t>
    </r>
    <r>
      <rPr>
        <sz val="11"/>
        <color theme="1"/>
        <rFont val="Noto Sans SC"/>
        <family val="2"/>
        <charset val="134"/>
      </rPr>
      <t xml:space="preserve">基础上乘 </t>
    </r>
    <r>
      <rPr>
        <sz val="11"/>
        <color theme="1"/>
        <rFont val="Calibri"/>
        <family val="2"/>
        <charset val="1"/>
      </rPr>
      <t xml:space="preserve">Scatter </t>
    </r>
    <r>
      <rPr>
        <sz val="11"/>
        <color theme="1"/>
        <rFont val="Noto Sans SC"/>
        <family val="2"/>
        <charset val="134"/>
      </rPr>
      <t xml:space="preserve">触发免费摇与额外免费摇的期望</t>
    </r>
  </si>
  <si>
    <t xml:space="preserve">原文结果</t>
  </si>
  <si>
    <r>
      <rPr>
        <b val="true"/>
        <sz val="11"/>
        <rFont val="Noto Sans SC"/>
        <family val="2"/>
        <charset val="134"/>
      </rPr>
      <t xml:space="preserve">随机卷轴综合 </t>
    </r>
    <r>
      <rPr>
        <b val="true"/>
        <sz val="11"/>
        <rFont val="Cambria"/>
        <family val="0"/>
        <charset val="1"/>
      </rPr>
      <t xml:space="preserve">RTP </t>
    </r>
    <r>
      <rPr>
        <b val="true"/>
        <sz val="11"/>
        <rFont val="Noto Sans SC"/>
        <family val="2"/>
        <charset val="134"/>
      </rPr>
      <t xml:space="preserve">＝ </t>
    </r>
    <r>
      <rPr>
        <b val="true"/>
        <sz val="11"/>
        <rFont val="Cambria"/>
        <family val="0"/>
        <charset val="1"/>
      </rPr>
      <t xml:space="preserve">0.9630</t>
    </r>
  </si>
  <si>
    <t xml:space="preserve">原文公布值（本表为方法说明）</t>
  </si>
  <si>
    <r>
      <rPr>
        <b val="true"/>
        <sz val="11"/>
        <color rgb="FF1F4E79"/>
        <rFont val="Noto Sans SC"/>
        <family val="2"/>
        <charset val="134"/>
      </rPr>
      <t xml:space="preserve">【</t>
    </r>
    <r>
      <rPr>
        <b val="true"/>
        <sz val="11"/>
        <color rgb="FF1F4E79"/>
        <rFont val="Cambria"/>
        <family val="0"/>
        <charset val="1"/>
      </rPr>
      <t xml:space="preserve">8</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</si>
  <si>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</si>
  <si>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</si>
  <si>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每列停位数 ＝ </t>
    </r>
    <r>
      <rPr>
        <sz val="11"/>
        <color theme="1"/>
        <rFont val="Calibri"/>
        <family val="2"/>
        <charset val="1"/>
      </rPr>
      <t xml:space="preserve">15</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</si>
  <si>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】卷轴停位数行</t>
    </r>
  </si>
  <si>
    <r>
      <rPr>
        <sz val="11"/>
        <color theme="1"/>
        <rFont val="Noto Sans SC"/>
        <family val="2"/>
        <charset val="134"/>
      </rPr>
      <t xml:space="preserve">图标个数 ＝ 原文②（首列 </t>
    </r>
    <r>
      <rPr>
        <sz val="11"/>
        <color theme="1"/>
        <rFont val="Calibri"/>
        <family val="2"/>
        <charset val="1"/>
      </rPr>
      <t xml:space="preserve">4/5/5/4/5</t>
    </r>
    <r>
      <rPr>
        <sz val="11"/>
        <color theme="1"/>
        <rFont val="Noto Sans SC"/>
        <family val="2"/>
        <charset val="134"/>
      </rPr>
      <t xml:space="preserve">）</t>
    </r>
  </si>
  <si>
    <t xml:space="preserve">原文②</t>
  </si>
  <si>
    <r>
      <rPr>
        <sz val="11"/>
        <color theme="1"/>
        <rFont val="Noto Sans SC"/>
        <family val="2"/>
        <charset val="134"/>
      </rPr>
      <t xml:space="preserve">事件数 ＝ 原文③（首列 </t>
    </r>
    <r>
      <rPr>
        <sz val="11"/>
        <color theme="1"/>
        <rFont val="Calibri"/>
        <family val="2"/>
        <charset val="1"/>
      </rPr>
      <t xml:space="preserve">12/15/15/12/15</t>
    </r>
    <r>
      <rPr>
        <sz val="11"/>
        <color theme="1"/>
        <rFont val="Noto Sans SC"/>
        <family val="2"/>
        <charset val="134"/>
      </rPr>
      <t xml:space="preserve">）</t>
    </r>
  </si>
  <si>
    <t xml:space="preserve">原文③</t>
  </si>
  <si>
    <r>
      <rPr>
        <sz val="11"/>
        <color theme="1"/>
        <rFont val="Calibri"/>
        <family val="2"/>
        <charset val="1"/>
      </rPr>
      <t xml:space="preserve">RTP </t>
    </r>
    <r>
      <rPr>
        <sz val="11"/>
        <color theme="1"/>
        <rFont val="Noto Sans SC"/>
        <family val="2"/>
        <charset val="134"/>
      </rPr>
      <t xml:space="preserve">合计 ＝ 原文 </t>
    </r>
    <r>
      <rPr>
        <sz val="11"/>
        <color theme="1"/>
        <rFont val="Calibri"/>
        <family val="2"/>
        <charset val="1"/>
      </rPr>
      <t xml:space="preserve">99.7917</t>
    </r>
  </si>
  <si>
    <t xml:space="preserve">原文⑥</t>
  </si>
  <si>
    <r>
      <rPr>
        <sz val="11"/>
        <color theme="1"/>
        <rFont val="Noto Sans SC"/>
        <family val="2"/>
        <charset val="134"/>
      </rPr>
      <t xml:space="preserve">固定卷轴实际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0.9979</t>
    </r>
  </si>
  <si>
    <r>
      <rPr>
        <sz val="11"/>
        <color theme="1"/>
        <rFont val="Calibri"/>
        <family val="2"/>
        <charset val="1"/>
      </rPr>
      <t xml:space="preserve">÷ </t>
    </r>
    <r>
      <rPr>
        <sz val="11"/>
        <color theme="1"/>
        <rFont val="Noto Sans SC"/>
        <family val="2"/>
        <charset val="134"/>
      </rPr>
      <t xml:space="preserve">赔付基数 </t>
    </r>
    <r>
      <rPr>
        <sz val="11"/>
        <color theme="1"/>
        <rFont val="Calibri"/>
        <family val="2"/>
        <charset val="1"/>
      </rPr>
      <t xml:space="preserve">100</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</si>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</sst>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3">
    <numFmt numFmtId="164" formatCode="General"/>
    <numFmt numFmtId="165" formatCode="#,##0"/>
    <numFmt numFmtId="166" formatCode="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FF"/>
      <name val="Noto Sans SC"/>
      <family val="2"/>
      <charset val="134"/>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9" t="s">
        <v>7</v>
      </c>
    </row>
    <row r="11" customFormat="false" ht="29" hidden="false" customHeight="false" outlineLevel="0" collapsed="false">
      <c r="A11" s="29"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30" t="s">
        <v>10</v>
      </c>
      <c r="B14" s="6"/>
      <c r="C14" s="6"/>
    </row>
    <row r="15" customFormat="false" ht="42" hidden="false" customHeight="false" outlineLevel="0" collapsed="false">
      <c r="A15" s="29" t="s">
        <v>11</v>
      </c>
    </row>
    <row r="16" customFormat="false" ht="15" hidden="false" customHeight="1" outlineLevel="0" collapsed="false">
      <c r="A16" s="30"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43" hidden="false" customHeight="false" outlineLevel="0" collapsed="false">
      <c r="A19" s="29" t="s">
        <v>14</v>
      </c>
    </row>
    <row r="20" customFormat="false" ht="29" hidden="false" customHeight="false" outlineLevel="0" collapsed="false">
      <c r="A20" s="29" t="s">
        <v>15</v>
      </c>
    </row>
    <row r="21" customFormat="false" ht="43" hidden="false" customHeight="false" outlineLevel="0" collapsed="false">
      <c r="A21" s="31" t="s">
        <v>16</v>
      </c>
    </row>
    <row r="22" customFormat="false" ht="28" hidden="false" customHeight="false" outlineLevel="0" collapsed="false">
      <c r="A22" s="31" t="s">
        <v>17</v>
      </c>
    </row>
    <row r="23" customFormat="false" ht="29" hidden="false" customHeight="false" outlineLevel="0" collapsed="false">
      <c r="A23" s="29" t="s">
        <v>18</v>
      </c>
    </row>
    <row r="24" customFormat="false" ht="30" hidden="false" customHeight="false" outlineLevel="0" collapsed="false">
      <c r="A24" s="31" t="s">
        <v>19</v>
      </c>
    </row>
    <row r="25" customFormat="false" ht="30" hidden="false" customHeight="false" outlineLevel="0" collapsed="false">
      <c r="A25" s="29" t="s">
        <v>20</v>
      </c>
    </row>
    <row r="26" customFormat="false" ht="30" hidden="false" customHeight="false" outlineLevel="0" collapsed="false">
      <c r="A26" s="29" t="s">
        <v>21</v>
      </c>
    </row>
    <row r="27" customFormat="false" ht="30" hidden="false" customHeight="false" outlineLevel="0" collapsed="false">
      <c r="A27" s="29" t="s">
        <v>22</v>
      </c>
    </row>
    <row r="28" customFormat="false" ht="44" hidden="false" customHeight="false" outlineLevel="0" collapsed="false">
      <c r="A28" s="31" t="s">
        <v>23</v>
      </c>
    </row>
    <row r="29" customFormat="false" ht="29" hidden="false" customHeight="false" outlineLevel="0" collapsed="false">
      <c r="A29" s="29" t="s">
        <v>24</v>
      </c>
    </row>
    <row r="30" customFormat="false" ht="29" hidden="false" customHeight="false" outlineLevel="0" collapsed="false">
      <c r="A30" s="31" t="s">
        <v>25</v>
      </c>
    </row>
    <row r="32" customFormat="false" ht="15" hidden="false" customHeight="false" outlineLevel="0" collapsed="false">
      <c r="A32" s="4" t="s">
        <v>26</v>
      </c>
    </row>
    <row r="33" customFormat="false" ht="15" hidden="false" customHeight="false" outlineLevel="0" collapsed="false">
      <c r="A33" s="7"/>
    </row>
    <row r="34" customFormat="false" ht="30" hidden="false" customHeight="false" outlineLevel="0" collapsed="false">
      <c r="A34" s="31" t="s">
        <v>27</v>
      </c>
    </row>
    <row r="35" customFormat="false" ht="30" hidden="false" customHeight="false" outlineLevel="0" collapsed="false">
      <c r="A35" s="31" t="s">
        <v>28</v>
      </c>
    </row>
    <row r="36" customFormat="false" ht="29" hidden="false" customHeight="false" outlineLevel="0" collapsed="false">
      <c r="A36" s="31" t="s">
        <v>29</v>
      </c>
    </row>
    <row r="37" customFormat="false" ht="15" hidden="false" customHeight="false" outlineLevel="0" collapsed="false">
      <c r="A37" s="7"/>
    </row>
    <row r="38" customFormat="false" ht="16" hidden="false" customHeight="false" outlineLevel="0" collapsed="false">
      <c r="A38" s="7" t="s">
        <v>30</v>
      </c>
    </row>
    <row r="39" customFormat="false" ht="30" hidden="false" customHeight="false" outlineLevel="0" collapsed="false">
      <c r="A39" s="31" t="s">
        <v>31</v>
      </c>
    </row>
    <row r="40" customFormat="false" ht="30" hidden="false" customHeight="false" outlineLevel="0" collapsed="false">
      <c r="A40" s="31" t="s">
        <v>32</v>
      </c>
    </row>
    <row r="41" customFormat="false" ht="29" hidden="false" customHeight="false" outlineLevel="0" collapsed="false">
      <c r="A41" s="31" t="s">
        <v>33</v>
      </c>
    </row>
    <row r="42" customFormat="false" ht="15" hidden="false" customHeight="false" outlineLevel="0" collapsed="false">
      <c r="A42" s="7"/>
    </row>
    <row r="43" customFormat="false" ht="16" hidden="false" customHeight="false" outlineLevel="0" collapsed="false">
      <c r="A43" s="5" t="s">
        <v>34</v>
      </c>
    </row>
    <row r="44" customFormat="false" ht="30" hidden="false" customHeight="false" outlineLevel="0" collapsed="false">
      <c r="A44" s="31" t="s">
        <v>35</v>
      </c>
    </row>
    <row r="45" customFormat="false" ht="29" hidden="false" customHeight="false" outlineLevel="0" collapsed="false">
      <c r="A45" s="31" t="s">
        <v>36</v>
      </c>
    </row>
    <row r="46" customFormat="false" ht="15" hidden="false" customHeight="false" outlineLevel="0" collapsed="false">
      <c r="A46" s="7"/>
    </row>
    <row r="47" customFormat="false" ht="16" hidden="false" customHeight="false" outlineLevel="0" collapsed="false">
      <c r="A47" s="7" t="s">
        <v>37</v>
      </c>
    </row>
    <row r="48" customFormat="false" ht="15" hidden="false" customHeight="false" outlineLevel="0" collapsed="false">
      <c r="A48" s="7"/>
    </row>
    <row r="49" customFormat="false" ht="16" hidden="false" customHeight="false" outlineLevel="0" collapsed="false">
      <c r="A49" s="5" t="s">
        <v>38</v>
      </c>
    </row>
    <row r="50" customFormat="false" ht="16" hidden="false" customHeight="false" outlineLevel="0" collapsed="false">
      <c r="A50" s="7" t="s">
        <v>39</v>
      </c>
    </row>
    <row r="51" customFormat="false" ht="16" hidden="false" customHeight="false" outlineLevel="0" collapsed="false">
      <c r="A51" s="7" t="s">
        <v>40</v>
      </c>
    </row>
    <row r="52" customFormat="false" ht="15" hidden="false" customHeight="false" outlineLevel="0" collapsed="false">
      <c r="A52" s="7" t="s">
        <v>41</v>
      </c>
    </row>
    <row r="53" customFormat="false" ht="15" hidden="false" customHeight="false" outlineLevel="0" collapsed="false">
      <c r="A53" s="7"/>
    </row>
    <row r="54" customFormat="false" ht="16" hidden="false" customHeight="false" outlineLevel="0" collapsed="false">
      <c r="A54" s="7" t="s">
        <v>42</v>
      </c>
    </row>
    <row r="55" customFormat="false" ht="15" hidden="false" customHeight="false" outlineLevel="0" collapsed="false">
      <c r="A55" s="7"/>
    </row>
    <row r="56" customFormat="false" ht="15" hidden="false" customHeight="false" outlineLevel="0" collapsed="false">
      <c r="A56" s="7" t="s">
        <v>43</v>
      </c>
    </row>
    <row r="57" customFormat="false" ht="15" hidden="false" customHeight="false" outlineLevel="0" collapsed="false">
      <c r="A57" s="7" t="s">
        <v>44</v>
      </c>
    </row>
    <row r="58" customFormat="false" ht="15" hidden="false" customHeight="false" outlineLevel="0" collapsed="false">
      <c r="A58" s="7" t="s">
        <v>45</v>
      </c>
    </row>
    <row r="59" customFormat="false" ht="15" hidden="false" customHeight="false" outlineLevel="0" collapsed="false">
      <c r="A59" s="7" t="s">
        <v>46</v>
      </c>
    </row>
    <row r="60" customFormat="false" ht="16" hidden="false" customHeight="false" outlineLevel="0" collapsed="false">
      <c r="A60" s="31" t="s">
        <v>47</v>
      </c>
    </row>
    <row r="61" customFormat="false" ht="15" hidden="false" customHeight="false" outlineLevel="0" collapsed="false">
      <c r="A61" s="7"/>
    </row>
    <row r="62" customFormat="false" ht="16" hidden="false" customHeight="false" outlineLevel="0" collapsed="false">
      <c r="A62" s="7" t="s">
        <v>48</v>
      </c>
    </row>
    <row r="63" customFormat="false" ht="15" hidden="false" customHeight="false" outlineLevel="0" collapsed="false">
      <c r="A63" s="7"/>
    </row>
    <row r="64" customFormat="false" ht="29" hidden="false" customHeight="false" outlineLevel="0" collapsed="false">
      <c r="A64" s="31" t="s">
        <v>49</v>
      </c>
    </row>
    <row r="65" customFormat="false" ht="15" hidden="false" customHeight="1" outlineLevel="0" collapsed="false">
      <c r="A65" s="30" t="s">
        <v>50</v>
      </c>
      <c r="B65" s="6"/>
      <c r="C65" s="6"/>
      <c r="D65" s="6"/>
      <c r="E65" s="6"/>
      <c r="F65" s="6"/>
      <c r="G65" s="6"/>
      <c r="H65" s="6"/>
      <c r="I65" s="6"/>
    </row>
    <row r="66" customFormat="false" ht="15" hidden="false" customHeight="1" outlineLevel="0" collapsed="false">
      <c r="A66" s="30" t="s">
        <v>51</v>
      </c>
      <c r="B66" s="6"/>
      <c r="C66" s="6"/>
      <c r="D66" s="6"/>
    </row>
    <row r="67" customFormat="false" ht="15" hidden="false" customHeight="false" outlineLevel="0" collapsed="false">
      <c r="A67" s="7"/>
    </row>
    <row r="68" customFormat="false" ht="15" hidden="false" customHeight="false" outlineLevel="0" collapsed="false">
      <c r="A68" s="7" t="s">
        <v>52</v>
      </c>
    </row>
    <row r="69" customFormat="false" ht="15" hidden="false" customHeight="false" outlineLevel="0" collapsed="false">
      <c r="A69" s="7"/>
    </row>
    <row r="70" customFormat="false" ht="16" hidden="false" customHeight="false" outlineLevel="0" collapsed="false">
      <c r="A70" s="7" t="s">
        <v>53</v>
      </c>
    </row>
    <row r="71" customFormat="false" ht="15" hidden="false" customHeight="false" outlineLevel="0" collapsed="false">
      <c r="A71" s="7"/>
    </row>
    <row r="72" customFormat="false" ht="29" hidden="false" customHeight="false" outlineLevel="0" collapsed="false">
      <c r="A72" s="31" t="s">
        <v>54</v>
      </c>
    </row>
    <row r="73" customFormat="false" ht="28" hidden="false" customHeight="false" outlineLevel="0" collapsed="false">
      <c r="A73" s="31" t="s">
        <v>55</v>
      </c>
    </row>
    <row r="74" customFormat="false" ht="43" hidden="false" customHeight="false" outlineLevel="0" collapsed="false">
      <c r="A74" s="31" t="s">
        <v>56</v>
      </c>
    </row>
    <row r="75" customFormat="false" ht="15" hidden="false" customHeight="false" outlineLevel="0" collapsed="false">
      <c r="A75" s="7"/>
    </row>
    <row r="76" customFormat="false" ht="28" hidden="false" customHeight="false" outlineLevel="0" collapsed="false">
      <c r="A76" s="31" t="s">
        <v>57</v>
      </c>
    </row>
    <row r="77" customFormat="false" ht="41" hidden="false" customHeight="false" outlineLevel="0" collapsed="false">
      <c r="A77" s="31" t="s">
        <v>58</v>
      </c>
    </row>
    <row r="78" customFormat="false" ht="16" hidden="false" customHeight="false" outlineLevel="0" collapsed="false">
      <c r="A78" s="7" t="s">
        <v>59</v>
      </c>
    </row>
    <row r="79" customFormat="false" ht="29" hidden="false" customHeight="false" outlineLevel="0" collapsed="false">
      <c r="A79" s="31" t="s">
        <v>60</v>
      </c>
    </row>
    <row r="80" customFormat="false" ht="28" hidden="false" customHeight="false" outlineLevel="0" collapsed="false">
      <c r="A80" s="31" t="s">
        <v>61</v>
      </c>
    </row>
    <row r="81" customFormat="false" ht="15" hidden="false" customHeight="false" outlineLevel="0" collapsed="false">
      <c r="A81" s="7"/>
    </row>
    <row r="82" customFormat="false" ht="16" hidden="false" customHeight="false" outlineLevel="0" collapsed="false">
      <c r="A82" s="7" t="s">
        <v>62</v>
      </c>
    </row>
    <row r="83" customFormat="false" ht="15" hidden="false" customHeight="false" outlineLevel="0" collapsed="false">
      <c r="A83" s="7"/>
    </row>
    <row r="84" customFormat="false" ht="28" hidden="false" customHeight="false" outlineLevel="0" collapsed="false">
      <c r="A84" s="31" t="s">
        <v>63</v>
      </c>
    </row>
    <row r="85" customFormat="false" ht="28" hidden="false" customHeight="false" outlineLevel="0" collapsed="false">
      <c r="A85" s="31" t="s">
        <v>64</v>
      </c>
    </row>
    <row r="86" customFormat="false" ht="15" hidden="false" customHeight="1" outlineLevel="0" collapsed="false">
      <c r="A86" s="32" t="s">
        <v>65</v>
      </c>
      <c r="B86" s="8"/>
      <c r="C86" s="8"/>
    </row>
    <row r="87" customFormat="false" ht="28" hidden="false" customHeight="false" outlineLevel="0" collapsed="false">
      <c r="A87" s="31" t="s">
        <v>66</v>
      </c>
    </row>
    <row r="88" customFormat="false" ht="15" hidden="false" customHeight="false" outlineLevel="0" collapsed="false">
      <c r="A88" s="7" t="s">
        <v>67</v>
      </c>
    </row>
    <row r="89" customFormat="false" ht="15" hidden="false" customHeight="false" outlineLevel="0" collapsed="false">
      <c r="A89" s="7"/>
    </row>
    <row r="90" customFormat="false" ht="16" hidden="false" customHeight="false" outlineLevel="0" collapsed="false">
      <c r="A90" s="7" t="s">
        <v>68</v>
      </c>
    </row>
    <row r="91" customFormat="false" ht="15" hidden="false" customHeight="false" outlineLevel="0" collapsed="false">
      <c r="A91" s="7"/>
    </row>
    <row r="92" customFormat="false" ht="26.5" hidden="false" customHeight="false" outlineLevel="0" collapsed="false">
      <c r="A92" s="31" t="s">
        <v>69</v>
      </c>
    </row>
    <row r="93" customFormat="false" ht="15" hidden="false" customHeight="false" outlineLevel="0" collapsed="false">
      <c r="A93" s="7"/>
    </row>
    <row r="94" customFormat="false" ht="15" hidden="false" customHeight="false" outlineLevel="0" collapsed="false">
      <c r="A94" s="7" t="s">
        <v>70</v>
      </c>
    </row>
    <row r="95" customFormat="false" ht="28" hidden="false" customHeight="false" outlineLevel="0" collapsed="false">
      <c r="A95" s="31" t="s">
        <v>71</v>
      </c>
    </row>
    <row r="96" customFormat="false" ht="28" hidden="false" customHeight="false" outlineLevel="0" collapsed="false">
      <c r="A96" s="31" t="s">
        <v>72</v>
      </c>
    </row>
    <row r="97" customFormat="false" ht="29" hidden="false" customHeight="false" outlineLevel="0" collapsed="false">
      <c r="A97" s="31" t="s">
        <v>73</v>
      </c>
    </row>
    <row r="98" customFormat="false" ht="28" hidden="false" customHeight="false" outlineLevel="0" collapsed="false">
      <c r="A98" s="31" t="s">
        <v>74</v>
      </c>
    </row>
    <row r="99" customFormat="false" ht="28" hidden="false" customHeight="false" outlineLevel="0" collapsed="false">
      <c r="A99" s="31" t="s">
        <v>75</v>
      </c>
    </row>
    <row r="100" customFormat="false" ht="15" hidden="false" customHeight="false" outlineLevel="0" collapsed="false">
      <c r="A100" s="7"/>
    </row>
    <row r="101" customFormat="false" ht="16" hidden="false" customHeight="false" outlineLevel="0" collapsed="false">
      <c r="A101" s="7" t="s">
        <v>76</v>
      </c>
    </row>
    <row r="102" customFormat="false" ht="15" hidden="false" customHeight="false" outlineLevel="0" collapsed="false">
      <c r="A102" s="7"/>
    </row>
    <row r="103" customFormat="false" ht="16" hidden="false" customHeight="false" outlineLevel="0" collapsed="false">
      <c r="A103" s="7" t="s">
        <v>77</v>
      </c>
    </row>
    <row r="104" customFormat="false" ht="28" hidden="false" customHeight="false" outlineLevel="0" collapsed="false">
      <c r="A104" s="31" t="s">
        <v>78</v>
      </c>
    </row>
    <row r="105" customFormat="false" ht="15" hidden="false" customHeight="false" outlineLevel="0" collapsed="false">
      <c r="A105" s="7"/>
    </row>
    <row r="106" customFormat="false" ht="16" hidden="false" customHeight="false" outlineLevel="0" collapsed="false">
      <c r="A106" s="7" t="s">
        <v>79</v>
      </c>
    </row>
    <row r="107" customFormat="false" ht="15" hidden="false" customHeight="false" outlineLevel="0" collapsed="false">
      <c r="A107" s="7"/>
    </row>
    <row r="108" customFormat="false" ht="15" hidden="false" customHeight="1" outlineLevel="0" collapsed="false">
      <c r="A108" s="32" t="s">
        <v>80</v>
      </c>
      <c r="B108" s="8"/>
      <c r="C108" s="8"/>
    </row>
    <row r="109" customFormat="false" ht="15" hidden="false" customHeight="1" outlineLevel="0" collapsed="false">
      <c r="A109" s="32" t="s">
        <v>81</v>
      </c>
      <c r="B109" s="8"/>
      <c r="C109" s="8"/>
      <c r="D109" s="8"/>
      <c r="E109" s="8"/>
      <c r="F109" s="8"/>
      <c r="G109" s="8"/>
    </row>
    <row r="110" customFormat="false" ht="15" hidden="false" customHeight="false" outlineLevel="0" collapsed="false">
      <c r="A110" s="7"/>
    </row>
    <row r="111" customFormat="false" ht="15" hidden="false" customHeight="false" outlineLevel="0" collapsed="false">
      <c r="A111" s="7" t="s">
        <v>82</v>
      </c>
    </row>
    <row r="112" customFormat="false" ht="28" hidden="false" customHeight="false" outlineLevel="0" collapsed="false">
      <c r="A112" s="31" t="s">
        <v>83</v>
      </c>
    </row>
    <row r="113" customFormat="false" ht="28" hidden="false" customHeight="false" outlineLevel="0" collapsed="false">
      <c r="A113" s="31" t="s">
        <v>84</v>
      </c>
    </row>
    <row r="114" customFormat="false" ht="29" hidden="false" customHeight="false" outlineLevel="0" collapsed="false">
      <c r="A114" s="31" t="s">
        <v>85</v>
      </c>
    </row>
    <row r="115" customFormat="false" ht="28" hidden="false" customHeight="false" outlineLevel="0" collapsed="false">
      <c r="A115" s="31" t="s">
        <v>86</v>
      </c>
    </row>
    <row r="116" customFormat="false" ht="15" hidden="false" customHeight="false" outlineLevel="0" collapsed="false">
      <c r="A116" s="7" t="s">
        <v>87</v>
      </c>
    </row>
    <row r="117" customFormat="false" ht="15" hidden="false" customHeight="false" outlineLevel="0" collapsed="false">
      <c r="A117" s="7" t="s">
        <v>88</v>
      </c>
    </row>
    <row r="118" customFormat="false" ht="15" hidden="false" customHeight="false" outlineLevel="0" collapsed="false">
      <c r="A118" s="7"/>
    </row>
    <row r="119" customFormat="false" ht="16" hidden="false" customHeight="false" outlineLevel="0" collapsed="false">
      <c r="A119" s="7" t="s">
        <v>89</v>
      </c>
    </row>
    <row r="120" customFormat="false" ht="15" hidden="false" customHeight="false" outlineLevel="0" collapsed="false">
      <c r="A120" s="7"/>
    </row>
    <row r="121" customFormat="false" ht="28" hidden="false" customHeight="false" outlineLevel="0" collapsed="false">
      <c r="A121" s="31" t="s">
        <v>90</v>
      </c>
    </row>
    <row r="122" customFormat="false" ht="28" hidden="false" customHeight="false" outlineLevel="0" collapsed="false">
      <c r="A122" s="31" t="s">
        <v>91</v>
      </c>
    </row>
    <row r="123" customFormat="false" ht="15" hidden="false" customHeight="false" outlineLevel="0" collapsed="false">
      <c r="A123" s="7" t="s">
        <v>92</v>
      </c>
    </row>
    <row r="124" customFormat="false" ht="30" hidden="false" customHeight="false" outlineLevel="0" collapsed="false">
      <c r="A124" s="29" t="s">
        <v>93</v>
      </c>
    </row>
    <row r="125" customFormat="false" ht="29" hidden="false" customHeight="false" outlineLevel="0" collapsed="false">
      <c r="A125" s="31" t="s">
        <v>94</v>
      </c>
    </row>
    <row r="126" customFormat="false" ht="15" hidden="false" customHeight="false" outlineLevel="0" collapsed="false">
      <c r="A126" s="7"/>
    </row>
    <row r="127" customFormat="false" ht="15" hidden="false" customHeight="1" outlineLevel="0" collapsed="false">
      <c r="A127" s="32" t="s">
        <v>95</v>
      </c>
      <c r="B127" s="8"/>
      <c r="C127" s="8"/>
      <c r="D127" s="8"/>
      <c r="E127" s="8"/>
      <c r="F127" s="8"/>
    </row>
    <row r="128" customFormat="false" ht="15" hidden="false" customHeight="false" outlineLevel="0" collapsed="false">
      <c r="A128" s="7"/>
    </row>
    <row r="129" customFormat="false" ht="16" hidden="false" customHeight="false" outlineLevel="0" collapsed="false">
      <c r="A129" s="7" t="s">
        <v>96</v>
      </c>
    </row>
    <row r="130" customFormat="false" ht="15" hidden="false" customHeight="false" outlineLevel="0" collapsed="false">
      <c r="A130" s="7"/>
    </row>
    <row r="131" customFormat="false" ht="29" hidden="false" customHeight="false" outlineLevel="0" collapsed="false">
      <c r="A131" s="31" t="s">
        <v>97</v>
      </c>
    </row>
    <row r="132" customFormat="false" ht="28" hidden="false" customHeight="false" outlineLevel="0" collapsed="false">
      <c r="A132" s="31" t="s">
        <v>98</v>
      </c>
    </row>
    <row r="133" customFormat="false" ht="28" hidden="false" customHeight="false" outlineLevel="0" collapsed="false">
      <c r="A133" s="31" t="s">
        <v>99</v>
      </c>
    </row>
    <row r="134" customFormat="false" ht="15" hidden="false" customHeight="false" outlineLevel="0" collapsed="false">
      <c r="A134" s="7"/>
    </row>
    <row r="135" customFormat="false" ht="15" hidden="false" customHeight="false" outlineLevel="0" collapsed="false">
      <c r="A135" s="7" t="s">
        <v>100</v>
      </c>
    </row>
    <row r="136" customFormat="false" ht="29" hidden="false" customHeight="false" outlineLevel="0" collapsed="false">
      <c r="A136" s="31" t="s">
        <v>101</v>
      </c>
    </row>
    <row r="137" customFormat="false" ht="29" hidden="false" customHeight="false" outlineLevel="0" collapsed="false">
      <c r="A137" s="31" t="s">
        <v>102</v>
      </c>
    </row>
    <row r="138" customFormat="false" ht="28" hidden="false" customHeight="false" outlineLevel="0" collapsed="false">
      <c r="A138" s="31" t="s">
        <v>103</v>
      </c>
    </row>
    <row r="139" customFormat="false" ht="15" hidden="false" customHeight="false" outlineLevel="0" collapsed="false">
      <c r="A139" s="7"/>
    </row>
    <row r="140" customFormat="false" ht="16" hidden="false" customHeight="false" outlineLevel="0" collapsed="false">
      <c r="A140" s="7" t="s">
        <v>104</v>
      </c>
    </row>
    <row r="141" customFormat="false" ht="15" hidden="false" customHeight="false" outlineLevel="0" collapsed="false">
      <c r="A141" s="7"/>
    </row>
    <row r="142" customFormat="false" ht="29" hidden="false" customHeight="false" outlineLevel="0" collapsed="false">
      <c r="A142" s="29" t="s">
        <v>105</v>
      </c>
    </row>
    <row r="143" customFormat="false" ht="16" hidden="false" customHeight="false" outlineLevel="0" collapsed="false">
      <c r="A143" s="31" t="s">
        <v>106</v>
      </c>
    </row>
    <row r="144" customFormat="false" ht="16" hidden="false" customHeight="false" outlineLevel="0" collapsed="false">
      <c r="A144" s="7" t="s">
        <v>107</v>
      </c>
    </row>
    <row r="145" customFormat="false" ht="29" hidden="false" customHeight="false" outlineLevel="0" collapsed="false">
      <c r="A145" s="31" t="s">
        <v>108</v>
      </c>
    </row>
    <row r="146" customFormat="false" ht="15" hidden="false" customHeight="false" outlineLevel="0" collapsed="false">
      <c r="A146" s="7"/>
    </row>
    <row r="147" customFormat="false" ht="16" hidden="false" customHeight="false" outlineLevel="0" collapsed="false">
      <c r="A147" s="7" t="s">
        <v>109</v>
      </c>
    </row>
    <row r="148" customFormat="false" ht="15" hidden="false" customHeight="false" outlineLevel="0" collapsed="false">
      <c r="A148" s="7"/>
    </row>
    <row r="149" customFormat="false" ht="28" hidden="false" customHeight="false" outlineLevel="0" collapsed="false">
      <c r="A149" s="31" t="s">
        <v>110</v>
      </c>
    </row>
    <row r="150" customFormat="false" ht="30" hidden="false" customHeight="false" outlineLevel="0" collapsed="false">
      <c r="A150" s="29" t="s">
        <v>111</v>
      </c>
    </row>
    <row r="151" customFormat="false" ht="15" hidden="false" customHeight="false" outlineLevel="0" collapsed="false">
      <c r="A151" s="7"/>
    </row>
    <row r="152" customFormat="false" ht="30" hidden="false" customHeight="false" outlineLevel="0" collapsed="false">
      <c r="A152" s="31" t="s">
        <v>112</v>
      </c>
    </row>
    <row r="153" customFormat="false" ht="15" hidden="false" customHeight="false" outlineLevel="0" collapsed="false">
      <c r="A153" s="7"/>
    </row>
    <row r="154" customFormat="false" ht="16" hidden="false" customHeight="false" outlineLevel="0" collapsed="false">
      <c r="A154" s="7" t="s">
        <v>113</v>
      </c>
    </row>
    <row r="155" customFormat="false" ht="28" hidden="false" customHeight="false" outlineLevel="0" collapsed="false">
      <c r="A155" s="31" t="s">
        <v>114</v>
      </c>
    </row>
    <row r="156" customFormat="false" ht="41" hidden="false" customHeight="false" outlineLevel="0" collapsed="false">
      <c r="A156" s="31" t="s">
        <v>115</v>
      </c>
    </row>
    <row r="157" customFormat="false" ht="16" hidden="false" customHeight="false" outlineLevel="0" collapsed="false">
      <c r="A157" s="7" t="s">
        <v>116</v>
      </c>
    </row>
    <row r="158" customFormat="false" ht="15" hidden="false" customHeight="false" outlineLevel="0" collapsed="false">
      <c r="A158" s="7"/>
    </row>
    <row r="159" customFormat="false" ht="16" hidden="false" customHeight="false" outlineLevel="0" collapsed="false">
      <c r="A159" s="7" t="s">
        <v>117</v>
      </c>
    </row>
    <row r="160" customFormat="false" ht="15" hidden="false" customHeight="false" outlineLevel="0" collapsed="false">
      <c r="A160" s="7"/>
    </row>
    <row r="161" customFormat="false" ht="16" hidden="false" customHeight="false" outlineLevel="0" collapsed="false">
      <c r="A161" s="7" t="s">
        <v>118</v>
      </c>
    </row>
    <row r="162" customFormat="false" ht="15" hidden="false" customHeight="1" outlineLevel="0" collapsed="false">
      <c r="A162" s="32" t="s">
        <v>119</v>
      </c>
      <c r="B162" s="8"/>
      <c r="C162" s="8"/>
      <c r="D162" s="8"/>
      <c r="E162" s="8"/>
    </row>
    <row r="163" customFormat="false" ht="15" hidden="false" customHeight="false" outlineLevel="0" collapsed="false">
      <c r="A163" s="7"/>
    </row>
    <row r="164" customFormat="false" ht="16" hidden="false" customHeight="false" outlineLevel="0" collapsed="false">
      <c r="A164" s="7" t="s">
        <v>120</v>
      </c>
    </row>
    <row r="165" customFormat="false" ht="15" hidden="false" customHeight="false" outlineLevel="0" collapsed="false">
      <c r="A165" s="7"/>
    </row>
    <row r="166" customFormat="false" ht="30" hidden="false" customHeight="false" outlineLevel="0" collapsed="false">
      <c r="A166" s="31" t="s">
        <v>121</v>
      </c>
    </row>
    <row r="167" customFormat="false" ht="15" hidden="false" customHeight="false" outlineLevel="0" collapsed="false">
      <c r="A167" s="7"/>
    </row>
    <row r="168" customFormat="false" ht="16" hidden="false" customHeight="false" outlineLevel="0" collapsed="false">
      <c r="A168" s="7" t="s">
        <v>122</v>
      </c>
    </row>
    <row r="170" customFormat="false" ht="29" hidden="false" customHeight="false" outlineLevel="0" collapsed="false">
      <c r="A170" s="33" t="s">
        <v>123</v>
      </c>
    </row>
    <row r="171" customFormat="false" ht="15.5" hidden="false" customHeight="false" outlineLevel="0" collapsed="false">
      <c r="A171" s="2" t="s">
        <v>124</v>
      </c>
    </row>
    <row r="172" customFormat="false" ht="15.5" hidden="false" customHeight="false" outlineLevel="0" collapsed="false">
      <c r="A172" s="2" t="s">
        <v>125</v>
      </c>
    </row>
    <row r="173" customFormat="false" ht="15.5" hidden="false" customHeight="false" outlineLevel="0" collapsed="false">
      <c r="A173" s="2" t="s">
        <v>126</v>
      </c>
    </row>
    <row r="174" customFormat="false" ht="15.5" hidden="false" customHeight="false" outlineLevel="0" collapsed="false">
      <c r="A174" s="2" t="s">
        <v>127</v>
      </c>
    </row>
    <row r="175" customFormat="false" ht="15.5" hidden="false" customHeight="false" outlineLevel="0" collapsed="false">
      <c r="A175" s="2" t="s">
        <v>128</v>
      </c>
    </row>
    <row r="176" customFormat="false" ht="15.5" hidden="false" customHeight="false" outlineLevel="0" collapsed="false">
      <c r="A176" s="2" t="s">
        <v>129</v>
      </c>
    </row>
    <row r="177" customFormat="false" ht="15.5" hidden="false" customHeight="false" outlineLevel="0" collapsed="false">
      <c r="A177" s="2" t="s">
        <v>130</v>
      </c>
    </row>
    <row r="178" customFormat="false" ht="15.5" hidden="false" customHeight="false" outlineLevel="0" collapsed="false">
      <c r="A178" s="2" t="s">
        <v>131</v>
      </c>
    </row>
    <row r="179" customFormat="false" ht="15.5" hidden="false" customHeight="false" outlineLevel="0" collapsed="false">
      <c r="A179" s="2" t="s">
        <v>132</v>
      </c>
    </row>
    <row r="180" customFormat="false" ht="15.5" hidden="false" customHeight="false" outlineLevel="0" collapsed="false">
      <c r="A180" s="2" t="s">
        <v>133</v>
      </c>
    </row>
    <row r="181" customFormat="false" ht="15.5" hidden="false" customHeight="false" outlineLevel="0" collapsed="false">
      <c r="A181" s="2" t="s">
        <v>134</v>
      </c>
    </row>
    <row r="182" customFormat="false" ht="15.5" hidden="false" customHeight="false" outlineLevel="0" collapsed="false">
      <c r="A182" s="2" t="s">
        <v>135</v>
      </c>
    </row>
    <row r="183" customFormat="false" ht="15.5" hidden="false" customHeight="false" outlineLevel="0" collapsed="false">
      <c r="A183" s="2" t="s">
        <v>136</v>
      </c>
    </row>
    <row r="184" customFormat="false" ht="15.5" hidden="false" customHeight="false" outlineLevel="0" collapsed="false">
      <c r="A184" s="2" t="s">
        <v>137</v>
      </c>
    </row>
    <row r="185" customFormat="false" ht="15.5" hidden="false" customHeight="false" outlineLevel="0" collapsed="false">
      <c r="A185" s="2" t="s">
        <v>138</v>
      </c>
    </row>
    <row r="187" customFormat="false" ht="15" hidden="false" customHeight="false" outlineLevel="0" collapsed="false">
      <c r="A187" s="4" t="s">
        <v>139</v>
      </c>
    </row>
    <row r="188" customFormat="false" ht="30" hidden="false" customHeight="false" outlineLevel="0" collapsed="false">
      <c r="A188" s="31" t="s">
        <v>140</v>
      </c>
    </row>
    <row r="189" customFormat="false" ht="28" hidden="false" customHeight="false" outlineLevel="0" collapsed="false">
      <c r="A189" s="31" t="s">
        <v>141</v>
      </c>
    </row>
    <row r="190" customFormat="false" ht="15" hidden="false" customHeight="false" outlineLevel="0" collapsed="false">
      <c r="A190" s="7"/>
    </row>
    <row r="191" customFormat="false" ht="15" hidden="false" customHeight="false" outlineLevel="0" collapsed="false">
      <c r="A191" s="4" t="s">
        <v>142</v>
      </c>
    </row>
    <row r="192" customFormat="false" ht="28" hidden="false" customHeight="false" outlineLevel="0" collapsed="false">
      <c r="A192" s="31" t="s">
        <v>143</v>
      </c>
    </row>
    <row r="193" customFormat="false" ht="29" hidden="false" customHeight="false" outlineLevel="0" collapsed="false">
      <c r="A193" s="31" t="s">
        <v>144</v>
      </c>
    </row>
    <row r="195" customFormat="false" ht="15.5" hidden="false" customHeight="false" outlineLevel="0" collapsed="false">
      <c r="A195" s="9" t="s">
        <v>145</v>
      </c>
    </row>
  </sheetData>
  <mergeCells count="12">
    <mergeCell ref="A5:L5"/>
    <mergeCell ref="A6:J6"/>
    <mergeCell ref="A7:X7"/>
    <mergeCell ref="A14:I14"/>
    <mergeCell ref="A16:J16"/>
    <mergeCell ref="A65:V65"/>
    <mergeCell ref="A66:K66"/>
    <mergeCell ref="A86:J86"/>
    <mergeCell ref="A108:J108"/>
    <mergeCell ref="A109:P109"/>
    <mergeCell ref="A127:O127"/>
    <mergeCell ref="A162:M1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215"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146</v>
      </c>
      <c r="B1" s="11"/>
      <c r="C1" s="11"/>
      <c r="D1" s="11"/>
      <c r="E1" s="11"/>
      <c r="F1" s="11"/>
      <c r="G1" s="11"/>
      <c r="H1" s="11"/>
      <c r="I1" s="11"/>
    </row>
    <row r="3" customFormat="false" ht="15.5" hidden="false" customHeight="false" outlineLevel="0" collapsed="false">
      <c r="A3" s="12" t="s">
        <v>147</v>
      </c>
      <c r="B3" s="12"/>
      <c r="C3" s="12"/>
      <c r="D3" s="13"/>
      <c r="E3" s="13"/>
      <c r="F3" s="13"/>
      <c r="G3" s="13"/>
      <c r="H3" s="13"/>
    </row>
    <row r="4" customFormat="false" ht="15" hidden="false" customHeight="false" outlineLevel="0" collapsed="false">
      <c r="A4" s="14" t="s">
        <v>148</v>
      </c>
      <c r="B4" s="14" t="s">
        <v>149</v>
      </c>
      <c r="C4" s="14" t="s">
        <v>142</v>
      </c>
      <c r="D4" s="14"/>
      <c r="E4" s="14"/>
      <c r="F4" s="14"/>
      <c r="G4" s="14"/>
      <c r="H4" s="14"/>
    </row>
    <row r="5" customFormat="false" ht="16" hidden="false" customHeight="false" outlineLevel="0" collapsed="false">
      <c r="A5" s="10" t="s">
        <v>150</v>
      </c>
      <c r="B5" s="15" t="s">
        <v>151</v>
      </c>
      <c r="C5" s="16" t="s">
        <v>152</v>
      </c>
      <c r="D5" s="16"/>
      <c r="E5" s="16"/>
      <c r="F5" s="16"/>
    </row>
    <row r="6" customFormat="false" ht="15" hidden="false" customHeight="false" outlineLevel="0" collapsed="false">
      <c r="A6" s="10" t="s">
        <v>153</v>
      </c>
      <c r="B6" s="15" t="n">
        <v>5</v>
      </c>
    </row>
    <row r="7" customFormat="false" ht="16" hidden="false" customHeight="false" outlineLevel="0" collapsed="false">
      <c r="A7" s="10" t="s">
        <v>154</v>
      </c>
      <c r="B7" s="15" t="s">
        <v>155</v>
      </c>
      <c r="C7" s="17" t="s">
        <v>156</v>
      </c>
      <c r="D7" s="17"/>
    </row>
    <row r="8" customFormat="false" ht="16" hidden="false" customHeight="false" outlineLevel="0" collapsed="false">
      <c r="A8" s="10" t="s">
        <v>157</v>
      </c>
      <c r="B8" s="15" t="n">
        <v>15</v>
      </c>
      <c r="C8" s="17" t="s">
        <v>158</v>
      </c>
      <c r="D8" s="17"/>
      <c r="E8" s="17"/>
      <c r="F8" s="17"/>
    </row>
    <row r="9" customFormat="false" ht="16" hidden="false" customHeight="false" outlineLevel="0" collapsed="false">
      <c r="A9" s="10" t="s">
        <v>159</v>
      </c>
      <c r="B9" s="18" t="n">
        <f aca="false">B8^B6</f>
        <v>759375</v>
      </c>
      <c r="C9" s="17" t="s">
        <v>160</v>
      </c>
      <c r="D9" s="17"/>
    </row>
    <row r="10" customFormat="false" ht="16" hidden="false" customHeight="false" outlineLevel="0" collapsed="false">
      <c r="A10" s="10" t="s">
        <v>161</v>
      </c>
      <c r="B10" s="15" t="n">
        <v>100</v>
      </c>
      <c r="C10" s="17" t="s">
        <v>162</v>
      </c>
      <c r="D10" s="17"/>
      <c r="E10" s="17"/>
    </row>
    <row r="11" customFormat="false" ht="16" hidden="false" customHeight="false" outlineLevel="0" collapsed="false">
      <c r="A11" s="10" t="s">
        <v>163</v>
      </c>
      <c r="B11" s="15" t="s">
        <v>164</v>
      </c>
      <c r="C11" s="16" t="s">
        <v>165</v>
      </c>
      <c r="D11" s="16"/>
      <c r="E11" s="16"/>
      <c r="F11" s="16"/>
    </row>
    <row r="13" customFormat="false" ht="15.5" hidden="false" customHeight="false" outlineLevel="0" collapsed="false">
      <c r="A13" s="12" t="s">
        <v>166</v>
      </c>
      <c r="B13" s="12"/>
      <c r="C13" s="12"/>
      <c r="D13" s="12"/>
      <c r="E13" s="12"/>
      <c r="F13" s="12"/>
      <c r="G13" s="13"/>
      <c r="H13" s="13"/>
    </row>
    <row r="14" customFormat="false" ht="15.5" hidden="false" customHeight="false" outlineLevel="0" collapsed="false">
      <c r="A14" s="14" t="s">
        <v>167</v>
      </c>
      <c r="B14" s="14" t="s">
        <v>168</v>
      </c>
      <c r="C14" s="14" t="s">
        <v>169</v>
      </c>
      <c r="D14" s="14" t="s">
        <v>170</v>
      </c>
      <c r="E14" s="14" t="s">
        <v>171</v>
      </c>
      <c r="F14" s="14" t="s">
        <v>172</v>
      </c>
      <c r="G14" s="14"/>
      <c r="H14" s="14"/>
    </row>
    <row r="15" customFormat="false" ht="15" hidden="false" customHeight="false" outlineLevel="0" collapsed="false">
      <c r="A15" s="10" t="n">
        <v>1</v>
      </c>
      <c r="B15" s="15" t="s">
        <v>173</v>
      </c>
      <c r="C15" s="15" t="s">
        <v>173</v>
      </c>
      <c r="D15" s="15" t="s">
        <v>173</v>
      </c>
      <c r="E15" s="15" t="s">
        <v>173</v>
      </c>
      <c r="F15" s="15" t="s">
        <v>173</v>
      </c>
    </row>
    <row r="16" customFormat="false" ht="15" hidden="false" customHeight="false" outlineLevel="0" collapsed="false">
      <c r="A16" s="10" t="n">
        <v>2</v>
      </c>
      <c r="B16" s="15" t="s">
        <v>173</v>
      </c>
      <c r="C16" s="15" t="s">
        <v>173</v>
      </c>
      <c r="D16" s="15" t="s">
        <v>173</v>
      </c>
      <c r="E16" s="15" t="s">
        <v>173</v>
      </c>
      <c r="F16" s="15" t="s">
        <v>173</v>
      </c>
    </row>
    <row r="17" customFormat="false" ht="15" hidden="false" customHeight="false" outlineLevel="0" collapsed="false">
      <c r="A17" s="10" t="n">
        <v>3</v>
      </c>
      <c r="B17" s="15" t="s">
        <v>174</v>
      </c>
      <c r="C17" s="15" t="s">
        <v>174</v>
      </c>
      <c r="D17" s="15" t="s">
        <v>174</v>
      </c>
      <c r="E17" s="15" t="s">
        <v>174</v>
      </c>
      <c r="F17" s="15" t="s">
        <v>174</v>
      </c>
    </row>
    <row r="18" customFormat="false" ht="15" hidden="false" customHeight="false" outlineLevel="0" collapsed="false">
      <c r="A18" s="10" t="n">
        <v>4</v>
      </c>
      <c r="B18" s="15" t="s">
        <v>175</v>
      </c>
      <c r="C18" s="15" t="s">
        <v>175</v>
      </c>
      <c r="D18" s="15" t="s">
        <v>175</v>
      </c>
      <c r="E18" s="15" t="s">
        <v>175</v>
      </c>
      <c r="F18" s="15" t="s">
        <v>175</v>
      </c>
    </row>
    <row r="19" customFormat="false" ht="15" hidden="false" customHeight="false" outlineLevel="0" collapsed="false">
      <c r="A19" s="10" t="n">
        <v>5</v>
      </c>
      <c r="B19" s="15" t="s">
        <v>175</v>
      </c>
      <c r="C19" s="15" t="s">
        <v>175</v>
      </c>
      <c r="D19" s="15" t="s">
        <v>175</v>
      </c>
      <c r="E19" s="15" t="s">
        <v>175</v>
      </c>
      <c r="F19" s="15" t="s">
        <v>175</v>
      </c>
    </row>
    <row r="20" customFormat="false" ht="15" hidden="false" customHeight="false" outlineLevel="0" collapsed="false">
      <c r="A20" s="10" t="n">
        <v>6</v>
      </c>
      <c r="B20" s="15" t="s">
        <v>175</v>
      </c>
      <c r="C20" s="15" t="s">
        <v>175</v>
      </c>
      <c r="D20" s="15" t="s">
        <v>175</v>
      </c>
      <c r="E20" s="15" t="s">
        <v>175</v>
      </c>
      <c r="F20" s="15" t="s">
        <v>175</v>
      </c>
    </row>
    <row r="21" customFormat="false" ht="15" hidden="false" customHeight="false" outlineLevel="0" collapsed="false">
      <c r="A21" s="10" t="n">
        <v>7</v>
      </c>
      <c r="B21" s="15" t="s">
        <v>176</v>
      </c>
      <c r="C21" s="15" t="s">
        <v>176</v>
      </c>
      <c r="D21" s="15" t="s">
        <v>176</v>
      </c>
      <c r="E21" s="15" t="s">
        <v>176</v>
      </c>
      <c r="F21" s="15" t="s">
        <v>176</v>
      </c>
    </row>
    <row r="22" customFormat="false" ht="15" hidden="false" customHeight="false" outlineLevel="0" collapsed="false">
      <c r="A22" s="10" t="n">
        <v>8</v>
      </c>
      <c r="B22" s="15" t="s">
        <v>176</v>
      </c>
      <c r="C22" s="15" t="s">
        <v>176</v>
      </c>
      <c r="D22" s="15" t="s">
        <v>176</v>
      </c>
      <c r="E22" s="15" t="s">
        <v>176</v>
      </c>
      <c r="F22" s="15" t="s">
        <v>176</v>
      </c>
    </row>
    <row r="23" customFormat="false" ht="15" hidden="false" customHeight="false" outlineLevel="0" collapsed="false">
      <c r="A23" s="10" t="n">
        <v>9</v>
      </c>
      <c r="B23" s="15" t="s">
        <v>176</v>
      </c>
      <c r="C23" s="15" t="s">
        <v>176</v>
      </c>
      <c r="D23" s="15" t="s">
        <v>176</v>
      </c>
      <c r="E23" s="15" t="s">
        <v>176</v>
      </c>
      <c r="F23" s="15" t="s">
        <v>176</v>
      </c>
    </row>
    <row r="24" customFormat="false" ht="15" hidden="false" customHeight="false" outlineLevel="0" collapsed="false">
      <c r="A24" s="10" t="n">
        <v>10</v>
      </c>
      <c r="B24" s="15" t="s">
        <v>177</v>
      </c>
      <c r="C24" s="15" t="s">
        <v>177</v>
      </c>
      <c r="D24" s="15" t="s">
        <v>177</v>
      </c>
      <c r="E24" s="15" t="s">
        <v>177</v>
      </c>
      <c r="F24" s="15" t="s">
        <v>177</v>
      </c>
    </row>
    <row r="25" customFormat="false" ht="15" hidden="false" customHeight="false" outlineLevel="0" collapsed="false">
      <c r="A25" s="10" t="n">
        <v>11</v>
      </c>
      <c r="B25" s="15" t="s">
        <v>177</v>
      </c>
      <c r="C25" s="15" t="s">
        <v>177</v>
      </c>
      <c r="D25" s="15" t="s">
        <v>177</v>
      </c>
      <c r="E25" s="15" t="s">
        <v>177</v>
      </c>
      <c r="F25" s="15" t="s">
        <v>177</v>
      </c>
    </row>
    <row r="26" customFormat="false" ht="15" hidden="false" customHeight="false" outlineLevel="0" collapsed="false">
      <c r="A26" s="10" t="n">
        <v>12</v>
      </c>
      <c r="B26" s="15" t="s">
        <v>174</v>
      </c>
      <c r="C26" s="15" t="s">
        <v>174</v>
      </c>
      <c r="D26" s="15" t="s">
        <v>178</v>
      </c>
      <c r="E26" s="15" t="s">
        <v>174</v>
      </c>
      <c r="F26" s="15" t="s">
        <v>174</v>
      </c>
    </row>
    <row r="27" customFormat="false" ht="15" hidden="false" customHeight="false" outlineLevel="0" collapsed="false">
      <c r="A27" s="10" t="n">
        <v>13</v>
      </c>
      <c r="B27" s="15" t="s">
        <v>178</v>
      </c>
      <c r="C27" s="15" t="s">
        <v>178</v>
      </c>
      <c r="D27" s="15" t="s">
        <v>178</v>
      </c>
      <c r="E27" s="15" t="s">
        <v>178</v>
      </c>
      <c r="F27" s="15" t="s">
        <v>178</v>
      </c>
    </row>
    <row r="28" customFormat="false" ht="15" hidden="false" customHeight="false" outlineLevel="0" collapsed="false">
      <c r="A28" s="10" t="n">
        <v>14</v>
      </c>
      <c r="B28" s="15" t="s">
        <v>178</v>
      </c>
      <c r="C28" s="15" t="s">
        <v>178</v>
      </c>
      <c r="D28" s="15" t="s">
        <v>178</v>
      </c>
      <c r="E28" s="15" t="s">
        <v>178</v>
      </c>
      <c r="F28" s="15" t="s">
        <v>178</v>
      </c>
    </row>
    <row r="29" customFormat="false" ht="15" hidden="false" customHeight="false" outlineLevel="0" collapsed="false">
      <c r="A29" s="10" t="n">
        <v>15</v>
      </c>
      <c r="B29" s="15" t="s">
        <v>178</v>
      </c>
      <c r="C29" s="15" t="s">
        <v>178</v>
      </c>
      <c r="D29" s="15" t="s">
        <v>178</v>
      </c>
      <c r="E29" s="15" t="s">
        <v>178</v>
      </c>
      <c r="F29" s="15" t="s">
        <v>178</v>
      </c>
    </row>
    <row r="30" customFormat="false" ht="15" hidden="false" customHeight="false" outlineLevel="0" collapsed="false">
      <c r="A30" s="10" t="s">
        <v>154</v>
      </c>
      <c r="B30" s="15" t="n">
        <v>3</v>
      </c>
      <c r="C30" s="15" t="n">
        <v>4</v>
      </c>
      <c r="D30" s="15" t="n">
        <v>5</v>
      </c>
      <c r="E30" s="15" t="n">
        <v>4</v>
      </c>
      <c r="F30" s="15" t="n">
        <v>3</v>
      </c>
      <c r="H30" s="10" t="s">
        <v>179</v>
      </c>
    </row>
    <row r="31" customFormat="false" ht="15.5" hidden="false" customHeight="true" outlineLevel="0" collapsed="false">
      <c r="A31" s="19" t="s">
        <v>180</v>
      </c>
      <c r="B31" s="19"/>
      <c r="C31" s="19"/>
      <c r="D31" s="19"/>
      <c r="E31" s="19"/>
      <c r="F31" s="19"/>
      <c r="G31" s="19"/>
      <c r="H31" s="19"/>
      <c r="I31" s="19"/>
    </row>
    <row r="33" customFormat="false" ht="15.5" hidden="false" customHeight="false" outlineLevel="0" collapsed="false">
      <c r="A33" s="12" t="s">
        <v>181</v>
      </c>
      <c r="B33" s="12"/>
      <c r="C33" s="12"/>
      <c r="D33" s="12"/>
      <c r="E33" s="12"/>
      <c r="F33" s="12"/>
      <c r="G33" s="13"/>
      <c r="H33" s="13"/>
    </row>
    <row r="34" customFormat="false" ht="15.5" hidden="false" customHeight="false" outlineLevel="0" collapsed="false">
      <c r="A34" s="14" t="s">
        <v>182</v>
      </c>
      <c r="B34" s="14" t="s">
        <v>168</v>
      </c>
      <c r="C34" s="14" t="s">
        <v>169</v>
      </c>
      <c r="D34" s="14" t="s">
        <v>170</v>
      </c>
      <c r="E34" s="14" t="s">
        <v>171</v>
      </c>
      <c r="F34" s="14" t="s">
        <v>172</v>
      </c>
      <c r="G34" s="14" t="s">
        <v>183</v>
      </c>
      <c r="H34" s="14" t="s">
        <v>142</v>
      </c>
    </row>
    <row r="35" customFormat="false" ht="15" hidden="false" customHeight="false" outlineLevel="0" collapsed="false">
      <c r="A35" s="20" t="s">
        <v>173</v>
      </c>
      <c r="B35" s="18" t="n">
        <f aca="false">COUNTIF(B15:B29,"9")+COUNTIF(B15:B29,"Wild")</f>
        <v>4</v>
      </c>
      <c r="C35" s="18" t="n">
        <f aca="false">COUNTIF(C15:C29,"9")+COUNTIF(C15:C29,"Wild")</f>
        <v>4</v>
      </c>
      <c r="D35" s="18" t="n">
        <f aca="false">COUNTIF(D15:D29,"9")+COUNTIF(D15:D29,"Wild")</f>
        <v>3</v>
      </c>
      <c r="E35" s="18" t="n">
        <f aca="false">COUNTIF(E15:E29,"9")+COUNTIF(E15:E29,"Wild")</f>
        <v>4</v>
      </c>
      <c r="F35" s="18" t="n">
        <f aca="false">COUNTIF(F15:F29,"9")+COUNTIF(F15:F29,"Wild")</f>
        <v>4</v>
      </c>
      <c r="G35" s="18" t="n">
        <f aca="false">SUM(B35:F35)</f>
        <v>19</v>
      </c>
      <c r="H35" s="10" t="s">
        <v>184</v>
      </c>
    </row>
    <row r="36" customFormat="false" ht="15" hidden="false" customHeight="false" outlineLevel="0" collapsed="false">
      <c r="A36" s="20" t="s">
        <v>175</v>
      </c>
      <c r="B36" s="18" t="n">
        <f aca="false">COUNTIF(B15:B29,"10")+COUNTIF(B15:B29,"Wild")</f>
        <v>5</v>
      </c>
      <c r="C36" s="18" t="n">
        <f aca="false">COUNTIF(C15:C29,"10")+COUNTIF(C15:C29,"Wild")</f>
        <v>5</v>
      </c>
      <c r="D36" s="18" t="n">
        <f aca="false">COUNTIF(D15:D29,"10")+COUNTIF(D15:D29,"Wild")</f>
        <v>4</v>
      </c>
      <c r="E36" s="18" t="n">
        <f aca="false">COUNTIF(E15:E29,"10")+COUNTIF(E15:E29,"Wild")</f>
        <v>5</v>
      </c>
      <c r="F36" s="18" t="n">
        <f aca="false">COUNTIF(F15:F29,"10")+COUNTIF(F15:F29,"Wild")</f>
        <v>5</v>
      </c>
      <c r="G36" s="18" t="n">
        <f aca="false">SUM(B36:F36)</f>
        <v>24</v>
      </c>
      <c r="H36" s="10" t="s">
        <v>184</v>
      </c>
    </row>
    <row r="37" customFormat="false" ht="15" hidden="false" customHeight="false" outlineLevel="0" collapsed="false">
      <c r="A37" s="20" t="s">
        <v>176</v>
      </c>
      <c r="B37" s="18" t="n">
        <f aca="false">COUNTIF(B15:B29,"J")+COUNTIF(B15:B29,"Wild")</f>
        <v>5</v>
      </c>
      <c r="C37" s="18" t="n">
        <f aca="false">COUNTIF(C15:C29,"J")+COUNTIF(C15:C29,"Wild")</f>
        <v>5</v>
      </c>
      <c r="D37" s="18" t="n">
        <f aca="false">COUNTIF(D15:D29,"J")+COUNTIF(D15:D29,"Wild")</f>
        <v>4</v>
      </c>
      <c r="E37" s="18" t="n">
        <f aca="false">COUNTIF(E15:E29,"J")+COUNTIF(E15:E29,"Wild")</f>
        <v>5</v>
      </c>
      <c r="F37" s="18" t="n">
        <f aca="false">COUNTIF(F15:F29,"J")+COUNTIF(F15:F29,"Wild")</f>
        <v>5</v>
      </c>
      <c r="G37" s="18" t="n">
        <f aca="false">SUM(B37:F37)</f>
        <v>24</v>
      </c>
      <c r="H37" s="10" t="s">
        <v>184</v>
      </c>
    </row>
    <row r="38" customFormat="false" ht="15" hidden="false" customHeight="false" outlineLevel="0" collapsed="false">
      <c r="A38" s="20" t="s">
        <v>177</v>
      </c>
      <c r="B38" s="18" t="n">
        <f aca="false">COUNTIF(B15:B29,"Q")+COUNTIF(B15:B29,"Wild")</f>
        <v>4</v>
      </c>
      <c r="C38" s="18" t="n">
        <f aca="false">COUNTIF(C15:C29,"Q")+COUNTIF(C15:C29,"Wild")</f>
        <v>4</v>
      </c>
      <c r="D38" s="18" t="n">
        <f aca="false">COUNTIF(D15:D29,"Q")+COUNTIF(D15:D29,"Wild")</f>
        <v>3</v>
      </c>
      <c r="E38" s="18" t="n">
        <f aca="false">COUNTIF(E15:E29,"Q")+COUNTIF(E15:E29,"Wild")</f>
        <v>4</v>
      </c>
      <c r="F38" s="18" t="n">
        <f aca="false">COUNTIF(F15:F29,"Q")+COUNTIF(F15:F29,"Wild")</f>
        <v>4</v>
      </c>
      <c r="G38" s="18" t="n">
        <f aca="false">SUM(B38:F38)</f>
        <v>19</v>
      </c>
      <c r="H38" s="10" t="s">
        <v>184</v>
      </c>
    </row>
    <row r="39" customFormat="false" ht="15" hidden="false" customHeight="false" outlineLevel="0" collapsed="false">
      <c r="A39" s="20" t="s">
        <v>178</v>
      </c>
      <c r="B39" s="18" t="n">
        <f aca="false">COUNTIF(B15:B29,"K")+COUNTIF(B15:B29,"Wild")</f>
        <v>5</v>
      </c>
      <c r="C39" s="18" t="n">
        <f aca="false">COUNTIF(C15:C29,"K")+COUNTIF(C15:C29,"Wild")</f>
        <v>5</v>
      </c>
      <c r="D39" s="18" t="n">
        <f aca="false">COUNTIF(D15:D29,"K")+COUNTIF(D15:D29,"Wild")</f>
        <v>5</v>
      </c>
      <c r="E39" s="18" t="n">
        <f aca="false">COUNTIF(E15:E29,"K")+COUNTIF(E15:E29,"Wild")</f>
        <v>5</v>
      </c>
      <c r="F39" s="18" t="n">
        <f aca="false">COUNTIF(F15:F29,"K")+COUNTIF(F15:F29,"Wild")</f>
        <v>5</v>
      </c>
      <c r="G39" s="18" t="n">
        <f aca="false">SUM(B39:F39)</f>
        <v>25</v>
      </c>
      <c r="H39" s="10" t="s">
        <v>184</v>
      </c>
    </row>
    <row r="40" customFormat="false" ht="16" hidden="false" customHeight="false" outlineLevel="0" collapsed="false">
      <c r="A40" s="20" t="s">
        <v>185</v>
      </c>
      <c r="B40" s="18" t="n">
        <f aca="false">COUNTIF(B15:B29,"Wild")</f>
        <v>2</v>
      </c>
      <c r="C40" s="18" t="n">
        <f aca="false">COUNTIF(C15:C29,"Wild")</f>
        <v>2</v>
      </c>
      <c r="D40" s="18" t="n">
        <f aca="false">COUNTIF(D15:D29,"Wild")</f>
        <v>1</v>
      </c>
      <c r="E40" s="18" t="n">
        <f aca="false">COUNTIF(E15:E29,"Wild")</f>
        <v>2</v>
      </c>
      <c r="F40" s="18" t="n">
        <f aca="false">COUNTIF(F15:F29,"Wild")</f>
        <v>2</v>
      </c>
      <c r="H40" s="10" t="s">
        <v>186</v>
      </c>
    </row>
    <row r="41" customFormat="false" ht="16" hidden="false" customHeight="false" outlineLevel="0" collapsed="false">
      <c r="A41" s="10" t="s">
        <v>187</v>
      </c>
      <c r="B41" s="18" t="n">
        <f aca="false">COUNTA(B15:B29)</f>
        <v>15</v>
      </c>
      <c r="C41" s="18" t="n">
        <f aca="false">COUNTA(C15:C29)</f>
        <v>15</v>
      </c>
      <c r="D41" s="18" t="n">
        <f aca="false">COUNTA(D15:D29)</f>
        <v>15</v>
      </c>
      <c r="E41" s="18" t="n">
        <f aca="false">COUNTA(E15:E29)</f>
        <v>15</v>
      </c>
      <c r="F41" s="18" t="n">
        <f aca="false">COUNTA(F15:F29)</f>
        <v>15</v>
      </c>
      <c r="H41" s="17" t="s">
        <v>188</v>
      </c>
      <c r="I41" s="17"/>
      <c r="J41" s="17"/>
      <c r="K41" s="17"/>
    </row>
    <row r="43" customFormat="false" ht="15.5" hidden="false" customHeight="false" outlineLevel="0" collapsed="false">
      <c r="A43" s="12" t="s">
        <v>189</v>
      </c>
      <c r="B43" s="12"/>
      <c r="C43" s="12"/>
      <c r="D43" s="12"/>
      <c r="E43" s="12"/>
      <c r="F43" s="12"/>
      <c r="G43" s="13"/>
      <c r="H43" s="13"/>
    </row>
    <row r="44" customFormat="false" ht="15.5" hidden="false" customHeight="false" outlineLevel="0" collapsed="false">
      <c r="A44" s="14" t="s">
        <v>182</v>
      </c>
      <c r="B44" s="14" t="s">
        <v>168</v>
      </c>
      <c r="C44" s="14" t="s">
        <v>169</v>
      </c>
      <c r="D44" s="14" t="s">
        <v>170</v>
      </c>
      <c r="E44" s="14" t="s">
        <v>171</v>
      </c>
      <c r="F44" s="14" t="s">
        <v>172</v>
      </c>
      <c r="G44" s="14" t="s">
        <v>142</v>
      </c>
      <c r="H44" s="14"/>
    </row>
    <row r="45" customFormat="false" ht="16" hidden="false" customHeight="false" outlineLevel="0" collapsed="false">
      <c r="A45" s="20" t="s">
        <v>173</v>
      </c>
      <c r="B45" s="18" t="n">
        <f aca="false">B35*B30</f>
        <v>12</v>
      </c>
      <c r="C45" s="18" t="n">
        <f aca="false">C35*C30</f>
        <v>16</v>
      </c>
      <c r="D45" s="18" t="n">
        <f aca="false">D35*D30</f>
        <v>15</v>
      </c>
      <c r="E45" s="18" t="n">
        <f aca="false">E35*E30</f>
        <v>16</v>
      </c>
      <c r="F45" s="18" t="n">
        <f aca="false">F35*F30</f>
        <v>12</v>
      </c>
      <c r="G45" s="17" t="s">
        <v>190</v>
      </c>
      <c r="H45" s="17"/>
    </row>
    <row r="46" customFormat="false" ht="16" hidden="false" customHeight="false" outlineLevel="0" collapsed="false">
      <c r="A46" s="20" t="s">
        <v>175</v>
      </c>
      <c r="B46" s="18" t="n">
        <f aca="false">B36*B30</f>
        <v>15</v>
      </c>
      <c r="C46" s="18" t="n">
        <f aca="false">C36*C30</f>
        <v>20</v>
      </c>
      <c r="D46" s="18" t="n">
        <f aca="false">D36*D30</f>
        <v>20</v>
      </c>
      <c r="E46" s="18" t="n">
        <f aca="false">E36*E30</f>
        <v>20</v>
      </c>
      <c r="F46" s="18" t="n">
        <f aca="false">F36*F30</f>
        <v>15</v>
      </c>
      <c r="G46" s="17" t="s">
        <v>190</v>
      </c>
      <c r="H46" s="17"/>
    </row>
    <row r="47" customFormat="false" ht="16" hidden="false" customHeight="false" outlineLevel="0" collapsed="false">
      <c r="A47" s="20" t="s">
        <v>176</v>
      </c>
      <c r="B47" s="18" t="n">
        <f aca="false">B37*B30</f>
        <v>15</v>
      </c>
      <c r="C47" s="18" t="n">
        <f aca="false">C37*C30</f>
        <v>20</v>
      </c>
      <c r="D47" s="18" t="n">
        <f aca="false">D37*D30</f>
        <v>20</v>
      </c>
      <c r="E47" s="18" t="n">
        <f aca="false">E37*E30</f>
        <v>20</v>
      </c>
      <c r="F47" s="18" t="n">
        <f aca="false">F37*F30</f>
        <v>15</v>
      </c>
      <c r="G47" s="17" t="s">
        <v>190</v>
      </c>
      <c r="H47" s="17"/>
    </row>
    <row r="48" customFormat="false" ht="16" hidden="false" customHeight="false" outlineLevel="0" collapsed="false">
      <c r="A48" s="20" t="s">
        <v>177</v>
      </c>
      <c r="B48" s="18" t="n">
        <f aca="false">B38*B30</f>
        <v>12</v>
      </c>
      <c r="C48" s="18" t="n">
        <f aca="false">C38*C30</f>
        <v>16</v>
      </c>
      <c r="D48" s="18" t="n">
        <f aca="false">D38*D30</f>
        <v>15</v>
      </c>
      <c r="E48" s="18" t="n">
        <f aca="false">E38*E30</f>
        <v>16</v>
      </c>
      <c r="F48" s="18" t="n">
        <f aca="false">F38*F30</f>
        <v>12</v>
      </c>
      <c r="G48" s="17" t="s">
        <v>190</v>
      </c>
      <c r="H48" s="17"/>
    </row>
    <row r="49" customFormat="false" ht="16" hidden="false" customHeight="false" outlineLevel="0" collapsed="false">
      <c r="A49" s="20" t="s">
        <v>178</v>
      </c>
      <c r="B49" s="18" t="n">
        <f aca="false">B39*B30</f>
        <v>15</v>
      </c>
      <c r="C49" s="18" t="n">
        <f aca="false">C39*C30</f>
        <v>20</v>
      </c>
      <c r="D49" s="18" t="n">
        <f aca="false">D39*D30</f>
        <v>25</v>
      </c>
      <c r="E49" s="18" t="n">
        <f aca="false">E39*E30</f>
        <v>20</v>
      </c>
      <c r="F49" s="18" t="n">
        <f aca="false">F39*F30</f>
        <v>15</v>
      </c>
      <c r="G49" s="17" t="s">
        <v>190</v>
      </c>
      <c r="H49" s="17"/>
    </row>
    <row r="51" customFormat="false" ht="15.5" hidden="false" customHeight="false" outlineLevel="0" collapsed="false">
      <c r="A51" s="12" t="s">
        <v>191</v>
      </c>
      <c r="B51" s="12"/>
      <c r="C51" s="12"/>
      <c r="D51" s="12"/>
      <c r="E51" s="12"/>
      <c r="F51" s="12"/>
      <c r="G51" s="13"/>
      <c r="H51" s="13"/>
    </row>
    <row r="52" customFormat="false" ht="15" hidden="false" customHeight="false" outlineLevel="0" collapsed="false">
      <c r="A52" s="14" t="s">
        <v>192</v>
      </c>
      <c r="B52" s="14"/>
      <c r="C52" s="21" t="s">
        <v>173</v>
      </c>
      <c r="D52" s="21" t="s">
        <v>175</v>
      </c>
      <c r="E52" s="21" t="s">
        <v>176</v>
      </c>
      <c r="F52" s="21" t="s">
        <v>177</v>
      </c>
      <c r="G52" s="21" t="s">
        <v>178</v>
      </c>
      <c r="H52" s="14" t="s">
        <v>142</v>
      </c>
    </row>
    <row r="53" customFormat="false" ht="16" hidden="false" customHeight="false" outlineLevel="0" collapsed="false">
      <c r="A53" s="22" t="s">
        <v>193</v>
      </c>
      <c r="C53" s="23" t="n">
        <v>75</v>
      </c>
      <c r="D53" s="23" t="n">
        <v>60</v>
      </c>
      <c r="E53" s="23" t="n">
        <v>30</v>
      </c>
      <c r="F53" s="23" t="n">
        <v>75</v>
      </c>
      <c r="G53" s="23" t="n">
        <v>75</v>
      </c>
      <c r="I53" s="17" t="s">
        <v>194</v>
      </c>
      <c r="J53" s="17"/>
      <c r="K53" s="17"/>
      <c r="L53" s="17"/>
      <c r="M53" s="17"/>
    </row>
    <row r="54" customFormat="false" ht="16" hidden="false" customHeight="false" outlineLevel="0" collapsed="false">
      <c r="A54" s="22" t="s">
        <v>195</v>
      </c>
      <c r="C54" s="23" t="n">
        <v>7</v>
      </c>
      <c r="D54" s="23" t="n">
        <v>6</v>
      </c>
      <c r="E54" s="23" t="n">
        <v>4</v>
      </c>
      <c r="F54" s="23" t="n">
        <v>7</v>
      </c>
      <c r="G54" s="23" t="n">
        <v>6</v>
      </c>
      <c r="I54" s="17" t="s">
        <v>196</v>
      </c>
      <c r="J54" s="17"/>
      <c r="K54" s="17"/>
    </row>
    <row r="55" customFormat="false" ht="15.5" hidden="false" customHeight="false" outlineLevel="0" collapsed="false">
      <c r="A55" s="22" t="s">
        <v>197</v>
      </c>
      <c r="C55" s="23" t="n">
        <v>1</v>
      </c>
      <c r="D55" s="23" t="n">
        <v>1</v>
      </c>
      <c r="E55" s="23" t="n">
        <v>1</v>
      </c>
      <c r="F55" s="23" t="n">
        <v>1</v>
      </c>
      <c r="G55" s="23" t="n">
        <v>1</v>
      </c>
      <c r="I55" s="17" t="s">
        <v>198</v>
      </c>
      <c r="J55" s="17"/>
      <c r="K55" s="17"/>
    </row>
    <row r="57" customFormat="false" ht="15.5" hidden="false" customHeight="false" outlineLevel="0" collapsed="false">
      <c r="A57" s="12" t="s">
        <v>199</v>
      </c>
      <c r="B57" s="12"/>
      <c r="C57" s="12"/>
      <c r="D57" s="12"/>
      <c r="E57" s="12"/>
      <c r="F57" s="12"/>
      <c r="G57" s="13"/>
      <c r="H57" s="13"/>
    </row>
    <row r="58" customFormat="false" ht="15" hidden="false" customHeight="false" outlineLevel="0" collapsed="false">
      <c r="A58" s="14" t="s">
        <v>182</v>
      </c>
      <c r="B58" s="14" t="s">
        <v>192</v>
      </c>
      <c r="C58" s="14" t="s">
        <v>200</v>
      </c>
      <c r="D58" s="14" t="s">
        <v>201</v>
      </c>
      <c r="E58" s="14" t="s">
        <v>159</v>
      </c>
      <c r="F58" s="14" t="s">
        <v>202</v>
      </c>
      <c r="G58" s="14" t="s">
        <v>203</v>
      </c>
      <c r="H58" s="21" t="s">
        <v>204</v>
      </c>
    </row>
    <row r="59" customFormat="false" ht="15" hidden="false" customHeight="false" outlineLevel="0" collapsed="false">
      <c r="A59" s="20" t="s">
        <v>173</v>
      </c>
      <c r="B59" s="20" t="s">
        <v>205</v>
      </c>
      <c r="C59" s="15" t="n">
        <v>3</v>
      </c>
      <c r="D59" s="18" t="n">
        <f aca="false">PRODUCT(B45:D45)*INDEX($C$53:$G$53,1)</f>
        <v>216000</v>
      </c>
      <c r="E59" s="18" t="n">
        <f aca="false">$B$9</f>
        <v>759375</v>
      </c>
      <c r="F59" s="24" t="n">
        <f aca="false">D59/E59</f>
        <v>0.284444444444444</v>
      </c>
      <c r="G59" s="15" t="n">
        <v>1</v>
      </c>
      <c r="H59" s="25" t="n">
        <f aca="false">F59*G59</f>
        <v>0.284444444444444</v>
      </c>
    </row>
    <row r="60" customFormat="false" ht="15" hidden="false" customHeight="false" outlineLevel="0" collapsed="false">
      <c r="A60" s="20" t="s">
        <v>173</v>
      </c>
      <c r="B60" s="20" t="s">
        <v>206</v>
      </c>
      <c r="C60" s="15" t="n">
        <v>4</v>
      </c>
      <c r="D60" s="18" t="n">
        <f aca="false">PRODUCT(B45:E45)*INDEX($C$54:$G$54,1)</f>
        <v>322560</v>
      </c>
      <c r="E60" s="18" t="n">
        <f aca="false">$B$9</f>
        <v>759375</v>
      </c>
      <c r="F60" s="24" t="n">
        <f aca="false">D60/E60</f>
        <v>0.42477037037037</v>
      </c>
      <c r="G60" s="15" t="n">
        <v>2</v>
      </c>
      <c r="H60" s="25" t="n">
        <f aca="false">F60*G60</f>
        <v>0.849540740740741</v>
      </c>
    </row>
    <row r="61" customFormat="false" ht="15" hidden="false" customHeight="false" outlineLevel="0" collapsed="false">
      <c r="A61" s="20" t="s">
        <v>173</v>
      </c>
      <c r="B61" s="20" t="s">
        <v>207</v>
      </c>
      <c r="C61" s="15" t="n">
        <v>5</v>
      </c>
      <c r="D61" s="18" t="n">
        <f aca="false">PRODUCT(B45:F45)*INDEX($C$55:$G$55,1)</f>
        <v>552960</v>
      </c>
      <c r="E61" s="18" t="n">
        <f aca="false">$B$9</f>
        <v>759375</v>
      </c>
      <c r="F61" s="24" t="n">
        <f aca="false">D61/E61</f>
        <v>0.728177777777778</v>
      </c>
      <c r="G61" s="15" t="n">
        <v>5</v>
      </c>
      <c r="H61" s="25" t="n">
        <f aca="false">F61*G61</f>
        <v>3.64088888888889</v>
      </c>
    </row>
    <row r="62" customFormat="false" ht="15" hidden="false" customHeight="false" outlineLevel="0" collapsed="false">
      <c r="A62" s="20" t="s">
        <v>175</v>
      </c>
      <c r="B62" s="20" t="s">
        <v>208</v>
      </c>
      <c r="C62" s="15" t="n">
        <v>3</v>
      </c>
      <c r="D62" s="18" t="n">
        <f aca="false">PRODUCT(B46:D46)*INDEX($C$53:$G$53,2)</f>
        <v>360000</v>
      </c>
      <c r="E62" s="18" t="n">
        <f aca="false">$B$9</f>
        <v>759375</v>
      </c>
      <c r="F62" s="24" t="n">
        <f aca="false">D62/E62</f>
        <v>0.474074074074074</v>
      </c>
      <c r="G62" s="15" t="n">
        <v>1</v>
      </c>
      <c r="H62" s="25" t="n">
        <f aca="false">F62*G62</f>
        <v>0.474074074074074</v>
      </c>
    </row>
    <row r="63" customFormat="false" ht="15" hidden="false" customHeight="false" outlineLevel="0" collapsed="false">
      <c r="A63" s="20" t="s">
        <v>175</v>
      </c>
      <c r="B63" s="20" t="s">
        <v>209</v>
      </c>
      <c r="C63" s="15" t="n">
        <v>4</v>
      </c>
      <c r="D63" s="18" t="n">
        <f aca="false">PRODUCT(B46:E46)*INDEX($C$54:$G$54,2)</f>
        <v>720000</v>
      </c>
      <c r="E63" s="18" t="n">
        <f aca="false">$B$9</f>
        <v>759375</v>
      </c>
      <c r="F63" s="24" t="n">
        <f aca="false">D63/E63</f>
        <v>0.948148148148148</v>
      </c>
      <c r="G63" s="15" t="n">
        <v>2</v>
      </c>
      <c r="H63" s="25" t="n">
        <f aca="false">F63*G63</f>
        <v>1.8962962962963</v>
      </c>
    </row>
    <row r="64" customFormat="false" ht="15" hidden="false" customHeight="false" outlineLevel="0" collapsed="false">
      <c r="A64" s="20" t="s">
        <v>175</v>
      </c>
      <c r="B64" s="20" t="s">
        <v>210</v>
      </c>
      <c r="C64" s="15" t="n">
        <v>5</v>
      </c>
      <c r="D64" s="18" t="n">
        <f aca="false">PRODUCT(B46:F46)*INDEX($C$55:$G$55,2)</f>
        <v>1800000</v>
      </c>
      <c r="E64" s="18" t="n">
        <f aca="false">$B$9</f>
        <v>759375</v>
      </c>
      <c r="F64" s="24" t="n">
        <f aca="false">D64/E64</f>
        <v>2.37037037037037</v>
      </c>
      <c r="G64" s="15" t="n">
        <v>5</v>
      </c>
      <c r="H64" s="25" t="n">
        <f aca="false">F64*G64</f>
        <v>11.8518518518519</v>
      </c>
    </row>
    <row r="65" customFormat="false" ht="15" hidden="false" customHeight="false" outlineLevel="0" collapsed="false">
      <c r="A65" s="20" t="s">
        <v>176</v>
      </c>
      <c r="B65" s="20" t="s">
        <v>211</v>
      </c>
      <c r="C65" s="15" t="n">
        <v>3</v>
      </c>
      <c r="D65" s="18" t="n">
        <f aca="false">PRODUCT(B47:D47)*INDEX($C$53:$G$53,3)</f>
        <v>180000</v>
      </c>
      <c r="E65" s="18" t="n">
        <f aca="false">$B$9</f>
        <v>759375</v>
      </c>
      <c r="F65" s="24" t="n">
        <f aca="false">D65/E65</f>
        <v>0.237037037037037</v>
      </c>
      <c r="G65" s="15" t="n">
        <v>1</v>
      </c>
      <c r="H65" s="25" t="n">
        <f aca="false">F65*G65</f>
        <v>0.237037037037037</v>
      </c>
    </row>
    <row r="66" customFormat="false" ht="15" hidden="false" customHeight="false" outlineLevel="0" collapsed="false">
      <c r="A66" s="20" t="s">
        <v>176</v>
      </c>
      <c r="B66" s="20" t="s">
        <v>212</v>
      </c>
      <c r="C66" s="15" t="n">
        <v>4</v>
      </c>
      <c r="D66" s="18" t="n">
        <f aca="false">PRODUCT(B47:E47)*INDEX($C$54:$G$54,3)</f>
        <v>480000</v>
      </c>
      <c r="E66" s="18" t="n">
        <f aca="false">$B$9</f>
        <v>759375</v>
      </c>
      <c r="F66" s="24" t="n">
        <f aca="false">D66/E66</f>
        <v>0.632098765432099</v>
      </c>
      <c r="G66" s="15" t="n">
        <v>2</v>
      </c>
      <c r="H66" s="25" t="n">
        <f aca="false">F66*G66</f>
        <v>1.2641975308642</v>
      </c>
    </row>
    <row r="67" customFormat="false" ht="15" hidden="false" customHeight="false" outlineLevel="0" collapsed="false">
      <c r="A67" s="20" t="s">
        <v>176</v>
      </c>
      <c r="B67" s="20" t="s">
        <v>213</v>
      </c>
      <c r="C67" s="15" t="n">
        <v>5</v>
      </c>
      <c r="D67" s="18" t="n">
        <f aca="false">PRODUCT(B47:F47)*INDEX($C$55:$G$55,3)</f>
        <v>1800000</v>
      </c>
      <c r="E67" s="18" t="n">
        <f aca="false">$B$9</f>
        <v>759375</v>
      </c>
      <c r="F67" s="24" t="n">
        <f aca="false">D67/E67</f>
        <v>2.37037037037037</v>
      </c>
      <c r="G67" s="15" t="n">
        <v>5</v>
      </c>
      <c r="H67" s="25" t="n">
        <f aca="false">F67*G67</f>
        <v>11.8518518518519</v>
      </c>
    </row>
    <row r="68" customFormat="false" ht="15" hidden="false" customHeight="false" outlineLevel="0" collapsed="false">
      <c r="A68" s="20" t="s">
        <v>177</v>
      </c>
      <c r="B68" s="20" t="s">
        <v>214</v>
      </c>
      <c r="C68" s="15" t="n">
        <v>3</v>
      </c>
      <c r="D68" s="18" t="n">
        <f aca="false">PRODUCT(B48:D48)*INDEX($C$53:$G$53,4)</f>
        <v>216000</v>
      </c>
      <c r="E68" s="18" t="n">
        <f aca="false">$B$9</f>
        <v>759375</v>
      </c>
      <c r="F68" s="24" t="n">
        <f aca="false">D68/E68</f>
        <v>0.284444444444444</v>
      </c>
      <c r="G68" s="15" t="n">
        <v>1</v>
      </c>
      <c r="H68" s="25" t="n">
        <f aca="false">F68*G68</f>
        <v>0.284444444444444</v>
      </c>
    </row>
    <row r="69" customFormat="false" ht="15" hidden="false" customHeight="false" outlineLevel="0" collapsed="false">
      <c r="A69" s="20" t="s">
        <v>177</v>
      </c>
      <c r="B69" s="20" t="s">
        <v>215</v>
      </c>
      <c r="C69" s="15" t="n">
        <v>4</v>
      </c>
      <c r="D69" s="18" t="n">
        <f aca="false">PRODUCT(B48:E48)*INDEX($C$54:$G$54,4)</f>
        <v>322560</v>
      </c>
      <c r="E69" s="18" t="n">
        <f aca="false">$B$9</f>
        <v>759375</v>
      </c>
      <c r="F69" s="24" t="n">
        <f aca="false">D69/E69</f>
        <v>0.42477037037037</v>
      </c>
      <c r="G69" s="15" t="n">
        <v>2</v>
      </c>
      <c r="H69" s="25" t="n">
        <f aca="false">F69*G69</f>
        <v>0.849540740740741</v>
      </c>
    </row>
    <row r="70" customFormat="false" ht="15" hidden="false" customHeight="false" outlineLevel="0" collapsed="false">
      <c r="A70" s="20" t="s">
        <v>177</v>
      </c>
      <c r="B70" s="20" t="s">
        <v>216</v>
      </c>
      <c r="C70" s="15" t="n">
        <v>5</v>
      </c>
      <c r="D70" s="18" t="n">
        <f aca="false">PRODUCT(B48:F48)*INDEX($C$55:$G$55,4)</f>
        <v>552960</v>
      </c>
      <c r="E70" s="18" t="n">
        <f aca="false">$B$9</f>
        <v>759375</v>
      </c>
      <c r="F70" s="24" t="n">
        <f aca="false">D70/E70</f>
        <v>0.728177777777778</v>
      </c>
      <c r="G70" s="15" t="n">
        <v>5</v>
      </c>
      <c r="H70" s="25" t="n">
        <f aca="false">F70*G70</f>
        <v>3.64088888888889</v>
      </c>
    </row>
    <row r="71" customFormat="false" ht="15" hidden="false" customHeight="false" outlineLevel="0" collapsed="false">
      <c r="A71" s="20" t="s">
        <v>178</v>
      </c>
      <c r="B71" s="20" t="s">
        <v>217</v>
      </c>
      <c r="C71" s="15" t="n">
        <v>3</v>
      </c>
      <c r="D71" s="18" t="n">
        <f aca="false">PRODUCT(B49:D49)*INDEX($C$53:$G$53,5)</f>
        <v>562500</v>
      </c>
      <c r="E71" s="18" t="n">
        <f aca="false">$B$9</f>
        <v>759375</v>
      </c>
      <c r="F71" s="24" t="n">
        <f aca="false">D71/E71</f>
        <v>0.740740740740741</v>
      </c>
      <c r="G71" s="15" t="n">
        <v>3</v>
      </c>
      <c r="H71" s="25" t="n">
        <f aca="false">F71*G71</f>
        <v>2.22222222222222</v>
      </c>
    </row>
    <row r="72" customFormat="false" ht="15" hidden="false" customHeight="false" outlineLevel="0" collapsed="false">
      <c r="A72" s="20" t="s">
        <v>178</v>
      </c>
      <c r="B72" s="20" t="s">
        <v>218</v>
      </c>
      <c r="C72" s="15" t="n">
        <v>4</v>
      </c>
      <c r="D72" s="18" t="n">
        <f aca="false">PRODUCT(B49:E49)*INDEX($C$54:$G$54,5)</f>
        <v>900000</v>
      </c>
      <c r="E72" s="18" t="n">
        <f aca="false">$B$9</f>
        <v>759375</v>
      </c>
      <c r="F72" s="24" t="n">
        <f aca="false">D72/E72</f>
        <v>1.18518518518519</v>
      </c>
      <c r="G72" s="15" t="n">
        <v>6</v>
      </c>
      <c r="H72" s="25" t="n">
        <f aca="false">F72*G72</f>
        <v>7.11111111111111</v>
      </c>
    </row>
    <row r="73" customFormat="false" ht="15" hidden="false" customHeight="false" outlineLevel="0" collapsed="false">
      <c r="A73" s="20" t="s">
        <v>178</v>
      </c>
      <c r="B73" s="20" t="s">
        <v>219</v>
      </c>
      <c r="C73" s="15" t="n">
        <v>5</v>
      </c>
      <c r="D73" s="18" t="n">
        <f aca="false">PRODUCT(B49:F49)*INDEX($C$55:$G$55,5)</f>
        <v>2250000</v>
      </c>
      <c r="E73" s="18" t="n">
        <f aca="false">$B$9</f>
        <v>759375</v>
      </c>
      <c r="F73" s="24" t="n">
        <f aca="false">D73/E73</f>
        <v>2.96296296296296</v>
      </c>
      <c r="G73" s="15" t="n">
        <v>18</v>
      </c>
      <c r="H73" s="25" t="n">
        <f aca="false">F73*G73</f>
        <v>53.3333333333333</v>
      </c>
    </row>
    <row r="74" customFormat="false" ht="15" hidden="false" customHeight="false" outlineLevel="0" collapsed="false">
      <c r="A74" s="26" t="s">
        <v>220</v>
      </c>
      <c r="E74" s="26" t="s">
        <v>221</v>
      </c>
      <c r="H74" s="25" t="n">
        <f aca="false">SUM(H59:H73)</f>
        <v>99.7917234567901</v>
      </c>
    </row>
    <row r="75" customFormat="false" ht="15.5" hidden="false" customHeight="false" outlineLevel="0" collapsed="false">
      <c r="A75" s="26" t="s">
        <v>222</v>
      </c>
      <c r="E75" s="22" t="s">
        <v>223</v>
      </c>
      <c r="H75" s="25" t="n">
        <f aca="false">H74/$B$10</f>
        <v>0.997917234567901</v>
      </c>
    </row>
    <row r="76" customFormat="false" ht="15.5" hidden="false" customHeight="true" outlineLevel="0" collapsed="false">
      <c r="A76" s="19" t="s">
        <v>224</v>
      </c>
      <c r="B76" s="19"/>
      <c r="C76" s="19"/>
      <c r="D76" s="19"/>
      <c r="E76" s="19"/>
      <c r="F76" s="19"/>
      <c r="G76" s="19"/>
      <c r="H76" s="19"/>
      <c r="I76" s="19"/>
      <c r="J76" s="19"/>
    </row>
    <row r="78" customFormat="false" ht="15.5" hidden="false" customHeight="false" outlineLevel="0" collapsed="false">
      <c r="A78" s="12" t="s">
        <v>225</v>
      </c>
      <c r="B78" s="12"/>
      <c r="C78" s="12"/>
      <c r="D78" s="12"/>
      <c r="E78" s="12"/>
      <c r="F78" s="12"/>
      <c r="G78" s="13"/>
      <c r="H78" s="13"/>
    </row>
    <row r="79" customFormat="false" ht="15" hidden="false" customHeight="false" outlineLevel="0" collapsed="false">
      <c r="A79" s="14" t="s">
        <v>226</v>
      </c>
      <c r="B79" s="14" t="s">
        <v>227</v>
      </c>
      <c r="C79" s="14"/>
      <c r="D79" s="14"/>
      <c r="E79" s="14"/>
      <c r="F79" s="14"/>
      <c r="G79" s="14"/>
      <c r="H79" s="14"/>
    </row>
    <row r="80" customFormat="false" ht="15" hidden="false" customHeight="false" outlineLevel="0" collapsed="false">
      <c r="A80" s="10" t="s">
        <v>228</v>
      </c>
      <c r="B80" s="17" t="s">
        <v>229</v>
      </c>
      <c r="C80" s="17"/>
      <c r="D80" s="17"/>
      <c r="E80" s="17"/>
      <c r="F80" s="17"/>
    </row>
    <row r="81" customFormat="false" ht="16" hidden="false" customHeight="false" outlineLevel="0" collapsed="false">
      <c r="A81" s="10" t="s">
        <v>230</v>
      </c>
      <c r="B81" s="17" t="s">
        <v>231</v>
      </c>
      <c r="C81" s="17"/>
      <c r="D81" s="17"/>
      <c r="E81" s="17"/>
      <c r="F81" s="17"/>
      <c r="G81" s="17"/>
      <c r="H81" s="17"/>
    </row>
    <row r="82" customFormat="false" ht="16" hidden="false" customHeight="false" outlineLevel="0" collapsed="false">
      <c r="A82" s="10" t="s">
        <v>232</v>
      </c>
      <c r="B82" s="16" t="s">
        <v>233</v>
      </c>
      <c r="C82" s="16"/>
      <c r="D82" s="16"/>
      <c r="E82" s="16"/>
      <c r="F82" s="16"/>
      <c r="G82" s="16"/>
      <c r="H82" s="16"/>
    </row>
    <row r="83" customFormat="false" ht="16" hidden="false" customHeight="false" outlineLevel="0" collapsed="false">
      <c r="A83" s="10" t="s">
        <v>234</v>
      </c>
      <c r="B83" s="17" t="s">
        <v>235</v>
      </c>
      <c r="C83" s="17"/>
      <c r="D83" s="17"/>
      <c r="E83" s="17"/>
      <c r="F83" s="17"/>
    </row>
    <row r="84" customFormat="false" ht="16" hidden="false" customHeight="false" outlineLevel="0" collapsed="false">
      <c r="A84" s="10" t="s">
        <v>236</v>
      </c>
      <c r="B84" s="17" t="s">
        <v>237</v>
      </c>
      <c r="C84" s="17"/>
      <c r="D84" s="17"/>
      <c r="E84" s="17"/>
      <c r="F84" s="17"/>
      <c r="G84" s="17"/>
    </row>
    <row r="85" customFormat="false" ht="15.5" hidden="false" customHeight="false" outlineLevel="0" collapsed="false">
      <c r="A85" s="26" t="s">
        <v>238</v>
      </c>
      <c r="B85" s="27" t="s">
        <v>239</v>
      </c>
      <c r="C85" s="27"/>
      <c r="D85" s="27"/>
      <c r="H85" s="10" t="s">
        <v>240</v>
      </c>
    </row>
    <row r="87" customFormat="false" ht="15.5" hidden="false" customHeight="false" outlineLevel="0" collapsed="false">
      <c r="A87" s="12" t="s">
        <v>241</v>
      </c>
      <c r="B87" s="12"/>
      <c r="C87" s="12"/>
      <c r="D87" s="13"/>
      <c r="E87" s="13"/>
      <c r="F87" s="13"/>
      <c r="G87" s="13"/>
      <c r="H87" s="13"/>
    </row>
    <row r="88" customFormat="false" ht="15" hidden="false" customHeight="false" outlineLevel="0" collapsed="false">
      <c r="A88" s="14" t="s">
        <v>242</v>
      </c>
      <c r="B88" s="14" t="s">
        <v>243</v>
      </c>
      <c r="C88" s="14" t="s">
        <v>142</v>
      </c>
      <c r="D88" s="14"/>
      <c r="E88" s="14"/>
      <c r="F88" s="14"/>
      <c r="G88" s="14"/>
      <c r="H88" s="14"/>
    </row>
    <row r="89" customFormat="false" ht="16" hidden="false" customHeight="false" outlineLevel="0" collapsed="false">
      <c r="A89" s="10" t="s">
        <v>244</v>
      </c>
      <c r="B89" s="28" t="str">
        <f aca="false">IF(AND(B41=$B$8,C41=$B$8,D41=$B$8,E41=$B$8,F41=$B$8),"✓","✗")</f>
        <v>✓</v>
      </c>
      <c r="C89" s="17" t="s">
        <v>245</v>
      </c>
      <c r="D89" s="17"/>
    </row>
    <row r="90" customFormat="false" ht="16" hidden="false" customHeight="false" outlineLevel="0" collapsed="false">
      <c r="A90" s="10" t="s">
        <v>246</v>
      </c>
      <c r="B90" s="28" t="str">
        <f aca="false">IF(AND(B35=4,B36=5,B37=5,B38=4,B39=5),"✓","✗")</f>
        <v>✓</v>
      </c>
      <c r="C90" s="10" t="s">
        <v>247</v>
      </c>
    </row>
    <row r="91" customFormat="false" ht="16" hidden="false" customHeight="false" outlineLevel="0" collapsed="false">
      <c r="A91" s="10" t="s">
        <v>248</v>
      </c>
      <c r="B91" s="28" t="str">
        <f aca="false">IF(AND(B45=12,B46=15,B47=15,B48=12,B49=15),"✓","✗")</f>
        <v>✓</v>
      </c>
      <c r="C91" s="10" t="s">
        <v>249</v>
      </c>
    </row>
    <row r="92" customFormat="false" ht="16" hidden="false" customHeight="false" outlineLevel="0" collapsed="false">
      <c r="A92" s="20" t="s">
        <v>250</v>
      </c>
      <c r="B92" s="28" t="str">
        <f aca="false">IF(ABS(H74-99.7917)&lt;0.01,"✓","✗")</f>
        <v>✓</v>
      </c>
      <c r="C92" s="10" t="s">
        <v>251</v>
      </c>
    </row>
    <row r="93" customFormat="false" ht="16" hidden="false" customHeight="false" outlineLevel="0" collapsed="false">
      <c r="A93" s="10" t="s">
        <v>252</v>
      </c>
      <c r="B93" s="28" t="str">
        <f aca="false">IF(ABS(H75-0.9979)&lt;0.0005,"✓","✗")</f>
        <v>✓</v>
      </c>
      <c r="C93" s="16" t="s">
        <v>253</v>
      </c>
      <c r="D93" s="16"/>
    </row>
    <row r="95" customFormat="false" ht="15" hidden="false" customHeight="true" outlineLevel="0" collapsed="false">
      <c r="A95" s="19" t="s">
        <v>254</v>
      </c>
      <c r="B95" s="19"/>
      <c r="C95" s="19"/>
      <c r="D95" s="19"/>
      <c r="E95" s="19"/>
      <c r="F95" s="19"/>
      <c r="G95" s="19"/>
      <c r="H95" s="19"/>
      <c r="I95" s="19"/>
    </row>
  </sheetData>
  <mergeCells count="35">
    <mergeCell ref="A1:I1"/>
    <mergeCell ref="A3:C3"/>
    <mergeCell ref="C5:F5"/>
    <mergeCell ref="C7:D7"/>
    <mergeCell ref="C8:F8"/>
    <mergeCell ref="C9:D9"/>
    <mergeCell ref="C10:E10"/>
    <mergeCell ref="C11:F11"/>
    <mergeCell ref="A13:F13"/>
    <mergeCell ref="A31:I31"/>
    <mergeCell ref="A33:F33"/>
    <mergeCell ref="H41:K41"/>
    <mergeCell ref="A43:F43"/>
    <mergeCell ref="G45:H45"/>
    <mergeCell ref="G46:H46"/>
    <mergeCell ref="G47:H47"/>
    <mergeCell ref="G48:H48"/>
    <mergeCell ref="G49:H49"/>
    <mergeCell ref="A51:F51"/>
    <mergeCell ref="I53:M53"/>
    <mergeCell ref="I54:K54"/>
    <mergeCell ref="I55:K55"/>
    <mergeCell ref="A57:F57"/>
    <mergeCell ref="A76:J76"/>
    <mergeCell ref="A78:F78"/>
    <mergeCell ref="B80:F80"/>
    <mergeCell ref="B81:H81"/>
    <mergeCell ref="B82:H82"/>
    <mergeCell ref="B83:F83"/>
    <mergeCell ref="B84:G84"/>
    <mergeCell ref="B85:D85"/>
    <mergeCell ref="A87:C87"/>
    <mergeCell ref="C89:D89"/>
    <mergeCell ref="C93:D93"/>
    <mergeCell ref="A95:I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R115"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