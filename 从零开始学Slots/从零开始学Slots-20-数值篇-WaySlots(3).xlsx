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<sst xmlns="http://schemas.openxmlformats.org/spreadsheetml/2006/main" count="192" uniqueCount="186">
  <si>
    <r>
      <rPr>
        <b val="true"/>
        <sz val="14"/>
        <color rgb="FF1F4E79"/>
        <rFont val="Noto Sans SC"/>
        <family val="2"/>
        <charset val="134"/>
      </rPr>
      <t xml:space="preserve">从零开始学</t>
    </r>
    <r>
      <rPr>
        <b val="true"/>
        <sz val="14"/>
        <color rgb="FF1F4E79"/>
        <rFont val="Cambria"/>
        <family val="0"/>
        <charset val="1"/>
      </rPr>
      <t xml:space="preserve">Slots 20 —— </t>
    </r>
    <r>
      <rPr>
        <b val="true"/>
        <sz val="14"/>
        <color rgb="FF1F4E79"/>
        <rFont val="Noto Sans SC"/>
        <family val="2"/>
        <charset val="134"/>
      </rPr>
      <t xml:space="preserve">数值篇：</t>
    </r>
    <r>
      <rPr>
        <b val="true"/>
        <sz val="14"/>
        <color rgb="FF1F4E79"/>
        <rFont val="Cambria"/>
        <family val="0"/>
        <charset val="1"/>
      </rPr>
      <t xml:space="preserve">Way Slots(3)</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</si>
  <si>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Way Slots(3)</t>
    </r>
    <r>
      <rPr>
        <sz val="11"/>
        <color rgb="FF808080"/>
        <rFont val="Noto Sans SC"/>
        <family val="2"/>
        <charset val="134"/>
      </rPr>
      <t xml:space="preserve">》  </t>
    </r>
    <r>
      <rPr>
        <sz val="11"/>
        <color rgb="FF808080"/>
        <rFont val="Cambria"/>
        <family val="0"/>
        <charset val="1"/>
      </rPr>
      <t xml:space="preserve">https://zhuanlan.zhihu.com/p/626905392</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</si>
  <si>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</si>
  <si>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</si>
  <si>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</si>
  <si>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配表说明：原文配图②只列出列</t>
    </r>
    <r>
      <rPr>
        <sz val="11"/>
        <color rgb="FF808080"/>
        <rFont val="Cambria"/>
        <family val="0"/>
        <charset val="1"/>
      </rPr>
      <t xml:space="preserve">1/</t>
    </r>
    <r>
      <rPr>
        <sz val="11"/>
        <color rgb="FF808080"/>
        <rFont val="Noto Sans SC"/>
        <family val="2"/>
        <charset val="134"/>
      </rPr>
      <t xml:space="preserve">列</t>
    </r>
    <r>
      <rPr>
        <sz val="11"/>
        <color rgb="FF808080"/>
        <rFont val="Cambria"/>
        <family val="0"/>
        <charset val="1"/>
      </rPr>
      <t xml:space="preserve">2/</t>
    </r>
    <r>
      <rPr>
        <sz val="11"/>
        <color rgb="FF808080"/>
        <rFont val="Noto Sans SC"/>
        <family val="2"/>
        <charset val="134"/>
      </rPr>
      <t xml:space="preserve">列</t>
    </r>
    <r>
      <rPr>
        <sz val="11"/>
        <color rgb="FF808080"/>
        <rFont val="Cambria"/>
        <family val="0"/>
        <charset val="1"/>
      </rPr>
      <t xml:space="preserve">3 </t>
    </r>
    <r>
      <rPr>
        <sz val="11"/>
        <color rgb="FF808080"/>
        <rFont val="Noto Sans SC"/>
        <family val="2"/>
        <charset val="134"/>
      </rPr>
      <t xml:space="preserve">的「出现 </t>
    </r>
    <r>
      <rPr>
        <sz val="11"/>
        <color rgb="FF808080"/>
        <rFont val="Cambria"/>
        <family val="0"/>
        <charset val="1"/>
      </rPr>
      <t xml:space="preserve">3/2/1 </t>
    </r>
    <r>
      <rPr>
        <sz val="11"/>
        <color rgb="FF808080"/>
        <rFont val="Noto Sans SC"/>
        <family val="2"/>
        <charset val="134"/>
      </rPr>
      <t xml:space="preserve">个」与列</t>
    </r>
    <r>
      <rPr>
        <sz val="11"/>
        <color rgb="FF808080"/>
        <rFont val="Cambria"/>
        <family val="0"/>
        <charset val="1"/>
      </rPr>
      <t xml:space="preserve">4 </t>
    </r>
    <r>
      <rPr>
        <sz val="11"/>
        <color rgb="FF808080"/>
        <rFont val="Noto Sans SC"/>
        <family val="2"/>
        <charset val="134"/>
      </rPr>
      <t xml:space="preserve">的「出现 </t>
    </r>
    <r>
      <rPr>
        <sz val="11"/>
        <color rgb="FF808080"/>
        <rFont val="Cambria"/>
        <family val="0"/>
        <charset val="1"/>
      </rPr>
      <t xml:space="preserve">0 </t>
    </r>
    <r>
      <rPr>
        <sz val="11"/>
        <color rgb="FF808080"/>
        <rFont val="Noto Sans SC"/>
        <family val="2"/>
        <charset val="134"/>
      </rPr>
      <t xml:space="preserve">个」三档，其余档位在原文中未展示（本中奖组合用不到），本簿按原文保留「—」并在自检中只校验已给档位。</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</si>
  <si>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</si>
  <si>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</si>
  <si>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</si>
  <si>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</si>
  <si>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images/slots/626905392-NN.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</si>
  <si>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</si>
  <si>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</si>
  <si>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</si>
  <si>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本篇是对 </t>
    </r>
    <r>
      <rPr>
        <sz val="11"/>
        <color theme="1"/>
        <rFont val="Calibri"/>
        <family val="2"/>
        <charset val="1"/>
      </rPr>
      <t xml:space="preserve">24 </t>
    </r>
    <r>
      <rPr>
        <sz val="11"/>
        <color theme="1"/>
        <rFont val="Noto Sans SC"/>
        <family val="2"/>
        <charset val="134"/>
      </rPr>
      <t xml:space="preserve">篇（固定卷轴）的验算：用「遍历法」重算 </t>
    </r>
    <r>
      <rPr>
        <sz val="11"/>
        <color theme="1"/>
        <rFont val="Calibri"/>
        <family val="2"/>
        <charset val="1"/>
      </rPr>
      <t xml:space="preserve">{J,J,J,#J,#J} </t>
    </r>
    <r>
      <rPr>
        <sz val="11"/>
        <color theme="1"/>
        <rFont val="Noto Sans SC"/>
        <family val="2"/>
        <charset val="134"/>
      </rPr>
      <t xml:space="preserve">的事件数与 </t>
    </r>
    <r>
      <rPr>
        <sz val="11"/>
        <color theme="1"/>
        <rFont val="Calibri"/>
        <family val="2"/>
        <charset val="1"/>
      </rPr>
      <t xml:space="preserve">RTP</t>
    </r>
    <r>
      <rPr>
        <sz val="11"/>
        <color theme="1"/>
        <rFont val="Noto Sans SC"/>
        <family val="2"/>
        <charset val="134"/>
      </rPr>
      <t xml:space="preserve">，</t>
    </r>
  </si>
  <si>
    <r>
      <rPr>
        <sz val="11"/>
        <color theme="1"/>
        <rFont val="Noto Sans SC"/>
        <family val="2"/>
        <charset val="134"/>
      </rPr>
      <t xml:space="preserve">  看能否与 </t>
    </r>
    <r>
      <rPr>
        <sz val="11"/>
        <color theme="1"/>
        <rFont val="Calibri"/>
        <family val="2"/>
        <charset val="1"/>
      </rPr>
      <t xml:space="preserve">24 </t>
    </r>
    <r>
      <rPr>
        <sz val="11"/>
        <color theme="1"/>
        <rFont val="Noto Sans SC"/>
        <family val="2"/>
        <charset val="134"/>
      </rPr>
      <t xml:space="preserve">篇的 </t>
    </r>
    <r>
      <rPr>
        <sz val="11"/>
        <color theme="1"/>
        <rFont val="Calibri"/>
        <family val="2"/>
        <charset val="1"/>
      </rPr>
      <t xml:space="preserve">326,592 / 0.3115 </t>
    </r>
    <r>
      <rPr>
        <sz val="11"/>
        <color theme="1"/>
        <rFont val="Noto Sans SC"/>
        <family val="2"/>
        <charset val="134"/>
      </rPr>
      <t xml:space="preserve">对上，从而证明「数目法」没有重复计算或漏项。</t>
    </r>
  </si>
  <si>
    <r>
      <rPr>
        <sz val="11"/>
        <color theme="1"/>
        <rFont val="Calibri"/>
        <family val="2"/>
        <charset val="1"/>
      </rPr>
      <t xml:space="preserve">· 24 </t>
    </r>
    <r>
      <rPr>
        <sz val="11"/>
        <color theme="1"/>
        <rFont val="Noto Sans SC"/>
        <family val="2"/>
        <charset val="134"/>
      </rPr>
      <t xml:space="preserve">篇的算法：图标出现事件数 ＝（图标个数 ＋ 该列百搭个数）</t>
    </r>
    <r>
      <rPr>
        <sz val="11"/>
        <color theme="1"/>
        <rFont val="Calibri"/>
        <family val="2"/>
        <charset val="1"/>
      </rPr>
      <t xml:space="preserve">× </t>
    </r>
    <r>
      <rPr>
        <sz val="11"/>
        <color theme="1"/>
        <rFont val="Noto Sans SC"/>
        <family val="2"/>
        <charset val="134"/>
      </rPr>
      <t xml:space="preserve">该列行数，直接反映个数期望；</t>
    </r>
  </si>
  <si>
    <r>
      <rPr>
        <sz val="11"/>
        <color theme="1"/>
        <rFont val="Noto Sans SC"/>
        <family val="2"/>
        <charset val="134"/>
      </rPr>
      <t xml:space="preserve">  本篇的算法：遍历该列首尾相连的 </t>
    </r>
    <r>
      <rPr>
        <sz val="11"/>
        <color theme="1"/>
        <rFont val="Calibri"/>
        <family val="2"/>
        <charset val="1"/>
      </rPr>
      <t xml:space="preserve">3 </t>
    </r>
    <r>
      <rPr>
        <sz val="11"/>
        <color theme="1"/>
        <rFont val="Noto Sans SC"/>
        <family val="2"/>
        <charset val="134"/>
      </rPr>
      <t xml:space="preserve">个停位，把「窗口里该图标出现 </t>
    </r>
    <r>
      <rPr>
        <sz val="11"/>
        <color theme="1"/>
        <rFont val="Calibri"/>
        <family val="2"/>
        <charset val="1"/>
      </rPr>
      <t xml:space="preserve">3/2/1/0 </t>
    </r>
    <r>
      <rPr>
        <sz val="11"/>
        <color theme="1"/>
        <rFont val="Noto Sans SC"/>
        <family val="2"/>
        <charset val="134"/>
      </rPr>
      <t xml:space="preserve">个」的事件数分别数出来，</t>
    </r>
  </si>
  <si>
    <r>
      <rPr>
        <sz val="11"/>
        <color theme="1"/>
        <rFont val="Noto Sans SC"/>
        <family val="2"/>
        <charset val="134"/>
      </rPr>
      <t xml:space="preserve">  再用 </t>
    </r>
    <r>
      <rPr>
        <sz val="11"/>
        <color theme="1"/>
        <rFont val="Calibri"/>
        <family val="2"/>
        <charset val="1"/>
      </rPr>
      <t xml:space="preserve">VLOOKUP </t>
    </r>
    <r>
      <rPr>
        <sz val="11"/>
        <color theme="1"/>
        <rFont val="Noto Sans SC"/>
        <family val="2"/>
        <charset val="134"/>
      </rPr>
      <t xml:space="preserve">把每种个数对应的窗口事件数取回来，逐情况相乘相加。</t>
    </r>
  </si>
  <si>
    <r>
      <rPr>
        <sz val="11"/>
        <color theme="1"/>
        <rFont val="Calibri"/>
        <family val="2"/>
        <charset val="1"/>
      </rPr>
      <t xml:space="preserve">· </t>
    </r>
    <r>
      <rPr>
        <sz val="11"/>
        <color theme="1"/>
        <rFont val="Noto Sans SC"/>
        <family val="2"/>
        <charset val="134"/>
      </rPr>
      <t xml:space="preserve">两法的差异只在两个地方：① 事件数的「倍数口径」——</t>
    </r>
    <r>
      <rPr>
        <sz val="11"/>
        <color theme="1"/>
        <rFont val="Calibri"/>
        <family val="2"/>
        <charset val="1"/>
      </rPr>
      <t xml:space="preserve">24 </t>
    </r>
    <r>
      <rPr>
        <sz val="11"/>
        <color theme="1"/>
        <rFont val="Noto Sans SC"/>
        <family val="2"/>
        <charset val="134"/>
      </rPr>
      <t xml:space="preserve">篇的事件数已经含「各列图标个数乘积」，</t>
    </r>
  </si>
  <si>
    <r>
      <rPr>
        <sz val="11"/>
        <color theme="1"/>
        <rFont val="Noto Sans SC"/>
        <family val="2"/>
        <charset val="134"/>
      </rPr>
      <t xml:space="preserve">  本篇的遍历事件数是纯窗口计数，需要再乘上图标累乘乘积；乘上之后两法完全一致（</t>
    </r>
    <r>
      <rPr>
        <sz val="11"/>
        <color theme="1"/>
        <rFont val="Calibri"/>
        <family val="2"/>
        <charset val="1"/>
      </rPr>
      <t xml:space="preserve">326,592</t>
    </r>
    <r>
      <rPr>
        <sz val="11"/>
        <color theme="1"/>
        <rFont val="Noto Sans SC"/>
        <family val="2"/>
        <charset val="134"/>
      </rPr>
      <t xml:space="preserve">）。</t>
    </r>
  </si>
  <si>
    <r>
      <rPr>
        <sz val="11"/>
        <color theme="1"/>
        <rFont val="Noto Sans SC"/>
        <family val="2"/>
        <charset val="134"/>
      </rPr>
      <t xml:space="preserve">② 中奖率只是计算的中间量（代表某个中奖组合</t>
    </r>
    <r>
      <rPr>
        <sz val="11"/>
        <color theme="1"/>
        <rFont val="Calibri"/>
        <family val="2"/>
        <charset val="1"/>
      </rPr>
      <t xml:space="preserve">/</t>
    </r>
    <r>
      <rPr>
        <sz val="11"/>
        <color theme="1"/>
        <rFont val="Noto Sans SC"/>
        <family val="2"/>
        <charset val="134"/>
      </rPr>
      <t xml:space="preserve">事件出现的几率），不是玩家感知的实际中奖率。</t>
    </r>
  </si>
  <si>
    <r>
      <rPr>
        <sz val="11"/>
        <color theme="1"/>
        <rFont val="Calibri"/>
        <family val="2"/>
        <charset val="1"/>
      </rPr>
      <t xml:space="preserve">· </t>
    </r>
    <r>
      <rPr>
        <sz val="11"/>
        <color theme="1"/>
        <rFont val="Noto Sans SC"/>
        <family val="2"/>
        <charset val="134"/>
      </rPr>
      <t xml:space="preserve">原文验算结果：</t>
    </r>
    <r>
      <rPr>
        <sz val="11"/>
        <color theme="1"/>
        <rFont val="Calibri"/>
        <family val="2"/>
        <charset val="1"/>
      </rPr>
      <t xml:space="preserve">{J,J,J,#J,#J} </t>
    </r>
    <r>
      <rPr>
        <sz val="11"/>
        <color theme="1"/>
        <rFont val="Noto Sans SC"/>
        <family val="2"/>
        <charset val="134"/>
      </rPr>
      <t xml:space="preserve">遍历法事件数 </t>
    </r>
    <r>
      <rPr>
        <sz val="11"/>
        <color theme="1"/>
        <rFont val="Calibri"/>
        <family val="2"/>
        <charset val="1"/>
      </rPr>
      <t xml:space="preserve">× </t>
    </r>
    <r>
      <rPr>
        <sz val="11"/>
        <color theme="1"/>
        <rFont val="Noto Sans SC"/>
        <family val="2"/>
        <charset val="134"/>
      </rPr>
      <t xml:space="preserve">图标累乘乘积 ＝ </t>
    </r>
    <r>
      <rPr>
        <sz val="11"/>
        <color theme="1"/>
        <rFont val="Calibri"/>
        <family val="2"/>
        <charset val="1"/>
      </rPr>
      <t xml:space="preserve">326,592</t>
    </r>
    <r>
      <rPr>
        <sz val="11"/>
        <color theme="1"/>
        <rFont val="Noto Sans SC"/>
        <family val="2"/>
        <charset val="134"/>
      </rPr>
      <t xml:space="preserve">，</t>
    </r>
  </si>
  <si>
    <r>
      <rPr>
        <sz val="11"/>
        <color theme="1"/>
        <rFont val="Calibri"/>
        <family val="2"/>
        <charset val="1"/>
      </rPr>
      <t xml:space="preserve">  RTP </t>
    </r>
    <r>
      <rPr>
        <sz val="11"/>
        <color theme="1"/>
        <rFont val="Noto Sans SC"/>
        <family val="2"/>
        <charset val="134"/>
      </rPr>
      <t xml:space="preserve">＝ </t>
    </r>
    <r>
      <rPr>
        <sz val="11"/>
        <color theme="1"/>
        <rFont val="Calibri"/>
        <family val="2"/>
        <charset val="1"/>
      </rPr>
      <t xml:space="preserve">0.3115</t>
    </r>
    <r>
      <rPr>
        <sz val="11"/>
        <color theme="1"/>
        <rFont val="Noto Sans SC"/>
        <family val="2"/>
        <charset val="134"/>
      </rPr>
      <t xml:space="preserve">，与 </t>
    </r>
    <r>
      <rPr>
        <sz val="11"/>
        <color theme="1"/>
        <rFont val="Calibri"/>
        <family val="2"/>
        <charset val="1"/>
      </rPr>
      <t xml:space="preserve">24 </t>
    </r>
    <r>
      <rPr>
        <sz val="11"/>
        <color theme="1"/>
        <rFont val="Noto Sans SC"/>
        <family val="2"/>
        <charset val="134"/>
      </rPr>
      <t xml:space="preserve">篇完全一致。</t>
    </r>
  </si>
  <si>
    <t xml:space="preserve">原文整理（全文，按原文小标题分段）</t>
  </si>
  <si>
    <r>
      <rPr>
        <sz val="11"/>
        <color theme="1"/>
        <rFont val="Noto Sans SC"/>
        <family val="2"/>
        <charset val="134"/>
      </rPr>
      <t xml:space="preserve">之前的文章中有介绍</t>
    </r>
    <r>
      <rPr>
        <sz val="11"/>
        <color theme="1"/>
        <rFont val="Calibri"/>
        <family val="2"/>
        <charset val="1"/>
      </rPr>
      <t xml:space="preserve">3*5</t>
    </r>
    <r>
      <rPr>
        <sz val="11"/>
        <color theme="1"/>
        <rFont val="Noto Sans SC"/>
        <family val="2"/>
        <charset val="134"/>
      </rPr>
      <t xml:space="preserve">的</t>
    </r>
    <r>
      <rPr>
        <sz val="11"/>
        <color theme="1"/>
        <rFont val="Calibri"/>
        <family val="2"/>
        <charset val="1"/>
      </rPr>
      <t xml:space="preserve">Way Slots</t>
    </r>
    <r>
      <rPr>
        <sz val="11"/>
        <color theme="1"/>
        <rFont val="Noto Sans SC"/>
        <family val="2"/>
        <charset val="134"/>
      </rPr>
      <t xml:space="preserve">数值模型应当如何搭建</t>
    </r>
  </si>
  <si>
    <r>
      <rPr>
        <sz val="11"/>
        <color theme="1"/>
        <rFont val="Noto Sans SC"/>
        <family val="2"/>
        <charset val="134"/>
      </rPr>
      <t xml:space="preserve">玩法机制介绍：</t>
    </r>
    <r>
      <rPr>
        <sz val="11"/>
        <color theme="1"/>
        <rFont val="Calibri"/>
        <family val="2"/>
        <charset val="1"/>
      </rPr>
      <t xml:space="preserve">Way Slots</t>
    </r>
    <r>
      <rPr>
        <sz val="11"/>
        <color theme="1"/>
        <rFont val="Noto Sans SC"/>
        <family val="2"/>
        <charset val="134"/>
      </rPr>
      <t xml:space="preserve">是什么？</t>
    </r>
  </si>
  <si>
    <r>
      <rPr>
        <sz val="11"/>
        <color theme="1"/>
        <rFont val="Noto Sans SC"/>
        <family val="2"/>
        <charset val="134"/>
      </rPr>
      <t xml:space="preserve">数值篇</t>
    </r>
    <r>
      <rPr>
        <sz val="11"/>
        <color theme="1"/>
        <rFont val="Calibri"/>
        <family val="2"/>
        <charset val="1"/>
      </rPr>
      <t xml:space="preserve">01</t>
    </r>
    <r>
      <rPr>
        <sz val="11"/>
        <color theme="1"/>
        <rFont val="Noto Sans SC"/>
        <family val="2"/>
        <charset val="134"/>
      </rPr>
      <t xml:space="preserve">：固定卷轴的数值体系搭建</t>
    </r>
  </si>
  <si>
    <r>
      <rPr>
        <sz val="11"/>
        <color theme="1"/>
        <rFont val="Noto Sans SC"/>
        <family val="2"/>
        <charset val="134"/>
      </rPr>
      <t xml:space="preserve">数值篇</t>
    </r>
    <r>
      <rPr>
        <sz val="11"/>
        <color theme="1"/>
        <rFont val="Calibri"/>
        <family val="2"/>
        <charset val="1"/>
      </rPr>
      <t xml:space="preserve">02</t>
    </r>
    <r>
      <rPr>
        <sz val="11"/>
        <color theme="1"/>
        <rFont val="Noto Sans SC"/>
        <family val="2"/>
        <charset val="134"/>
      </rPr>
      <t xml:space="preserve">：随机卷轴的体系搭建</t>
    </r>
  </si>
  <si>
    <t xml:space="preserve">本篇将针对上一篇疑问比较多的部分进行解答和验算</t>
  </si>
  <si>
    <t xml:space="preserve">其中疑问比较多的就是关于图标出现事件数的计算</t>
  </si>
  <si>
    <r>
      <rPr>
        <sz val="11"/>
        <color theme="1"/>
        <rFont val="Noto Sans SC"/>
        <family val="2"/>
        <charset val="134"/>
      </rPr>
      <t xml:space="preserve">先简要说明一下，当计固定卷轴算</t>
    </r>
    <r>
      <rPr>
        <sz val="11"/>
        <color theme="1"/>
        <rFont val="Calibri"/>
        <family val="2"/>
        <charset val="1"/>
      </rPr>
      <t xml:space="preserve">Way Slots RTP</t>
    </r>
    <r>
      <rPr>
        <sz val="11"/>
        <color theme="1"/>
        <rFont val="Noto Sans SC"/>
        <family val="2"/>
        <charset val="134"/>
      </rPr>
      <t xml:space="preserve">时，需要依据固定卷轴上的图标分布计算得出各图标的出现个数</t>
    </r>
  </si>
  <si>
    <t xml:space="preserve">再在该出现次数的基础上加上百搭图标的个数，并乘上该列的行数得到最终的事件数，计算步骤如下：</t>
  </si>
  <si>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626905392-01.jpg</t>
    </r>
  </si>
  <si>
    <t xml:space="preserve">不难看出这里使用将单行扩充到整体的方式计算的图标出现事件数</t>
  </si>
  <si>
    <t xml:space="preserve">但是在计算图标不出现的事件数时，则使用了数组公式对该列的所有相连图标组合进行了遍历得到的最终答案</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</si>
  <si>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626905392-02.jpg</t>
    </r>
  </si>
  <si>
    <t xml:space="preserve">这里主要的疑问在于计算图标出现事件数时没有使用遍历的方法，是否可能出现重复计算或错漏项</t>
  </si>
  <si>
    <t xml:space="preserve">首先可以说明结果：不存在错漏项</t>
  </si>
  <si>
    <r>
      <rPr>
        <sz val="11"/>
        <color theme="1"/>
        <rFont val="Noto Sans SC"/>
        <family val="2"/>
        <charset val="134"/>
      </rPr>
      <t xml:space="preserve">因为</t>
    </r>
    <r>
      <rPr>
        <sz val="11"/>
        <color theme="1"/>
        <rFont val="Calibri"/>
        <family val="2"/>
        <charset val="1"/>
      </rPr>
      <t xml:space="preserve">Way Game</t>
    </r>
    <r>
      <rPr>
        <sz val="11"/>
        <color theme="1"/>
        <rFont val="Noto Sans SC"/>
        <family val="2"/>
        <charset val="134"/>
      </rPr>
      <t xml:space="preserve">的图标结算不仅需要考虑图标是否在该列出现，在结算时还需要乘上该图标在中奖各列出现的个数乘积</t>
    </r>
  </si>
  <si>
    <t xml:space="preserve">为了更好地说明该结果，我们将使用遍历的方法重新计算一遍，看得到的答案是否一致</t>
  </si>
  <si>
    <t xml:space="preserve">数值计算——验算</t>
  </si>
  <si>
    <t xml:space="preserve">第一步：设置固定卷轴</t>
  </si>
  <si>
    <t xml:space="preserve">这里使用的固定卷轴和之前的固定卷轴一致，并且在最后一行后方加上第一行和第二行的图标分布，确保之后遍历的时候能够考虑卷轴上所有的可能性</t>
  </si>
  <si>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626905392-03.jpg</t>
    </r>
  </si>
  <si>
    <t xml:space="preserve">第二步：遍历卷轴</t>
  </si>
  <si>
    <r>
      <rPr>
        <sz val="11"/>
        <color theme="1"/>
        <rFont val="Noto Sans SC"/>
        <family val="2"/>
        <charset val="134"/>
      </rPr>
      <t xml:space="preserve">这里使用</t>
    </r>
    <r>
      <rPr>
        <sz val="11"/>
        <color theme="1"/>
        <rFont val="Calibri"/>
        <family val="2"/>
        <charset val="1"/>
      </rPr>
      <t xml:space="preserve">IF</t>
    </r>
    <r>
      <rPr>
        <sz val="11"/>
        <color theme="1"/>
        <rFont val="Noto Sans SC"/>
        <family val="2"/>
        <charset val="134"/>
      </rPr>
      <t xml:space="preserve">函数读取该列所有图标分布情况中对应图标的出现个数</t>
    </r>
  </si>
  <si>
    <r>
      <rPr>
        <sz val="11"/>
        <color theme="1"/>
        <rFont val="Noto Sans SC"/>
        <family val="2"/>
        <charset val="134"/>
      </rPr>
      <t xml:space="preserve">并且依据最终停留在窗口上的该图标个数将其分类为</t>
    </r>
    <r>
      <rPr>
        <sz val="11"/>
        <color theme="1"/>
        <rFont val="Calibri"/>
        <family val="2"/>
        <charset val="1"/>
      </rPr>
      <t xml:space="preserve">3</t>
    </r>
    <r>
      <rPr>
        <sz val="11"/>
        <color theme="1"/>
        <rFont val="Noto Sans SC"/>
        <family val="2"/>
        <charset val="134"/>
      </rPr>
      <t xml:space="preserve">、</t>
    </r>
    <r>
      <rPr>
        <sz val="11"/>
        <color theme="1"/>
        <rFont val="Calibri"/>
        <family val="2"/>
        <charset val="1"/>
      </rPr>
      <t xml:space="preserve">2</t>
    </r>
    <r>
      <rPr>
        <sz val="11"/>
        <color theme="1"/>
        <rFont val="Noto Sans SC"/>
        <family val="2"/>
        <charset val="134"/>
      </rPr>
      <t xml:space="preserve">、</t>
    </r>
    <r>
      <rPr>
        <sz val="11"/>
        <color theme="1"/>
        <rFont val="Calibri"/>
        <family val="2"/>
        <charset val="1"/>
      </rPr>
      <t xml:space="preserve">1</t>
    </r>
    <r>
      <rPr>
        <sz val="11"/>
        <color theme="1"/>
        <rFont val="Noto Sans SC"/>
        <family val="2"/>
        <charset val="134"/>
      </rPr>
      <t xml:space="preserve">、</t>
    </r>
    <r>
      <rPr>
        <sz val="11"/>
        <color theme="1"/>
        <rFont val="Calibri"/>
        <family val="2"/>
        <charset val="1"/>
      </rPr>
      <t xml:space="preserve">0</t>
    </r>
    <r>
      <rPr>
        <sz val="11"/>
        <color theme="1"/>
        <rFont val="Noto Sans SC"/>
        <family val="2"/>
        <charset val="134"/>
      </rPr>
      <t xml:space="preserve">个四组</t>
    </r>
  </si>
  <si>
    <r>
      <rPr>
        <sz val="11"/>
        <color theme="1"/>
        <rFont val="Noto Sans SC"/>
        <family val="2"/>
        <charset val="134"/>
      </rPr>
      <t xml:space="preserve">这里需要注意不要忘记考虑出现</t>
    </r>
    <r>
      <rPr>
        <sz val="11"/>
        <color theme="1"/>
        <rFont val="Calibri"/>
        <family val="2"/>
        <charset val="1"/>
      </rPr>
      <t xml:space="preserve">Wild</t>
    </r>
    <r>
      <rPr>
        <sz val="11"/>
        <color theme="1"/>
        <rFont val="Noto Sans SC"/>
        <family val="2"/>
        <charset val="134"/>
      </rPr>
      <t xml:space="preserve">的情况，因此在还需要添加一组</t>
    </r>
    <r>
      <rPr>
        <sz val="11"/>
        <color theme="1"/>
        <rFont val="Calibri"/>
        <family val="2"/>
        <charset val="1"/>
      </rPr>
      <t xml:space="preserve">IF</t>
    </r>
    <r>
      <rPr>
        <sz val="11"/>
        <color theme="1"/>
        <rFont val="Noto Sans SC"/>
        <family val="2"/>
        <charset val="134"/>
      </rPr>
      <t xml:space="preserve">函数用来考虑百搭的影响，得到下方结果</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</si>
  <si>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626905392-04.jpg</t>
    </r>
  </si>
  <si>
    <t xml:space="preserve">第三步：列举所有中奖情况</t>
  </si>
  <si>
    <r>
      <rPr>
        <sz val="11"/>
        <color theme="1"/>
        <rFont val="Noto Sans SC"/>
        <family val="2"/>
        <charset val="134"/>
      </rPr>
      <t xml:space="preserve">以中奖组合｛</t>
    </r>
    <r>
      <rPr>
        <sz val="11"/>
        <color theme="1"/>
        <rFont val="Calibri"/>
        <family val="2"/>
        <charset val="1"/>
      </rPr>
      <t xml:space="preserve">J,J,J,#J,#J</t>
    </r>
    <r>
      <rPr>
        <sz val="11"/>
        <color theme="1"/>
        <rFont val="Noto Sans SC"/>
        <family val="2"/>
        <charset val="134"/>
      </rPr>
      <t xml:space="preserve">｝为例，列举出满足条件的所有中奖组合</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</si>
  <si>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626905392-05.jpg</t>
    </r>
  </si>
  <si>
    <t xml:space="preserve">因为这个中奖组合仅包括前三列，所以只需要前三列出现和第四列不出现的事件数即可，无需考虑第五列的分布情况</t>
  </si>
  <si>
    <r>
      <rPr>
        <sz val="11"/>
        <color theme="1"/>
        <rFont val="Noto Sans SC"/>
        <family val="2"/>
        <charset val="134"/>
      </rPr>
      <t xml:space="preserve">上表中各列的数字，代表该列出现的</t>
    </r>
    <r>
      <rPr>
        <sz val="11"/>
        <color theme="1"/>
        <rFont val="Calibri"/>
        <family val="2"/>
        <charset val="1"/>
      </rPr>
      <t xml:space="preserve">J</t>
    </r>
    <r>
      <rPr>
        <sz val="11"/>
        <color theme="1"/>
        <rFont val="Noto Sans SC"/>
        <family val="2"/>
        <charset val="134"/>
      </rPr>
      <t xml:space="preserve">图标的个数</t>
    </r>
  </si>
  <si>
    <t xml:space="preserve">第四步：读取个数分布对应的事件数</t>
  </si>
  <si>
    <r>
      <rPr>
        <sz val="11"/>
        <color theme="1"/>
        <rFont val="Noto Sans SC"/>
        <family val="2"/>
        <charset val="134"/>
      </rPr>
      <t xml:space="preserve">使用</t>
    </r>
    <r>
      <rPr>
        <sz val="11"/>
        <color theme="1"/>
        <rFont val="Calibri"/>
        <family val="2"/>
        <charset val="1"/>
      </rPr>
      <t xml:space="preserve">vlookup</t>
    </r>
    <r>
      <rPr>
        <sz val="11"/>
        <color theme="1"/>
        <rFont val="Noto Sans SC"/>
        <family val="2"/>
        <charset val="134"/>
      </rPr>
      <t xml:space="preserve">函数读取上表中各个数对应的事件数</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</si>
  <si>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626905392-06.png</t>
    </r>
  </si>
  <si>
    <t xml:space="preserve">可以和第二步得到的出现不同个数的事件个数对比，看是否一致</t>
  </si>
  <si>
    <t xml:space="preserve">这里无需考虑对应个数图标在卷轴上是如何分布的，因为读取事件数时使用的是遍历得到的事件数结果，每一个事件仅有一种确定的排列方式</t>
  </si>
  <si>
    <t xml:space="preserve">第五步：计算中奖率</t>
  </si>
  <si>
    <t xml:space="preserve">使用该中奖组合各情况对应的事件数除以总事件数，得到中奖率</t>
  </si>
  <si>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626905392-07.jpg</t>
    </r>
  </si>
  <si>
    <r>
      <rPr>
        <sz val="11"/>
        <color theme="1"/>
        <rFont val="Noto Sans SC"/>
        <family val="2"/>
        <charset val="134"/>
      </rPr>
      <t xml:space="preserve">第六步：计算</t>
    </r>
    <r>
      <rPr>
        <sz val="11"/>
        <color theme="1"/>
        <rFont val="Calibri"/>
        <family val="2"/>
        <charset val="1"/>
      </rPr>
      <t xml:space="preserve">RTP</t>
    </r>
  </si>
  <si>
    <r>
      <rPr>
        <sz val="11"/>
        <color theme="1"/>
        <rFont val="Noto Sans SC"/>
        <family val="2"/>
        <charset val="134"/>
      </rPr>
      <t xml:space="preserve">带入设置好的赔付倍数和各情况的中奖各列图标数量乘积，得到个情况对应的</t>
    </r>
    <r>
      <rPr>
        <sz val="11"/>
        <color theme="1"/>
        <rFont val="Calibri"/>
        <family val="2"/>
        <charset val="1"/>
      </rPr>
      <t xml:space="preserve">RTP</t>
    </r>
    <r>
      <rPr>
        <sz val="11"/>
        <color theme="1"/>
        <rFont val="Noto Sans SC"/>
        <family val="2"/>
        <charset val="134"/>
      </rPr>
      <t xml:space="preserve">期望</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</si>
  <si>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626905392-08.jpg</t>
    </r>
  </si>
  <si>
    <r>
      <rPr>
        <sz val="11"/>
        <color theme="1"/>
        <rFont val="Noto Sans SC"/>
        <family val="2"/>
        <charset val="134"/>
      </rPr>
      <t xml:space="preserve">将期望累加得到中奖组合｛</t>
    </r>
    <r>
      <rPr>
        <sz val="11"/>
        <color theme="1"/>
        <rFont val="Calibri"/>
        <family val="2"/>
        <charset val="1"/>
      </rPr>
      <t xml:space="preserve">J,J,J,#J,#J</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为</t>
    </r>
    <r>
      <rPr>
        <sz val="11"/>
        <color theme="1"/>
        <rFont val="Calibri"/>
        <family val="2"/>
        <charset val="1"/>
      </rPr>
      <t xml:space="preserve">0.3115</t>
    </r>
    <r>
      <rPr>
        <sz val="11"/>
        <color theme="1"/>
        <rFont val="Noto Sans SC"/>
        <family val="2"/>
        <charset val="134"/>
      </rPr>
      <t xml:space="preserve">，和上期计算得到的结果一致</t>
    </r>
  </si>
  <si>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626905392-09.jpg</t>
    </r>
  </si>
  <si>
    <r>
      <rPr>
        <sz val="11"/>
        <color theme="1"/>
        <rFont val="Noto Sans SC"/>
        <family val="2"/>
        <charset val="134"/>
      </rPr>
      <t xml:space="preserve">由此可得中奖组合｛</t>
    </r>
    <r>
      <rPr>
        <sz val="11"/>
        <color theme="1"/>
        <rFont val="Calibri"/>
        <family val="2"/>
        <charset val="1"/>
      </rPr>
      <t xml:space="preserve">J,J,J,#J,#J</t>
    </r>
    <r>
      <rPr>
        <sz val="11"/>
        <color theme="1"/>
        <rFont val="Noto Sans SC"/>
        <family val="2"/>
        <charset val="134"/>
      </rPr>
      <t xml:space="preserve">｝使用两种方法得到的结果一致，并无错漏或重复计算的情况</t>
    </r>
  </si>
  <si>
    <t xml:space="preserve">大家可以尝试以下使用遍历的方法得到的其他中奖组合期望是否均和上期结果一致</t>
  </si>
  <si>
    <r>
      <rPr>
        <sz val="11"/>
        <color theme="1"/>
        <rFont val="Noto Sans SC"/>
        <family val="2"/>
        <charset val="134"/>
      </rPr>
      <t xml:space="preserve">上期结果详见：</t>
    </r>
    <r>
      <rPr>
        <sz val="11"/>
        <color theme="1"/>
        <rFont val="Calibri"/>
        <family val="2"/>
        <charset val="1"/>
      </rPr>
      <t xml:space="preserve">https://zhuanlan.zhihu.com/p/625322021</t>
    </r>
  </si>
  <si>
    <t xml:space="preserve">有部分同学会发现这两种发放计算得到的满足中奖组合的事件数并不一致，进而中奖率也存在一定的差异</t>
  </si>
  <si>
    <t xml:space="preserve">这也是这两个方法存在的主要差异</t>
  </si>
  <si>
    <r>
      <rPr>
        <sz val="11"/>
        <color theme="1"/>
        <rFont val="Noto Sans SC"/>
        <family val="2"/>
        <charset val="134"/>
      </rPr>
      <t xml:space="preserve">首先来说中奖率方面，其实在</t>
    </r>
    <r>
      <rPr>
        <sz val="11"/>
        <color theme="1"/>
        <rFont val="Calibri"/>
        <family val="2"/>
        <charset val="1"/>
      </rPr>
      <t xml:space="preserve">Slots</t>
    </r>
    <r>
      <rPr>
        <sz val="11"/>
        <color theme="1"/>
        <rFont val="Noto Sans SC"/>
        <family val="2"/>
        <charset val="134"/>
      </rPr>
      <t xml:space="preserve">的数值模型计算过程中，中奖率很多时候仅是一个计算中间量，用来代表该中奖组合或该事件出现的几率，并不是该中奖组合综合考量下来的中奖率</t>
    </r>
  </si>
  <si>
    <r>
      <rPr>
        <sz val="11"/>
        <color theme="1"/>
        <rFont val="Noto Sans SC"/>
        <family val="2"/>
        <charset val="134"/>
      </rPr>
      <t xml:space="preserve">实际的中奖率计算需要依据</t>
    </r>
    <r>
      <rPr>
        <sz val="11"/>
        <color theme="1"/>
        <rFont val="Calibri"/>
        <family val="2"/>
        <charset val="1"/>
      </rPr>
      <t xml:space="preserve">Slots</t>
    </r>
    <r>
      <rPr>
        <sz val="11"/>
        <color theme="1"/>
        <rFont val="Noto Sans SC"/>
        <family val="2"/>
        <charset val="134"/>
      </rPr>
      <t xml:space="preserve">的类型分情况处理，把他当做一个计算步骤理解即可</t>
    </r>
  </si>
  <si>
    <t xml:space="preserve">另外是事件数方面，这里的差异主要是由于在上篇中计算事件数时已经考虑了中奖各列图标出现个数的乘积</t>
  </si>
  <si>
    <t xml:space="preserve">可以回顾一下上期的计算中并没有在最终乘上各列图标数乘积的步骤</t>
  </si>
  <si>
    <t xml:space="preserve">本次使用遍历的方法故在计算事件数的时候并没有把这部分考虑进去</t>
  </si>
  <si>
    <r>
      <rPr>
        <sz val="11"/>
        <color theme="1"/>
        <rFont val="Noto Sans SC"/>
        <family val="2"/>
        <charset val="134"/>
      </rPr>
      <t xml:space="preserve">用本篇各满足中奖组合的组合事件数乘上图标累乘乘积之后就会发现得到数值为</t>
    </r>
    <r>
      <rPr>
        <sz val="11"/>
        <color theme="1"/>
        <rFont val="Calibri"/>
        <family val="2"/>
        <charset val="1"/>
      </rPr>
      <t xml:space="preserve">326,592</t>
    </r>
    <r>
      <rPr>
        <sz val="11"/>
        <color theme="1"/>
        <rFont val="Noto Sans SC"/>
        <family val="2"/>
        <charset val="134"/>
      </rPr>
      <t xml:space="preserve">，和上期计算得到的事件数一致</t>
    </r>
  </si>
  <si>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626905392-10.jpg</t>
    </r>
  </si>
  <si>
    <r>
      <rPr>
        <b val="true"/>
        <sz val="11"/>
        <rFont val="Noto Sans SC"/>
        <family val="2"/>
        <charset val="134"/>
      </rPr>
      <t xml:space="preserve">原文配图清单（共 </t>
    </r>
    <r>
      <rPr>
        <b val="true"/>
        <sz val="11"/>
        <rFont val="Cambria"/>
        <family val="0"/>
        <charset val="1"/>
      </rPr>
      <t xml:space="preserve">10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</si>
  <si>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626905392-01.jpg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</si>
  <si>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626905392-02.jpg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</si>
  <si>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626905392-03.jpg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</si>
  <si>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626905392-04.jpg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</si>
  <si>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626905392-05.jpg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</si>
  <si>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626905392-06.png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</si>
  <si>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626905392-07.jpg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</si>
  <si>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626905392-08.jpg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</si>
  <si>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626905392-09.jpg</t>
    </r>
  </si>
  <si>
    <r>
      <rPr>
        <sz val="11"/>
        <color rgb="FF808080"/>
        <rFont val="Noto Sans SC"/>
        <family val="2"/>
        <charset val="134"/>
      </rPr>
      <t xml:space="preserve">［配图 </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626905392-10.jpg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</si>
  <si>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</si>
  <si>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</si>
  <si>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</si>
  <si>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</si>
  <si>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</si>
  <si>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</si>
  <si>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Way Slots(3)</t>
    </r>
    <r>
      <rPr>
        <sz val="11"/>
        <color rgb="FF808080"/>
        <rFont val="Noto Sans SC"/>
        <family val="2"/>
        <charset val="134"/>
      </rPr>
      <t xml:space="preserve">》</t>
    </r>
    <r>
      <rPr>
        <sz val="11"/>
        <color rgb="FF808080"/>
        <rFont val="Cambria"/>
        <family val="0"/>
        <charset val="1"/>
      </rPr>
      <t xml:space="preserve">, https://zhuanlan.zhihu.com/p/626905392</t>
    </r>
  </si>
  <si>
    <r>
      <rPr>
        <b val="true"/>
        <sz val="14"/>
        <color rgb="FF1F4E79"/>
        <rFont val="Noto Sans SC"/>
        <family val="2"/>
        <charset val="134"/>
      </rPr>
      <t xml:space="preserve">数值篇 </t>
    </r>
    <r>
      <rPr>
        <b val="true"/>
        <sz val="14"/>
        <color rgb="FF1F4E79"/>
        <rFont val="Cambria"/>
        <family val="0"/>
        <charset val="1"/>
      </rPr>
      <t xml:space="preserve">· Way Slots(3)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</si>
  <si>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】两种算法对照（本篇要证明的命题）</t>
    </r>
  </si>
  <si>
    <t xml:space="preserve">环节</t>
  </si>
  <si>
    <r>
      <rPr>
        <b val="true"/>
        <sz val="11"/>
        <color rgb="FF1F4E79"/>
        <rFont val="Cambria"/>
        <family val="0"/>
        <charset val="1"/>
      </rPr>
      <t xml:space="preserve">24 </t>
    </r>
    <r>
      <rPr>
        <b val="true"/>
        <sz val="11"/>
        <color rgb="FF1F4E79"/>
        <rFont val="Noto Sans SC"/>
        <family val="2"/>
        <charset val="134"/>
      </rPr>
      <t xml:space="preserve">篇：数目法（展开法）</t>
    </r>
  </si>
  <si>
    <r>
      <rPr>
        <b val="true"/>
        <sz val="11"/>
        <color rgb="FF1F4E79"/>
        <rFont val="Cambria"/>
        <family val="0"/>
        <charset val="1"/>
      </rPr>
      <t xml:space="preserve">28 </t>
    </r>
    <r>
      <rPr>
        <b val="true"/>
        <sz val="11"/>
        <color rgb="FF1F4E79"/>
        <rFont val="Noto Sans SC"/>
        <family val="2"/>
        <charset val="134"/>
      </rPr>
      <t xml:space="preserve">篇：遍历法</t>
    </r>
  </si>
  <si>
    <t xml:space="preserve">是否一致</t>
  </si>
  <si>
    <t xml:space="preserve">读取每列分布</t>
  </si>
  <si>
    <t xml:space="preserve">直接读该图标在该列的个数（＋百搭）</t>
  </si>
  <si>
    <r>
      <rPr>
        <sz val="11"/>
        <color theme="1"/>
        <rFont val="Noto Sans SC"/>
        <family val="2"/>
        <charset val="134"/>
      </rPr>
      <t xml:space="preserve">遍历首尾相连的 </t>
    </r>
    <r>
      <rPr>
        <sz val="11"/>
        <color theme="1"/>
        <rFont val="Calibri"/>
        <family val="2"/>
        <charset val="1"/>
      </rPr>
      <t xml:space="preserve">3 </t>
    </r>
    <r>
      <rPr>
        <sz val="11"/>
        <color theme="1"/>
        <rFont val="Noto Sans SC"/>
        <family val="2"/>
        <charset val="134"/>
      </rPr>
      <t xml:space="preserve">个停位，分类为出现 </t>
    </r>
    <r>
      <rPr>
        <sz val="11"/>
        <color theme="1"/>
        <rFont val="Calibri"/>
        <family val="2"/>
        <charset val="1"/>
      </rPr>
      <t xml:space="preserve">3/2/1/0 </t>
    </r>
    <r>
      <rPr>
        <sz val="11"/>
        <color theme="1"/>
        <rFont val="Noto Sans SC"/>
        <family val="2"/>
        <charset val="134"/>
      </rPr>
      <t xml:space="preserve">个</t>
    </r>
  </si>
  <si>
    <t xml:space="preserve">等价</t>
  </si>
  <si>
    <t xml:space="preserve">出现事件数</t>
  </si>
  <si>
    <r>
      <rPr>
        <sz val="11"/>
        <color theme="1"/>
        <rFont val="Noto Sans SC"/>
        <family val="2"/>
        <charset val="134"/>
      </rPr>
      <t xml:space="preserve">（个数 ＋ 百搭数）</t>
    </r>
    <r>
      <rPr>
        <sz val="11"/>
        <color theme="1"/>
        <rFont val="Calibri"/>
        <family val="2"/>
        <charset val="1"/>
      </rPr>
      <t xml:space="preserve">× </t>
    </r>
    <r>
      <rPr>
        <sz val="11"/>
        <color theme="1"/>
        <rFont val="Noto Sans SC"/>
        <family val="2"/>
        <charset val="134"/>
      </rPr>
      <t xml:space="preserve">该列行数</t>
    </r>
  </si>
  <si>
    <r>
      <rPr>
        <sz val="11"/>
        <color theme="1"/>
        <rFont val="Noto Sans SC"/>
        <family val="2"/>
        <charset val="134"/>
      </rPr>
      <t xml:space="preserve">各「个数档位」对应的窗口事件数（</t>
    </r>
    <r>
      <rPr>
        <sz val="11"/>
        <color theme="1"/>
        <rFont val="Calibri"/>
        <family val="2"/>
        <charset val="1"/>
      </rPr>
      <t xml:space="preserve">VLOOKUP </t>
    </r>
    <r>
      <rPr>
        <sz val="11"/>
        <color theme="1"/>
        <rFont val="Noto Sans SC"/>
        <family val="2"/>
        <charset val="134"/>
      </rPr>
      <t xml:space="preserve">读取）</t>
    </r>
  </si>
  <si>
    <t xml:space="preserve">口径不同，需折算</t>
  </si>
  <si>
    <t xml:space="preserve">不出现事件数</t>
  </si>
  <si>
    <r>
      <rPr>
        <sz val="11"/>
        <color theme="1"/>
        <rFont val="Noto Sans SC"/>
        <family val="2"/>
        <charset val="134"/>
      </rPr>
      <t xml:space="preserve">对相连图标组合遍历后排除出现 </t>
    </r>
    <r>
      <rPr>
        <sz val="11"/>
        <color theme="1"/>
        <rFont val="Calibri"/>
        <family val="2"/>
        <charset val="1"/>
      </rPr>
      <t xml:space="preserve">1/2/3 </t>
    </r>
    <r>
      <rPr>
        <sz val="11"/>
        <color theme="1"/>
        <rFont val="Noto Sans SC"/>
        <family val="2"/>
        <charset val="134"/>
      </rPr>
      <t xml:space="preserve">个的情况</t>
    </r>
  </si>
  <si>
    <r>
      <rPr>
        <sz val="11"/>
        <color theme="1"/>
        <rFont val="Noto Sans SC"/>
        <family val="2"/>
        <charset val="134"/>
      </rPr>
      <t xml:space="preserve">直接取「出现 </t>
    </r>
    <r>
      <rPr>
        <sz val="11"/>
        <color theme="1"/>
        <rFont val="Calibri"/>
        <family val="2"/>
        <charset val="1"/>
      </rPr>
      <t xml:space="preserve">0 </t>
    </r>
    <r>
      <rPr>
        <sz val="11"/>
        <color theme="1"/>
        <rFont val="Noto Sans SC"/>
        <family val="2"/>
        <charset val="134"/>
      </rPr>
      <t xml:space="preserve">个」那一档的窗口事件数</t>
    </r>
  </si>
  <si>
    <t xml:space="preserve">组合事件数</t>
  </si>
  <si>
    <t xml:space="preserve">各列事件数相乘（已含个数乘积累乘）</t>
  </si>
  <si>
    <t xml:space="preserve">各列窗口事件数相乘，再乘图标累乘乘积</t>
  </si>
  <si>
    <t xml:space="preserve">乘累乘后一致</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</si>
  <si>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】遍历结果：各列「出现个数 → 事件数」（原文配图转录；蓝字可改）</t>
    </r>
  </si>
  <si>
    <t xml:space="preserve">列</t>
  </si>
  <si>
    <r>
      <rPr>
        <b val="true"/>
        <sz val="11"/>
        <color rgb="FF1F4E79"/>
        <rFont val="Noto Sans SC"/>
        <family val="2"/>
        <charset val="134"/>
      </rPr>
      <t xml:space="preserve">出现 </t>
    </r>
    <r>
      <rPr>
        <b val="true"/>
        <sz val="11"/>
        <color rgb="FF1F4E79"/>
        <rFont val="Cambria"/>
        <family val="0"/>
        <charset val="1"/>
      </rPr>
      <t xml:space="preserve">3 </t>
    </r>
    <r>
      <rPr>
        <b val="true"/>
        <sz val="11"/>
        <color rgb="FF1F4E79"/>
        <rFont val="Noto Sans SC"/>
        <family val="2"/>
        <charset val="134"/>
      </rPr>
      <t xml:space="preserve">个</t>
    </r>
  </si>
  <si>
    <r>
      <rPr>
        <b val="true"/>
        <sz val="11"/>
        <color rgb="FF1F4E79"/>
        <rFont val="Noto Sans SC"/>
        <family val="2"/>
        <charset val="134"/>
      </rPr>
      <t xml:space="preserve">出现 </t>
    </r>
    <r>
      <rPr>
        <b val="true"/>
        <sz val="11"/>
        <color rgb="FF1F4E79"/>
        <rFont val="Cambria"/>
        <family val="0"/>
        <charset val="1"/>
      </rPr>
      <t xml:space="preserve">2 </t>
    </r>
    <r>
      <rPr>
        <b val="true"/>
        <sz val="11"/>
        <color rgb="FF1F4E79"/>
        <rFont val="Noto Sans SC"/>
        <family val="2"/>
        <charset val="134"/>
      </rPr>
      <t xml:space="preserve">个</t>
    </r>
  </si>
  <si>
    <r>
      <rPr>
        <b val="true"/>
        <sz val="11"/>
        <color rgb="FF1F4E79"/>
        <rFont val="Noto Sans SC"/>
        <family val="2"/>
        <charset val="134"/>
      </rPr>
      <t xml:space="preserve">出现 </t>
    </r>
    <r>
      <rPr>
        <b val="true"/>
        <sz val="11"/>
        <color rgb="FF1F4E79"/>
        <rFont val="Cambria"/>
        <family val="0"/>
        <charset val="1"/>
      </rPr>
      <t xml:space="preserve">1 </t>
    </r>
    <r>
      <rPr>
        <b val="true"/>
        <sz val="11"/>
        <color rgb="FF1F4E79"/>
        <rFont val="Noto Sans SC"/>
        <family val="2"/>
        <charset val="134"/>
      </rPr>
      <t xml:space="preserve">个</t>
    </r>
  </si>
  <si>
    <r>
      <rPr>
        <b val="true"/>
        <sz val="11"/>
        <color rgb="FF1F4E79"/>
        <rFont val="Noto Sans SC"/>
        <family val="2"/>
        <charset val="134"/>
      </rPr>
      <t xml:space="preserve">出现 </t>
    </r>
    <r>
      <rPr>
        <b val="true"/>
        <sz val="11"/>
        <color rgb="FF1F4E79"/>
        <rFont val="Cambria"/>
        <family val="0"/>
        <charset val="1"/>
      </rPr>
      <t xml:space="preserve">0 </t>
    </r>
    <r>
      <rPr>
        <b val="true"/>
        <sz val="11"/>
        <color rgb="FF1F4E79"/>
        <rFont val="Noto Sans SC"/>
        <family val="2"/>
        <charset val="134"/>
      </rPr>
      <t xml:space="preserve">个</t>
    </r>
  </si>
  <si>
    <r>
      <rPr>
        <b val="true"/>
        <sz val="11"/>
        <color rgb="FF1F4E79"/>
        <rFont val="Noto Sans SC"/>
        <family val="2"/>
        <charset val="134"/>
      </rPr>
      <t xml:space="preserve">合计（应＝</t>
    </r>
    <r>
      <rPr>
        <b val="true"/>
        <sz val="11"/>
        <color rgb="FF1F4E79"/>
        <rFont val="Cambria"/>
        <family val="0"/>
        <charset val="1"/>
      </rPr>
      <t xml:space="preserve">16</t>
    </r>
    <r>
      <rPr>
        <b val="true"/>
        <sz val="11"/>
        <color rgb="FF1F4E79"/>
        <rFont val="Noto Sans SC"/>
        <family val="2"/>
        <charset val="134"/>
      </rPr>
      <t xml:space="preserve">）</t>
    </r>
  </si>
  <si>
    <r>
      <rPr>
        <sz val="11"/>
        <color theme="1"/>
        <rFont val="Noto Sans SC"/>
        <family val="2"/>
        <charset val="134"/>
      </rPr>
      <t xml:space="preserve">列</t>
    </r>
    <r>
      <rPr>
        <sz val="11"/>
        <color theme="1"/>
        <rFont val="Calibri"/>
        <family val="2"/>
        <charset val="1"/>
      </rPr>
      <t xml:space="preserve">1</t>
    </r>
  </si>
  <si>
    <r>
      <rPr>
        <sz val="11"/>
        <color theme="1"/>
        <rFont val="Noto Sans SC"/>
        <family val="2"/>
        <charset val="134"/>
      </rPr>
      <t xml:space="preserve">＝ 该列 </t>
    </r>
    <r>
      <rPr>
        <sz val="11"/>
        <color theme="1"/>
        <rFont val="Calibri"/>
        <family val="2"/>
        <charset val="1"/>
      </rPr>
      <t xml:space="preserve">16 </t>
    </r>
    <r>
      <rPr>
        <sz val="11"/>
        <color theme="1"/>
        <rFont val="Noto Sans SC"/>
        <family val="2"/>
        <charset val="134"/>
      </rPr>
      <t xml:space="preserve">个窗口按该图标出现个数分档</t>
    </r>
  </si>
  <si>
    <r>
      <rPr>
        <sz val="11"/>
        <color theme="1"/>
        <rFont val="Noto Sans SC"/>
        <family val="2"/>
        <charset val="134"/>
      </rPr>
      <t xml:space="preserve">列</t>
    </r>
    <r>
      <rPr>
        <sz val="11"/>
        <color theme="1"/>
        <rFont val="Calibri"/>
        <family val="2"/>
        <charset val="1"/>
      </rPr>
      <t xml:space="preserve">2</t>
    </r>
  </si>
  <si>
    <r>
      <rPr>
        <sz val="11"/>
        <color theme="1"/>
        <rFont val="Noto Sans SC"/>
        <family val="2"/>
        <charset val="134"/>
      </rPr>
      <t xml:space="preserve">列</t>
    </r>
    <r>
      <rPr>
        <sz val="11"/>
        <color theme="1"/>
        <rFont val="Calibri"/>
        <family val="2"/>
        <charset val="1"/>
      </rPr>
      <t xml:space="preserve">3</t>
    </r>
  </si>
  <si>
    <r>
      <rPr>
        <sz val="11"/>
        <color theme="1"/>
        <rFont val="Noto Sans SC"/>
        <family val="2"/>
        <charset val="134"/>
      </rPr>
      <t xml:space="preserve">列</t>
    </r>
    <r>
      <rPr>
        <sz val="11"/>
        <color theme="1"/>
        <rFont val="Calibri"/>
        <family val="2"/>
        <charset val="1"/>
      </rPr>
      <t xml:space="preserve">4</t>
    </r>
  </si>
  <si>
    <t xml:space="preserve">—</t>
  </si>
  <si>
    <r>
      <rPr>
        <sz val="11"/>
        <color theme="1"/>
        <rFont val="Noto Sans SC"/>
        <family val="2"/>
        <charset val="134"/>
      </rPr>
      <t xml:space="preserve">原文配图只给出了列</t>
    </r>
    <r>
      <rPr>
        <sz val="11"/>
        <color theme="1"/>
        <rFont val="Calibri"/>
        <family val="2"/>
        <charset val="1"/>
      </rPr>
      <t xml:space="preserve">4</t>
    </r>
    <r>
      <rPr>
        <sz val="11"/>
        <color theme="1"/>
        <rFont val="Noto Sans SC"/>
        <family val="2"/>
        <charset val="134"/>
      </rPr>
      <t xml:space="preserve">「出现 </t>
    </r>
    <r>
      <rPr>
        <sz val="11"/>
        <color theme="1"/>
        <rFont val="Calibri"/>
        <family val="2"/>
        <charset val="1"/>
      </rPr>
      <t xml:space="preserve">0 </t>
    </r>
    <r>
      <rPr>
        <sz val="11"/>
        <color theme="1"/>
        <rFont val="Noto Sans SC"/>
        <family val="2"/>
        <charset val="134"/>
      </rPr>
      <t xml:space="preserve">个 ＝ </t>
    </r>
    <r>
      <rPr>
        <sz val="11"/>
        <color theme="1"/>
        <rFont val="Calibri"/>
        <family val="2"/>
        <charset val="1"/>
      </rPr>
      <t xml:space="preserve">3</t>
    </r>
    <r>
      <rPr>
        <sz val="11"/>
        <color theme="1"/>
        <rFont val="Noto Sans SC"/>
        <family val="2"/>
        <charset val="134"/>
      </rPr>
      <t xml:space="preserve">」（本中奖组合只需要这一档）</t>
    </r>
  </si>
  <si>
    <r>
      <rPr>
        <sz val="11"/>
        <color rgb="FF808080"/>
        <rFont val="Noto Sans SC"/>
        <family val="2"/>
        <charset val="134"/>
      </rPr>
      <t xml:space="preserve">要点：遍历法数的是「窗口」——每列共 </t>
    </r>
    <r>
      <rPr>
        <sz val="11"/>
        <color rgb="FF808080"/>
        <rFont val="Cambria"/>
        <family val="0"/>
        <charset val="1"/>
      </rPr>
      <t xml:space="preserve">16 </t>
    </r>
    <r>
      <rPr>
        <sz val="11"/>
        <color rgb="FF808080"/>
        <rFont val="Noto Sans SC"/>
        <family val="2"/>
        <charset val="134"/>
      </rPr>
      <t xml:space="preserve">个首尾相连的 </t>
    </r>
    <r>
      <rPr>
        <sz val="11"/>
        <color rgb="FF808080"/>
        <rFont val="Cambria"/>
        <family val="0"/>
        <charset val="1"/>
      </rPr>
      <t xml:space="preserve">3 </t>
    </r>
    <r>
      <rPr>
        <sz val="11"/>
        <color rgb="FF808080"/>
        <rFont val="Noto Sans SC"/>
        <family val="2"/>
        <charset val="134"/>
      </rPr>
      <t xml:space="preserve">停窗口（＝每列停位数）；所以每列各档位事件数之和应等于 </t>
    </r>
    <r>
      <rPr>
        <sz val="11"/>
        <color rgb="FF808080"/>
        <rFont val="Cambria"/>
        <family val="0"/>
        <charset val="1"/>
      </rPr>
      <t xml:space="preserve">16</t>
    </r>
    <r>
      <rPr>
        <sz val="11"/>
        <color rgb="FF808080"/>
        <rFont val="Noto Sans SC"/>
        <family val="2"/>
        <charset val="134"/>
      </rPr>
      <t xml:space="preserve">。</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</si>
  <si>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】把 </t>
    </r>
    <r>
      <rPr>
        <b val="true"/>
        <sz val="11"/>
        <color rgb="FF1F4E79"/>
        <rFont val="Cambria"/>
        <family val="0"/>
        <charset val="1"/>
      </rPr>
      <t xml:space="preserve">12 </t>
    </r>
    <r>
      <rPr>
        <b val="true"/>
        <sz val="11"/>
        <color rgb="FF1F4E79"/>
        <rFont val="Noto Sans SC"/>
        <family val="2"/>
        <charset val="134"/>
      </rPr>
      <t xml:space="preserve">种情况逐条列出（原文配图③：</t>
    </r>
    <r>
      <rPr>
        <b val="true"/>
        <sz val="11"/>
        <color rgb="FF1F4E79"/>
        <rFont val="Cambria"/>
        <family val="0"/>
        <charset val="1"/>
      </rPr>
      <t xml:space="preserve">{J,J,J,#J,#J} </t>
    </r>
    <r>
      <rPr>
        <b val="true"/>
        <sz val="11"/>
        <color rgb="FF1F4E79"/>
        <rFont val="Noto Sans SC"/>
        <family val="2"/>
        <charset val="134"/>
      </rPr>
      <t xml:space="preserve">的各列个数组合）</t>
    </r>
  </si>
  <si>
    <t xml:space="preserve">序号</t>
  </si>
  <si>
    <r>
      <rPr>
        <b val="true"/>
        <sz val="11"/>
        <color rgb="FF1F4E79"/>
        <rFont val="Noto Sans SC"/>
        <family val="2"/>
        <charset val="134"/>
      </rPr>
      <t xml:space="preserve">列</t>
    </r>
    <r>
      <rPr>
        <b val="true"/>
        <sz val="11"/>
        <color rgb="FF1F4E79"/>
        <rFont val="Cambria"/>
        <family val="0"/>
        <charset val="1"/>
      </rPr>
      <t xml:space="preserve">1 </t>
    </r>
    <r>
      <rPr>
        <b val="true"/>
        <sz val="11"/>
        <color rgb="FF1F4E79"/>
        <rFont val="Noto Sans SC"/>
        <family val="2"/>
        <charset val="134"/>
      </rPr>
      <t xml:space="preserve">个数</t>
    </r>
  </si>
  <si>
    <r>
      <rPr>
        <b val="true"/>
        <sz val="11"/>
        <color rgb="FF1F4E79"/>
        <rFont val="Noto Sans SC"/>
        <family val="2"/>
        <charset val="134"/>
      </rPr>
      <t xml:space="preserve">列</t>
    </r>
    <r>
      <rPr>
        <b val="true"/>
        <sz val="11"/>
        <color rgb="FF1F4E79"/>
        <rFont val="Cambria"/>
        <family val="0"/>
        <charset val="1"/>
      </rPr>
      <t xml:space="preserve">2 </t>
    </r>
    <r>
      <rPr>
        <b val="true"/>
        <sz val="11"/>
        <color rgb="FF1F4E79"/>
        <rFont val="Noto Sans SC"/>
        <family val="2"/>
        <charset val="134"/>
      </rPr>
      <t xml:space="preserve">个数</t>
    </r>
  </si>
  <si>
    <r>
      <rPr>
        <b val="true"/>
        <sz val="11"/>
        <color rgb="FF1F4E79"/>
        <rFont val="Noto Sans SC"/>
        <family val="2"/>
        <charset val="134"/>
      </rPr>
      <t xml:space="preserve">列</t>
    </r>
    <r>
      <rPr>
        <b val="true"/>
        <sz val="11"/>
        <color rgb="FF1F4E79"/>
        <rFont val="Cambria"/>
        <family val="0"/>
        <charset val="1"/>
      </rPr>
      <t xml:space="preserve">3 </t>
    </r>
    <r>
      <rPr>
        <b val="true"/>
        <sz val="11"/>
        <color rgb="FF1F4E79"/>
        <rFont val="Noto Sans SC"/>
        <family val="2"/>
        <charset val="134"/>
      </rPr>
      <t xml:space="preserve">个数</t>
    </r>
  </si>
  <si>
    <r>
      <rPr>
        <b val="true"/>
        <sz val="11"/>
        <color rgb="FF1F4E79"/>
        <rFont val="Noto Sans SC"/>
        <family val="2"/>
        <charset val="134"/>
      </rPr>
      <t xml:space="preserve">列</t>
    </r>
    <r>
      <rPr>
        <b val="true"/>
        <sz val="11"/>
        <color rgb="FF1F4E79"/>
        <rFont val="Cambria"/>
        <family val="0"/>
        <charset val="1"/>
      </rPr>
      <t xml:space="preserve">4 </t>
    </r>
    <r>
      <rPr>
        <b val="true"/>
        <sz val="11"/>
        <color rgb="FF1F4E79"/>
        <rFont val="Noto Sans SC"/>
        <family val="2"/>
        <charset val="134"/>
      </rPr>
      <t xml:space="preserve">个数</t>
    </r>
  </si>
  <si>
    <r>
      <rPr>
        <b val="true"/>
        <sz val="11"/>
        <color rgb="FF1F4E79"/>
        <rFont val="Noto Sans SC"/>
        <family val="2"/>
        <charset val="134"/>
      </rPr>
      <t xml:space="preserve">各列事件数（</t>
    </r>
    <r>
      <rPr>
        <b val="true"/>
        <sz val="11"/>
        <color rgb="FF1F4E79"/>
        <rFont val="Cambria"/>
        <family val="0"/>
        <charset val="1"/>
      </rPr>
      <t xml:space="preserve">VLOOKUP</t>
    </r>
    <r>
      <rPr>
        <b val="true"/>
        <sz val="11"/>
        <color rgb="FF1F4E79"/>
        <rFont val="Noto Sans SC"/>
        <family val="2"/>
        <charset val="134"/>
      </rPr>
      <t xml:space="preserve">）</t>
    </r>
  </si>
  <si>
    <r>
      <rPr>
        <b val="true"/>
        <sz val="11"/>
        <color rgb="FF1F4E79"/>
        <rFont val="Noto Sans SC"/>
        <family val="2"/>
        <charset val="134"/>
      </rPr>
      <t xml:space="preserve">行事件数 </t>
    </r>
    <r>
      <rPr>
        <b val="true"/>
        <sz val="11"/>
        <color rgb="FF1F4E79"/>
        <rFont val="Cambria"/>
        <family val="0"/>
        <charset val="1"/>
      </rPr>
      <t xml:space="preserve">× </t>
    </r>
    <r>
      <rPr>
        <b val="true"/>
        <sz val="11"/>
        <color rgb="FF1F4E79"/>
        <rFont val="Noto Sans SC"/>
        <family val="2"/>
        <charset val="134"/>
      </rPr>
      <t xml:space="preserve">累乘</t>
    </r>
  </si>
  <si>
    <t xml:space="preserve">累乘乘积</t>
  </si>
  <si>
    <r>
      <rPr>
        <b val="true"/>
        <sz val="11"/>
        <rFont val="Cambria"/>
        <family val="0"/>
        <charset val="1"/>
      </rPr>
      <t xml:space="preserve">12 </t>
    </r>
    <r>
      <rPr>
        <b val="true"/>
        <sz val="11"/>
        <rFont val="Noto Sans SC"/>
        <family val="2"/>
        <charset val="134"/>
      </rPr>
      <t xml:space="preserve">种情况合计</t>
    </r>
  </si>
  <si>
    <r>
      <rPr>
        <sz val="11"/>
        <color rgb="FF808080"/>
        <rFont val="Noto Sans SC"/>
        <family val="2"/>
        <charset val="134"/>
      </rPr>
      <t xml:space="preserve">读法：</t>
    </r>
    <r>
      <rPr>
        <sz val="11"/>
        <color rgb="FF808080"/>
        <rFont val="Cambria"/>
        <family val="0"/>
        <charset val="1"/>
      </rPr>
      <t xml:space="preserve">F </t>
    </r>
    <r>
      <rPr>
        <sz val="11"/>
        <color rgb="FF808080"/>
        <rFont val="Noto Sans SC"/>
        <family val="2"/>
        <charset val="134"/>
      </rPr>
      <t xml:space="preserve">列合计是「纯遍历事件数」（未含图标累乘）；</t>
    </r>
    <r>
      <rPr>
        <sz val="11"/>
        <color rgb="FF808080"/>
        <rFont val="Cambria"/>
        <family val="0"/>
        <charset val="1"/>
      </rPr>
      <t xml:space="preserve">G </t>
    </r>
    <r>
      <rPr>
        <sz val="11"/>
        <color rgb="FF808080"/>
        <rFont val="Noto Sans SC"/>
        <family val="2"/>
        <charset val="134"/>
      </rPr>
      <t xml:space="preserve">列合计已经把图标累乘乘积算进去了，再乘上每列停位数 </t>
    </r>
    <r>
      <rPr>
        <sz val="11"/>
        <color rgb="FF808080"/>
        <rFont val="Cambria"/>
        <family val="0"/>
        <charset val="1"/>
      </rPr>
      <t xml:space="preserve">16</t>
    </r>
    <r>
      <rPr>
        <sz val="11"/>
        <color rgb="FF808080"/>
        <rFont val="Noto Sans SC"/>
        <family val="2"/>
        <charset val="134"/>
      </rPr>
      <t xml:space="preserve">，就得到 </t>
    </r>
    <r>
      <rPr>
        <sz val="11"/>
        <color rgb="FF808080"/>
        <rFont val="Cambria"/>
        <family val="0"/>
        <charset val="1"/>
      </rPr>
      <t xml:space="preserve">24 </t>
    </r>
    <r>
      <rPr>
        <sz val="11"/>
        <color rgb="FF808080"/>
        <rFont val="Noto Sans SC"/>
        <family val="2"/>
        <charset val="134"/>
      </rPr>
      <t xml:space="preserve">篇的事件数 </t>
    </r>
    <r>
      <rPr>
        <sz val="11"/>
        <color rgb="FF808080"/>
        <rFont val="Cambria"/>
        <family val="0"/>
        <charset val="1"/>
      </rPr>
      <t xml:space="preserve">326,592</t>
    </r>
    <r>
      <rPr>
        <sz val="11"/>
        <color rgb="FF808080"/>
        <rFont val="Noto Sans SC"/>
        <family val="2"/>
        <charset val="134"/>
      </rPr>
      <t xml:space="preserve">（两法对「不出现」窗口的归一化相差一个 </t>
    </r>
    <r>
      <rPr>
        <sz val="11"/>
        <color rgb="FF808080"/>
        <rFont val="Cambria"/>
        <family val="0"/>
        <charset val="1"/>
      </rPr>
      <t xml:space="preserve">16 </t>
    </r>
    <r>
      <rPr>
        <sz val="11"/>
        <color rgb="FF808080"/>
        <rFont val="Noto Sans SC"/>
        <family val="2"/>
        <charset val="134"/>
      </rPr>
      <t xml:space="preserve">倍）。</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</si>
  <si>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】验算结论（与 </t>
    </r>
    <r>
      <rPr>
        <b val="true"/>
        <sz val="11"/>
        <color rgb="FF1F4E79"/>
        <rFont val="Cambria"/>
        <family val="0"/>
        <charset val="1"/>
      </rPr>
      <t xml:space="preserve">24 </t>
    </r>
    <r>
      <rPr>
        <b val="true"/>
        <sz val="11"/>
        <color rgb="FF1F4E79"/>
        <rFont val="Noto Sans SC"/>
        <family val="2"/>
        <charset val="134"/>
      </rPr>
      <t xml:space="preserve">篇对齐）</t>
    </r>
  </si>
  <si>
    <t xml:space="preserve">项目</t>
  </si>
  <si>
    <t xml:space="preserve">数值</t>
  </si>
  <si>
    <t xml:space="preserve">遍历法事件数（含累乘）</t>
  </si>
  <si>
    <r>
      <rPr>
        <sz val="11"/>
        <color theme="1"/>
        <rFont val="Calibri"/>
        <family val="2"/>
        <charset val="1"/>
      </rPr>
      <t xml:space="preserve">Σ</t>
    </r>
    <r>
      <rPr>
        <sz val="11"/>
        <color theme="1"/>
        <rFont val="Noto Sans SC"/>
        <family val="2"/>
        <charset val="134"/>
      </rPr>
      <t xml:space="preserve">（行事件数 </t>
    </r>
    <r>
      <rPr>
        <sz val="11"/>
        <color theme="1"/>
        <rFont val="Calibri"/>
        <family val="2"/>
        <charset val="1"/>
      </rPr>
      <t xml:space="preserve">× </t>
    </r>
    <r>
      <rPr>
        <sz val="11"/>
        <color theme="1"/>
        <rFont val="Noto Sans SC"/>
        <family val="2"/>
        <charset val="134"/>
      </rPr>
      <t xml:space="preserve">累乘）</t>
    </r>
  </si>
  <si>
    <r>
      <rPr>
        <sz val="11"/>
        <color theme="1"/>
        <rFont val="Calibri"/>
        <family val="2"/>
        <charset val="1"/>
      </rPr>
      <t xml:space="preserve">× </t>
    </r>
    <r>
      <rPr>
        <sz val="11"/>
        <color theme="1"/>
        <rFont val="Noto Sans SC"/>
        <family val="2"/>
        <charset val="134"/>
      </rPr>
      <t xml:space="preserve">每列停位数</t>
    </r>
  </si>
  <si>
    <t xml:space="preserve">两法口径的归一化系数</t>
  </si>
  <si>
    <r>
      <rPr>
        <sz val="11"/>
        <color theme="1"/>
        <rFont val="Noto Sans SC"/>
        <family val="2"/>
        <charset val="134"/>
      </rPr>
      <t xml:space="preserve">＝ </t>
    </r>
    <r>
      <rPr>
        <sz val="11"/>
        <color theme="1"/>
        <rFont val="Calibri"/>
        <family val="2"/>
        <charset val="1"/>
      </rPr>
      <t xml:space="preserve">24 </t>
    </r>
    <r>
      <rPr>
        <sz val="11"/>
        <color theme="1"/>
        <rFont val="Noto Sans SC"/>
        <family val="2"/>
        <charset val="134"/>
      </rPr>
      <t xml:space="preserve">篇的事件数</t>
    </r>
  </si>
  <si>
    <r>
      <rPr>
        <sz val="11"/>
        <color theme="1"/>
        <rFont val="Noto Sans SC"/>
        <family val="2"/>
        <charset val="134"/>
      </rPr>
      <t xml:space="preserve">原文：</t>
    </r>
    <r>
      <rPr>
        <sz val="11"/>
        <color theme="1"/>
        <rFont val="Calibri"/>
        <family val="2"/>
        <charset val="1"/>
      </rPr>
      <t xml:space="preserve">326,592</t>
    </r>
  </si>
  <si>
    <r>
      <rPr>
        <sz val="11"/>
        <color theme="1"/>
        <rFont val="Noto Sans SC"/>
        <family val="2"/>
        <charset val="134"/>
      </rPr>
      <t xml:space="preserve">总事件数（</t>
    </r>
    <r>
      <rPr>
        <sz val="11"/>
        <color theme="1"/>
        <rFont val="Calibri"/>
        <family val="2"/>
        <charset val="1"/>
      </rPr>
      <t xml:space="preserve">16⁵</t>
    </r>
    <r>
      <rPr>
        <sz val="11"/>
        <color theme="1"/>
        <rFont val="Noto Sans SC"/>
        <family val="2"/>
        <charset val="134"/>
      </rPr>
      <t xml:space="preserve">）</t>
    </r>
  </si>
  <si>
    <r>
      <rPr>
        <sz val="11"/>
        <color theme="1"/>
        <rFont val="Noto Sans SC"/>
        <family val="2"/>
        <charset val="134"/>
      </rPr>
      <t xml:space="preserve">与 </t>
    </r>
    <r>
      <rPr>
        <sz val="11"/>
        <color theme="1"/>
        <rFont val="Calibri"/>
        <family val="2"/>
        <charset val="1"/>
      </rPr>
      <t xml:space="preserve">24 </t>
    </r>
    <r>
      <rPr>
        <sz val="11"/>
        <color theme="1"/>
        <rFont val="Noto Sans SC"/>
        <family val="2"/>
        <charset val="134"/>
      </rPr>
      <t xml:space="preserve">篇一致</t>
    </r>
  </si>
  <si>
    <t xml:space="preserve">中奖率</t>
  </si>
  <si>
    <r>
      <rPr>
        <sz val="11"/>
        <color theme="1"/>
        <rFont val="Noto Sans SC"/>
        <family val="2"/>
        <charset val="134"/>
      </rPr>
      <t xml:space="preserve">原文：</t>
    </r>
    <r>
      <rPr>
        <sz val="11"/>
        <color theme="1"/>
        <rFont val="Calibri"/>
        <family val="2"/>
        <charset val="1"/>
      </rPr>
      <t xml:space="preserve">31.15%</t>
    </r>
  </si>
  <si>
    <t xml:space="preserve">赔付倍数</t>
  </si>
  <si>
    <r>
      <rPr>
        <sz val="11"/>
        <color theme="1"/>
        <rFont val="Noto Sans SC"/>
        <family val="2"/>
        <charset val="134"/>
      </rPr>
      <t xml:space="preserve">原文⑥：</t>
    </r>
    <r>
      <rPr>
        <sz val="11"/>
        <color theme="1"/>
        <rFont val="Calibri"/>
        <family val="2"/>
        <charset val="1"/>
      </rPr>
      <t xml:space="preserve">{J,J,J,#J,#J} </t>
    </r>
    <r>
      <rPr>
        <sz val="11"/>
        <color theme="1"/>
        <rFont val="Noto Sans SC"/>
        <family val="2"/>
        <charset val="134"/>
      </rPr>
      <t xml:space="preserve">为 </t>
    </r>
    <r>
      <rPr>
        <sz val="11"/>
        <color theme="1"/>
        <rFont val="Calibri"/>
        <family val="2"/>
        <charset val="1"/>
      </rPr>
      <t xml:space="preserve">1 </t>
    </r>
    <r>
      <rPr>
        <sz val="11"/>
        <color theme="1"/>
        <rFont val="Noto Sans SC"/>
        <family val="2"/>
        <charset val="134"/>
      </rPr>
      <t xml:space="preserve">倍</t>
    </r>
  </si>
  <si>
    <t xml:space="preserve">RTP</t>
  </si>
  <si>
    <r>
      <rPr>
        <sz val="11"/>
        <color theme="1"/>
        <rFont val="Noto Sans SC"/>
        <family val="2"/>
        <charset val="134"/>
      </rPr>
      <t xml:space="preserve">原文 </t>
    </r>
    <r>
      <rPr>
        <sz val="11"/>
        <color theme="1"/>
        <rFont val="Calibri"/>
        <family val="2"/>
        <charset val="1"/>
      </rPr>
      <t xml:space="preserve">0.3115</t>
    </r>
    <r>
      <rPr>
        <sz val="11"/>
        <color theme="1"/>
        <rFont val="Noto Sans SC"/>
        <family val="2"/>
        <charset val="134"/>
      </rPr>
      <t xml:space="preserve">，与 </t>
    </r>
    <r>
      <rPr>
        <sz val="11"/>
        <color theme="1"/>
        <rFont val="Calibri"/>
        <family val="2"/>
        <charset val="1"/>
      </rPr>
      <t xml:space="preserve">24 </t>
    </r>
    <r>
      <rPr>
        <sz val="11"/>
        <color theme="1"/>
        <rFont val="Noto Sans SC"/>
        <family val="2"/>
        <charset val="134"/>
      </rPr>
      <t xml:space="preserve">篇一致</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</si>
  <si>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】两法差异的来由（原文重点说明）</t>
    </r>
  </si>
  <si>
    <t xml:space="preserve">差异点</t>
  </si>
  <si>
    <r>
      <rPr>
        <b val="true"/>
        <sz val="11"/>
        <color rgb="FF1F4E79"/>
        <rFont val="Cambria"/>
        <family val="0"/>
        <charset val="1"/>
      </rPr>
      <t xml:space="preserve">24 </t>
    </r>
    <r>
      <rPr>
        <b val="true"/>
        <sz val="11"/>
        <color rgb="FF1F4E79"/>
        <rFont val="Noto Sans SC"/>
        <family val="2"/>
        <charset val="134"/>
      </rPr>
      <t xml:space="preserve">篇（数目法）</t>
    </r>
  </si>
  <si>
    <r>
      <rPr>
        <b val="true"/>
        <sz val="11"/>
        <color rgb="FF1F4E79"/>
        <rFont val="Cambria"/>
        <family val="0"/>
        <charset val="1"/>
      </rPr>
      <t xml:space="preserve">28 </t>
    </r>
    <r>
      <rPr>
        <b val="true"/>
        <sz val="11"/>
        <color rgb="FF1F4E79"/>
        <rFont val="Noto Sans SC"/>
        <family val="2"/>
        <charset val="134"/>
      </rPr>
      <t xml:space="preserve">篇（遍历法）</t>
    </r>
  </si>
  <si>
    <t xml:space="preserve">结论</t>
  </si>
  <si>
    <t xml:space="preserve">事件数</t>
  </si>
  <si>
    <t xml:space="preserve">已含各中奖列图标个数的乘积</t>
  </si>
  <si>
    <t xml:space="preserve">纯窗口计数，未含个数乘积</t>
  </si>
  <si>
    <r>
      <rPr>
        <sz val="11"/>
        <color theme="1"/>
        <rFont val="Noto Sans SC"/>
        <family val="2"/>
        <charset val="134"/>
      </rPr>
      <t xml:space="preserve">遍历法乘上累乘后与 </t>
    </r>
    <r>
      <rPr>
        <sz val="11"/>
        <color theme="1"/>
        <rFont val="Calibri"/>
        <family val="2"/>
        <charset val="1"/>
      </rPr>
      <t xml:space="preserve">24 </t>
    </r>
    <r>
      <rPr>
        <sz val="11"/>
        <color theme="1"/>
        <rFont val="Noto Sans SC"/>
        <family val="2"/>
        <charset val="134"/>
      </rPr>
      <t xml:space="preserve">篇一致（</t>
    </r>
    <r>
      <rPr>
        <sz val="11"/>
        <color theme="1"/>
        <rFont val="Calibri"/>
        <family val="2"/>
        <charset val="1"/>
      </rPr>
      <t xml:space="preserve">326,592</t>
    </r>
    <r>
      <rPr>
        <sz val="11"/>
        <color theme="1"/>
        <rFont val="Noto Sans SC"/>
        <family val="2"/>
        <charset val="134"/>
      </rPr>
      <t xml:space="preserve">）</t>
    </r>
  </si>
  <si>
    <r>
      <rPr>
        <sz val="11"/>
        <color theme="1"/>
        <rFont val="Noto Sans SC"/>
        <family val="2"/>
        <charset val="134"/>
      </rPr>
      <t xml:space="preserve">事件数 </t>
    </r>
    <r>
      <rPr>
        <sz val="11"/>
        <color theme="1"/>
        <rFont val="Calibri"/>
        <family val="2"/>
        <charset val="1"/>
      </rPr>
      <t xml:space="preserve">÷ </t>
    </r>
    <r>
      <rPr>
        <sz val="11"/>
        <color theme="1"/>
        <rFont val="Noto Sans SC"/>
        <family val="2"/>
        <charset val="134"/>
      </rPr>
      <t xml:space="preserve">总事件数</t>
    </r>
  </si>
  <si>
    <t xml:space="preserve">因事件数口径不同而不同；中奖率只是中间量</t>
  </si>
  <si>
    <t xml:space="preserve">实际中奖率</t>
  </si>
  <si>
    <r>
      <rPr>
        <sz val="11"/>
        <color theme="1"/>
        <rFont val="Noto Sans SC"/>
        <family val="2"/>
        <charset val="134"/>
      </rPr>
      <t xml:space="preserve">需按 </t>
    </r>
    <r>
      <rPr>
        <sz val="11"/>
        <color theme="1"/>
        <rFont val="Calibri"/>
        <family val="2"/>
        <charset val="1"/>
      </rPr>
      <t xml:space="preserve">Slots </t>
    </r>
    <r>
      <rPr>
        <sz val="11"/>
        <color theme="1"/>
        <rFont val="Noto Sans SC"/>
        <family val="2"/>
        <charset val="134"/>
      </rPr>
      <t xml:space="preserve">类型分情况另外定义</t>
    </r>
  </si>
  <si>
    <t xml:space="preserve">同左</t>
  </si>
  <si>
    <t xml:space="preserve">不要把上表的中间量当作玩家中奖率</t>
  </si>
  <si>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</si>
  <si>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</si>
  <si>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</si>
  <si>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每列各档位事件数之和 ＝ </t>
    </r>
    <r>
      <rPr>
        <sz val="11"/>
        <color theme="1"/>
        <rFont val="Calibri"/>
        <family val="2"/>
        <charset val="1"/>
      </rPr>
      <t xml:space="preserve">16</t>
    </r>
  </si>
  <si>
    <r>
      <rPr>
        <sz val="11"/>
        <color theme="1"/>
        <rFont val="Noto Sans SC"/>
        <family val="2"/>
        <charset val="134"/>
      </rPr>
      <t xml:space="preserve">列</t>
    </r>
    <r>
      <rPr>
        <sz val="11"/>
        <color theme="1"/>
        <rFont val="Calibri"/>
        <family val="2"/>
        <charset val="1"/>
      </rPr>
      <t xml:space="preserve">4 </t>
    </r>
    <r>
      <rPr>
        <sz val="11"/>
        <color theme="1"/>
        <rFont val="Noto Sans SC"/>
        <family val="2"/>
        <charset val="134"/>
      </rPr>
      <t xml:space="preserve">原文未给全，不计入</t>
    </r>
  </si>
  <si>
    <r>
      <rPr>
        <sz val="11"/>
        <color theme="1"/>
        <rFont val="Noto Sans SC"/>
        <family val="2"/>
        <charset val="134"/>
      </rPr>
      <t xml:space="preserve">遍历事件数 </t>
    </r>
    <r>
      <rPr>
        <sz val="11"/>
        <color theme="1"/>
        <rFont val="Calibri"/>
        <family val="2"/>
        <charset val="1"/>
      </rPr>
      <t xml:space="preserve">× </t>
    </r>
    <r>
      <rPr>
        <sz val="11"/>
        <color theme="1"/>
        <rFont val="Noto Sans SC"/>
        <family val="2"/>
        <charset val="134"/>
      </rPr>
      <t xml:space="preserve">累乘 </t>
    </r>
    <r>
      <rPr>
        <sz val="11"/>
        <color theme="1"/>
        <rFont val="Calibri"/>
        <family val="2"/>
        <charset val="1"/>
      </rPr>
      <t xml:space="preserve">× 16 </t>
    </r>
    <r>
      <rPr>
        <sz val="11"/>
        <color theme="1"/>
        <rFont val="Noto Sans SC"/>
        <family val="2"/>
        <charset val="134"/>
      </rPr>
      <t xml:space="preserve">＝ </t>
    </r>
    <r>
      <rPr>
        <sz val="11"/>
        <color theme="1"/>
        <rFont val="Calibri"/>
        <family val="2"/>
        <charset val="1"/>
      </rPr>
      <t xml:space="preserve">326,592</t>
    </r>
  </si>
  <si>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0.3115</t>
    </r>
    <r>
      <rPr>
        <sz val="11"/>
        <color theme="1"/>
        <rFont val="Noto Sans SC"/>
        <family val="2"/>
        <charset val="134"/>
      </rPr>
      <t xml:space="preserve">（与 </t>
    </r>
    <r>
      <rPr>
        <sz val="11"/>
        <color theme="1"/>
        <rFont val="Calibri"/>
        <family val="2"/>
        <charset val="1"/>
      </rPr>
      <t xml:space="preserve">24 </t>
    </r>
    <r>
      <rPr>
        <sz val="11"/>
        <color theme="1"/>
        <rFont val="Noto Sans SC"/>
        <family val="2"/>
        <charset val="134"/>
      </rPr>
      <t xml:space="preserve">篇一致）</t>
    </r>
  </si>
  <si>
    <t xml:space="preserve">原文验算结论</t>
  </si>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</sst>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5">
    <numFmt numFmtId="164" formatCode="General"/>
    <numFmt numFmtId="165" formatCode="#,##0"/>
    <numFmt numFmtId="166" formatCode="0.00%"/>
    <numFmt numFmtId="167" formatCode="0.0000"/>
    <numFmt numFmtId="168" formatCode="0.0000000000%"/>
  </numFmts>
  <fonts count="16">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0" fillId="4"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6" fontId="10" fillId="4"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12" fillId="3" borderId="0" xfId="0" applyFont="true" applyBorder="false" applyAlignment="true" applyProtection="true">
      <alignment horizontal="center" vertical="center" textRotation="0" wrapText="false" indent="0" shrinkToFit="false"/>
      <protection locked="true" hidden="false"/>
    </xf>
    <xf numFmtId="0" fontId="10" fillId="0" borderId="0" xfId="0" applyFont="true" applyBorder="false" applyAlignment="true" applyProtection="true">
      <alignment horizontal="general" vertical="bottom" textRotation="0" wrapText="false" indent="0" shrinkToFit="false"/>
      <protection locked="true" hidden="false"/>
    </xf>
    <xf numFmtId="168" applyNumberFormat="1" fontId="10"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row>
    <row r="9" customFormat="false" ht="15" hidden="false" customHeight="false" outlineLevel="0" collapsed="false">
      <c r="A9" s="4" t="s">
        <v>6</v>
      </c>
    </row>
    <row r="10" customFormat="false" ht="29" hidden="false" customHeight="false" outlineLevel="0" collapsed="false">
      <c r="A10" s="28" t="s">
        <v>7</v>
      </c>
    </row>
    <row r="11" customFormat="false" ht="29" hidden="false" customHeight="false" outlineLevel="0" collapsed="false">
      <c r="A11" s="28"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29" t="s">
        <v>10</v>
      </c>
      <c r="B14" s="6"/>
      <c r="C14" s="6"/>
    </row>
    <row r="15" customFormat="false" ht="42" hidden="false" customHeight="false" outlineLevel="0" collapsed="false">
      <c r="A15" s="28" t="s">
        <v>11</v>
      </c>
    </row>
    <row r="16" customFormat="false" ht="15" hidden="false" customHeight="1" outlineLevel="0" collapsed="false">
      <c r="A16" s="29"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30" hidden="false" customHeight="false" outlineLevel="0" collapsed="false">
      <c r="A19" s="28" t="s">
        <v>14</v>
      </c>
    </row>
    <row r="20" customFormat="false" ht="29" hidden="false" customHeight="false" outlineLevel="0" collapsed="false">
      <c r="A20" s="30" t="s">
        <v>15</v>
      </c>
    </row>
    <row r="21" customFormat="false" ht="30" hidden="false" customHeight="false" outlineLevel="0" collapsed="false">
      <c r="A21" s="28" t="s">
        <v>16</v>
      </c>
    </row>
    <row r="22" customFormat="false" ht="43" hidden="false" customHeight="false" outlineLevel="0" collapsed="false">
      <c r="A22" s="30" t="s">
        <v>17</v>
      </c>
    </row>
    <row r="23" customFormat="false" ht="29" hidden="false" customHeight="false" outlineLevel="0" collapsed="false">
      <c r="A23" s="30" t="s">
        <v>18</v>
      </c>
    </row>
    <row r="24" customFormat="false" ht="43" hidden="false" customHeight="false" outlineLevel="0" collapsed="false">
      <c r="A24" s="28" t="s">
        <v>19</v>
      </c>
    </row>
    <row r="25" customFormat="false" ht="29" hidden="false" customHeight="false" outlineLevel="0" collapsed="false">
      <c r="A25" s="30" t="s">
        <v>20</v>
      </c>
    </row>
    <row r="26" customFormat="false" ht="29" hidden="false" customHeight="false" outlineLevel="0" collapsed="false">
      <c r="A26" s="30" t="s">
        <v>21</v>
      </c>
    </row>
    <row r="27" customFormat="false" ht="30" hidden="false" customHeight="false" outlineLevel="0" collapsed="false">
      <c r="A27" s="28" t="s">
        <v>22</v>
      </c>
    </row>
    <row r="28" customFormat="false" ht="16" hidden="false" customHeight="false" outlineLevel="0" collapsed="false">
      <c r="A28" s="5" t="s">
        <v>23</v>
      </c>
    </row>
    <row r="30" customFormat="false" ht="15" hidden="false" customHeight="false" outlineLevel="0" collapsed="false">
      <c r="A30" s="4" t="s">
        <v>24</v>
      </c>
    </row>
    <row r="31" customFormat="false" ht="15" hidden="false" customHeight="false" outlineLevel="0" collapsed="false">
      <c r="A31" s="7"/>
    </row>
    <row r="32" customFormat="false" ht="29" hidden="false" customHeight="false" outlineLevel="0" collapsed="false">
      <c r="A32" s="30" t="s">
        <v>25</v>
      </c>
    </row>
    <row r="33" customFormat="false" ht="16" hidden="false" customHeight="false" outlineLevel="0" collapsed="false">
      <c r="A33" s="7" t="s">
        <v>26</v>
      </c>
    </row>
    <row r="34" customFormat="false" ht="16" hidden="false" customHeight="false" outlineLevel="0" collapsed="false">
      <c r="A34" s="7" t="s">
        <v>27</v>
      </c>
    </row>
    <row r="35" customFormat="false" ht="16" hidden="false" customHeight="false" outlineLevel="0" collapsed="false">
      <c r="A35" s="7" t="s">
        <v>28</v>
      </c>
    </row>
    <row r="36" customFormat="false" ht="28" hidden="false" customHeight="false" outlineLevel="0" collapsed="false">
      <c r="A36" s="30" t="s">
        <v>29</v>
      </c>
    </row>
    <row r="37" customFormat="false" ht="15" hidden="false" customHeight="false" outlineLevel="0" collapsed="false">
      <c r="A37" s="30" t="s">
        <v>30</v>
      </c>
    </row>
    <row r="38" customFormat="false" ht="42" hidden="false" customHeight="false" outlineLevel="0" collapsed="false">
      <c r="A38" s="30" t="s">
        <v>31</v>
      </c>
    </row>
    <row r="39" customFormat="false" ht="41" hidden="false" customHeight="false" outlineLevel="0" collapsed="false">
      <c r="A39" s="30" t="s">
        <v>32</v>
      </c>
    </row>
    <row r="40" customFormat="false" ht="15" hidden="false" customHeight="false" outlineLevel="0" collapsed="false">
      <c r="A40" s="7"/>
    </row>
    <row r="41" customFormat="false" ht="16" hidden="false" customHeight="false" outlineLevel="0" collapsed="false">
      <c r="A41" s="7" t="s">
        <v>33</v>
      </c>
    </row>
    <row r="42" customFormat="false" ht="15" hidden="false" customHeight="false" outlineLevel="0" collapsed="false">
      <c r="A42" s="7"/>
    </row>
    <row r="43" customFormat="false" ht="28" hidden="false" customHeight="false" outlineLevel="0" collapsed="false">
      <c r="A43" s="30" t="s">
        <v>34</v>
      </c>
    </row>
    <row r="44" customFormat="false" ht="41" hidden="false" customHeight="false" outlineLevel="0" collapsed="false">
      <c r="A44" s="30" t="s">
        <v>35</v>
      </c>
    </row>
    <row r="45" customFormat="false" ht="15" hidden="false" customHeight="false" outlineLevel="0" collapsed="false">
      <c r="A45" s="7"/>
    </row>
    <row r="46" customFormat="false" ht="16" hidden="false" customHeight="false" outlineLevel="0" collapsed="false">
      <c r="A46" s="7" t="s">
        <v>36</v>
      </c>
    </row>
    <row r="47" customFormat="false" ht="15" hidden="false" customHeight="false" outlineLevel="0" collapsed="false">
      <c r="A47" s="7"/>
    </row>
    <row r="48" customFormat="false" ht="28" hidden="false" customHeight="false" outlineLevel="0" collapsed="false">
      <c r="A48" s="30" t="s">
        <v>37</v>
      </c>
    </row>
    <row r="49" customFormat="false" ht="15" hidden="false" customHeight="false" outlineLevel="0" collapsed="false">
      <c r="A49" s="7" t="s">
        <v>38</v>
      </c>
    </row>
    <row r="50" customFormat="false" ht="42" hidden="false" customHeight="false" outlineLevel="0" collapsed="false">
      <c r="A50" s="30" t="s">
        <v>39</v>
      </c>
    </row>
    <row r="51" customFormat="false" ht="28" hidden="false" customHeight="false" outlineLevel="0" collapsed="false">
      <c r="A51" s="30" t="s">
        <v>40</v>
      </c>
    </row>
    <row r="52" customFormat="false" ht="15" hidden="false" customHeight="false" outlineLevel="0" collapsed="false">
      <c r="A52" s="7"/>
    </row>
    <row r="53" customFormat="false" ht="15" hidden="false" customHeight="false" outlineLevel="0" collapsed="false">
      <c r="A53" s="7" t="s">
        <v>41</v>
      </c>
    </row>
    <row r="54" customFormat="false" ht="15" hidden="false" customHeight="false" outlineLevel="0" collapsed="false">
      <c r="A54" s="7" t="s">
        <v>42</v>
      </c>
    </row>
    <row r="55" customFormat="false" ht="15" hidden="false" customHeight="1" outlineLevel="0" collapsed="false">
      <c r="A55" s="31" t="s">
        <v>43</v>
      </c>
      <c r="B55" s="8"/>
      <c r="C55" s="8"/>
      <c r="D55" s="8"/>
    </row>
    <row r="56" customFormat="false" ht="15" hidden="false" customHeight="false" outlineLevel="0" collapsed="false">
      <c r="A56" s="7"/>
    </row>
    <row r="57" customFormat="false" ht="16" hidden="false" customHeight="false" outlineLevel="0" collapsed="false">
      <c r="A57" s="7" t="s">
        <v>44</v>
      </c>
    </row>
    <row r="58" customFormat="false" ht="15" hidden="false" customHeight="false" outlineLevel="0" collapsed="false">
      <c r="A58" s="7"/>
    </row>
    <row r="59" customFormat="false" ht="15" hidden="false" customHeight="false" outlineLevel="0" collapsed="false">
      <c r="A59" s="7" t="s">
        <v>45</v>
      </c>
    </row>
    <row r="60" customFormat="false" ht="29" hidden="false" customHeight="false" outlineLevel="0" collapsed="false">
      <c r="A60" s="30" t="s">
        <v>46</v>
      </c>
    </row>
    <row r="61" customFormat="false" ht="29" hidden="false" customHeight="false" outlineLevel="0" collapsed="false">
      <c r="A61" s="30" t="s">
        <v>47</v>
      </c>
    </row>
    <row r="62" customFormat="false" ht="43" hidden="false" customHeight="false" outlineLevel="0" collapsed="false">
      <c r="A62" s="30" t="s">
        <v>48</v>
      </c>
    </row>
    <row r="63" customFormat="false" ht="15" hidden="false" customHeight="false" outlineLevel="0" collapsed="false">
      <c r="A63" s="7"/>
    </row>
    <row r="64" customFormat="false" ht="16" hidden="false" customHeight="false" outlineLevel="0" collapsed="false">
      <c r="A64" s="7" t="s">
        <v>49</v>
      </c>
    </row>
    <row r="65" customFormat="false" ht="15" hidden="false" customHeight="false" outlineLevel="0" collapsed="false">
      <c r="A65" s="7"/>
    </row>
    <row r="66" customFormat="false" ht="15" hidden="false" customHeight="false" outlineLevel="0" collapsed="false">
      <c r="A66" s="7" t="s">
        <v>50</v>
      </c>
    </row>
    <row r="67" customFormat="false" ht="29" hidden="false" customHeight="false" outlineLevel="0" collapsed="false">
      <c r="A67" s="30" t="s">
        <v>51</v>
      </c>
    </row>
    <row r="68" customFormat="false" ht="15" hidden="false" customHeight="false" outlineLevel="0" collapsed="false">
      <c r="A68" s="7"/>
    </row>
    <row r="69" customFormat="false" ht="16" hidden="false" customHeight="false" outlineLevel="0" collapsed="false">
      <c r="A69" s="7" t="s">
        <v>52</v>
      </c>
    </row>
    <row r="70" customFormat="false" ht="15" hidden="false" customHeight="false" outlineLevel="0" collapsed="false">
      <c r="A70" s="7"/>
    </row>
    <row r="71" customFormat="false" ht="41" hidden="false" customHeight="false" outlineLevel="0" collapsed="false">
      <c r="A71" s="30" t="s">
        <v>53</v>
      </c>
    </row>
    <row r="72" customFormat="false" ht="16" hidden="false" customHeight="false" outlineLevel="0" collapsed="false">
      <c r="A72" s="30" t="s">
        <v>54</v>
      </c>
    </row>
    <row r="73" customFormat="false" ht="15" hidden="false" customHeight="false" outlineLevel="0" collapsed="false">
      <c r="A73" s="7" t="s">
        <v>55</v>
      </c>
    </row>
    <row r="74" customFormat="false" ht="16" hidden="false" customHeight="false" outlineLevel="0" collapsed="false">
      <c r="A74" s="30" t="s">
        <v>56</v>
      </c>
    </row>
    <row r="75" customFormat="false" ht="15" hidden="false" customHeight="false" outlineLevel="0" collapsed="false">
      <c r="A75" s="7"/>
    </row>
    <row r="76" customFormat="false" ht="16" hidden="false" customHeight="false" outlineLevel="0" collapsed="false">
      <c r="A76" s="7" t="s">
        <v>57</v>
      </c>
    </row>
    <row r="77" customFormat="false" ht="15" hidden="false" customHeight="false" outlineLevel="0" collapsed="false">
      <c r="A77" s="7"/>
    </row>
    <row r="78" customFormat="false" ht="28" hidden="false" customHeight="false" outlineLevel="0" collapsed="false">
      <c r="A78" s="30" t="s">
        <v>58</v>
      </c>
    </row>
    <row r="79" customFormat="false" ht="15" hidden="false" customHeight="1" outlineLevel="0" collapsed="false">
      <c r="A79" s="31" t="s">
        <v>59</v>
      </c>
      <c r="B79" s="8"/>
      <c r="C79" s="8"/>
      <c r="D79" s="8"/>
    </row>
    <row r="80" customFormat="false" ht="15" hidden="false" customHeight="false" outlineLevel="0" collapsed="false">
      <c r="A80" s="7" t="s">
        <v>60</v>
      </c>
    </row>
    <row r="81" customFormat="false" ht="28" hidden="false" customHeight="false" outlineLevel="0" collapsed="false">
      <c r="A81" s="30" t="s">
        <v>61</v>
      </c>
    </row>
    <row r="82" customFormat="false" ht="15" hidden="false" customHeight="false" outlineLevel="0" collapsed="false">
      <c r="A82" s="7"/>
    </row>
    <row r="83" customFormat="false" ht="16" hidden="false" customHeight="false" outlineLevel="0" collapsed="false">
      <c r="A83" s="7" t="s">
        <v>62</v>
      </c>
    </row>
    <row r="84" customFormat="false" ht="15" hidden="false" customHeight="false" outlineLevel="0" collapsed="false">
      <c r="A84" s="7"/>
    </row>
    <row r="85" customFormat="false" ht="16" hidden="false" customHeight="false" outlineLevel="0" collapsed="false">
      <c r="A85" s="7" t="s">
        <v>63</v>
      </c>
    </row>
    <row r="86" customFormat="false" ht="29" hidden="false" customHeight="false" outlineLevel="0" collapsed="false">
      <c r="A86" s="30" t="s">
        <v>64</v>
      </c>
    </row>
    <row r="87" customFormat="false" ht="15" hidden="false" customHeight="false" outlineLevel="0" collapsed="false">
      <c r="A87" s="7"/>
    </row>
    <row r="88" customFormat="false" ht="16" hidden="false" customHeight="false" outlineLevel="0" collapsed="false">
      <c r="A88" s="7" t="s">
        <v>65</v>
      </c>
    </row>
    <row r="89" customFormat="false" ht="15" hidden="false" customHeight="false" outlineLevel="0" collapsed="false">
      <c r="A89" s="7"/>
    </row>
    <row r="90" customFormat="false" ht="30" hidden="false" customHeight="false" outlineLevel="0" collapsed="false">
      <c r="A90" s="30" t="s">
        <v>66</v>
      </c>
    </row>
    <row r="91" customFormat="false" ht="15" hidden="false" customHeight="false" outlineLevel="0" collapsed="false">
      <c r="A91" s="7"/>
    </row>
    <row r="92" customFormat="false" ht="16" hidden="false" customHeight="false" outlineLevel="0" collapsed="false">
      <c r="A92" s="7" t="s">
        <v>67</v>
      </c>
    </row>
    <row r="93" customFormat="false" ht="15" hidden="false" customHeight="false" outlineLevel="0" collapsed="false">
      <c r="A93" s="7"/>
    </row>
    <row r="94" customFormat="false" ht="29" hidden="false" customHeight="false" outlineLevel="0" collapsed="false">
      <c r="A94" s="30" t="s">
        <v>68</v>
      </c>
    </row>
    <row r="95" customFormat="false" ht="28" hidden="false" customHeight="false" outlineLevel="0" collapsed="false">
      <c r="A95" s="30" t="s">
        <v>69</v>
      </c>
    </row>
    <row r="96" customFormat="false" ht="27.5" hidden="false" customHeight="false" outlineLevel="0" collapsed="false">
      <c r="A96" s="30" t="s">
        <v>70</v>
      </c>
    </row>
    <row r="97" customFormat="false" ht="41" hidden="false" customHeight="false" outlineLevel="0" collapsed="false">
      <c r="A97" s="30" t="s">
        <v>71</v>
      </c>
    </row>
    <row r="98" customFormat="false" ht="15" hidden="false" customHeight="false" outlineLevel="0" collapsed="false">
      <c r="A98" s="7" t="s">
        <v>72</v>
      </c>
    </row>
    <row r="99" customFormat="false" ht="15" hidden="false" customHeight="1" outlineLevel="0" collapsed="false">
      <c r="A99" s="31" t="s">
        <v>73</v>
      </c>
      <c r="B99" s="8"/>
      <c r="C99" s="8"/>
      <c r="D99" s="8"/>
      <c r="E99" s="8"/>
      <c r="F99" s="8"/>
      <c r="G99" s="8"/>
    </row>
    <row r="100" customFormat="false" ht="29" hidden="false" customHeight="false" outlineLevel="0" collapsed="false">
      <c r="A100" s="30" t="s">
        <v>74</v>
      </c>
    </row>
    <row r="101" customFormat="false" ht="41" hidden="false" customHeight="false" outlineLevel="0" collapsed="false">
      <c r="A101" s="30" t="s">
        <v>75</v>
      </c>
    </row>
    <row r="102" customFormat="false" ht="28" hidden="false" customHeight="false" outlineLevel="0" collapsed="false">
      <c r="A102" s="30" t="s">
        <v>76</v>
      </c>
    </row>
    <row r="103" customFormat="false" ht="28" hidden="false" customHeight="false" outlineLevel="0" collapsed="false">
      <c r="A103" s="30" t="s">
        <v>77</v>
      </c>
    </row>
    <row r="104" customFormat="false" ht="42" hidden="false" customHeight="false" outlineLevel="0" collapsed="false">
      <c r="A104" s="30" t="s">
        <v>78</v>
      </c>
    </row>
    <row r="105" customFormat="false" ht="15" hidden="false" customHeight="false" outlineLevel="0" collapsed="false">
      <c r="A105" s="7"/>
    </row>
    <row r="106" customFormat="false" ht="16" hidden="false" customHeight="false" outlineLevel="0" collapsed="false">
      <c r="A106" s="7" t="s">
        <v>79</v>
      </c>
    </row>
    <row r="108" customFormat="false" ht="29" hidden="false" customHeight="false" outlineLevel="0" collapsed="false">
      <c r="A108" s="32" t="s">
        <v>80</v>
      </c>
    </row>
    <row r="109" customFormat="false" ht="15.5" hidden="false" customHeight="false" outlineLevel="0" collapsed="false">
      <c r="A109" s="2" t="s">
        <v>81</v>
      </c>
    </row>
    <row r="110" customFormat="false" ht="15.5" hidden="false" customHeight="false" outlineLevel="0" collapsed="false">
      <c r="A110" s="2" t="s">
        <v>82</v>
      </c>
    </row>
    <row r="111" customFormat="false" ht="15.5" hidden="false" customHeight="false" outlineLevel="0" collapsed="false">
      <c r="A111" s="2" t="s">
        <v>83</v>
      </c>
    </row>
    <row r="112" customFormat="false" ht="15.5" hidden="false" customHeight="false" outlineLevel="0" collapsed="false">
      <c r="A112" s="2" t="s">
        <v>84</v>
      </c>
    </row>
    <row r="113" customFormat="false" ht="15.5" hidden="false" customHeight="false" outlineLevel="0" collapsed="false">
      <c r="A113" s="2" t="s">
        <v>85</v>
      </c>
    </row>
    <row r="114" customFormat="false" ht="15.5" hidden="false" customHeight="false" outlineLevel="0" collapsed="false">
      <c r="A114" s="2" t="s">
        <v>86</v>
      </c>
    </row>
    <row r="115" customFormat="false" ht="15.5" hidden="false" customHeight="false" outlineLevel="0" collapsed="false">
      <c r="A115" s="2" t="s">
        <v>87</v>
      </c>
    </row>
    <row r="116" customFormat="false" ht="15.5" hidden="false" customHeight="false" outlineLevel="0" collapsed="false">
      <c r="A116" s="2" t="s">
        <v>88</v>
      </c>
    </row>
    <row r="117" customFormat="false" ht="15.5" hidden="false" customHeight="false" outlineLevel="0" collapsed="false">
      <c r="A117" s="2" t="s">
        <v>89</v>
      </c>
    </row>
    <row r="118" customFormat="false" ht="15.5" hidden="false" customHeight="false" outlineLevel="0" collapsed="false">
      <c r="A118" s="2" t="s">
        <v>90</v>
      </c>
    </row>
    <row r="120" customFormat="false" ht="15" hidden="false" customHeight="false" outlineLevel="0" collapsed="false">
      <c r="A120" s="4" t="s">
        <v>91</v>
      </c>
    </row>
    <row r="121" customFormat="false" ht="30" hidden="false" customHeight="false" outlineLevel="0" collapsed="false">
      <c r="A121" s="30" t="s">
        <v>92</v>
      </c>
    </row>
    <row r="122" customFormat="false" ht="28" hidden="false" customHeight="false" outlineLevel="0" collapsed="false">
      <c r="A122" s="30" t="s">
        <v>93</v>
      </c>
    </row>
    <row r="123" customFormat="false" ht="15" hidden="false" customHeight="false" outlineLevel="0" collapsed="false">
      <c r="A123" s="7"/>
    </row>
    <row r="124" customFormat="false" ht="15" hidden="false" customHeight="false" outlineLevel="0" collapsed="false">
      <c r="A124" s="4" t="s">
        <v>94</v>
      </c>
    </row>
    <row r="125" customFormat="false" ht="28" hidden="false" customHeight="false" outlineLevel="0" collapsed="false">
      <c r="A125" s="30" t="s">
        <v>95</v>
      </c>
    </row>
    <row r="126" customFormat="false" ht="29" hidden="false" customHeight="false" outlineLevel="0" collapsed="false">
      <c r="A126" s="30" t="s">
        <v>96</v>
      </c>
    </row>
    <row r="128" customFormat="false" ht="15.5" hidden="false" customHeight="false" outlineLevel="0" collapsed="false">
      <c r="A128" s="9" t="s">
        <v>97</v>
      </c>
    </row>
  </sheetData>
  <mergeCells count="8">
    <mergeCell ref="A5:L5"/>
    <mergeCell ref="A6:J6"/>
    <mergeCell ref="A7:Q7"/>
    <mergeCell ref="A14:I14"/>
    <mergeCell ref="A16:J16"/>
    <mergeCell ref="A55:L55"/>
    <mergeCell ref="A79:K79"/>
    <mergeCell ref="A99:P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L148"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98</v>
      </c>
      <c r="B1" s="11"/>
      <c r="C1" s="11"/>
      <c r="D1" s="11"/>
      <c r="E1" s="11"/>
      <c r="F1" s="11"/>
      <c r="G1" s="11"/>
      <c r="H1" s="11"/>
    </row>
    <row r="3" customFormat="false" ht="15.5" hidden="false" customHeight="false" outlineLevel="0" collapsed="false">
      <c r="A3" s="12" t="s">
        <v>99</v>
      </c>
      <c r="B3" s="12"/>
      <c r="C3" s="12"/>
      <c r="D3" s="12"/>
      <c r="E3" s="13"/>
      <c r="F3" s="13"/>
      <c r="G3" s="13"/>
      <c r="H3" s="13"/>
    </row>
    <row r="4" customFormat="false" ht="15.5" hidden="false" customHeight="false" outlineLevel="0" collapsed="false">
      <c r="A4" s="14" t="s">
        <v>100</v>
      </c>
      <c r="B4" s="33">
        <v>24</v>
      </c>
      <c r="C4" s="33">
        <v>28</v>
      </c>
      <c r="D4" s="14" t="s">
        <v>103</v>
      </c>
    </row>
    <row r="5" customFormat="false" ht="16" hidden="false" customHeight="false" outlineLevel="0" collapsed="false">
      <c r="A5" s="10" t="s">
        <v>104</v>
      </c>
      <c r="B5" s="10" t="s">
        <v>105</v>
      </c>
      <c r="C5" s="10" t="s">
        <v>106</v>
      </c>
      <c r="D5" s="10" t="s">
        <v>107</v>
      </c>
    </row>
    <row r="6" customFormat="false" ht="16" hidden="false" customHeight="false" outlineLevel="0" collapsed="false">
      <c r="A6" s="10" t="s">
        <v>108</v>
      </c>
      <c r="B6" s="10" t="s">
        <v>109</v>
      </c>
      <c r="C6" s="10" t="s">
        <v>110</v>
      </c>
      <c r="D6" s="16" t="s">
        <v>111</v>
      </c>
      <c r="E6" s="16"/>
    </row>
    <row r="7" customFormat="false" ht="16" hidden="false" customHeight="false" outlineLevel="0" collapsed="false">
      <c r="A7" s="10" t="s">
        <v>112</v>
      </c>
      <c r="B7" s="10" t="s">
        <v>113</v>
      </c>
      <c r="C7" s="10" t="s">
        <v>114</v>
      </c>
      <c r="D7" s="10" t="s">
        <v>107</v>
      </c>
    </row>
    <row r="8" customFormat="false" ht="15" hidden="false" customHeight="false" outlineLevel="0" collapsed="false">
      <c r="A8" s="10" t="s">
        <v>115</v>
      </c>
      <c r="B8" s="10" t="s">
        <v>116</v>
      </c>
      <c r="C8" s="10" t="s">
        <v>117</v>
      </c>
      <c r="D8" s="10" t="s">
        <v>118</v>
      </c>
    </row>
    <row r="10" customFormat="false" ht="15.5" hidden="false" customHeight="false" outlineLevel="0" collapsed="false">
      <c r="A10" s="12" t="s">
        <v>119</v>
      </c>
      <c r="B10" s="12"/>
      <c r="C10" s="12"/>
      <c r="D10" s="12"/>
      <c r="E10" s="12"/>
      <c r="F10" s="12"/>
      <c r="G10" s="13"/>
      <c r="H10" s="13"/>
    </row>
    <row r="11" customFormat="false" ht="15.5" hidden="false" customHeight="false" outlineLevel="0" collapsed="false">
      <c r="A11" s="14" t="s">
        <v>120</v>
      </c>
      <c r="B11" s="14" t="s">
        <v>121</v>
      </c>
      <c r="C11" s="14" t="s">
        <v>122</v>
      </c>
      <c r="D11" s="14" t="s">
        <v>123</v>
      </c>
      <c r="E11" s="14" t="s">
        <v>124</v>
      </c>
      <c r="F11" s="17" t="s">
        <v>125</v>
      </c>
      <c r="G11" s="17"/>
      <c r="H11" s="14" t="s">
        <v>94</v>
      </c>
    </row>
    <row r="12" customFormat="false" ht="16" hidden="false" customHeight="false" outlineLevel="0" collapsed="false">
      <c r="A12" s="10" t="s">
        <v>126</v>
      </c>
      <c r="B12" s="18" t="n">
        <v>1</v>
      </c>
      <c r="C12" s="18" t="n">
        <v>4</v>
      </c>
      <c r="D12" s="18" t="n">
        <v>10</v>
      </c>
      <c r="E12" s="18" t="n">
        <v>1</v>
      </c>
      <c r="F12" s="19" t="n">
        <f aca="false">IF(COUNT(B12:E12)=0,"",SUM(B12:E12))</f>
        <v>16</v>
      </c>
      <c r="H12" s="10" t="s">
        <v>127</v>
      </c>
    </row>
    <row r="13" customFormat="false" ht="16" hidden="false" customHeight="false" outlineLevel="0" collapsed="false">
      <c r="A13" s="10" t="s">
        <v>128</v>
      </c>
      <c r="B13" s="18" t="n">
        <v>0</v>
      </c>
      <c r="C13" s="18" t="n">
        <v>3</v>
      </c>
      <c r="D13" s="18" t="n">
        <v>12</v>
      </c>
      <c r="E13" s="18" t="n">
        <v>1</v>
      </c>
      <c r="F13" s="19" t="n">
        <f aca="false">IF(COUNT(B13:E13)=0,"",SUM(B13:E13))</f>
        <v>16</v>
      </c>
      <c r="H13" s="10" t="s">
        <v>127</v>
      </c>
    </row>
    <row r="14" customFormat="false" ht="16" hidden="false" customHeight="false" outlineLevel="0" collapsed="false">
      <c r="A14" s="10" t="s">
        <v>129</v>
      </c>
      <c r="B14" s="18" t="n">
        <v>0</v>
      </c>
      <c r="C14" s="18" t="n">
        <v>3</v>
      </c>
      <c r="D14" s="18" t="n">
        <v>12</v>
      </c>
      <c r="E14" s="18" t="n">
        <v>1</v>
      </c>
      <c r="F14" s="19" t="n">
        <f aca="false">IF(COUNT(B14:E14)=0,"",SUM(B14:E14))</f>
        <v>16</v>
      </c>
      <c r="H14" s="10" t="s">
        <v>127</v>
      </c>
    </row>
    <row r="15" customFormat="false" ht="16" hidden="false" customHeight="false" outlineLevel="0" collapsed="false">
      <c r="A15" s="10" t="s">
        <v>130</v>
      </c>
      <c r="B15" s="10" t="s">
        <v>131</v>
      </c>
      <c r="C15" s="10" t="s">
        <v>131</v>
      </c>
      <c r="D15" s="10" t="s">
        <v>131</v>
      </c>
      <c r="E15" s="18" t="n">
        <v>3</v>
      </c>
      <c r="F15" s="19" t="n">
        <f aca="false">IF(COUNT(B15:E15)=0,"",SUM(B15:E15))</f>
        <v>3</v>
      </c>
      <c r="H15" s="16" t="s">
        <v>132</v>
      </c>
      <c r="I15" s="16"/>
      <c r="J15" s="16"/>
    </row>
    <row r="16" customFormat="false" ht="15.5" hidden="false" customHeight="true" outlineLevel="0" collapsed="false">
      <c r="A16" s="20" t="s">
        <v>133</v>
      </c>
      <c r="B16" s="20"/>
      <c r="C16" s="20"/>
      <c r="D16" s="20"/>
      <c r="E16" s="20"/>
      <c r="F16" s="20"/>
      <c r="G16" s="20"/>
      <c r="H16" s="20"/>
    </row>
    <row r="18" customFormat="false" ht="15.5" hidden="false" customHeight="false" outlineLevel="0" collapsed="false">
      <c r="A18" s="12" t="s">
        <v>134</v>
      </c>
      <c r="B18" s="12"/>
      <c r="C18" s="12"/>
      <c r="D18" s="12"/>
      <c r="E18" s="12"/>
      <c r="F18" s="12"/>
      <c r="G18" s="13"/>
      <c r="H18" s="13"/>
    </row>
    <row r="19" customFormat="false" ht="15.5" hidden="false" customHeight="false" outlineLevel="0" collapsed="false">
      <c r="A19" s="14" t="s">
        <v>135</v>
      </c>
      <c r="B19" s="14" t="s">
        <v>136</v>
      </c>
      <c r="C19" s="14" t="s">
        <v>137</v>
      </c>
      <c r="D19" s="14" t="s">
        <v>138</v>
      </c>
      <c r="E19" s="14" t="s">
        <v>139</v>
      </c>
      <c r="F19" s="14" t="s">
        <v>140</v>
      </c>
      <c r="G19" s="14" t="s">
        <v>141</v>
      </c>
      <c r="H19" s="14" t="s">
        <v>142</v>
      </c>
    </row>
    <row r="20" customFormat="false" ht="15" hidden="false" customHeight="false" outlineLevel="0" collapsed="false">
      <c r="A20" s="10" t="n">
        <v>1</v>
      </c>
      <c r="B20" s="18" t="n">
        <v>3</v>
      </c>
      <c r="C20" s="18" t="n">
        <v>2</v>
      </c>
      <c r="D20" s="18" t="n">
        <v>2</v>
      </c>
      <c r="E20" s="18" t="n">
        <v>0</v>
      </c>
      <c r="F20" s="19" t="n">
        <f aca="false">INDEX($B$12:$E$12,4-B20)*INDEX($B$13:$E$13,4-C20)*INDEX($B$14:$E$14,4-D20)*INDEX($B$15:$E$15,4-E20)</f>
        <v>27</v>
      </c>
      <c r="G20" s="19" t="n">
        <f aca="false">F20*H20</f>
        <v>324</v>
      </c>
      <c r="H20" s="19" t="n">
        <f aca="false">B20*C20*D20</f>
        <v>12</v>
      </c>
    </row>
    <row r="21" customFormat="false" ht="15" hidden="false" customHeight="false" outlineLevel="0" collapsed="false">
      <c r="A21" s="10" t="n">
        <v>2</v>
      </c>
      <c r="B21" s="18" t="n">
        <v>3</v>
      </c>
      <c r="C21" s="18" t="n">
        <v>2</v>
      </c>
      <c r="D21" s="18" t="n">
        <v>1</v>
      </c>
      <c r="E21" s="18" t="n">
        <v>0</v>
      </c>
      <c r="F21" s="19" t="n">
        <f aca="false">INDEX($B$12:$E$12,4-B21)*INDEX($B$13:$E$13,4-C21)*INDEX($B$14:$E$14,4-D21)*INDEX($B$15:$E$15,4-E21)</f>
        <v>108</v>
      </c>
      <c r="G21" s="19" t="n">
        <f aca="false">F21*H21</f>
        <v>648</v>
      </c>
      <c r="H21" s="19" t="n">
        <f aca="false">B21*C21*D21</f>
        <v>6</v>
      </c>
    </row>
    <row r="22" customFormat="false" ht="15" hidden="false" customHeight="false" outlineLevel="0" collapsed="false">
      <c r="A22" s="10" t="n">
        <v>3</v>
      </c>
      <c r="B22" s="18" t="n">
        <v>3</v>
      </c>
      <c r="C22" s="18" t="n">
        <v>1</v>
      </c>
      <c r="D22" s="18" t="n">
        <v>2</v>
      </c>
      <c r="E22" s="18" t="n">
        <v>0</v>
      </c>
      <c r="F22" s="19" t="n">
        <f aca="false">INDEX($B$12:$E$12,4-B22)*INDEX($B$13:$E$13,4-C22)*INDEX($B$14:$E$14,4-D22)*INDEX($B$15:$E$15,4-E22)</f>
        <v>108</v>
      </c>
      <c r="G22" s="19" t="n">
        <f aca="false">F22*H22</f>
        <v>648</v>
      </c>
      <c r="H22" s="19" t="n">
        <f aca="false">B22*C22*D22</f>
        <v>6</v>
      </c>
    </row>
    <row r="23" customFormat="false" ht="15" hidden="false" customHeight="false" outlineLevel="0" collapsed="false">
      <c r="A23" s="10" t="n">
        <v>4</v>
      </c>
      <c r="B23" s="18" t="n">
        <v>3</v>
      </c>
      <c r="C23" s="18" t="n">
        <v>1</v>
      </c>
      <c r="D23" s="18" t="n">
        <v>1</v>
      </c>
      <c r="E23" s="18" t="n">
        <v>0</v>
      </c>
      <c r="F23" s="19" t="n">
        <f aca="false">INDEX($B$12:$E$12,4-B23)*INDEX($B$13:$E$13,4-C23)*INDEX($B$14:$E$14,4-D23)*INDEX($B$15:$E$15,4-E23)</f>
        <v>432</v>
      </c>
      <c r="G23" s="19" t="n">
        <f aca="false">F23*H23</f>
        <v>1296</v>
      </c>
      <c r="H23" s="19" t="n">
        <f aca="false">B23*C23*D23</f>
        <v>3</v>
      </c>
    </row>
    <row r="24" customFormat="false" ht="15" hidden="false" customHeight="false" outlineLevel="0" collapsed="false">
      <c r="A24" s="10" t="n">
        <v>5</v>
      </c>
      <c r="B24" s="18" t="n">
        <v>2</v>
      </c>
      <c r="C24" s="18" t="n">
        <v>2</v>
      </c>
      <c r="D24" s="18" t="n">
        <v>2</v>
      </c>
      <c r="E24" s="18" t="n">
        <v>0</v>
      </c>
      <c r="F24" s="19" t="n">
        <f aca="false">INDEX($B$12:$E$12,4-B24)*INDEX($B$13:$E$13,4-C24)*INDEX($B$14:$E$14,4-D24)*INDEX($B$15:$E$15,4-E24)</f>
        <v>108</v>
      </c>
      <c r="G24" s="19" t="n">
        <f aca="false">F24*H24</f>
        <v>864</v>
      </c>
      <c r="H24" s="19" t="n">
        <f aca="false">B24*C24*D24</f>
        <v>8</v>
      </c>
    </row>
    <row r="25" customFormat="false" ht="15" hidden="false" customHeight="false" outlineLevel="0" collapsed="false">
      <c r="A25" s="10" t="n">
        <v>6</v>
      </c>
      <c r="B25" s="18" t="n">
        <v>2</v>
      </c>
      <c r="C25" s="18" t="n">
        <v>2</v>
      </c>
      <c r="D25" s="18" t="n">
        <v>1</v>
      </c>
      <c r="E25" s="18" t="n">
        <v>0</v>
      </c>
      <c r="F25" s="19" t="n">
        <f aca="false">INDEX($B$12:$E$12,4-B25)*INDEX($B$13:$E$13,4-C25)*INDEX($B$14:$E$14,4-D25)*INDEX($B$15:$E$15,4-E25)</f>
        <v>432</v>
      </c>
      <c r="G25" s="19" t="n">
        <f aca="false">F25*H25</f>
        <v>1728</v>
      </c>
      <c r="H25" s="19" t="n">
        <f aca="false">B25*C25*D25</f>
        <v>4</v>
      </c>
    </row>
    <row r="26" customFormat="false" ht="15" hidden="false" customHeight="false" outlineLevel="0" collapsed="false">
      <c r="A26" s="10" t="n">
        <v>7</v>
      </c>
      <c r="B26" s="18" t="n">
        <v>2</v>
      </c>
      <c r="C26" s="18" t="n">
        <v>1</v>
      </c>
      <c r="D26" s="18" t="n">
        <v>2</v>
      </c>
      <c r="E26" s="18" t="n">
        <v>0</v>
      </c>
      <c r="F26" s="19" t="n">
        <f aca="false">INDEX($B$12:$E$12,4-B26)*INDEX($B$13:$E$13,4-C26)*INDEX($B$14:$E$14,4-D26)*INDEX($B$15:$E$15,4-E26)</f>
        <v>432</v>
      </c>
      <c r="G26" s="19" t="n">
        <f aca="false">F26*H26</f>
        <v>1728</v>
      </c>
      <c r="H26" s="19" t="n">
        <f aca="false">B26*C26*D26</f>
        <v>4</v>
      </c>
    </row>
    <row r="27" customFormat="false" ht="15" hidden="false" customHeight="false" outlineLevel="0" collapsed="false">
      <c r="A27" s="10" t="n">
        <v>8</v>
      </c>
      <c r="B27" s="18" t="n">
        <v>2</v>
      </c>
      <c r="C27" s="18" t="n">
        <v>1</v>
      </c>
      <c r="D27" s="18" t="n">
        <v>1</v>
      </c>
      <c r="E27" s="18" t="n">
        <v>0</v>
      </c>
      <c r="F27" s="19" t="n">
        <f aca="false">INDEX($B$12:$E$12,4-B27)*INDEX($B$13:$E$13,4-C27)*INDEX($B$14:$E$14,4-D27)*INDEX($B$15:$E$15,4-E27)</f>
        <v>1728</v>
      </c>
      <c r="G27" s="19" t="n">
        <f aca="false">F27*H27</f>
        <v>3456</v>
      </c>
      <c r="H27" s="19" t="n">
        <f aca="false">B27*C27*D27</f>
        <v>2</v>
      </c>
    </row>
    <row r="28" customFormat="false" ht="15" hidden="false" customHeight="false" outlineLevel="0" collapsed="false">
      <c r="A28" s="10" t="n">
        <v>9</v>
      </c>
      <c r="B28" s="18" t="n">
        <v>1</v>
      </c>
      <c r="C28" s="18" t="n">
        <v>2</v>
      </c>
      <c r="D28" s="18" t="n">
        <v>2</v>
      </c>
      <c r="E28" s="18" t="n">
        <v>0</v>
      </c>
      <c r="F28" s="19" t="n">
        <f aca="false">INDEX($B$12:$E$12,4-B28)*INDEX($B$13:$E$13,4-C28)*INDEX($B$14:$E$14,4-D28)*INDEX($B$15:$E$15,4-E28)</f>
        <v>270</v>
      </c>
      <c r="G28" s="19" t="n">
        <f aca="false">F28*H28</f>
        <v>1080</v>
      </c>
      <c r="H28" s="19" t="n">
        <f aca="false">B28*C28*D28</f>
        <v>4</v>
      </c>
    </row>
    <row r="29" customFormat="false" ht="15" hidden="false" customHeight="false" outlineLevel="0" collapsed="false">
      <c r="A29" s="10" t="n">
        <v>10</v>
      </c>
      <c r="B29" s="18" t="n">
        <v>1</v>
      </c>
      <c r="C29" s="18" t="n">
        <v>2</v>
      </c>
      <c r="D29" s="18" t="n">
        <v>1</v>
      </c>
      <c r="E29" s="18" t="n">
        <v>0</v>
      </c>
      <c r="F29" s="19" t="n">
        <f aca="false">INDEX($B$12:$E$12,4-B29)*INDEX($B$13:$E$13,4-C29)*INDEX($B$14:$E$14,4-D29)*INDEX($B$15:$E$15,4-E29)</f>
        <v>1080</v>
      </c>
      <c r="G29" s="19" t="n">
        <f aca="false">F29*H29</f>
        <v>2160</v>
      </c>
      <c r="H29" s="19" t="n">
        <f aca="false">B29*C29*D29</f>
        <v>2</v>
      </c>
    </row>
    <row r="30" customFormat="false" ht="15" hidden="false" customHeight="false" outlineLevel="0" collapsed="false">
      <c r="A30" s="10" t="n">
        <v>11</v>
      </c>
      <c r="B30" s="18" t="n">
        <v>1</v>
      </c>
      <c r="C30" s="18" t="n">
        <v>1</v>
      </c>
      <c r="D30" s="18" t="n">
        <v>2</v>
      </c>
      <c r="E30" s="18" t="n">
        <v>0</v>
      </c>
      <c r="F30" s="19" t="n">
        <f aca="false">INDEX($B$12:$E$12,4-B30)*INDEX($B$13:$E$13,4-C30)*INDEX($B$14:$E$14,4-D30)*INDEX($B$15:$E$15,4-E30)</f>
        <v>1080</v>
      </c>
      <c r="G30" s="19" t="n">
        <f aca="false">F30*H30</f>
        <v>2160</v>
      </c>
      <c r="H30" s="19" t="n">
        <f aca="false">B30*C30*D30</f>
        <v>2</v>
      </c>
    </row>
    <row r="31" customFormat="false" ht="15" hidden="false" customHeight="false" outlineLevel="0" collapsed="false">
      <c r="A31" s="10" t="n">
        <v>12</v>
      </c>
      <c r="B31" s="18" t="n">
        <v>1</v>
      </c>
      <c r="C31" s="18" t="n">
        <v>1</v>
      </c>
      <c r="D31" s="18" t="n">
        <v>1</v>
      </c>
      <c r="E31" s="18" t="n">
        <v>0</v>
      </c>
      <c r="F31" s="19" t="n">
        <f aca="false">INDEX($B$12:$E$12,4-B31)*INDEX($B$13:$E$13,4-C31)*INDEX($B$14:$E$14,4-D31)*INDEX($B$15:$E$15,4-E31)</f>
        <v>4320</v>
      </c>
      <c r="G31" s="19" t="n">
        <f aca="false">F31*H31</f>
        <v>4320</v>
      </c>
      <c r="H31" s="19" t="n">
        <f aca="false">B31*C31*D31</f>
        <v>1</v>
      </c>
    </row>
    <row r="32" customFormat="false" ht="15.5" hidden="false" customHeight="false" outlineLevel="0" collapsed="false">
      <c r="A32" s="34">
        <v>12</v>
      </c>
      <c r="F32" s="19" t="n">
        <f aca="false">SUM(F20:F31)</f>
        <v>10125</v>
      </c>
      <c r="G32" s="22" t="n">
        <f aca="false">SUM(G20:G31)</f>
        <v>20412</v>
      </c>
      <c r="H32" s="19" t="n">
        <f aca="false">SUM(H20:H31)</f>
        <v>54</v>
      </c>
    </row>
    <row r="33" customFormat="false" ht="15.5" hidden="false" customHeight="true" outlineLevel="0" collapsed="false">
      <c r="A33" s="20" t="s">
        <v>144</v>
      </c>
      <c r="B33" s="20"/>
      <c r="C33" s="20"/>
      <c r="D33" s="20"/>
      <c r="E33" s="20"/>
      <c r="F33" s="20"/>
      <c r="G33" s="20"/>
      <c r="H33" s="20"/>
      <c r="I33" s="20"/>
      <c r="J33" s="20"/>
      <c r="K33" s="20"/>
      <c r="L33" s="20"/>
    </row>
    <row r="35" customFormat="false" ht="15.5" hidden="false" customHeight="false" outlineLevel="0" collapsed="false">
      <c r="A35" s="12" t="s">
        <v>145</v>
      </c>
      <c r="B35" s="12"/>
      <c r="C35" s="12"/>
      <c r="D35" s="13"/>
      <c r="E35" s="13"/>
      <c r="F35" s="13"/>
      <c r="G35" s="13"/>
      <c r="H35" s="13"/>
    </row>
    <row r="36" customFormat="false" ht="15" hidden="false" customHeight="false" outlineLevel="0" collapsed="false">
      <c r="A36" s="14" t="s">
        <v>146</v>
      </c>
      <c r="B36" s="14" t="s">
        <v>147</v>
      </c>
      <c r="C36" s="14" t="s">
        <v>94</v>
      </c>
      <c r="D36" s="14"/>
      <c r="E36" s="14"/>
      <c r="F36" s="14"/>
      <c r="G36" s="14"/>
      <c r="H36" s="14"/>
    </row>
    <row r="37" customFormat="false" ht="16" hidden="false" customHeight="false" outlineLevel="0" collapsed="false">
      <c r="A37" s="10" t="s">
        <v>148</v>
      </c>
      <c r="B37" s="22" t="n">
        <f aca="false">SUM(G20:G31)</f>
        <v>20412</v>
      </c>
      <c r="C37" s="23" t="s">
        <v>149</v>
      </c>
      <c r="D37" s="23"/>
    </row>
    <row r="38" customFormat="false" ht="16" hidden="false" customHeight="false" outlineLevel="0" collapsed="false">
      <c r="A38" s="24" t="s">
        <v>150</v>
      </c>
      <c r="B38" s="18" t="n">
        <v>16</v>
      </c>
      <c r="C38" s="16" t="s">
        <v>151</v>
      </c>
      <c r="D38" s="16"/>
    </row>
    <row r="39" customFormat="false" ht="16" hidden="false" customHeight="false" outlineLevel="0" collapsed="false">
      <c r="A39" s="10" t="s">
        <v>152</v>
      </c>
      <c r="B39" s="22" t="n">
        <f aca="false">B37*B38</f>
        <v>326592</v>
      </c>
      <c r="C39" s="10" t="s">
        <v>153</v>
      </c>
    </row>
    <row r="40" customFormat="false" ht="16" hidden="false" customHeight="false" outlineLevel="0" collapsed="false">
      <c r="A40" s="10" t="s">
        <v>154</v>
      </c>
      <c r="B40" s="19" t="n">
        <f aca="false">16^5</f>
        <v>1048576</v>
      </c>
      <c r="C40" s="10" t="s">
        <v>155</v>
      </c>
    </row>
    <row r="41" customFormat="false" ht="16" hidden="false" customHeight="false" outlineLevel="0" collapsed="false">
      <c r="A41" s="10" t="s">
        <v>156</v>
      </c>
      <c r="B41" s="35" t="n">
        <f aca="false">B39/B40</f>
        <v>0.31146240234375</v>
      </c>
      <c r="C41" s="10" t="s">
        <v>157</v>
      </c>
    </row>
    <row r="42" customFormat="false" ht="16" hidden="false" customHeight="false" outlineLevel="0" collapsed="false">
      <c r="A42" s="10" t="s">
        <v>158</v>
      </c>
      <c r="B42" s="18" t="n">
        <v>1</v>
      </c>
      <c r="C42" s="16" t="s">
        <v>159</v>
      </c>
      <c r="D42" s="16"/>
      <c r="E42" s="16"/>
    </row>
    <row r="43" customFormat="false" ht="16" hidden="false" customHeight="false" outlineLevel="0" collapsed="false">
      <c r="A43" s="24" t="s">
        <v>160</v>
      </c>
      <c r="B43" s="26" t="n">
        <f aca="false">B41*B42</f>
        <v>0.31146240234375</v>
      </c>
      <c r="C43" s="16" t="s">
        <v>161</v>
      </c>
      <c r="D43" s="16"/>
      <c r="E43" s="16"/>
    </row>
    <row r="45" customFormat="false" ht="15.5" hidden="false" customHeight="false" outlineLevel="0" collapsed="false">
      <c r="A45" s="12" t="s">
        <v>162</v>
      </c>
      <c r="B45" s="12"/>
      <c r="C45" s="12"/>
      <c r="D45" s="12"/>
      <c r="E45" s="13"/>
      <c r="F45" s="13"/>
      <c r="G45" s="13"/>
      <c r="H45" s="13"/>
    </row>
    <row r="46" customFormat="false" ht="15.5" hidden="false" customHeight="false" outlineLevel="0" collapsed="false">
      <c r="A46" s="14" t="s">
        <v>163</v>
      </c>
      <c r="B46" s="33">
        <v>24</v>
      </c>
      <c r="C46" s="33">
        <v>28</v>
      </c>
      <c r="D46" s="14" t="s">
        <v>166</v>
      </c>
    </row>
    <row r="47" customFormat="false" ht="16" hidden="false" customHeight="false" outlineLevel="0" collapsed="false">
      <c r="A47" s="10" t="s">
        <v>167</v>
      </c>
      <c r="B47" s="10" t="s">
        <v>168</v>
      </c>
      <c r="C47" s="10" t="s">
        <v>169</v>
      </c>
      <c r="D47" s="16" t="s">
        <v>170</v>
      </c>
      <c r="E47" s="16"/>
      <c r="F47" s="16"/>
      <c r="G47" s="16"/>
    </row>
    <row r="48" customFormat="false" ht="16" hidden="false" customHeight="false" outlineLevel="0" collapsed="false">
      <c r="A48" s="10" t="s">
        <v>156</v>
      </c>
      <c r="B48" s="10" t="s">
        <v>171</v>
      </c>
      <c r="C48" s="10" t="s">
        <v>171</v>
      </c>
      <c r="D48" s="16" t="s">
        <v>172</v>
      </c>
      <c r="E48" s="16"/>
      <c r="F48" s="16"/>
      <c r="G48" s="16"/>
    </row>
    <row r="49" customFormat="false" ht="16" hidden="false" customHeight="false" outlineLevel="0" collapsed="false">
      <c r="A49" s="10" t="s">
        <v>173</v>
      </c>
      <c r="B49" s="10" t="s">
        <v>174</v>
      </c>
      <c r="C49" s="10" t="s">
        <v>175</v>
      </c>
      <c r="D49" s="16" t="s">
        <v>176</v>
      </c>
      <c r="E49" s="16"/>
      <c r="F49" s="16"/>
    </row>
    <row r="51" customFormat="false" ht="15.5" hidden="false" customHeight="false" outlineLevel="0" collapsed="false">
      <c r="A51" s="12" t="s">
        <v>177</v>
      </c>
      <c r="B51" s="12"/>
      <c r="C51" s="12"/>
      <c r="D51" s="13"/>
      <c r="E51" s="13"/>
      <c r="F51" s="13"/>
      <c r="G51" s="13"/>
      <c r="H51" s="13"/>
    </row>
    <row r="52" customFormat="false" ht="15" hidden="false" customHeight="false" outlineLevel="0" collapsed="false">
      <c r="A52" s="14" t="s">
        <v>178</v>
      </c>
      <c r="B52" s="14" t="s">
        <v>179</v>
      </c>
      <c r="C52" s="14" t="s">
        <v>94</v>
      </c>
      <c r="D52" s="14"/>
      <c r="E52" s="14"/>
      <c r="F52" s="14"/>
      <c r="G52" s="14"/>
      <c r="H52" s="14"/>
    </row>
    <row r="53" customFormat="false" ht="16" hidden="false" customHeight="false" outlineLevel="0" collapsed="false">
      <c r="A53" s="10" t="s">
        <v>180</v>
      </c>
      <c r="B53" s="27" t="str">
        <f aca="false">IF(AND(SUM(B12:E12)=16,SUM(B13:E13)=16,SUM(B14:E14)=16),"✓","✗")</f>
        <v>✓</v>
      </c>
      <c r="C53" s="16" t="s">
        <v>181</v>
      </c>
      <c r="D53" s="16"/>
    </row>
    <row r="54" customFormat="false" ht="16" hidden="false" customHeight="false" outlineLevel="0" collapsed="false">
      <c r="A54" s="10" t="s">
        <v>182</v>
      </c>
      <c r="B54" s="27" t="str">
        <f aca="false">IF(B39=326592,"✓","✗")</f>
        <v>✓</v>
      </c>
      <c r="C54" s="10" t="s">
        <v>155</v>
      </c>
    </row>
    <row r="55" customFormat="false" ht="16" hidden="false" customHeight="false" outlineLevel="0" collapsed="false">
      <c r="A55" s="24" t="s">
        <v>183</v>
      </c>
      <c r="B55" s="27" t="str">
        <f aca="false">IF(ABS(B43-0.3115)&lt;0.0005,"✓","✗")</f>
        <v>✓</v>
      </c>
      <c r="C55" s="10" t="s">
        <v>184</v>
      </c>
    </row>
    <row r="57" customFormat="false" ht="15" hidden="false" customHeight="true" outlineLevel="0" collapsed="false">
      <c r="A57" s="20" t="s">
        <v>185</v>
      </c>
      <c r="B57" s="20"/>
      <c r="C57" s="20"/>
      <c r="D57" s="20"/>
      <c r="E57" s="20"/>
      <c r="F57" s="20"/>
      <c r="G57" s="20"/>
      <c r="H57" s="20"/>
    </row>
  </sheetData>
  <mergeCells count="21">
    <mergeCell ref="A1:H1"/>
    <mergeCell ref="A3:D3"/>
    <mergeCell ref="D6:E6"/>
    <mergeCell ref="A10:F10"/>
    <mergeCell ref="F11:G11"/>
    <mergeCell ref="H15:J15"/>
    <mergeCell ref="A16:H16"/>
    <mergeCell ref="A18:F18"/>
    <mergeCell ref="A33:L33"/>
    <mergeCell ref="A35:C35"/>
    <mergeCell ref="C37:D37"/>
    <mergeCell ref="C38:D38"/>
    <mergeCell ref="C42:E42"/>
    <mergeCell ref="C43:E43"/>
    <mergeCell ref="A45:D45"/>
    <mergeCell ref="D47:G47"/>
    <mergeCell ref="D48:G48"/>
    <mergeCell ref="D49:F49"/>
    <mergeCell ref="A51:C51"/>
    <mergeCell ref="C53:D53"/>
    <mergeCell ref="A57:H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Q77"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2026-09-29T15:06:26Z</dcterms:created>
  <dc:creator>openpyxl</dc:creator>
  <dc:description/>
  <dc:language>zh-CN</dc:language>
  <cp:lastModifiedBy/>
  <dcterms:modified xsi:type="dcterms:W3CDTF">2026-09-29T15:06:26Z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