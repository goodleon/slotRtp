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<sst xmlns="http://schemas.openxmlformats.org/spreadsheetml/2006/main" count="285" uniqueCount="235">
  <si>
    <r>
      <rPr>
        <b val="true"/>
        <sz val="14"/>
        <color rgb="FF1F4E79"/>
        <rFont val="Noto Sans SC"/>
        <family val="2"/>
        <charset val="134"/>
      </rPr>
      <t xml:space="preserve">从零开始学</t>
    </r>
    <r>
      <rPr>
        <b val="true"/>
        <sz val="14"/>
        <color rgb="FF1F4E79"/>
        <rFont val="Cambria"/>
        <family val="0"/>
        <charset val="1"/>
      </rPr>
      <t xml:space="preserve">Slots 21 —— </t>
    </r>
    <r>
      <rPr>
        <b val="true"/>
        <sz val="14"/>
        <color rgb="FF1F4E79"/>
        <rFont val="Noto Sans SC"/>
        <family val="2"/>
        <charset val="134"/>
      </rPr>
      <t xml:space="preserve">数值篇：不规则窗口</t>
    </r>
    <r>
      <rPr>
        <b val="true"/>
        <sz val="14"/>
        <color rgb="FF1F4E79"/>
        <rFont val="Cambria"/>
        <family val="0"/>
        <charset val="1"/>
      </rPr>
      <t xml:space="preserve">(1)</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</si>
  <si>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数值篇——不规则窗口</t>
    </r>
    <r>
      <rPr>
        <sz val="11"/>
        <color rgb="FF808080"/>
        <rFont val="Cambria"/>
        <family val="0"/>
        <charset val="1"/>
      </rPr>
      <t xml:space="preserve">(1)</t>
    </r>
    <r>
      <rPr>
        <sz val="11"/>
        <color rgb="FF808080"/>
        <rFont val="Noto Sans SC"/>
        <family val="2"/>
        <charset val="134"/>
      </rPr>
      <t xml:space="preserve">》  </t>
    </r>
    <r>
      <rPr>
        <sz val="11"/>
        <color rgb="FF808080"/>
        <rFont val="Cambria"/>
        <family val="0"/>
        <charset val="1"/>
      </rPr>
      <t xml:space="preserve">https://zhuanlan.zhihu.com/p/627152219</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</si>
  <si>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</si>
  <si>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</si>
  <si>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</si>
  <si>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配表说明：本例三列卷轴内容相同、仅窗口行数不同（</t>
    </r>
    <r>
      <rPr>
        <sz val="11"/>
        <color rgb="FF808080"/>
        <rFont val="Cambria"/>
        <family val="0"/>
        <charset val="1"/>
      </rPr>
      <t xml:space="preserve">1/3/1</t>
    </r>
    <r>
      <rPr>
        <sz val="11"/>
        <color rgb="FF808080"/>
        <rFont val="Noto Sans SC"/>
        <family val="2"/>
        <charset val="134"/>
      </rPr>
      <t xml:space="preserve">），因此标准图标「事件数」＝个数＋百搭数，而 </t>
    </r>
    <r>
      <rPr>
        <sz val="11"/>
        <color rgb="FF808080"/>
        <rFont val="Cambria"/>
        <family val="0"/>
        <charset val="1"/>
      </rPr>
      <t xml:space="preserve">Scatter </t>
    </r>
    <r>
      <rPr>
        <sz val="11"/>
        <color rgb="FF808080"/>
        <rFont val="Noto Sans SC"/>
        <family val="2"/>
        <charset val="134"/>
      </rPr>
      <t xml:space="preserve">的「事件数」要按该列行数折算（列</t>
    </r>
    <r>
      <rPr>
        <sz val="11"/>
        <color rgb="FF808080"/>
        <rFont val="Cambria"/>
        <family val="0"/>
        <charset val="1"/>
      </rPr>
      <t xml:space="preserve">2 ×3</t>
    </r>
    <r>
      <rPr>
        <sz val="11"/>
        <color rgb="FF808080"/>
        <rFont val="Noto Sans SC"/>
        <family val="2"/>
        <charset val="134"/>
      </rPr>
      <t xml:space="preserve">）——这正是原文强调的：不规则窗口不影响标准图标 </t>
    </r>
    <r>
      <rPr>
        <sz val="11"/>
        <color rgb="FF808080"/>
        <rFont val="Cambria"/>
        <family val="0"/>
        <charset val="1"/>
      </rPr>
      <t xml:space="preserve">RTP</t>
    </r>
    <r>
      <rPr>
        <sz val="11"/>
        <color rgb="FF808080"/>
        <rFont val="Noto Sans SC"/>
        <family val="2"/>
        <charset val="134"/>
      </rPr>
      <t xml:space="preserve">，但会明显影响 </t>
    </r>
    <r>
      <rPr>
        <sz val="11"/>
        <color rgb="FF808080"/>
        <rFont val="Cambria"/>
        <family val="0"/>
        <charset val="1"/>
      </rPr>
      <t xml:space="preserve">Scatter </t>
    </r>
    <r>
      <rPr>
        <sz val="11"/>
        <color rgb="FF808080"/>
        <rFont val="Noto Sans SC"/>
        <family val="2"/>
        <charset val="134"/>
      </rPr>
      <t xml:space="preserve">这类跳出 </t>
    </r>
    <r>
      <rPr>
        <sz val="11"/>
        <color rgb="FF808080"/>
        <rFont val="Cambria"/>
        <family val="0"/>
        <charset val="1"/>
      </rPr>
      <t xml:space="preserve">Pay Line </t>
    </r>
    <r>
      <rPr>
        <sz val="11"/>
        <color rgb="FF808080"/>
        <rFont val="Noto Sans SC"/>
        <family val="2"/>
        <charset val="134"/>
      </rPr>
      <t xml:space="preserve">的 </t>
    </r>
    <r>
      <rPr>
        <sz val="11"/>
        <color rgb="FF808080"/>
        <rFont val="Cambria"/>
        <family val="0"/>
        <charset val="1"/>
      </rPr>
      <t xml:space="preserve">Feature</t>
    </r>
    <r>
      <rPr>
        <sz val="11"/>
        <color rgb="FF808080"/>
        <rFont val="Noto Sans SC"/>
        <family val="2"/>
        <charset val="134"/>
      </rPr>
      <t xml:space="preserve">。</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</si>
  <si>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</si>
  <si>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</si>
  <si>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</si>
  <si>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</si>
  <si>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images/slots/627152219-NN.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</si>
  <si>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</si>
  <si>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</si>
  <si>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</si>
  <si>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不规则窗口（</t>
    </r>
    <r>
      <rPr>
        <sz val="11"/>
        <color theme="1"/>
        <rFont val="Calibri"/>
        <family val="2"/>
        <charset val="1"/>
      </rPr>
      <t xml:space="preserve">Irregular Grid / Irregular Windows</t>
    </r>
    <r>
      <rPr>
        <sz val="11"/>
        <color theme="1"/>
        <rFont val="Noto Sans SC"/>
        <family val="2"/>
        <charset val="134"/>
      </rPr>
      <t xml:space="preserve">）：各列行数不一致，例如 </t>
    </r>
    <r>
      <rPr>
        <sz val="11"/>
        <color theme="1"/>
        <rFont val="Calibri"/>
        <family val="2"/>
        <charset val="1"/>
      </rPr>
      <t xml:space="preserve">Megaways </t>
    </r>
    <r>
      <rPr>
        <sz val="11"/>
        <color theme="1"/>
        <rFont val="Noto Sans SC"/>
        <family val="2"/>
        <charset val="134"/>
      </rPr>
      <t xml:space="preserve">每列行数在区间内变动。</t>
    </r>
  </si>
  <si>
    <r>
      <rPr>
        <sz val="11"/>
        <color theme="1"/>
        <rFont val="Calibri"/>
        <family val="2"/>
        <charset val="1"/>
      </rPr>
      <t xml:space="preserve">· </t>
    </r>
    <r>
      <rPr>
        <sz val="11"/>
        <color theme="1"/>
        <rFont val="Noto Sans SC"/>
        <family val="2"/>
        <charset val="134"/>
      </rPr>
      <t xml:space="preserve">属于 </t>
    </r>
    <r>
      <rPr>
        <sz val="11"/>
        <color theme="1"/>
        <rFont val="Calibri"/>
        <family val="2"/>
        <charset val="1"/>
      </rPr>
      <t xml:space="preserve">Line Slots </t>
    </r>
    <r>
      <rPr>
        <sz val="11"/>
        <color theme="1"/>
        <rFont val="Noto Sans SC"/>
        <family val="2"/>
        <charset val="134"/>
      </rPr>
      <t xml:space="preserve">时，标准图标 </t>
    </r>
    <r>
      <rPr>
        <sz val="11"/>
        <color theme="1"/>
        <rFont val="Calibri"/>
        <family val="2"/>
        <charset val="1"/>
      </rPr>
      <t xml:space="preserve">RTP </t>
    </r>
    <r>
      <rPr>
        <sz val="11"/>
        <color theme="1"/>
        <rFont val="Noto Sans SC"/>
        <family val="2"/>
        <charset val="134"/>
      </rPr>
      <t xml:space="preserve">的算法与规则窗口完全一样——</t>
    </r>
    <r>
      <rPr>
        <sz val="11"/>
        <color theme="1"/>
        <rFont val="Calibri"/>
        <family val="2"/>
        <charset val="1"/>
      </rPr>
      <t xml:space="preserve">Line Slots </t>
    </r>
    <r>
      <rPr>
        <sz val="11"/>
        <color theme="1"/>
        <rFont val="Noto Sans SC"/>
        <family val="2"/>
        <charset val="134"/>
      </rPr>
      <t xml:space="preserve">只聚焦一条 </t>
    </r>
    <r>
      <rPr>
        <sz val="11"/>
        <color theme="1"/>
        <rFont val="Calibri"/>
        <family val="2"/>
        <charset val="1"/>
      </rPr>
      <t xml:space="preserve">Pay Line</t>
    </r>
    <r>
      <rPr>
        <sz val="11"/>
        <color theme="1"/>
        <rFont val="Noto Sans SC"/>
        <family val="2"/>
        <charset val="134"/>
      </rPr>
      <t xml:space="preserve">，</t>
    </r>
  </si>
  <si>
    <r>
      <rPr>
        <sz val="11"/>
        <color theme="1"/>
        <rFont val="Noto Sans SC"/>
        <family val="2"/>
        <charset val="134"/>
      </rPr>
      <t xml:space="preserve">  这条线上无论停留的是图标本身还是百搭，都视为该图标，因此窗口形状不影响标准图标 </t>
    </r>
    <r>
      <rPr>
        <sz val="11"/>
        <color theme="1"/>
        <rFont val="Calibri"/>
        <family val="2"/>
        <charset val="1"/>
      </rPr>
      <t xml:space="preserve">RTP</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</si>
  <si>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受影响的是跳脱 </t>
    </r>
    <r>
      <rPr>
        <sz val="11"/>
        <color theme="1"/>
        <rFont val="Calibri"/>
        <family val="2"/>
        <charset val="1"/>
      </rPr>
      <t xml:space="preserve">Pay Line </t>
    </r>
    <r>
      <rPr>
        <sz val="11"/>
        <color theme="1"/>
        <rFont val="Noto Sans SC"/>
        <family val="2"/>
        <charset val="134"/>
      </rPr>
      <t xml:space="preserve">的 </t>
    </r>
    <r>
      <rPr>
        <sz val="11"/>
        <color theme="1"/>
        <rFont val="Calibri"/>
        <family val="2"/>
        <charset val="1"/>
      </rPr>
      <t xml:space="preserve">Feature</t>
    </r>
    <r>
      <rPr>
        <sz val="11"/>
        <color theme="1"/>
        <rFont val="Noto Sans SC"/>
        <family val="2"/>
        <charset val="134"/>
      </rPr>
      <t xml:space="preserve">（如 </t>
    </r>
    <r>
      <rPr>
        <sz val="11"/>
        <color theme="1"/>
        <rFont val="Calibri"/>
        <family val="2"/>
        <charset val="1"/>
      </rPr>
      <t xml:space="preserve">Scatter</t>
    </r>
    <r>
      <rPr>
        <sz val="11"/>
        <color theme="1"/>
        <rFont val="Noto Sans SC"/>
        <family val="2"/>
        <charset val="134"/>
      </rPr>
      <t xml:space="preserve">）：</t>
    </r>
    <r>
      <rPr>
        <sz val="11"/>
        <color theme="1"/>
        <rFont val="Calibri"/>
        <family val="2"/>
        <charset val="1"/>
      </rPr>
      <t xml:space="preserve">Scatter </t>
    </r>
    <r>
      <rPr>
        <sz val="11"/>
        <color theme="1"/>
        <rFont val="Noto Sans SC"/>
        <family val="2"/>
        <charset val="134"/>
      </rPr>
      <t xml:space="preserve">事件数要按「该列行数」折算。</t>
    </r>
  </si>
  <si>
    <r>
      <rPr>
        <sz val="11"/>
        <color theme="1"/>
        <rFont val="Noto Sans SC"/>
        <family val="2"/>
        <charset val="134"/>
      </rPr>
      <t xml:space="preserve">  原文例（</t>
    </r>
    <r>
      <rPr>
        <sz val="11"/>
        <color theme="1"/>
        <rFont val="Calibri"/>
        <family val="2"/>
        <charset val="1"/>
      </rPr>
      <t xml:space="preserve">1-3-1 </t>
    </r>
    <r>
      <rPr>
        <sz val="11"/>
        <color theme="1"/>
        <rFont val="Noto Sans SC"/>
        <family val="2"/>
        <charset val="134"/>
      </rPr>
      <t xml:space="preserve">十字形、每列 </t>
    </r>
    <r>
      <rPr>
        <sz val="11"/>
        <color theme="1"/>
        <rFont val="Calibri"/>
        <family val="2"/>
        <charset val="1"/>
      </rPr>
      <t xml:space="preserve">8 </t>
    </r>
    <r>
      <rPr>
        <sz val="11"/>
        <color theme="1"/>
        <rFont val="Noto Sans SC"/>
        <family val="2"/>
        <charset val="134"/>
      </rPr>
      <t xml:space="preserve">停、每列 </t>
    </r>
    <r>
      <rPr>
        <sz val="11"/>
        <color theme="1"/>
        <rFont val="Calibri"/>
        <family val="2"/>
        <charset val="1"/>
      </rPr>
      <t xml:space="preserve">1 </t>
    </r>
    <r>
      <rPr>
        <sz val="11"/>
        <color theme="1"/>
        <rFont val="Noto Sans SC"/>
        <family val="2"/>
        <charset val="134"/>
      </rPr>
      <t xml:space="preserve">个 </t>
    </r>
    <r>
      <rPr>
        <sz val="11"/>
        <color theme="1"/>
        <rFont val="Calibri"/>
        <family val="2"/>
        <charset val="1"/>
      </rPr>
      <t xml:space="preserve">Scatter</t>
    </r>
    <r>
      <rPr>
        <sz val="11"/>
        <color theme="1"/>
        <rFont val="Noto Sans SC"/>
        <family val="2"/>
        <charset val="134"/>
      </rPr>
      <t xml:space="preserve">）：列</t>
    </r>
    <r>
      <rPr>
        <sz val="11"/>
        <color theme="1"/>
        <rFont val="Calibri"/>
        <family val="2"/>
        <charset val="1"/>
      </rPr>
      <t xml:space="preserve">1/</t>
    </r>
    <r>
      <rPr>
        <sz val="11"/>
        <color theme="1"/>
        <rFont val="Noto Sans SC"/>
        <family val="2"/>
        <charset val="134"/>
      </rPr>
      <t xml:space="preserve">列</t>
    </r>
    <r>
      <rPr>
        <sz val="11"/>
        <color theme="1"/>
        <rFont val="Calibri"/>
        <family val="2"/>
        <charset val="1"/>
      </rPr>
      <t xml:space="preserve">3 </t>
    </r>
    <r>
      <rPr>
        <sz val="11"/>
        <color theme="1"/>
        <rFont val="Noto Sans SC"/>
        <family val="2"/>
        <charset val="134"/>
      </rPr>
      <t xml:space="preserve">事件数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1</t>
    </r>
    <r>
      <rPr>
        <sz val="11"/>
        <color theme="1"/>
        <rFont val="Noto Sans SC"/>
        <family val="2"/>
        <charset val="134"/>
      </rPr>
      <t xml:space="preserve">，列</t>
    </r>
    <r>
      <rPr>
        <sz val="11"/>
        <color theme="1"/>
        <rFont val="Calibri"/>
        <family val="2"/>
        <charset val="1"/>
      </rPr>
      <t xml:space="preserve">2 </t>
    </r>
    <r>
      <rPr>
        <sz val="11"/>
        <color theme="1"/>
        <rFont val="Noto Sans SC"/>
        <family val="2"/>
        <charset val="134"/>
      </rPr>
      <t xml:space="preserve">事件数 </t>
    </r>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</si>
  <si>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本例：</t>
    </r>
    <r>
      <rPr>
        <sz val="11"/>
        <color theme="1"/>
        <rFont val="Calibri"/>
        <family val="2"/>
        <charset val="1"/>
      </rPr>
      <t xml:space="preserve">J/Q/K </t>
    </r>
    <r>
      <rPr>
        <sz val="11"/>
        <color theme="1"/>
        <rFont val="Noto Sans SC"/>
        <family val="2"/>
        <charset val="134"/>
      </rPr>
      <t xml:space="preserve">每列各 </t>
    </r>
    <r>
      <rPr>
        <sz val="11"/>
        <color theme="1"/>
        <rFont val="Calibri"/>
        <family val="2"/>
        <charset val="1"/>
      </rPr>
      <t xml:space="preserve">2 </t>
    </r>
    <r>
      <rPr>
        <sz val="11"/>
        <color theme="1"/>
        <rFont val="Noto Sans SC"/>
        <family val="2"/>
        <charset val="134"/>
      </rPr>
      <t xml:space="preserve">个 ＋ </t>
    </r>
    <r>
      <rPr>
        <sz val="11"/>
        <color theme="1"/>
        <rFont val="Calibri"/>
        <family val="2"/>
        <charset val="1"/>
      </rPr>
      <t xml:space="preserve">1 </t>
    </r>
    <r>
      <rPr>
        <sz val="11"/>
        <color theme="1"/>
        <rFont val="Noto Sans SC"/>
        <family val="2"/>
        <charset val="134"/>
      </rPr>
      <t xml:space="preserve">个百搭 → 事件数 </t>
    </r>
    <r>
      <rPr>
        <sz val="11"/>
        <color theme="1"/>
        <rFont val="Calibri"/>
        <family val="2"/>
        <charset val="1"/>
      </rPr>
      <t xml:space="preserve">3</t>
    </r>
    <r>
      <rPr>
        <sz val="11"/>
        <color theme="1"/>
        <rFont val="Noto Sans SC"/>
        <family val="2"/>
        <charset val="134"/>
      </rPr>
      <t xml:space="preserve">；总事件数 </t>
    </r>
    <r>
      <rPr>
        <sz val="11"/>
        <color theme="1"/>
        <rFont val="Calibri"/>
        <family val="2"/>
        <charset val="1"/>
      </rPr>
      <t xml:space="preserve">8³</t>
    </r>
    <r>
      <rPr>
        <sz val="11"/>
        <color theme="1"/>
        <rFont val="Noto Sans SC"/>
        <family val="2"/>
        <charset val="134"/>
      </rPr>
      <t xml:space="preserve">＝</t>
    </r>
    <r>
      <rPr>
        <sz val="11"/>
        <color theme="1"/>
        <rFont val="Calibri"/>
        <family val="2"/>
        <charset val="1"/>
      </rPr>
      <t xml:space="preserve">512</t>
    </r>
    <r>
      <rPr>
        <sz val="11"/>
        <color theme="1"/>
        <rFont val="Noto Sans SC"/>
        <family val="2"/>
        <charset val="134"/>
      </rPr>
      <t xml:space="preserve">；</t>
    </r>
  </si>
  <si>
    <r>
      <rPr>
        <sz val="11"/>
        <color theme="1"/>
        <rFont val="Calibri"/>
        <family val="2"/>
        <charset val="1"/>
      </rPr>
      <t xml:space="preserve">  {J,J,J} 27/512</t>
    </r>
    <r>
      <rPr>
        <sz val="11"/>
        <color theme="1"/>
        <rFont val="Noto Sans SC"/>
        <family val="2"/>
        <charset val="134"/>
      </rPr>
      <t xml:space="preserve">＝</t>
    </r>
    <r>
      <rPr>
        <sz val="11"/>
        <color theme="1"/>
        <rFont val="Calibri"/>
        <family val="2"/>
        <charset val="1"/>
      </rPr>
      <t xml:space="preserve">5.27% </t>
    </r>
    <r>
      <rPr>
        <sz val="11"/>
        <color theme="1"/>
        <rFont val="Noto Sans SC"/>
        <family val="2"/>
        <charset val="134"/>
      </rPr>
      <t xml:space="preserve">赔付 </t>
    </r>
    <r>
      <rPr>
        <sz val="11"/>
        <color theme="1"/>
        <rFont val="Calibri"/>
        <family val="2"/>
        <charset val="1"/>
      </rPr>
      <t xml:space="preserve">2 → 0.1055</t>
    </r>
    <r>
      <rPr>
        <sz val="11"/>
        <color theme="1"/>
        <rFont val="Noto Sans SC"/>
        <family val="2"/>
        <charset val="134"/>
      </rPr>
      <t xml:space="preserve">；</t>
    </r>
    <r>
      <rPr>
        <sz val="11"/>
        <color theme="1"/>
        <rFont val="Calibri"/>
        <family val="2"/>
        <charset val="1"/>
      </rPr>
      <t xml:space="preserve">{Q,Q,Q} </t>
    </r>
    <r>
      <rPr>
        <sz val="11"/>
        <color theme="1"/>
        <rFont val="Noto Sans SC"/>
        <family val="2"/>
        <charset val="134"/>
      </rPr>
      <t xml:space="preserve">赔付 </t>
    </r>
    <r>
      <rPr>
        <sz val="11"/>
        <color theme="1"/>
        <rFont val="Calibri"/>
        <family val="2"/>
        <charset val="1"/>
      </rPr>
      <t xml:space="preserve">5 → 0.2637</t>
    </r>
    <r>
      <rPr>
        <sz val="11"/>
        <color theme="1"/>
        <rFont val="Noto Sans SC"/>
        <family val="2"/>
        <charset val="134"/>
      </rPr>
      <t xml:space="preserve">；</t>
    </r>
    <r>
      <rPr>
        <sz val="11"/>
        <color theme="1"/>
        <rFont val="Calibri"/>
        <family val="2"/>
        <charset val="1"/>
      </rPr>
      <t xml:space="preserve">{K,K,K} </t>
    </r>
    <r>
      <rPr>
        <sz val="11"/>
        <color theme="1"/>
        <rFont val="Noto Sans SC"/>
        <family val="2"/>
        <charset val="134"/>
      </rPr>
      <t xml:space="preserve">赔付 </t>
    </r>
    <r>
      <rPr>
        <sz val="11"/>
        <color theme="1"/>
        <rFont val="Calibri"/>
        <family val="2"/>
        <charset val="1"/>
      </rPr>
      <t xml:space="preserve">10 → 0.5273</t>
    </r>
    <r>
      <rPr>
        <sz val="11"/>
        <color theme="1"/>
        <rFont val="Noto Sans SC"/>
        <family val="2"/>
        <charset val="134"/>
      </rPr>
      <t xml:space="preserve">；</t>
    </r>
  </si>
  <si>
    <r>
      <rPr>
        <sz val="11"/>
        <color theme="1"/>
        <rFont val="Noto Sans SC"/>
        <family val="2"/>
        <charset val="134"/>
      </rPr>
      <t xml:space="preserve">  标准图标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0.8965</t>
    </r>
    <r>
      <rPr>
        <sz val="11"/>
        <color theme="1"/>
        <rFont val="Noto Sans SC"/>
        <family val="2"/>
        <charset val="134"/>
      </rPr>
      <t xml:space="preserve">；</t>
    </r>
    <r>
      <rPr>
        <sz val="11"/>
        <color theme="1"/>
        <rFont val="Calibri"/>
        <family val="2"/>
        <charset val="1"/>
      </rPr>
      <t xml:space="preserve">Scatter {S,S,S} </t>
    </r>
    <r>
      <rPr>
        <sz val="11"/>
        <color theme="1"/>
        <rFont val="Noto Sans SC"/>
        <family val="2"/>
        <charset val="134"/>
      </rPr>
      <t xml:space="preserve">＝ </t>
    </r>
    <r>
      <rPr>
        <sz val="11"/>
        <color theme="1"/>
        <rFont val="Calibri"/>
        <family val="2"/>
        <charset val="1"/>
      </rPr>
      <t xml:space="preserve">3/512 </t>
    </r>
    <r>
      <rPr>
        <sz val="11"/>
        <color theme="1"/>
        <rFont val="Noto Sans SC"/>
        <family val="2"/>
        <charset val="134"/>
      </rPr>
      <t xml:space="preserve">＝ </t>
    </r>
    <r>
      <rPr>
        <sz val="11"/>
        <color theme="1"/>
        <rFont val="Calibri"/>
        <family val="2"/>
        <charset val="1"/>
      </rPr>
      <t xml:space="preserve">0.5859%</t>
    </r>
    <r>
      <rPr>
        <sz val="11"/>
        <color theme="1"/>
        <rFont val="Noto Sans SC"/>
        <family val="2"/>
        <charset val="134"/>
      </rPr>
      <t xml:space="preserve">，触发时给 </t>
    </r>
    <r>
      <rPr>
        <sz val="11"/>
        <color theme="1"/>
        <rFont val="Calibri"/>
        <family val="2"/>
        <charset val="1"/>
      </rPr>
      <t xml:space="preserve">10 </t>
    </r>
    <r>
      <rPr>
        <sz val="11"/>
        <color theme="1"/>
        <rFont val="Noto Sans SC"/>
        <family val="2"/>
        <charset val="134"/>
      </rPr>
      <t xml:space="preserve">次免费摇 → 期望 </t>
    </r>
    <r>
      <rPr>
        <sz val="11"/>
        <color theme="1"/>
        <rFont val="Calibri"/>
        <family val="2"/>
        <charset val="1"/>
      </rPr>
      <t xml:space="preserve">0.0586 </t>
    </r>
    <r>
      <rPr>
        <sz val="11"/>
        <color theme="1"/>
        <rFont val="Noto Sans SC"/>
        <family val="2"/>
        <charset val="134"/>
      </rPr>
      <t xml:space="preserve">次。</t>
    </r>
  </si>
  <si>
    <r>
      <rPr>
        <sz val="11"/>
        <color theme="1"/>
        <rFont val="Calibri"/>
        <family val="2"/>
        <charset val="1"/>
      </rPr>
      <t xml:space="preserve">· </t>
    </r>
    <r>
      <rPr>
        <sz val="11"/>
        <color theme="1"/>
        <rFont val="Noto Sans SC"/>
        <family val="2"/>
        <charset val="134"/>
      </rPr>
      <t xml:space="preserve">免费摇里 </t>
    </r>
    <r>
      <rPr>
        <sz val="11"/>
        <color theme="1"/>
        <rFont val="Calibri"/>
        <family val="2"/>
        <charset val="1"/>
      </rPr>
      <t xml:space="preserve">Scatter </t>
    </r>
    <r>
      <rPr>
        <sz val="11"/>
        <color theme="1"/>
        <rFont val="Noto Sans SC"/>
        <family val="2"/>
        <charset val="134"/>
      </rPr>
      <t xml:space="preserve">可再触发（每次 </t>
    </r>
    <r>
      <rPr>
        <sz val="11"/>
        <color theme="1"/>
        <rFont val="Calibri"/>
        <family val="2"/>
        <charset val="1"/>
      </rPr>
      <t xml:space="preserve">5 </t>
    </r>
    <r>
      <rPr>
        <sz val="11"/>
        <color theme="1"/>
        <rFont val="Noto Sans SC"/>
        <family val="2"/>
        <charset val="134"/>
      </rPr>
      <t xml:space="preserve">次），无穷级数求和后综合免费摇期望次数 </t>
    </r>
    <r>
      <rPr>
        <sz val="11"/>
        <color theme="1"/>
        <rFont val="Calibri"/>
        <family val="2"/>
        <charset val="1"/>
      </rPr>
      <t xml:space="preserve">0.0604</t>
    </r>
    <r>
      <rPr>
        <sz val="11"/>
        <color theme="1"/>
        <rFont val="Noto Sans SC"/>
        <family val="2"/>
        <charset val="134"/>
      </rPr>
      <t xml:space="preserve">，</t>
    </r>
  </si>
  <si>
    <r>
      <rPr>
        <sz val="11"/>
        <color theme="1"/>
        <rFont val="Noto Sans SC"/>
        <family val="2"/>
        <charset val="134"/>
      </rPr>
      <t xml:space="preserve">  免费摇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0.0604 × 0.8965 </t>
    </r>
    <r>
      <rPr>
        <sz val="11"/>
        <color theme="1"/>
        <rFont val="Noto Sans SC"/>
        <family val="2"/>
        <charset val="134"/>
      </rPr>
      <t xml:space="preserve">＝ </t>
    </r>
    <r>
      <rPr>
        <sz val="11"/>
        <color theme="1"/>
        <rFont val="Calibri"/>
        <family val="2"/>
        <charset val="1"/>
      </rPr>
      <t xml:space="preserve">0.0541</t>
    </r>
    <r>
      <rPr>
        <sz val="11"/>
        <color theme="1"/>
        <rFont val="Noto Sans SC"/>
        <family val="2"/>
        <charset val="134"/>
      </rPr>
      <t xml:space="preserve">，综合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0.8965 </t>
    </r>
    <r>
      <rPr>
        <sz val="11"/>
        <color theme="1"/>
        <rFont val="Noto Sans SC"/>
        <family val="2"/>
        <charset val="134"/>
      </rPr>
      <t xml:space="preserve">＋ </t>
    </r>
    <r>
      <rPr>
        <sz val="11"/>
        <color theme="1"/>
        <rFont val="Calibri"/>
        <family val="2"/>
        <charset val="1"/>
      </rPr>
      <t xml:space="preserve">0.0541 </t>
    </r>
    <r>
      <rPr>
        <sz val="11"/>
        <color theme="1"/>
        <rFont val="Noto Sans SC"/>
        <family val="2"/>
        <charset val="134"/>
      </rPr>
      <t xml:space="preserve">＝ </t>
    </r>
    <r>
      <rPr>
        <sz val="11"/>
        <color theme="1"/>
        <rFont val="Calibri"/>
        <family val="2"/>
        <charset val="1"/>
      </rPr>
      <t xml:space="preserve">0.9506</t>
    </r>
    <r>
      <rPr>
        <sz val="11"/>
        <color theme="1"/>
        <rFont val="Noto Sans SC"/>
        <family val="2"/>
        <charset val="134"/>
      </rPr>
      <t xml:space="preserve">（原文 </t>
    </r>
    <r>
      <rPr>
        <sz val="11"/>
        <color theme="1"/>
        <rFont val="Calibri"/>
        <family val="2"/>
        <charset val="1"/>
      </rPr>
      <t xml:space="preserve">95.06%</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</si>
  <si>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结论：调整卷轴尺寸时，务必检查 </t>
    </r>
    <r>
      <rPr>
        <sz val="11"/>
        <color theme="1"/>
        <rFont val="Calibri"/>
        <family val="2"/>
        <charset val="1"/>
      </rPr>
      <t xml:space="preserve">Scatter </t>
    </r>
    <r>
      <rPr>
        <sz val="11"/>
        <color theme="1"/>
        <rFont val="Noto Sans SC"/>
        <family val="2"/>
        <charset val="134"/>
      </rPr>
      <t xml:space="preserve">等 </t>
    </r>
    <r>
      <rPr>
        <sz val="11"/>
        <color theme="1"/>
        <rFont val="Calibri"/>
        <family val="2"/>
        <charset val="1"/>
      </rPr>
      <t xml:space="preserve">Feature </t>
    </r>
    <r>
      <rPr>
        <sz val="11"/>
        <color theme="1"/>
        <rFont val="Noto Sans SC"/>
        <family val="2"/>
        <charset val="134"/>
      </rPr>
      <t xml:space="preserve">的数值有没有跟着卷轴形状一起改。</t>
    </r>
  </si>
  <si>
    <t xml:space="preserve">原文整理（全文，按原文小标题分段）</t>
  </si>
  <si>
    <r>
      <rPr>
        <sz val="11"/>
        <color theme="1"/>
        <rFont val="Noto Sans SC"/>
        <family val="2"/>
        <charset val="134"/>
      </rPr>
      <t xml:space="preserve">在体验</t>
    </r>
    <r>
      <rPr>
        <sz val="11"/>
        <color theme="1"/>
        <rFont val="Calibri"/>
        <family val="2"/>
        <charset val="1"/>
      </rPr>
      <t xml:space="preserve">Slots</t>
    </r>
    <r>
      <rPr>
        <sz val="11"/>
        <color theme="1"/>
        <rFont val="Noto Sans SC"/>
        <family val="2"/>
        <charset val="134"/>
      </rPr>
      <t xml:space="preserve">游戏时，不难发现并不是所有的</t>
    </r>
    <r>
      <rPr>
        <sz val="11"/>
        <color theme="1"/>
        <rFont val="Calibri"/>
        <family val="2"/>
        <charset val="1"/>
      </rPr>
      <t xml:space="preserve">Slots</t>
    </r>
    <r>
      <rPr>
        <sz val="11"/>
        <color theme="1"/>
        <rFont val="Noto Sans SC"/>
        <family val="2"/>
        <charset val="134"/>
      </rPr>
      <t xml:space="preserve">都使用方正、规则的游戏区域</t>
    </r>
  </si>
  <si>
    <r>
      <rPr>
        <sz val="11"/>
        <color theme="1"/>
        <rFont val="Noto Sans SC"/>
        <family val="2"/>
        <charset val="134"/>
      </rPr>
      <t xml:space="preserve">部分</t>
    </r>
    <r>
      <rPr>
        <sz val="11"/>
        <color theme="1"/>
        <rFont val="Calibri"/>
        <family val="2"/>
        <charset val="1"/>
      </rPr>
      <t xml:space="preserve">Slots</t>
    </r>
    <r>
      <rPr>
        <sz val="11"/>
        <color theme="1"/>
        <rFont val="Noto Sans SC"/>
        <family val="2"/>
        <charset val="134"/>
      </rPr>
      <t xml:space="preserve">产品的卷轴和图标设计在列与列之间会存在一定的差异</t>
    </r>
  </si>
  <si>
    <r>
      <rPr>
        <sz val="11"/>
        <color theme="1"/>
        <rFont val="Noto Sans SC"/>
        <family val="2"/>
        <charset val="134"/>
      </rPr>
      <t xml:space="preserve">例如之前讲到的</t>
    </r>
    <r>
      <rPr>
        <sz val="11"/>
        <color theme="1"/>
        <rFont val="Calibri"/>
        <family val="2"/>
        <charset val="1"/>
      </rPr>
      <t xml:space="preserve">Megaways</t>
    </r>
    <r>
      <rPr>
        <sz val="11"/>
        <color theme="1"/>
        <rFont val="Noto Sans SC"/>
        <family val="2"/>
        <charset val="134"/>
      </rPr>
      <t xml:space="preserve">等特殊类型的</t>
    </r>
    <r>
      <rPr>
        <sz val="11"/>
        <color theme="1"/>
        <rFont val="Calibri"/>
        <family val="2"/>
        <charset val="1"/>
      </rPr>
      <t xml:space="preserve">Slots</t>
    </r>
    <r>
      <rPr>
        <sz val="11"/>
        <color theme="1"/>
        <rFont val="Noto Sans SC"/>
        <family val="2"/>
        <charset val="134"/>
      </rPr>
      <t xml:space="preserve">，每列出现的图标个数会在一定区间内变动，可以视为每次摇奖时，每列的行数都不一定且列与列之间行数并不一定相当</t>
    </r>
  </si>
  <si>
    <r>
      <rPr>
        <sz val="11"/>
        <color theme="1"/>
        <rFont val="Noto Sans SC"/>
        <family val="2"/>
        <charset val="134"/>
      </rPr>
      <t xml:space="preserve">对于类似这种的</t>
    </r>
    <r>
      <rPr>
        <sz val="11"/>
        <color theme="1"/>
        <rFont val="Calibri"/>
        <family val="2"/>
        <charset val="1"/>
      </rPr>
      <t xml:space="preserve">Slots</t>
    </r>
    <r>
      <rPr>
        <sz val="11"/>
        <color theme="1"/>
        <rFont val="Noto Sans SC"/>
        <family val="2"/>
        <charset val="134"/>
      </rPr>
      <t xml:space="preserve">产品，我们一般管其叫做</t>
    </r>
    <r>
      <rPr>
        <sz val="11"/>
        <color theme="1"/>
        <rFont val="Calibri"/>
        <family val="2"/>
        <charset val="1"/>
      </rPr>
      <t xml:space="preserve">Irregular Grid</t>
    </r>
    <r>
      <rPr>
        <sz val="11"/>
        <color theme="1"/>
        <rFont val="Noto Sans SC"/>
        <family val="2"/>
        <charset val="134"/>
      </rPr>
      <t xml:space="preserve">或者</t>
    </r>
    <r>
      <rPr>
        <sz val="11"/>
        <color theme="1"/>
        <rFont val="Calibri"/>
        <family val="2"/>
        <charset val="1"/>
      </rPr>
      <t xml:space="preserve">Irregular Windows</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</si>
  <si>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627152219-01.jpg</t>
    </r>
  </si>
  <si>
    <r>
      <rPr>
        <sz val="11"/>
        <color theme="1"/>
        <rFont val="Noto Sans SC"/>
        <family val="2"/>
        <charset val="134"/>
      </rPr>
      <t xml:space="preserve">数值计算——</t>
    </r>
    <r>
      <rPr>
        <sz val="11"/>
        <color theme="1"/>
        <rFont val="Calibri"/>
        <family val="2"/>
        <charset val="1"/>
      </rPr>
      <t xml:space="preserve">Line Slots</t>
    </r>
  </si>
  <si>
    <r>
      <rPr>
        <sz val="11"/>
        <color theme="1"/>
        <rFont val="Noto Sans SC"/>
        <family val="2"/>
        <charset val="134"/>
      </rPr>
      <t xml:space="preserve">当不规则</t>
    </r>
    <r>
      <rPr>
        <sz val="11"/>
        <color theme="1"/>
        <rFont val="Calibri"/>
        <family val="2"/>
        <charset val="1"/>
      </rPr>
      <t xml:space="preserve">Slots</t>
    </r>
    <r>
      <rPr>
        <sz val="11"/>
        <color theme="1"/>
        <rFont val="Noto Sans SC"/>
        <family val="2"/>
        <charset val="134"/>
      </rPr>
      <t xml:space="preserve">属于</t>
    </r>
    <r>
      <rPr>
        <sz val="11"/>
        <color theme="1"/>
        <rFont val="Calibri"/>
        <family val="2"/>
        <charset val="1"/>
      </rPr>
      <t xml:space="preserve">Line Slots</t>
    </r>
    <r>
      <rPr>
        <sz val="11"/>
        <color theme="1"/>
        <rFont val="Noto Sans SC"/>
        <family val="2"/>
        <charset val="134"/>
      </rPr>
      <t xml:space="preserve">的类型时，其标准图标</t>
    </r>
    <r>
      <rPr>
        <sz val="11"/>
        <color theme="1"/>
        <rFont val="Calibri"/>
        <family val="2"/>
        <charset val="1"/>
      </rPr>
      <t xml:space="preserve">RTP</t>
    </r>
    <r>
      <rPr>
        <sz val="11"/>
        <color theme="1"/>
        <rFont val="Noto Sans SC"/>
        <family val="2"/>
        <charset val="134"/>
      </rPr>
      <t xml:space="preserve">的计算方法和规则窗口</t>
    </r>
    <r>
      <rPr>
        <sz val="11"/>
        <color theme="1"/>
        <rFont val="Calibri"/>
        <family val="2"/>
        <charset val="1"/>
      </rPr>
      <t xml:space="preserve">Slots</t>
    </r>
    <r>
      <rPr>
        <sz val="11"/>
        <color theme="1"/>
        <rFont val="Noto Sans SC"/>
        <family val="2"/>
        <charset val="134"/>
      </rPr>
      <t xml:space="preserve">并无差别</t>
    </r>
  </si>
  <si>
    <r>
      <rPr>
        <sz val="11"/>
        <color theme="1"/>
        <rFont val="Noto Sans SC"/>
        <family val="2"/>
        <charset val="134"/>
      </rPr>
      <t xml:space="preserve">因为</t>
    </r>
    <r>
      <rPr>
        <sz val="11"/>
        <color theme="1"/>
        <rFont val="Calibri"/>
        <family val="2"/>
        <charset val="1"/>
      </rPr>
      <t xml:space="preserve">Line Slots</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计算是聚焦于一条</t>
    </r>
    <r>
      <rPr>
        <sz val="11"/>
        <color theme="1"/>
        <rFont val="Calibri"/>
        <family val="2"/>
        <charset val="1"/>
      </rPr>
      <t xml:space="preserve">Pay Line</t>
    </r>
  </si>
  <si>
    <r>
      <rPr>
        <sz val="11"/>
        <color theme="1"/>
        <rFont val="Noto Sans SC"/>
        <family val="2"/>
        <charset val="134"/>
      </rPr>
      <t xml:space="preserve">因此只要这条</t>
    </r>
    <r>
      <rPr>
        <sz val="11"/>
        <color theme="1"/>
        <rFont val="Calibri"/>
        <family val="2"/>
        <charset val="1"/>
      </rPr>
      <t xml:space="preserve">Pay Line</t>
    </r>
    <r>
      <rPr>
        <sz val="11"/>
        <color theme="1"/>
        <rFont val="Noto Sans SC"/>
        <family val="2"/>
        <charset val="134"/>
      </rPr>
      <t xml:space="preserve">上得图标不会受到其他因素干扰，例如</t>
    </r>
    <r>
      <rPr>
        <sz val="11"/>
        <color theme="1"/>
        <rFont val="Calibri"/>
        <family val="2"/>
        <charset val="1"/>
      </rPr>
      <t xml:space="preserve">Expanding Wild</t>
    </r>
    <r>
      <rPr>
        <sz val="11"/>
        <color theme="1"/>
        <rFont val="Noto Sans SC"/>
        <family val="2"/>
        <charset val="134"/>
      </rPr>
      <t xml:space="preserve">，其计算逻辑并不会发生变化</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</si>
  <si>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627152219-02.jpg</t>
    </r>
  </si>
  <si>
    <t xml:space="preserve">不规则窗口产品的中奖线设置示例</t>
  </si>
  <si>
    <r>
      <rPr>
        <sz val="11"/>
        <color theme="1"/>
        <rFont val="Noto Sans SC"/>
        <family val="2"/>
        <charset val="134"/>
      </rPr>
      <t xml:space="preserve">但是，跳脱出</t>
    </r>
    <r>
      <rPr>
        <sz val="11"/>
        <color theme="1"/>
        <rFont val="Calibri"/>
        <family val="2"/>
        <charset val="1"/>
      </rPr>
      <t xml:space="preserve">Pay Lines</t>
    </r>
    <r>
      <rPr>
        <sz val="11"/>
        <color theme="1"/>
        <rFont val="Noto Sans SC"/>
        <family val="2"/>
        <charset val="134"/>
      </rPr>
      <t xml:space="preserve">的</t>
    </r>
    <r>
      <rPr>
        <sz val="11"/>
        <color theme="1"/>
        <rFont val="Calibri"/>
        <family val="2"/>
        <charset val="1"/>
      </rPr>
      <t xml:space="preserve">Scatter</t>
    </r>
    <r>
      <rPr>
        <sz val="11"/>
        <color theme="1"/>
        <rFont val="Noto Sans SC"/>
        <family val="2"/>
        <charset val="134"/>
      </rPr>
      <t xml:space="preserve">等</t>
    </r>
    <r>
      <rPr>
        <sz val="11"/>
        <color theme="1"/>
        <rFont val="Calibri"/>
        <family val="2"/>
        <charset val="1"/>
      </rPr>
      <t xml:space="preserve">Feature</t>
    </r>
    <r>
      <rPr>
        <sz val="11"/>
        <color theme="1"/>
        <rFont val="Noto Sans SC"/>
        <family val="2"/>
        <charset val="134"/>
      </rPr>
      <t xml:space="preserve">，则需要考虑到各列出现图标个数上限不同的影响</t>
    </r>
  </si>
  <si>
    <r>
      <rPr>
        <sz val="11"/>
        <color theme="1"/>
        <rFont val="Noto Sans SC"/>
        <family val="2"/>
        <charset val="134"/>
      </rPr>
      <t xml:space="preserve">假设当前存在一个</t>
    </r>
    <r>
      <rPr>
        <sz val="11"/>
        <color theme="1"/>
        <rFont val="Calibri"/>
        <family val="2"/>
        <charset val="1"/>
      </rPr>
      <t xml:space="preserve">Line Slots</t>
    </r>
    <r>
      <rPr>
        <sz val="11"/>
        <color theme="1"/>
        <rFont val="Noto Sans SC"/>
        <family val="2"/>
        <charset val="134"/>
      </rPr>
      <t xml:space="preserve">，其行列排布结构为</t>
    </r>
    <r>
      <rPr>
        <sz val="11"/>
        <color theme="1"/>
        <rFont val="Calibri"/>
        <family val="2"/>
        <charset val="1"/>
      </rPr>
      <t xml:space="preserve">1-3-1</t>
    </r>
    <r>
      <rPr>
        <sz val="11"/>
        <color theme="1"/>
        <rFont val="Noto Sans SC"/>
        <family val="2"/>
        <charset val="134"/>
      </rPr>
      <t xml:space="preserve">的十字形不规则窗口</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</si>
  <si>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627152219-03.png</t>
    </r>
  </si>
  <si>
    <r>
      <rPr>
        <sz val="11"/>
        <color theme="1"/>
        <rFont val="Noto Sans SC"/>
        <family val="2"/>
        <charset val="134"/>
      </rPr>
      <t xml:space="preserve">其存在百搭图标和免费摇两种</t>
    </r>
    <r>
      <rPr>
        <sz val="11"/>
        <color theme="1"/>
        <rFont val="Calibri"/>
        <family val="2"/>
        <charset val="1"/>
      </rPr>
      <t xml:space="preserve">Feature</t>
    </r>
  </si>
  <si>
    <r>
      <rPr>
        <sz val="11"/>
        <color theme="1"/>
        <rFont val="Noto Sans SC"/>
        <family val="2"/>
        <charset val="134"/>
      </rPr>
      <t xml:space="preserve">百搭图标可以替代除</t>
    </r>
    <r>
      <rPr>
        <sz val="11"/>
        <color theme="1"/>
        <rFont val="Calibri"/>
        <family val="2"/>
        <charset val="1"/>
      </rPr>
      <t xml:space="preserve">Scatter</t>
    </r>
    <r>
      <rPr>
        <sz val="11"/>
        <color theme="1"/>
        <rFont val="Noto Sans SC"/>
        <family val="2"/>
        <charset val="134"/>
      </rPr>
      <t xml:space="preserve">外的所有图标，其本身没有赔付倍数</t>
    </r>
  </si>
  <si>
    <r>
      <rPr>
        <sz val="11"/>
        <color theme="1"/>
        <rFont val="Noto Sans SC"/>
        <family val="2"/>
        <charset val="134"/>
      </rPr>
      <t xml:space="preserve">免费摇由</t>
    </r>
    <r>
      <rPr>
        <sz val="11"/>
        <color theme="1"/>
        <rFont val="Calibri"/>
        <family val="2"/>
        <charset val="1"/>
      </rPr>
      <t xml:space="preserve">Scatter</t>
    </r>
    <r>
      <rPr>
        <sz val="11"/>
        <color theme="1"/>
        <rFont val="Noto Sans SC"/>
        <family val="2"/>
        <charset val="134"/>
      </rPr>
      <t xml:space="preserve">触发，当场上的</t>
    </r>
    <r>
      <rPr>
        <sz val="11"/>
        <color theme="1"/>
        <rFont val="Calibri"/>
        <family val="2"/>
        <charset val="1"/>
      </rPr>
      <t xml:space="preserve">Scatter</t>
    </r>
    <r>
      <rPr>
        <sz val="11"/>
        <color theme="1"/>
        <rFont val="Noto Sans SC"/>
        <family val="2"/>
        <charset val="134"/>
      </rPr>
      <t xml:space="preserve">个数大于等于</t>
    </r>
    <r>
      <rPr>
        <sz val="11"/>
        <color theme="1"/>
        <rFont val="Calibri"/>
        <family val="2"/>
        <charset val="1"/>
      </rPr>
      <t xml:space="preserve">3</t>
    </r>
    <r>
      <rPr>
        <sz val="11"/>
        <color theme="1"/>
        <rFont val="Noto Sans SC"/>
        <family val="2"/>
        <charset val="134"/>
      </rPr>
      <t xml:space="preserve">个时即可进入免费摇</t>
    </r>
  </si>
  <si>
    <r>
      <rPr>
        <sz val="11"/>
        <color theme="1"/>
        <rFont val="Noto Sans SC"/>
        <family val="2"/>
        <charset val="134"/>
      </rPr>
      <t xml:space="preserve">并且在免费摇中可以通过</t>
    </r>
    <r>
      <rPr>
        <sz val="11"/>
        <color theme="1"/>
        <rFont val="Calibri"/>
        <family val="2"/>
        <charset val="1"/>
      </rPr>
      <t xml:space="preserve">Scatter</t>
    </r>
    <r>
      <rPr>
        <sz val="11"/>
        <color theme="1"/>
        <rFont val="Noto Sans SC"/>
        <family val="2"/>
        <charset val="134"/>
      </rPr>
      <t xml:space="preserve">获得额外免费摇次数</t>
    </r>
  </si>
  <si>
    <r>
      <rPr>
        <sz val="11"/>
        <color theme="1"/>
        <rFont val="Noto Sans SC"/>
        <family val="2"/>
        <charset val="134"/>
      </rPr>
      <t xml:space="preserve">则其</t>
    </r>
    <r>
      <rPr>
        <sz val="11"/>
        <color theme="1"/>
        <rFont val="Calibri"/>
        <family val="2"/>
        <charset val="1"/>
      </rPr>
      <t xml:space="preserve">RTP</t>
    </r>
    <r>
      <rPr>
        <sz val="11"/>
        <color theme="1"/>
        <rFont val="Noto Sans SC"/>
        <family val="2"/>
        <charset val="134"/>
      </rPr>
      <t xml:space="preserve">计算步骤如下：</t>
    </r>
  </si>
  <si>
    <t xml:space="preserve">第一步：设置普通摇固定卷轴</t>
  </si>
  <si>
    <t xml:space="preserve">这个例子的普通摇和免费摇使用同一套卷轴</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</si>
  <si>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627152219-04.png</t>
    </r>
  </si>
  <si>
    <t xml:space="preserve">第二步：计算图标出现个数</t>
  </si>
  <si>
    <r>
      <rPr>
        <sz val="11"/>
        <color theme="1"/>
        <rFont val="Noto Sans SC"/>
        <family val="2"/>
        <charset val="134"/>
      </rPr>
      <t xml:space="preserve">使用</t>
    </r>
    <r>
      <rPr>
        <sz val="11"/>
        <color theme="1"/>
        <rFont val="Calibri"/>
        <family val="2"/>
        <charset val="1"/>
      </rPr>
      <t xml:space="preserve">Countif</t>
    </r>
    <r>
      <rPr>
        <sz val="11"/>
        <color theme="1"/>
        <rFont val="Noto Sans SC"/>
        <family val="2"/>
        <charset val="134"/>
      </rPr>
      <t xml:space="preserve">函数读取卷轴区域上各图标的出现个数</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</si>
  <si>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627152219-05.png</t>
    </r>
  </si>
  <si>
    <t xml:space="preserve">第三步：考虑百搭图标和窗口尺寸的影响</t>
  </si>
  <si>
    <r>
      <rPr>
        <sz val="11"/>
        <color theme="1"/>
        <rFont val="Noto Sans SC"/>
        <family val="2"/>
        <charset val="134"/>
      </rPr>
      <t xml:space="preserve">这里需要注意的是标准图标和</t>
    </r>
    <r>
      <rPr>
        <sz val="11"/>
        <color theme="1"/>
        <rFont val="Calibri"/>
        <family val="2"/>
        <charset val="1"/>
      </rPr>
      <t xml:space="preserve">Scatter</t>
    </r>
    <r>
      <rPr>
        <sz val="11"/>
        <color theme="1"/>
        <rFont val="Noto Sans SC"/>
        <family val="2"/>
        <charset val="134"/>
      </rPr>
      <t xml:space="preserve">图标的不同处理方式</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</si>
  <si>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627152219-06.png</t>
    </r>
  </si>
  <si>
    <t xml:space="preserve">考虑百搭图标对标准图标出现次数的影响，在数值上表现为标准图标加上百搭图标得到该标准图标的总个数</t>
  </si>
  <si>
    <r>
      <rPr>
        <sz val="11"/>
        <color theme="1"/>
        <rFont val="Noto Sans SC"/>
        <family val="2"/>
        <charset val="134"/>
      </rPr>
      <t xml:space="preserve">因为</t>
    </r>
    <r>
      <rPr>
        <sz val="11"/>
        <color theme="1"/>
        <rFont val="Calibri"/>
        <family val="2"/>
        <charset val="1"/>
      </rPr>
      <t xml:space="preserve">Lines</t>
    </r>
    <r>
      <rPr>
        <sz val="11"/>
        <color theme="1"/>
        <rFont val="Noto Sans SC"/>
        <family val="2"/>
        <charset val="134"/>
      </rPr>
      <t xml:space="preserve">类型的产品数值体系是以一条</t>
    </r>
    <r>
      <rPr>
        <sz val="11"/>
        <color theme="1"/>
        <rFont val="Calibri"/>
        <family val="2"/>
        <charset val="1"/>
      </rPr>
      <t xml:space="preserve">Pay Line</t>
    </r>
    <r>
      <rPr>
        <sz val="11"/>
        <color theme="1"/>
        <rFont val="Noto Sans SC"/>
        <family val="2"/>
        <charset val="134"/>
      </rPr>
      <t xml:space="preserve">作为依据计算的</t>
    </r>
  </si>
  <si>
    <r>
      <rPr>
        <sz val="11"/>
        <color theme="1"/>
        <rFont val="Noto Sans SC"/>
        <family val="2"/>
        <charset val="134"/>
      </rPr>
      <t xml:space="preserve">停留在该</t>
    </r>
    <r>
      <rPr>
        <sz val="11"/>
        <color theme="1"/>
        <rFont val="Calibri"/>
        <family val="2"/>
        <charset val="1"/>
      </rPr>
      <t xml:space="preserve">Pay Line</t>
    </r>
    <r>
      <rPr>
        <sz val="11"/>
        <color theme="1"/>
        <rFont val="Noto Sans SC"/>
        <family val="2"/>
        <charset val="134"/>
      </rPr>
      <t xml:space="preserve">上的无论是百搭图标还是图标本身都能够被视为该图标</t>
    </r>
  </si>
  <si>
    <t xml:space="preserve">另外这里因为百搭图标没有赔付倍数，所以第一列也可以出现百搭图标</t>
  </si>
  <si>
    <t xml:space="preserve">如果百搭图标单独有和中奖组合相关的赔付倍数，就需要单独列出百搭图标的中奖情况</t>
  </si>
  <si>
    <r>
      <rPr>
        <sz val="11"/>
        <color theme="1"/>
        <rFont val="Noto Sans SC"/>
        <family val="2"/>
        <charset val="134"/>
      </rPr>
      <t xml:space="preserve">卷轴尺寸对</t>
    </r>
    <r>
      <rPr>
        <sz val="11"/>
        <color theme="1"/>
        <rFont val="Calibri"/>
        <family val="2"/>
        <charset val="1"/>
      </rPr>
      <t xml:space="preserve">Scatter</t>
    </r>
    <r>
      <rPr>
        <sz val="11"/>
        <color theme="1"/>
        <rFont val="Noto Sans SC"/>
        <family val="2"/>
        <charset val="134"/>
      </rPr>
      <t xml:space="preserve">图标出现事件数的影响则相对不太一样</t>
    </r>
  </si>
  <si>
    <r>
      <rPr>
        <sz val="11"/>
        <color theme="1"/>
        <rFont val="Noto Sans SC"/>
        <family val="2"/>
        <charset val="134"/>
      </rPr>
      <t xml:space="preserve">如上图卷轴设置所示，每列卷轴只有一个</t>
    </r>
    <r>
      <rPr>
        <sz val="11"/>
        <color theme="1"/>
        <rFont val="Calibri"/>
        <family val="2"/>
        <charset val="1"/>
      </rPr>
      <t xml:space="preserve">Scatter</t>
    </r>
    <r>
      <rPr>
        <sz val="11"/>
        <color theme="1"/>
        <rFont val="Noto Sans SC"/>
        <family val="2"/>
        <charset val="134"/>
      </rPr>
      <t xml:space="preserve">图标，因此这里无需考虑单列出现多个</t>
    </r>
    <r>
      <rPr>
        <sz val="11"/>
        <color theme="1"/>
        <rFont val="Calibri"/>
        <family val="2"/>
        <charset val="1"/>
      </rPr>
      <t xml:space="preserve">Scatter</t>
    </r>
    <r>
      <rPr>
        <sz val="11"/>
        <color theme="1"/>
        <rFont val="Noto Sans SC"/>
        <family val="2"/>
        <charset val="134"/>
      </rPr>
      <t xml:space="preserve">的情况</t>
    </r>
  </si>
  <si>
    <r>
      <rPr>
        <sz val="11"/>
        <color theme="1"/>
        <rFont val="Noto Sans SC"/>
        <family val="2"/>
        <charset val="134"/>
      </rPr>
      <t xml:space="preserve">因此考虑卷轴的不规则形状后，得到下方三种</t>
    </r>
    <r>
      <rPr>
        <sz val="11"/>
        <color theme="1"/>
        <rFont val="Calibri"/>
        <family val="2"/>
        <charset val="1"/>
      </rPr>
      <t xml:space="preserve">Scatter</t>
    </r>
    <r>
      <rPr>
        <sz val="11"/>
        <color theme="1"/>
        <rFont val="Noto Sans SC"/>
        <family val="2"/>
        <charset val="134"/>
      </rPr>
      <t xml:space="preserve">在卷轴上的分布情况</t>
    </r>
  </si>
  <si>
    <r>
      <rPr>
        <sz val="11"/>
        <color theme="1"/>
        <rFont val="Noto Sans SC"/>
        <family val="2"/>
        <charset val="134"/>
      </rPr>
      <t xml:space="preserve">转化成数值，就是第二列的</t>
    </r>
    <r>
      <rPr>
        <sz val="11"/>
        <color theme="1"/>
        <rFont val="Calibri"/>
        <family val="2"/>
        <charset val="1"/>
      </rPr>
      <t xml:space="preserve">Scatter</t>
    </r>
    <r>
      <rPr>
        <sz val="11"/>
        <color theme="1"/>
        <rFont val="Noto Sans SC"/>
        <family val="2"/>
        <charset val="134"/>
      </rPr>
      <t xml:space="preserve">共有三种停留在卷轴上的不同事件</t>
    </r>
  </si>
  <si>
    <r>
      <rPr>
        <sz val="11"/>
        <color theme="1"/>
        <rFont val="Noto Sans SC"/>
        <family val="2"/>
        <charset val="134"/>
      </rPr>
      <t xml:space="preserve">第二列</t>
    </r>
    <r>
      <rPr>
        <sz val="11"/>
        <color theme="1"/>
        <rFont val="Calibri"/>
        <family val="2"/>
        <charset val="1"/>
      </rPr>
      <t xml:space="preserve">Scatter</t>
    </r>
    <r>
      <rPr>
        <sz val="11"/>
        <color theme="1"/>
        <rFont val="Noto Sans SC"/>
        <family val="2"/>
        <charset val="134"/>
      </rPr>
      <t xml:space="preserve">图标的事件数需要乘上第二列的行数</t>
    </r>
    <r>
      <rPr>
        <sz val="11"/>
        <color theme="1"/>
        <rFont val="Calibri"/>
        <family val="2"/>
        <charset val="1"/>
      </rPr>
      <t xml:space="preserve">3</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</si>
  <si>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627152219-07.jpg</t>
    </r>
  </si>
  <si>
    <r>
      <rPr>
        <sz val="11"/>
        <color theme="1"/>
        <rFont val="Noto Sans SC"/>
        <family val="2"/>
        <charset val="134"/>
      </rPr>
      <t xml:space="preserve">如果固定卷轴中存在相连或间隔一个图标的</t>
    </r>
    <r>
      <rPr>
        <sz val="11"/>
        <color theme="1"/>
        <rFont val="Calibri"/>
        <family val="2"/>
        <charset val="1"/>
      </rPr>
      <t xml:space="preserve">Scatter</t>
    </r>
    <r>
      <rPr>
        <sz val="11"/>
        <color theme="1"/>
        <rFont val="Noto Sans SC"/>
        <family val="2"/>
        <charset val="134"/>
      </rPr>
      <t xml:space="preserve">排列情况，则需要综合考虑该列出现不同个数</t>
    </r>
    <r>
      <rPr>
        <sz val="11"/>
        <color theme="1"/>
        <rFont val="Calibri"/>
        <family val="2"/>
        <charset val="1"/>
      </rPr>
      <t xml:space="preserve">Scatter</t>
    </r>
    <r>
      <rPr>
        <sz val="11"/>
        <color theme="1"/>
        <rFont val="Noto Sans SC"/>
        <family val="2"/>
        <charset val="134"/>
      </rPr>
      <t xml:space="preserve">的情况</t>
    </r>
  </si>
  <si>
    <r>
      <rPr>
        <sz val="11"/>
        <color theme="1"/>
        <rFont val="Noto Sans SC"/>
        <family val="2"/>
        <charset val="134"/>
      </rPr>
      <t xml:space="preserve">参考 </t>
    </r>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Scatter(3) </t>
    </r>
    <r>
      <rPr>
        <sz val="11"/>
        <color theme="1"/>
        <rFont val="Noto Sans SC"/>
        <family val="2"/>
        <charset val="134"/>
      </rPr>
      <t xml:space="preserve">中对该情况的处理方法</t>
    </r>
  </si>
  <si>
    <r>
      <rPr>
        <sz val="11"/>
        <color theme="1"/>
        <rFont val="Noto Sans SC"/>
        <family val="2"/>
        <charset val="134"/>
      </rPr>
      <t xml:space="preserve">需要使用到数组公式统计各列出现不同个数的</t>
    </r>
    <r>
      <rPr>
        <sz val="11"/>
        <color theme="1"/>
        <rFont val="Calibri"/>
        <family val="2"/>
        <charset val="1"/>
      </rPr>
      <t xml:space="preserve">Scatter</t>
    </r>
    <r>
      <rPr>
        <sz val="11"/>
        <color theme="1"/>
        <rFont val="Noto Sans SC"/>
        <family val="2"/>
        <charset val="134"/>
      </rPr>
      <t xml:space="preserve">图标的情况并列举出所有满足</t>
    </r>
    <r>
      <rPr>
        <sz val="11"/>
        <color theme="1"/>
        <rFont val="Calibri"/>
        <family val="2"/>
        <charset val="1"/>
      </rPr>
      <t xml:space="preserve">Scatter</t>
    </r>
    <r>
      <rPr>
        <sz val="11"/>
        <color theme="1"/>
        <rFont val="Noto Sans SC"/>
        <family val="2"/>
        <charset val="134"/>
      </rPr>
      <t xml:space="preserve">个数大于等于 </t>
    </r>
    <r>
      <rPr>
        <sz val="11"/>
        <color theme="1"/>
        <rFont val="Calibri"/>
        <family val="2"/>
        <charset val="1"/>
      </rPr>
      <t xml:space="preserve">3 </t>
    </r>
    <r>
      <rPr>
        <sz val="11"/>
        <color theme="1"/>
        <rFont val="Noto Sans SC"/>
        <family val="2"/>
        <charset val="134"/>
      </rPr>
      <t xml:space="preserve">的情况</t>
    </r>
  </si>
  <si>
    <t xml:space="preserve">第四步：计算中奖率</t>
  </si>
  <si>
    <t xml:space="preserve">借由每列的图标个数和考虑百搭图标后的图标个数，计算出各图标中奖的事件数和总事件数</t>
  </si>
  <si>
    <t xml:space="preserve">因为这里中奖组合和列数一致，均为三列，因此无需考虑多种中奖组合的情况</t>
  </si>
  <si>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627152219-08.jpg</t>
    </r>
  </si>
  <si>
    <r>
      <rPr>
        <sz val="11"/>
        <color theme="1"/>
        <rFont val="Noto Sans SC"/>
        <family val="2"/>
        <charset val="134"/>
      </rPr>
      <t xml:space="preserve">第五步：计算标准图标</t>
    </r>
    <r>
      <rPr>
        <sz val="11"/>
        <color theme="1"/>
        <rFont val="Calibri"/>
        <family val="2"/>
        <charset val="1"/>
      </rPr>
      <t xml:space="preserve">RTP</t>
    </r>
  </si>
  <si>
    <r>
      <rPr>
        <sz val="11"/>
        <color theme="1"/>
        <rFont val="Noto Sans SC"/>
        <family val="2"/>
        <charset val="134"/>
      </rPr>
      <t xml:space="preserve">有了之前计算得到的信息，这里就可以计算得出标准图标的</t>
    </r>
    <r>
      <rPr>
        <sz val="11"/>
        <color theme="1"/>
        <rFont val="Calibri"/>
        <family val="2"/>
        <charset val="1"/>
      </rPr>
      <t xml:space="preserve">RTP</t>
    </r>
    <r>
      <rPr>
        <sz val="11"/>
        <color theme="1"/>
        <rFont val="Noto Sans SC"/>
        <family val="2"/>
        <charset val="134"/>
      </rPr>
      <t xml:space="preserve">了</t>
    </r>
  </si>
  <si>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627152219-09.jpg</t>
    </r>
  </si>
  <si>
    <t xml:space="preserve">第六步：计算期望免费摇次数</t>
  </si>
  <si>
    <r>
      <rPr>
        <sz val="11"/>
        <color theme="1"/>
        <rFont val="Noto Sans SC"/>
        <family val="2"/>
        <charset val="134"/>
      </rPr>
      <t xml:space="preserve">因为这里固定卷轴的设定导致每列最多出现一个</t>
    </r>
    <r>
      <rPr>
        <sz val="11"/>
        <color theme="1"/>
        <rFont val="Calibri"/>
        <family val="2"/>
        <charset val="1"/>
      </rPr>
      <t xml:space="preserve">Scatter</t>
    </r>
  </si>
  <si>
    <r>
      <rPr>
        <sz val="11"/>
        <color theme="1"/>
        <rFont val="Noto Sans SC"/>
        <family val="2"/>
        <charset val="134"/>
      </rPr>
      <t xml:space="preserve">因此这里计算</t>
    </r>
    <r>
      <rPr>
        <sz val="11"/>
        <color theme="1"/>
        <rFont val="Calibri"/>
        <family val="2"/>
        <charset val="1"/>
      </rPr>
      <t xml:space="preserve">Scatter</t>
    </r>
    <r>
      <rPr>
        <sz val="11"/>
        <color theme="1"/>
        <rFont val="Noto Sans SC"/>
        <family val="2"/>
        <charset val="134"/>
      </rPr>
      <t xml:space="preserve">触发免费摇的几率和计算标准图标中奖几率的步骤相差不大</t>
    </r>
  </si>
  <si>
    <t xml:space="preserve">都是使用满足中奖组合的事件数除以总事件数即可</t>
  </si>
  <si>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627152219-10.jpg</t>
    </r>
  </si>
  <si>
    <r>
      <rPr>
        <sz val="11"/>
        <color theme="1"/>
        <rFont val="Noto Sans SC"/>
        <family val="2"/>
        <charset val="134"/>
      </rPr>
      <t xml:space="preserve">第七步：计算免费摇</t>
    </r>
    <r>
      <rPr>
        <sz val="11"/>
        <color theme="1"/>
        <rFont val="Calibri"/>
        <family val="2"/>
        <charset val="1"/>
      </rPr>
      <t xml:space="preserve">RTP</t>
    </r>
  </si>
  <si>
    <r>
      <rPr>
        <sz val="11"/>
        <color theme="1"/>
        <rFont val="Noto Sans SC"/>
        <family val="2"/>
        <charset val="134"/>
      </rPr>
      <t xml:space="preserve">使用第一步到第六步相同的方法计算得出免费摇的标准图标</t>
    </r>
    <r>
      <rPr>
        <sz val="11"/>
        <color theme="1"/>
        <rFont val="Calibri"/>
        <family val="2"/>
        <charset val="1"/>
      </rPr>
      <t xml:space="preserve">RTP</t>
    </r>
    <r>
      <rPr>
        <sz val="11"/>
        <color theme="1"/>
        <rFont val="Noto Sans SC"/>
        <family val="2"/>
        <charset val="134"/>
      </rPr>
      <t xml:space="preserve">和在免费摇中触发额外免费摇的期望次数，并使用无穷级数求和公式计算的出综合免费摇期望次数</t>
    </r>
  </si>
  <si>
    <r>
      <rPr>
        <sz val="11"/>
        <color theme="1"/>
        <rFont val="Noto Sans SC"/>
        <family val="2"/>
        <charset val="134"/>
      </rPr>
      <t xml:space="preserve">［配图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627152219-11.jpg</t>
    </r>
  </si>
  <si>
    <r>
      <rPr>
        <sz val="11"/>
        <color theme="1"/>
        <rFont val="Noto Sans SC"/>
        <family val="2"/>
        <charset val="134"/>
      </rPr>
      <t xml:space="preserve">第八步：计算综合</t>
    </r>
    <r>
      <rPr>
        <sz val="11"/>
        <color theme="1"/>
        <rFont val="Calibri"/>
        <family val="2"/>
        <charset val="1"/>
      </rPr>
      <t xml:space="preserve">RTP</t>
    </r>
  </si>
  <si>
    <r>
      <rPr>
        <sz val="11"/>
        <color theme="1"/>
        <rFont val="Noto Sans SC"/>
        <family val="2"/>
        <charset val="134"/>
      </rPr>
      <t xml:space="preserve">引用之前计算的出的普通摇标准图标</t>
    </r>
    <r>
      <rPr>
        <sz val="11"/>
        <color theme="1"/>
        <rFont val="Calibri"/>
        <family val="2"/>
        <charset val="1"/>
      </rPr>
      <t xml:space="preserve">RTP</t>
    </r>
    <r>
      <rPr>
        <sz val="11"/>
        <color theme="1"/>
        <rFont val="Noto Sans SC"/>
        <family val="2"/>
        <charset val="134"/>
      </rPr>
      <t xml:space="preserve">以及免费摇标准图标</t>
    </r>
    <r>
      <rPr>
        <sz val="11"/>
        <color theme="1"/>
        <rFont val="Calibri"/>
        <family val="2"/>
        <charset val="1"/>
      </rPr>
      <t xml:space="preserve">RTP</t>
    </r>
    <r>
      <rPr>
        <sz val="11"/>
        <color theme="1"/>
        <rFont val="Noto Sans SC"/>
        <family val="2"/>
        <charset val="134"/>
      </rPr>
      <t xml:space="preserve">乘上综合免费摇期望次数得到的免费摇</t>
    </r>
    <r>
      <rPr>
        <sz val="11"/>
        <color theme="1"/>
        <rFont val="Calibri"/>
        <family val="2"/>
        <charset val="1"/>
      </rPr>
      <t xml:space="preserve">RTP</t>
    </r>
  </si>
  <si>
    <r>
      <rPr>
        <sz val="11"/>
        <color theme="1"/>
        <rFont val="Noto Sans SC"/>
        <family val="2"/>
        <charset val="134"/>
      </rPr>
      <t xml:space="preserve">将两者相加得到该</t>
    </r>
    <r>
      <rPr>
        <sz val="11"/>
        <color theme="1"/>
        <rFont val="Calibri"/>
        <family val="2"/>
        <charset val="1"/>
      </rPr>
      <t xml:space="preserve">1-3-1</t>
    </r>
    <r>
      <rPr>
        <sz val="11"/>
        <color theme="1"/>
        <rFont val="Noto Sans SC"/>
        <family val="2"/>
        <charset val="134"/>
      </rPr>
      <t xml:space="preserve">的固定卷轴</t>
    </r>
    <r>
      <rPr>
        <sz val="11"/>
        <color theme="1"/>
        <rFont val="Calibri"/>
        <family val="2"/>
        <charset val="1"/>
      </rPr>
      <t xml:space="preserve">Line Slots</t>
    </r>
    <r>
      <rPr>
        <sz val="11"/>
        <color theme="1"/>
        <rFont val="Noto Sans SC"/>
        <family val="2"/>
        <charset val="134"/>
      </rPr>
      <t xml:space="preserve">综合</t>
    </r>
    <r>
      <rPr>
        <sz val="11"/>
        <color theme="1"/>
        <rFont val="Calibri"/>
        <family val="2"/>
        <charset val="1"/>
      </rPr>
      <t xml:space="preserve">RTP</t>
    </r>
    <r>
      <rPr>
        <sz val="11"/>
        <color theme="1"/>
        <rFont val="Noto Sans SC"/>
        <family val="2"/>
        <charset val="134"/>
      </rPr>
      <t xml:space="preserve">为</t>
    </r>
    <r>
      <rPr>
        <sz val="11"/>
        <color theme="1"/>
        <rFont val="Calibri"/>
        <family val="2"/>
        <charset val="1"/>
      </rPr>
      <t xml:space="preserve">95.06%</t>
    </r>
  </si>
  <si>
    <r>
      <rPr>
        <sz val="11"/>
        <color theme="1"/>
        <rFont val="Noto Sans SC"/>
        <family val="2"/>
        <charset val="134"/>
      </rPr>
      <t xml:space="preserve">［配图 </t>
    </r>
    <r>
      <rPr>
        <sz val="11"/>
        <color theme="1"/>
        <rFont val="Calibri"/>
        <family val="2"/>
        <charset val="1"/>
      </rPr>
      <t xml:space="preserve">12</t>
    </r>
    <r>
      <rPr>
        <sz val="11"/>
        <color theme="1"/>
        <rFont val="Noto Sans SC"/>
        <family val="2"/>
        <charset val="134"/>
      </rPr>
      <t xml:space="preserve">］</t>
    </r>
    <r>
      <rPr>
        <sz val="11"/>
        <color theme="1"/>
        <rFont val="Calibri"/>
        <family val="2"/>
        <charset val="1"/>
      </rPr>
      <t xml:space="preserve">627152219-12.png</t>
    </r>
  </si>
  <si>
    <r>
      <rPr>
        <sz val="11"/>
        <color theme="1"/>
        <rFont val="Noto Sans SC"/>
        <family val="2"/>
        <charset val="134"/>
      </rPr>
      <t xml:space="preserve">以上就是当卷轴不规则时，固定卷轴</t>
    </r>
    <r>
      <rPr>
        <sz val="11"/>
        <color theme="1"/>
        <rFont val="Calibri"/>
        <family val="2"/>
        <charset val="1"/>
      </rPr>
      <t xml:space="preserve">Line Slots</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计算方法</t>
    </r>
  </si>
  <si>
    <r>
      <rPr>
        <sz val="11"/>
        <color theme="1"/>
        <rFont val="Noto Sans SC"/>
        <family val="2"/>
        <charset val="134"/>
      </rPr>
      <t xml:space="preserve">总的来说，当卷轴不规则时，</t>
    </r>
    <r>
      <rPr>
        <sz val="11"/>
        <color theme="1"/>
        <rFont val="Calibri"/>
        <family val="2"/>
        <charset val="1"/>
      </rPr>
      <t xml:space="preserve">Line Slots</t>
    </r>
    <r>
      <rPr>
        <sz val="11"/>
        <color theme="1"/>
        <rFont val="Noto Sans SC"/>
        <family val="2"/>
        <charset val="134"/>
      </rPr>
      <t xml:space="preserve">因为计算标注图标</t>
    </r>
    <r>
      <rPr>
        <sz val="11"/>
        <color theme="1"/>
        <rFont val="Calibri"/>
        <family val="2"/>
        <charset val="1"/>
      </rPr>
      <t xml:space="preserve">RTP</t>
    </r>
    <r>
      <rPr>
        <sz val="11"/>
        <color theme="1"/>
        <rFont val="Noto Sans SC"/>
        <family val="2"/>
        <charset val="134"/>
      </rPr>
      <t xml:space="preserve">的方法是聚焦于</t>
    </r>
    <r>
      <rPr>
        <sz val="11"/>
        <color theme="1"/>
        <rFont val="Calibri"/>
        <family val="2"/>
        <charset val="1"/>
      </rPr>
      <t xml:space="preserve">Pay Line</t>
    </r>
    <r>
      <rPr>
        <sz val="11"/>
        <color theme="1"/>
        <rFont val="Noto Sans SC"/>
        <family val="2"/>
        <charset val="134"/>
      </rPr>
      <t xml:space="preserve">上，因此不规则的窗口并不会对标准图标的返奖造成影响</t>
    </r>
  </si>
  <si>
    <r>
      <rPr>
        <sz val="11"/>
        <color theme="1"/>
        <rFont val="Noto Sans SC"/>
        <family val="2"/>
        <charset val="134"/>
      </rPr>
      <t xml:space="preserve">但是当窗口不规则时，</t>
    </r>
    <r>
      <rPr>
        <sz val="11"/>
        <color theme="1"/>
        <rFont val="Calibri"/>
        <family val="2"/>
        <charset val="1"/>
      </rPr>
      <t xml:space="preserve">Scatter</t>
    </r>
    <r>
      <rPr>
        <sz val="11"/>
        <color theme="1"/>
        <rFont val="Noto Sans SC"/>
        <family val="2"/>
        <charset val="134"/>
      </rPr>
      <t xml:space="preserve">等跳脱出</t>
    </r>
    <r>
      <rPr>
        <sz val="11"/>
        <color theme="1"/>
        <rFont val="Calibri"/>
        <family val="2"/>
        <charset val="1"/>
      </rPr>
      <t xml:space="preserve">Pay Lines</t>
    </r>
    <r>
      <rPr>
        <sz val="11"/>
        <color theme="1"/>
        <rFont val="Noto Sans SC"/>
        <family val="2"/>
        <charset val="134"/>
      </rPr>
      <t xml:space="preserve">的</t>
    </r>
    <r>
      <rPr>
        <sz val="11"/>
        <color theme="1"/>
        <rFont val="Calibri"/>
        <family val="2"/>
        <charset val="1"/>
      </rPr>
      <t xml:space="preserve">Feature</t>
    </r>
    <r>
      <rPr>
        <sz val="11"/>
        <color theme="1"/>
        <rFont val="Noto Sans SC"/>
        <family val="2"/>
        <charset val="134"/>
      </rPr>
      <t xml:space="preserve">会受到比较大的影响</t>
    </r>
  </si>
  <si>
    <r>
      <rPr>
        <sz val="11"/>
        <color theme="1"/>
        <rFont val="Noto Sans SC"/>
        <family val="2"/>
        <charset val="134"/>
      </rPr>
      <t xml:space="preserve">因此当在设计</t>
    </r>
    <r>
      <rPr>
        <sz val="11"/>
        <color theme="1"/>
        <rFont val="Calibri"/>
        <family val="2"/>
        <charset val="1"/>
      </rPr>
      <t xml:space="preserve">Slots</t>
    </r>
    <r>
      <rPr>
        <sz val="11"/>
        <color theme="1"/>
        <rFont val="Noto Sans SC"/>
        <family val="2"/>
        <charset val="134"/>
      </rPr>
      <t xml:space="preserve">时调整卷轴尺寸时不要忘了检查各项</t>
    </r>
    <r>
      <rPr>
        <sz val="11"/>
        <color theme="1"/>
        <rFont val="Calibri"/>
        <family val="2"/>
        <charset val="1"/>
      </rPr>
      <t xml:space="preserve">Feature</t>
    </r>
    <r>
      <rPr>
        <sz val="11"/>
        <color theme="1"/>
        <rFont val="Noto Sans SC"/>
        <family val="2"/>
        <charset val="134"/>
      </rPr>
      <t xml:space="preserve">是否都有随着卷轴的调整而调整</t>
    </r>
  </si>
  <si>
    <t xml:space="preserve">数值计算——随机卷轴</t>
  </si>
  <si>
    <r>
      <rPr>
        <sz val="11"/>
        <color theme="1"/>
        <rFont val="Noto Sans SC"/>
        <family val="2"/>
        <charset val="134"/>
      </rPr>
      <t xml:space="preserve">这里随机卷轴和固定卷轴数值计算最大的差异和之前介绍规则窗口包含单列出现多个</t>
    </r>
    <r>
      <rPr>
        <sz val="11"/>
        <color theme="1"/>
        <rFont val="Calibri"/>
        <family val="2"/>
        <charset val="1"/>
      </rPr>
      <t xml:space="preserve">Scatter</t>
    </r>
    <r>
      <rPr>
        <sz val="11"/>
        <color theme="1"/>
        <rFont val="Noto Sans SC"/>
        <family val="2"/>
        <charset val="134"/>
      </rPr>
      <t xml:space="preserve">图标时的情况比较类似</t>
    </r>
  </si>
  <si>
    <r>
      <rPr>
        <sz val="11"/>
        <color theme="1"/>
        <rFont val="Noto Sans SC"/>
        <family val="2"/>
        <charset val="134"/>
      </rPr>
      <t xml:space="preserve">需要考虑单列出现多个</t>
    </r>
    <r>
      <rPr>
        <sz val="11"/>
        <color theme="1"/>
        <rFont val="Calibri"/>
        <family val="2"/>
        <charset val="1"/>
      </rPr>
      <t xml:space="preserve">Scatter</t>
    </r>
    <r>
      <rPr>
        <sz val="11"/>
        <color theme="1"/>
        <rFont val="Noto Sans SC"/>
        <family val="2"/>
        <charset val="134"/>
      </rPr>
      <t xml:space="preserve">的情况</t>
    </r>
  </si>
  <si>
    <t xml:space="preserve">但是因为这里是随机卷轴，计算起来不用像固定卷轴一样先使用数组求和，再列出所有可能</t>
  </si>
  <si>
    <r>
      <rPr>
        <sz val="11"/>
        <color theme="1"/>
        <rFont val="Noto Sans SC"/>
        <family val="2"/>
        <charset val="134"/>
      </rPr>
      <t xml:space="preserve">这里直接使用</t>
    </r>
    <r>
      <rPr>
        <sz val="11"/>
        <color theme="1"/>
        <rFont val="Calibri"/>
        <family val="2"/>
        <charset val="1"/>
      </rPr>
      <t xml:space="preserve">BINOM.DIST.RANGE</t>
    </r>
    <r>
      <rPr>
        <sz val="11"/>
        <color theme="1"/>
        <rFont val="Noto Sans SC"/>
        <family val="2"/>
        <charset val="134"/>
      </rPr>
      <t xml:space="preserve">函数计算出现</t>
    </r>
    <r>
      <rPr>
        <sz val="11"/>
        <color theme="1"/>
        <rFont val="Calibri"/>
        <family val="2"/>
        <charset val="1"/>
      </rPr>
      <t xml:space="preserve">1~3</t>
    </r>
    <r>
      <rPr>
        <sz val="11"/>
        <color theme="1"/>
        <rFont val="Noto Sans SC"/>
        <family val="2"/>
        <charset val="134"/>
      </rPr>
      <t xml:space="preserve">个</t>
    </r>
    <r>
      <rPr>
        <sz val="11"/>
        <color theme="1"/>
        <rFont val="Calibri"/>
        <family val="2"/>
        <charset val="1"/>
      </rPr>
      <t xml:space="preserve">Scatter</t>
    </r>
    <r>
      <rPr>
        <sz val="11"/>
        <color theme="1"/>
        <rFont val="Noto Sans SC"/>
        <family val="2"/>
        <charset val="134"/>
      </rPr>
      <t xml:space="preserve">的几率即可</t>
    </r>
  </si>
  <si>
    <t xml:space="preserve">具体的计算步骤如下：</t>
  </si>
  <si>
    <r>
      <rPr>
        <sz val="11"/>
        <color theme="1"/>
        <rFont val="Noto Sans SC"/>
        <family val="2"/>
        <charset val="134"/>
      </rPr>
      <t xml:space="preserve">［配图 </t>
    </r>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627152219-13.jpg</t>
    </r>
  </si>
  <si>
    <r>
      <rPr>
        <sz val="11"/>
        <color theme="1"/>
        <rFont val="Noto Sans SC"/>
        <family val="2"/>
        <charset val="134"/>
      </rPr>
      <t xml:space="preserve">这里随机卷轴个图标的出现几率设置和固定卷轴一致，因此可以发现两者的标准图标</t>
    </r>
    <r>
      <rPr>
        <sz val="11"/>
        <color theme="1"/>
        <rFont val="Calibri"/>
        <family val="2"/>
        <charset val="1"/>
      </rPr>
      <t xml:space="preserve">RTP</t>
    </r>
    <r>
      <rPr>
        <sz val="11"/>
        <color theme="1"/>
        <rFont val="Noto Sans SC"/>
        <family val="2"/>
        <charset val="134"/>
      </rPr>
      <t xml:space="preserve">是一致的</t>
    </r>
  </si>
  <si>
    <r>
      <rPr>
        <sz val="11"/>
        <color theme="1"/>
        <rFont val="Noto Sans SC"/>
        <family val="2"/>
        <charset val="134"/>
      </rPr>
      <t xml:space="preserve">理论上这里每列出现的标准图标也和</t>
    </r>
    <r>
      <rPr>
        <sz val="11"/>
        <color theme="1"/>
        <rFont val="Calibri"/>
        <family val="2"/>
        <charset val="1"/>
      </rPr>
      <t xml:space="preserve">Scatter</t>
    </r>
    <r>
      <rPr>
        <sz val="11"/>
        <color theme="1"/>
        <rFont val="Noto Sans SC"/>
        <family val="2"/>
        <charset val="134"/>
      </rPr>
      <t xml:space="preserve">一样存在出现不同个数的情况</t>
    </r>
  </si>
  <si>
    <r>
      <rPr>
        <sz val="11"/>
        <color theme="1"/>
        <rFont val="Noto Sans SC"/>
        <family val="2"/>
        <charset val="134"/>
      </rPr>
      <t xml:space="preserve">但是因为</t>
    </r>
    <r>
      <rPr>
        <sz val="11"/>
        <color theme="1"/>
        <rFont val="Calibri"/>
        <family val="2"/>
        <charset val="1"/>
      </rPr>
      <t xml:space="preserve">Line Slots</t>
    </r>
    <r>
      <rPr>
        <sz val="11"/>
        <color theme="1"/>
        <rFont val="Noto Sans SC"/>
        <family val="2"/>
        <charset val="134"/>
      </rPr>
      <t xml:space="preserve">的标准图标</t>
    </r>
    <r>
      <rPr>
        <sz val="11"/>
        <color theme="1"/>
        <rFont val="Calibri"/>
        <family val="2"/>
        <charset val="1"/>
      </rPr>
      <t xml:space="preserve">RTP</t>
    </r>
    <r>
      <rPr>
        <sz val="11"/>
        <color theme="1"/>
        <rFont val="Noto Sans SC"/>
        <family val="2"/>
        <charset val="134"/>
      </rPr>
      <t xml:space="preserve">的计算仅聚焦于一条</t>
    </r>
    <r>
      <rPr>
        <sz val="11"/>
        <color theme="1"/>
        <rFont val="Calibri"/>
        <family val="2"/>
        <charset val="1"/>
      </rPr>
      <t xml:space="preserve">Pay Line</t>
    </r>
  </si>
  <si>
    <r>
      <rPr>
        <sz val="11"/>
        <color theme="1"/>
        <rFont val="Noto Sans SC"/>
        <family val="2"/>
        <charset val="134"/>
      </rPr>
      <t xml:space="preserve">该列其他行的图标分布情况并不会影响到标准图标</t>
    </r>
    <r>
      <rPr>
        <sz val="11"/>
        <color theme="1"/>
        <rFont val="Calibri"/>
        <family val="2"/>
        <charset val="1"/>
      </rPr>
      <t xml:space="preserve">RTP</t>
    </r>
    <r>
      <rPr>
        <sz val="11"/>
        <color theme="1"/>
        <rFont val="Noto Sans SC"/>
        <family val="2"/>
        <charset val="134"/>
      </rPr>
      <t xml:space="preserve">的计算</t>
    </r>
  </si>
  <si>
    <r>
      <rPr>
        <sz val="11"/>
        <color theme="1"/>
        <rFont val="Noto Sans SC"/>
        <family val="2"/>
        <charset val="134"/>
      </rPr>
      <t xml:space="preserve">和固定卷轴比较大的差异在于</t>
    </r>
    <r>
      <rPr>
        <sz val="11"/>
        <color theme="1"/>
        <rFont val="Calibri"/>
        <family val="2"/>
        <charset val="1"/>
      </rPr>
      <t xml:space="preserve">Scatter</t>
    </r>
    <r>
      <rPr>
        <sz val="11"/>
        <color theme="1"/>
        <rFont val="Noto Sans SC"/>
        <family val="2"/>
        <charset val="134"/>
      </rPr>
      <t xml:space="preserve">计算方法不同导致的免费摇</t>
    </r>
    <r>
      <rPr>
        <sz val="11"/>
        <color theme="1"/>
        <rFont val="Calibri"/>
        <family val="2"/>
        <charset val="1"/>
      </rPr>
      <t xml:space="preserve">RTP</t>
    </r>
    <r>
      <rPr>
        <sz val="11"/>
        <color theme="1"/>
        <rFont val="Noto Sans SC"/>
        <family val="2"/>
        <charset val="134"/>
      </rPr>
      <t xml:space="preserve">差异</t>
    </r>
  </si>
  <si>
    <r>
      <rPr>
        <sz val="11"/>
        <color theme="1"/>
        <rFont val="Noto Sans SC"/>
        <family val="2"/>
        <charset val="134"/>
      </rPr>
      <t xml:space="preserve">随机卷轴比固定卷轴多出的这一部分</t>
    </r>
    <r>
      <rPr>
        <sz val="11"/>
        <color theme="1"/>
        <rFont val="Calibri"/>
        <family val="2"/>
        <charset val="1"/>
      </rPr>
      <t xml:space="preserve">RTP</t>
    </r>
    <r>
      <rPr>
        <sz val="11"/>
        <color theme="1"/>
        <rFont val="Noto Sans SC"/>
        <family val="2"/>
        <charset val="134"/>
      </rPr>
      <t xml:space="preserve">期望，就是第二列出现超过</t>
    </r>
    <r>
      <rPr>
        <sz val="11"/>
        <color theme="1"/>
        <rFont val="Calibri"/>
        <family val="2"/>
        <charset val="1"/>
      </rPr>
      <t xml:space="preserve">1</t>
    </r>
    <r>
      <rPr>
        <sz val="11"/>
        <color theme="1"/>
        <rFont val="Noto Sans SC"/>
        <family val="2"/>
        <charset val="134"/>
      </rPr>
      <t xml:space="preserve">个</t>
    </r>
    <r>
      <rPr>
        <sz val="11"/>
        <color theme="1"/>
        <rFont val="Calibri"/>
        <family val="2"/>
        <charset val="1"/>
      </rPr>
      <t xml:space="preserve">Scatter</t>
    </r>
    <r>
      <rPr>
        <sz val="11"/>
        <color theme="1"/>
        <rFont val="Noto Sans SC"/>
        <family val="2"/>
        <charset val="134"/>
      </rPr>
      <t xml:space="preserve">带来的额外收益</t>
    </r>
  </si>
  <si>
    <t xml:space="preserve">可以参考之前的文章，更方便理解该计算步骤：</t>
  </si>
  <si>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1*3 Line Slots</t>
    </r>
  </si>
  <si>
    <r>
      <rPr>
        <sz val="11"/>
        <color theme="1"/>
        <rFont val="Calibri"/>
        <family val="2"/>
        <charset val="1"/>
      </rPr>
      <t xml:space="preserve">Slots</t>
    </r>
    <r>
      <rPr>
        <sz val="11"/>
        <color theme="1"/>
        <rFont val="Noto Sans SC"/>
        <family val="2"/>
        <charset val="134"/>
      </rPr>
      <t xml:space="preserve">数值篇—— </t>
    </r>
    <r>
      <rPr>
        <sz val="11"/>
        <color theme="1"/>
        <rFont val="Calibri"/>
        <family val="2"/>
        <charset val="1"/>
      </rPr>
      <t xml:space="preserve">3*3 Line Slots</t>
    </r>
  </si>
  <si>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3*5 Line Slots</t>
    </r>
  </si>
  <si>
    <r>
      <rPr>
        <b val="true"/>
        <sz val="11"/>
        <rFont val="Noto Sans SC"/>
        <family val="2"/>
        <charset val="134"/>
      </rPr>
      <t xml:space="preserve">原文配图清单（共 </t>
    </r>
    <r>
      <rPr>
        <b val="true"/>
        <sz val="11"/>
        <rFont val="Cambria"/>
        <family val="0"/>
        <charset val="1"/>
      </rPr>
      <t xml:space="preserve">13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</si>
  <si>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627152219-01.jpg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</si>
  <si>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627152219-02.jpg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</si>
  <si>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627152219-03.png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</si>
  <si>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627152219-04.png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</si>
  <si>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627152219-05.png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</si>
  <si>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627152219-06.png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</si>
  <si>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627152219-07.jpg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</si>
  <si>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627152219-08.jpg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</si>
  <si>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627152219-09.jpg</t>
    </r>
  </si>
  <si>
    <r>
      <rPr>
        <sz val="11"/>
        <color rgb="FF808080"/>
        <rFont val="Noto Sans SC"/>
        <family val="2"/>
        <charset val="134"/>
      </rPr>
      <t xml:space="preserve">［配图 </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627152219-10.jpg</t>
    </r>
  </si>
  <si>
    <r>
      <rPr>
        <sz val="11"/>
        <color rgb="FF808080"/>
        <rFont val="Noto Sans SC"/>
        <family val="2"/>
        <charset val="134"/>
      </rPr>
      <t xml:space="preserve">［配图 </t>
    </r>
    <r>
      <rPr>
        <sz val="11"/>
        <color rgb="FF808080"/>
        <rFont val="Cambria"/>
        <family val="0"/>
        <charset val="1"/>
      </rPr>
      <t xml:space="preserve">11</t>
    </r>
    <r>
      <rPr>
        <sz val="11"/>
        <color rgb="FF808080"/>
        <rFont val="Noto Sans SC"/>
        <family val="2"/>
        <charset val="134"/>
      </rPr>
      <t xml:space="preserve">］</t>
    </r>
    <r>
      <rPr>
        <sz val="11"/>
        <color rgb="FF808080"/>
        <rFont val="Cambria"/>
        <family val="0"/>
        <charset val="1"/>
      </rPr>
      <t xml:space="preserve">627152219-11.jpg</t>
    </r>
  </si>
  <si>
    <r>
      <rPr>
        <sz val="11"/>
        <color rgb="FF808080"/>
        <rFont val="Noto Sans SC"/>
        <family val="2"/>
        <charset val="134"/>
      </rPr>
      <t xml:space="preserve">［配图 </t>
    </r>
    <r>
      <rPr>
        <sz val="11"/>
        <color rgb="FF808080"/>
        <rFont val="Cambria"/>
        <family val="0"/>
        <charset val="1"/>
      </rPr>
      <t xml:space="preserve">12</t>
    </r>
    <r>
      <rPr>
        <sz val="11"/>
        <color rgb="FF808080"/>
        <rFont val="Noto Sans SC"/>
        <family val="2"/>
        <charset val="134"/>
      </rPr>
      <t xml:space="preserve">］</t>
    </r>
    <r>
      <rPr>
        <sz val="11"/>
        <color rgb="FF808080"/>
        <rFont val="Cambria"/>
        <family val="0"/>
        <charset val="1"/>
      </rPr>
      <t xml:space="preserve">627152219-12.png</t>
    </r>
  </si>
  <si>
    <r>
      <rPr>
        <sz val="11"/>
        <color rgb="FF808080"/>
        <rFont val="Noto Sans SC"/>
        <family val="2"/>
        <charset val="134"/>
      </rPr>
      <t xml:space="preserve">［配图 </t>
    </r>
    <r>
      <rPr>
        <sz val="11"/>
        <color rgb="FF808080"/>
        <rFont val="Cambria"/>
        <family val="0"/>
        <charset val="1"/>
      </rPr>
      <t xml:space="preserve">13</t>
    </r>
    <r>
      <rPr>
        <sz val="11"/>
        <color rgb="FF808080"/>
        <rFont val="Noto Sans SC"/>
        <family val="2"/>
        <charset val="134"/>
      </rPr>
      <t xml:space="preserve">］</t>
    </r>
    <r>
      <rPr>
        <sz val="11"/>
        <color rgb="FF808080"/>
        <rFont val="Cambria"/>
        <family val="0"/>
        <charset val="1"/>
      </rPr>
      <t xml:space="preserve">627152219-13.jpg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</si>
  <si>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</si>
  <si>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</si>
  <si>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</si>
  <si>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</si>
  <si>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</si>
  <si>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</si>
  <si>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数值篇——不规则窗口</t>
    </r>
    <r>
      <rPr>
        <sz val="11"/>
        <color rgb="FF808080"/>
        <rFont val="Cambria"/>
        <family val="0"/>
        <charset val="1"/>
      </rPr>
      <t xml:space="preserve">(1)</t>
    </r>
    <r>
      <rPr>
        <sz val="11"/>
        <color rgb="FF808080"/>
        <rFont val="Noto Sans SC"/>
        <family val="2"/>
        <charset val="134"/>
      </rPr>
      <t xml:space="preserve">》</t>
    </r>
    <r>
      <rPr>
        <sz val="11"/>
        <color rgb="FF808080"/>
        <rFont val="Cambria"/>
        <family val="0"/>
        <charset val="1"/>
      </rPr>
      <t xml:space="preserve">, https://zhuanlan.zhihu.com/p/627152219</t>
    </r>
  </si>
  <si>
    <r>
      <rPr>
        <b val="true"/>
        <sz val="14"/>
        <color rgb="FF1F4E79"/>
        <rFont val="Noto Sans SC"/>
        <family val="2"/>
        <charset val="134"/>
      </rPr>
      <t xml:space="preserve">数值篇 </t>
    </r>
    <r>
      <rPr>
        <b val="true"/>
        <sz val="14"/>
        <color rgb="FF1F4E79"/>
        <rFont val="Cambria"/>
        <family val="0"/>
        <charset val="1"/>
      </rPr>
      <t xml:space="preserve">· </t>
    </r>
    <r>
      <rPr>
        <b val="true"/>
        <sz val="14"/>
        <color rgb="FF1F4E79"/>
        <rFont val="Noto Sans SC"/>
        <family val="2"/>
        <charset val="134"/>
      </rPr>
      <t xml:space="preserve">不规则窗口</t>
    </r>
    <r>
      <rPr>
        <b val="true"/>
        <sz val="14"/>
        <color rgb="FF1F4E79"/>
        <rFont val="Cambria"/>
        <family val="0"/>
        <charset val="1"/>
      </rPr>
      <t xml:space="preserve">(1)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</si>
  <si>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】基本参数</t>
    </r>
  </si>
  <si>
    <t xml:space="preserve">项目</t>
  </si>
  <si>
    <t xml:space="preserve">数值</t>
  </si>
  <si>
    <t xml:space="preserve">玩法</t>
  </si>
  <si>
    <r>
      <rPr>
        <sz val="11"/>
        <color rgb="FF0000FF"/>
        <rFont val="Cambria"/>
        <family val="0"/>
        <charset val="1"/>
      </rPr>
      <t xml:space="preserve">1-3-1 </t>
    </r>
    <r>
      <rPr>
        <sz val="11"/>
        <color rgb="FF0000FF"/>
        <rFont val="Noto Sans SC"/>
        <family val="2"/>
        <charset val="134"/>
      </rPr>
      <t xml:space="preserve">十字形不规则窗口 </t>
    </r>
    <r>
      <rPr>
        <sz val="11"/>
        <color rgb="FF0000FF"/>
        <rFont val="Cambria"/>
        <family val="0"/>
        <charset val="1"/>
      </rPr>
      <t xml:space="preserve">Line Slots</t>
    </r>
  </si>
  <si>
    <r>
      <rPr>
        <sz val="11"/>
        <color theme="1"/>
        <rFont val="Noto Sans SC"/>
        <family val="2"/>
        <charset val="134"/>
      </rPr>
      <t xml:space="preserve">列</t>
    </r>
    <r>
      <rPr>
        <sz val="11"/>
        <color theme="1"/>
        <rFont val="Calibri"/>
        <family val="2"/>
        <charset val="1"/>
      </rPr>
      <t xml:space="preserve">1/</t>
    </r>
    <r>
      <rPr>
        <sz val="11"/>
        <color theme="1"/>
        <rFont val="Noto Sans SC"/>
        <family val="2"/>
        <charset val="134"/>
      </rPr>
      <t xml:space="preserve">列</t>
    </r>
    <r>
      <rPr>
        <sz val="11"/>
        <color theme="1"/>
        <rFont val="Calibri"/>
        <family val="2"/>
        <charset val="1"/>
      </rPr>
      <t xml:space="preserve">3 </t>
    </r>
    <r>
      <rPr>
        <sz val="11"/>
        <color theme="1"/>
        <rFont val="Noto Sans SC"/>
        <family val="2"/>
        <charset val="134"/>
      </rPr>
      <t xml:space="preserve">各 </t>
    </r>
    <r>
      <rPr>
        <sz val="11"/>
        <color theme="1"/>
        <rFont val="Calibri"/>
        <family val="2"/>
        <charset val="1"/>
      </rPr>
      <t xml:space="preserve">1 </t>
    </r>
    <r>
      <rPr>
        <sz val="11"/>
        <color theme="1"/>
        <rFont val="Noto Sans SC"/>
        <family val="2"/>
        <charset val="134"/>
      </rPr>
      <t xml:space="preserve">行，列</t>
    </r>
    <r>
      <rPr>
        <sz val="11"/>
        <color theme="1"/>
        <rFont val="Calibri"/>
        <family val="2"/>
        <charset val="1"/>
      </rPr>
      <t xml:space="preserve">2 </t>
    </r>
    <r>
      <rPr>
        <sz val="11"/>
        <color theme="1"/>
        <rFont val="Noto Sans SC"/>
        <family val="2"/>
        <charset val="134"/>
      </rPr>
      <t xml:space="preserve">有 </t>
    </r>
    <r>
      <rPr>
        <sz val="11"/>
        <color theme="1"/>
        <rFont val="Calibri"/>
        <family val="2"/>
        <charset val="1"/>
      </rPr>
      <t xml:space="preserve">3 </t>
    </r>
    <r>
      <rPr>
        <sz val="11"/>
        <color theme="1"/>
        <rFont val="Noto Sans SC"/>
        <family val="2"/>
        <charset val="134"/>
      </rPr>
      <t xml:space="preserve">行</t>
    </r>
  </si>
  <si>
    <t xml:space="preserve">卷轴列数</t>
  </si>
  <si>
    <r>
      <rPr>
        <sz val="11"/>
        <color theme="1"/>
        <rFont val="Noto Sans SC"/>
        <family val="2"/>
        <charset val="134"/>
      </rPr>
      <t xml:space="preserve">窗口行数（列</t>
    </r>
    <r>
      <rPr>
        <sz val="11"/>
        <color theme="1"/>
        <rFont val="Calibri"/>
        <family val="2"/>
        <charset val="1"/>
      </rPr>
      <t xml:space="preserve">1/2/3</t>
    </r>
    <r>
      <rPr>
        <sz val="11"/>
        <color theme="1"/>
        <rFont val="Noto Sans SC"/>
        <family val="2"/>
        <charset val="134"/>
      </rPr>
      <t xml:space="preserve">）</t>
    </r>
  </si>
  <si>
    <t xml:space="preserve">1 / 3 / 1</t>
  </si>
  <si>
    <r>
      <rPr>
        <sz val="11"/>
        <color theme="1"/>
        <rFont val="Noto Sans SC"/>
        <family val="2"/>
        <charset val="134"/>
      </rPr>
      <t xml:space="preserve">十字形布局；供 </t>
    </r>
    <r>
      <rPr>
        <sz val="11"/>
        <color theme="1"/>
        <rFont val="Calibri"/>
        <family val="2"/>
        <charset val="1"/>
      </rPr>
      <t xml:space="preserve">Scatter </t>
    </r>
    <r>
      <rPr>
        <sz val="11"/>
        <color theme="1"/>
        <rFont val="Noto Sans SC"/>
        <family val="2"/>
        <charset val="134"/>
      </rPr>
      <t xml:space="preserve">折算用，见【</t>
    </r>
    <r>
      <rPr>
        <sz val="11"/>
        <color theme="1"/>
        <rFont val="Calibri"/>
        <family val="2"/>
        <charset val="1"/>
      </rPr>
      <t xml:space="preserve">3</t>
    </r>
    <r>
      <rPr>
        <sz val="11"/>
        <color theme="1"/>
        <rFont val="Noto Sans SC"/>
        <family val="2"/>
        <charset val="134"/>
      </rPr>
      <t xml:space="preserve">】末行</t>
    </r>
  </si>
  <si>
    <t xml:space="preserve">每列停位数</t>
  </si>
  <si>
    <t xml:space="preserve">三列卷轴相同（原文：普通摇与免费摇共用同一套卷轴）</t>
  </si>
  <si>
    <t xml:space="preserve">总事件数</t>
  </si>
  <si>
    <r>
      <rPr>
        <sz val="11"/>
        <color theme="1"/>
        <rFont val="Noto Sans SC"/>
        <family val="2"/>
        <charset val="134"/>
      </rPr>
      <t xml:space="preserve">＝ </t>
    </r>
    <r>
      <rPr>
        <sz val="11"/>
        <color theme="1"/>
        <rFont val="Calibri"/>
        <family val="2"/>
        <charset val="1"/>
      </rPr>
      <t xml:space="preserve">8³ </t>
    </r>
    <r>
      <rPr>
        <sz val="11"/>
        <color theme="1"/>
        <rFont val="Noto Sans SC"/>
        <family val="2"/>
        <charset val="134"/>
      </rPr>
      <t xml:space="preserve">＝ </t>
    </r>
    <r>
      <rPr>
        <sz val="11"/>
        <color theme="1"/>
        <rFont val="Calibri"/>
        <family val="2"/>
        <charset val="1"/>
      </rPr>
      <t xml:space="preserve">512</t>
    </r>
  </si>
  <si>
    <t xml:space="preserve">赔付基数</t>
  </si>
  <si>
    <r>
      <rPr>
        <sz val="11"/>
        <color theme="1"/>
        <rFont val="Noto Sans SC"/>
        <family val="2"/>
        <charset val="134"/>
      </rPr>
      <t xml:space="preserve">本例期望之和直接就是 </t>
    </r>
    <r>
      <rPr>
        <sz val="11"/>
        <color theme="1"/>
        <rFont val="Calibri"/>
        <family val="2"/>
        <charset val="1"/>
      </rPr>
      <t xml:space="preserve">RTP</t>
    </r>
    <r>
      <rPr>
        <sz val="11"/>
        <color theme="1"/>
        <rFont val="Noto Sans SC"/>
        <family val="2"/>
        <charset val="134"/>
      </rPr>
      <t xml:space="preserve">（原文未再除基数）</t>
    </r>
  </si>
  <si>
    <t xml:space="preserve">图标集</t>
  </si>
  <si>
    <r>
      <rPr>
        <sz val="11"/>
        <color rgb="FF0000FF"/>
        <rFont val="Cambria"/>
        <family val="0"/>
        <charset val="1"/>
      </rPr>
      <t xml:space="preserve">J / Q / K </t>
    </r>
    <r>
      <rPr>
        <sz val="11"/>
        <color rgb="FF0000FF"/>
        <rFont val="Noto Sans SC"/>
        <family val="2"/>
        <charset val="134"/>
      </rPr>
      <t xml:space="preserve">＋ </t>
    </r>
    <r>
      <rPr>
        <sz val="11"/>
        <color rgb="FF0000FF"/>
        <rFont val="Cambria"/>
        <family val="0"/>
        <charset val="1"/>
      </rPr>
      <t xml:space="preserve">Wild / Scatter</t>
    </r>
  </si>
  <si>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 </t>
    </r>
    <r>
      <rPr>
        <sz val="11"/>
        <color theme="1"/>
        <rFont val="Noto Sans SC"/>
        <family val="2"/>
        <charset val="134"/>
      </rPr>
      <t xml:space="preserve">为标准图标</t>
    </r>
  </si>
  <si>
    <t xml:space="preserve">百搭规则</t>
  </si>
  <si>
    <r>
      <rPr>
        <sz val="11"/>
        <color rgb="FF0000FF"/>
        <rFont val="Cambria"/>
        <family val="0"/>
        <charset val="1"/>
      </rPr>
      <t xml:space="preserve">Wild </t>
    </r>
    <r>
      <rPr>
        <sz val="11"/>
        <color rgb="FF0000FF"/>
        <rFont val="Noto Sans SC"/>
        <family val="2"/>
        <charset val="134"/>
      </rPr>
      <t xml:space="preserve">可替代除 </t>
    </r>
    <r>
      <rPr>
        <sz val="11"/>
        <color rgb="FF0000FF"/>
        <rFont val="Cambria"/>
        <family val="0"/>
        <charset val="1"/>
      </rPr>
      <t xml:space="preserve">Scatter </t>
    </r>
    <r>
      <rPr>
        <sz val="11"/>
        <color rgb="FF0000FF"/>
        <rFont val="Noto Sans SC"/>
        <family val="2"/>
        <charset val="134"/>
      </rPr>
      <t xml:space="preserve">外的所有图标；本身无赔付倍数</t>
    </r>
  </si>
  <si>
    <t xml:space="preserve">故第一列也允许出现百搭</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</si>
  <si>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】固定卷轴排列（</t>
    </r>
    <r>
      <rPr>
        <b val="true"/>
        <sz val="11"/>
        <color rgb="FF1F4E79"/>
        <rFont val="Cambria"/>
        <family val="0"/>
        <charset val="1"/>
      </rPr>
      <t xml:space="preserve">8 </t>
    </r>
    <r>
      <rPr>
        <b val="true"/>
        <sz val="11"/>
        <color rgb="FF1F4E79"/>
        <rFont val="Noto Sans SC"/>
        <family val="2"/>
        <charset val="134"/>
      </rPr>
      <t xml:space="preserve">停 </t>
    </r>
    <r>
      <rPr>
        <b val="true"/>
        <sz val="11"/>
        <color rgb="FF1F4E79"/>
        <rFont val="Cambria"/>
        <family val="0"/>
        <charset val="1"/>
      </rPr>
      <t xml:space="preserve">× 3 </t>
    </r>
    <r>
      <rPr>
        <b val="true"/>
        <sz val="11"/>
        <color rgb="FF1F4E79"/>
        <rFont val="Noto Sans SC"/>
        <family val="2"/>
        <charset val="134"/>
      </rPr>
      <t xml:space="preserve">列，按原文配图转录；三列内容相同）</t>
    </r>
  </si>
  <si>
    <t xml:space="preserve">停位</t>
  </si>
  <si>
    <r>
      <rPr>
        <b val="true"/>
        <sz val="11"/>
        <color rgb="FF1F4E79"/>
        <rFont val="Noto Sans SC"/>
        <family val="2"/>
        <charset val="134"/>
      </rPr>
      <t xml:space="preserve">列</t>
    </r>
    <r>
      <rPr>
        <b val="true"/>
        <sz val="11"/>
        <color rgb="FF1F4E79"/>
        <rFont val="Cambria"/>
        <family val="0"/>
        <charset val="1"/>
      </rPr>
      <t xml:space="preserve">1</t>
    </r>
  </si>
  <si>
    <r>
      <rPr>
        <b val="true"/>
        <sz val="11"/>
        <color rgb="FF1F4E79"/>
        <rFont val="Noto Sans SC"/>
        <family val="2"/>
        <charset val="134"/>
      </rPr>
      <t xml:space="preserve">列</t>
    </r>
    <r>
      <rPr>
        <b val="true"/>
        <sz val="11"/>
        <color rgb="FF1F4E79"/>
        <rFont val="Cambria"/>
        <family val="0"/>
        <charset val="1"/>
      </rPr>
      <t xml:space="preserve">2</t>
    </r>
  </si>
  <si>
    <r>
      <rPr>
        <b val="true"/>
        <sz val="11"/>
        <color rgb="FF1F4E79"/>
        <rFont val="Noto Sans SC"/>
        <family val="2"/>
        <charset val="134"/>
      </rPr>
      <t xml:space="preserve">列</t>
    </r>
    <r>
      <rPr>
        <b val="true"/>
        <sz val="11"/>
        <color rgb="FF1F4E79"/>
        <rFont val="Cambria"/>
        <family val="0"/>
        <charset val="1"/>
      </rPr>
      <t xml:space="preserve">3</t>
    </r>
  </si>
  <si>
    <t xml:space="preserve">J</t>
  </si>
  <si>
    <r>
      <rPr>
        <sz val="11"/>
        <color theme="1"/>
        <rFont val="Calibri"/>
        <family val="2"/>
        <charset val="1"/>
      </rPr>
      <t xml:space="preserve">J/Q/K </t>
    </r>
    <r>
      <rPr>
        <sz val="11"/>
        <color theme="1"/>
        <rFont val="Noto Sans SC"/>
        <family val="2"/>
        <charset val="134"/>
      </rPr>
      <t xml:space="preserve">各 </t>
    </r>
    <r>
      <rPr>
        <sz val="11"/>
        <color theme="1"/>
        <rFont val="Calibri"/>
        <family val="2"/>
        <charset val="1"/>
      </rPr>
      <t xml:space="preserve">2 </t>
    </r>
    <r>
      <rPr>
        <sz val="11"/>
        <color theme="1"/>
        <rFont val="Noto Sans SC"/>
        <family val="2"/>
        <charset val="134"/>
      </rPr>
      <t xml:space="preserve">个</t>
    </r>
  </si>
  <si>
    <t xml:space="preserve">Q</t>
  </si>
  <si>
    <t xml:space="preserve">K</t>
  </si>
  <si>
    <t xml:space="preserve">Wild</t>
  </si>
  <si>
    <r>
      <rPr>
        <sz val="11"/>
        <color theme="1"/>
        <rFont val="Noto Sans SC"/>
        <family val="2"/>
        <charset val="134"/>
      </rPr>
      <t xml:space="preserve">每列 </t>
    </r>
    <r>
      <rPr>
        <sz val="11"/>
        <color theme="1"/>
        <rFont val="Calibri"/>
        <family val="2"/>
        <charset val="1"/>
      </rPr>
      <t xml:space="preserve">1 </t>
    </r>
    <r>
      <rPr>
        <sz val="11"/>
        <color theme="1"/>
        <rFont val="Noto Sans SC"/>
        <family val="2"/>
        <charset val="134"/>
      </rPr>
      <t xml:space="preserve">个百搭（各标准图标各计一次）</t>
    </r>
  </si>
  <si>
    <t xml:space="preserve">Scatter</t>
  </si>
  <si>
    <r>
      <rPr>
        <sz val="11"/>
        <color theme="1"/>
        <rFont val="Noto Sans SC"/>
        <family val="2"/>
        <charset val="134"/>
      </rPr>
      <t xml:space="preserve">每列 </t>
    </r>
    <r>
      <rPr>
        <sz val="11"/>
        <color theme="1"/>
        <rFont val="Calibri"/>
        <family val="2"/>
        <charset val="1"/>
      </rPr>
      <t xml:space="preserve">1 </t>
    </r>
    <r>
      <rPr>
        <sz val="11"/>
        <color theme="1"/>
        <rFont val="Noto Sans SC"/>
        <family val="2"/>
        <charset val="134"/>
      </rPr>
      <t xml:space="preserve">个 </t>
    </r>
    <r>
      <rPr>
        <sz val="11"/>
        <color theme="1"/>
        <rFont val="Calibri"/>
        <family val="2"/>
        <charset val="1"/>
      </rPr>
      <t xml:space="preserve">Scatter</t>
    </r>
    <r>
      <rPr>
        <sz val="11"/>
        <color theme="1"/>
        <rFont val="Noto Sans SC"/>
        <family val="2"/>
        <charset val="134"/>
      </rPr>
      <t xml:space="preserve">（列</t>
    </r>
    <r>
      <rPr>
        <sz val="11"/>
        <color theme="1"/>
        <rFont val="Calibri"/>
        <family val="2"/>
        <charset val="1"/>
      </rPr>
      <t xml:space="preserve">2 </t>
    </r>
    <r>
      <rPr>
        <sz val="11"/>
        <color theme="1"/>
        <rFont val="Noto Sans SC"/>
        <family val="2"/>
        <charset val="134"/>
      </rPr>
      <t xml:space="preserve">有 </t>
    </r>
    <r>
      <rPr>
        <sz val="11"/>
        <color theme="1"/>
        <rFont val="Calibri"/>
        <family val="2"/>
        <charset val="1"/>
      </rPr>
      <t xml:space="preserve">3 </t>
    </r>
    <r>
      <rPr>
        <sz val="11"/>
        <color theme="1"/>
        <rFont val="Noto Sans SC"/>
        <family val="2"/>
        <charset val="134"/>
      </rPr>
      <t xml:space="preserve">行 → 事件数 </t>
    </r>
    <r>
      <rPr>
        <sz val="11"/>
        <color theme="1"/>
        <rFont val="Calibri"/>
        <family val="2"/>
        <charset val="1"/>
      </rPr>
      <t xml:space="preserve">×3</t>
    </r>
    <r>
      <rPr>
        <sz val="11"/>
        <color theme="1"/>
        <rFont val="Noto Sans SC"/>
        <family val="2"/>
        <charset val="134"/>
      </rPr>
      <t xml:space="preserve">）</t>
    </r>
  </si>
  <si>
    <t xml:space="preserve">每列格数</t>
  </si>
  <si>
    <r>
      <rPr>
        <sz val="11"/>
        <color theme="1"/>
        <rFont val="Noto Sans SC"/>
        <family val="2"/>
        <charset val="134"/>
      </rPr>
      <t xml:space="preserve">应＝ 每列停位数 </t>
    </r>
    <r>
      <rPr>
        <sz val="11"/>
        <color theme="1"/>
        <rFont val="Calibri"/>
        <family val="2"/>
        <charset val="1"/>
      </rPr>
      <t xml:space="preserve">8</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</si>
  <si>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】图标个数与事件数（原文②③：标准图标＝个数＋百搭；</t>
    </r>
    <r>
      <rPr>
        <b val="true"/>
        <sz val="11"/>
        <color rgb="FF1F4E79"/>
        <rFont val="Cambria"/>
        <family val="0"/>
        <charset val="1"/>
      </rPr>
      <t xml:space="preserve">Scatter</t>
    </r>
    <r>
      <rPr>
        <b val="true"/>
        <sz val="11"/>
        <color rgb="FF1F4E79"/>
        <rFont val="Noto Sans SC"/>
        <family val="2"/>
        <charset val="134"/>
      </rPr>
      <t xml:space="preserve">＝个数</t>
    </r>
    <r>
      <rPr>
        <b val="true"/>
        <sz val="11"/>
        <color rgb="FF1F4E79"/>
        <rFont val="Cambria"/>
        <family val="0"/>
        <charset val="1"/>
      </rPr>
      <t xml:space="preserve">×</t>
    </r>
    <r>
      <rPr>
        <b val="true"/>
        <sz val="11"/>
        <color rgb="FF1F4E79"/>
        <rFont val="Noto Sans SC"/>
        <family val="2"/>
        <charset val="134"/>
      </rPr>
      <t xml:space="preserve">该列行数）</t>
    </r>
  </si>
  <si>
    <t xml:space="preserve">图标</t>
  </si>
  <si>
    <r>
      <rPr>
        <b val="true"/>
        <sz val="11"/>
        <color rgb="FF1F4E79"/>
        <rFont val="Noto Sans SC"/>
        <family val="2"/>
        <charset val="134"/>
      </rPr>
      <t xml:space="preserve">列</t>
    </r>
    <r>
      <rPr>
        <b val="true"/>
        <sz val="11"/>
        <color rgb="FF1F4E79"/>
        <rFont val="Cambria"/>
        <family val="0"/>
        <charset val="1"/>
      </rPr>
      <t xml:space="preserve">1 </t>
    </r>
    <r>
      <rPr>
        <b val="true"/>
        <sz val="11"/>
        <color rgb="FF1F4E79"/>
        <rFont val="Noto Sans SC"/>
        <family val="2"/>
        <charset val="134"/>
      </rPr>
      <t xml:space="preserve">事件数</t>
    </r>
  </si>
  <si>
    <r>
      <rPr>
        <b val="true"/>
        <sz val="11"/>
        <color rgb="FF1F4E79"/>
        <rFont val="Noto Sans SC"/>
        <family val="2"/>
        <charset val="134"/>
      </rPr>
      <t xml:space="preserve">列</t>
    </r>
    <r>
      <rPr>
        <b val="true"/>
        <sz val="11"/>
        <color rgb="FF1F4E79"/>
        <rFont val="Cambria"/>
        <family val="0"/>
        <charset val="1"/>
      </rPr>
      <t xml:space="preserve">2 </t>
    </r>
    <r>
      <rPr>
        <b val="true"/>
        <sz val="11"/>
        <color rgb="FF1F4E79"/>
        <rFont val="Noto Sans SC"/>
        <family val="2"/>
        <charset val="134"/>
      </rPr>
      <t xml:space="preserve">事件数</t>
    </r>
  </si>
  <si>
    <r>
      <rPr>
        <b val="true"/>
        <sz val="11"/>
        <color rgb="FF1F4E79"/>
        <rFont val="Noto Sans SC"/>
        <family val="2"/>
        <charset val="134"/>
      </rPr>
      <t xml:space="preserve">列</t>
    </r>
    <r>
      <rPr>
        <b val="true"/>
        <sz val="11"/>
        <color rgb="FF1F4E79"/>
        <rFont val="Cambria"/>
        <family val="0"/>
        <charset val="1"/>
      </rPr>
      <t xml:space="preserve">3 </t>
    </r>
    <r>
      <rPr>
        <b val="true"/>
        <sz val="11"/>
        <color rgb="FF1F4E79"/>
        <rFont val="Noto Sans SC"/>
        <family val="2"/>
        <charset val="134"/>
      </rPr>
      <t xml:space="preserve">事件数</t>
    </r>
  </si>
  <si>
    <r>
      <rPr>
        <sz val="11"/>
        <color theme="1"/>
        <rFont val="Calibri"/>
        <family val="2"/>
        <charset val="1"/>
      </rPr>
      <t xml:space="preserve">Wild</t>
    </r>
    <r>
      <rPr>
        <sz val="11"/>
        <color theme="1"/>
        <rFont val="Noto Sans SC"/>
        <family val="2"/>
        <charset val="134"/>
      </rPr>
      <t xml:space="preserve">（先列出作参考）</t>
    </r>
  </si>
  <si>
    <t xml:space="preserve">—</t>
  </si>
  <si>
    <t xml:space="preserve">百搭无赔付倍数，只增加标准图标的出现事件数</t>
  </si>
  <si>
    <t xml:space="preserve">标准图标事件数 ＝ 个数 ＋ 该列百搭数</t>
  </si>
  <si>
    <r>
      <rPr>
        <sz val="11"/>
        <color theme="1"/>
        <rFont val="Noto Sans SC"/>
        <family val="2"/>
        <charset val="134"/>
      </rPr>
      <t xml:space="preserve">窗口行数（供 </t>
    </r>
    <r>
      <rPr>
        <sz val="11"/>
        <color theme="1"/>
        <rFont val="Calibri"/>
        <family val="2"/>
        <charset val="1"/>
      </rPr>
      <t xml:space="preserve">Scatter </t>
    </r>
    <r>
      <rPr>
        <sz val="11"/>
        <color theme="1"/>
        <rFont val="Noto Sans SC"/>
        <family val="2"/>
        <charset val="134"/>
      </rPr>
      <t xml:space="preserve">折算）</t>
    </r>
  </si>
  <si>
    <r>
      <rPr>
        <sz val="11"/>
        <color theme="1"/>
        <rFont val="Noto Sans SC"/>
        <family val="2"/>
        <charset val="134"/>
      </rPr>
      <t xml:space="preserve">原文：第二列 </t>
    </r>
    <r>
      <rPr>
        <sz val="11"/>
        <color theme="1"/>
        <rFont val="Calibri"/>
        <family val="2"/>
        <charset val="1"/>
      </rPr>
      <t xml:space="preserve">Scatter </t>
    </r>
    <r>
      <rPr>
        <sz val="11"/>
        <color theme="1"/>
        <rFont val="Noto Sans SC"/>
        <family val="2"/>
        <charset val="134"/>
      </rPr>
      <t xml:space="preserve">共有 </t>
    </r>
    <r>
      <rPr>
        <sz val="11"/>
        <color theme="1"/>
        <rFont val="Calibri"/>
        <family val="2"/>
        <charset val="1"/>
      </rPr>
      <t xml:space="preserve">3 </t>
    </r>
    <r>
      <rPr>
        <sz val="11"/>
        <color theme="1"/>
        <rFont val="Noto Sans SC"/>
        <family val="2"/>
        <charset val="134"/>
      </rPr>
      <t xml:space="preserve">种停留事件</t>
    </r>
  </si>
  <si>
    <r>
      <rPr>
        <sz val="11"/>
        <color theme="1"/>
        <rFont val="Noto Sans SC"/>
        <family val="2"/>
        <charset val="134"/>
      </rPr>
      <t xml:space="preserve">百搭不替代 </t>
    </r>
    <r>
      <rPr>
        <sz val="11"/>
        <color theme="1"/>
        <rFont val="Calibri"/>
        <family val="2"/>
        <charset val="1"/>
      </rPr>
      <t xml:space="preserve">Scatter</t>
    </r>
    <r>
      <rPr>
        <sz val="11"/>
        <color theme="1"/>
        <rFont val="Noto Sans SC"/>
        <family val="2"/>
        <charset val="134"/>
      </rPr>
      <t xml:space="preserve">；事件数 ＝ 个数 </t>
    </r>
    <r>
      <rPr>
        <sz val="11"/>
        <color theme="1"/>
        <rFont val="Calibri"/>
        <family val="2"/>
        <charset val="1"/>
      </rPr>
      <t xml:space="preserve">× </t>
    </r>
    <r>
      <rPr>
        <sz val="11"/>
        <color theme="1"/>
        <rFont val="Noto Sans SC"/>
        <family val="2"/>
        <charset val="134"/>
      </rPr>
      <t xml:space="preserve">该列行数</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</si>
  <si>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】中奖率 ＝ 各列事件数之积 </t>
    </r>
    <r>
      <rPr>
        <b val="true"/>
        <sz val="11"/>
        <color rgb="FF1F4E79"/>
        <rFont val="Cambria"/>
        <family val="0"/>
        <charset val="1"/>
      </rPr>
      <t xml:space="preserve">÷ </t>
    </r>
    <r>
      <rPr>
        <b val="true"/>
        <sz val="11"/>
        <color rgb="FF1F4E79"/>
        <rFont val="Noto Sans SC"/>
        <family val="2"/>
        <charset val="134"/>
      </rPr>
      <t xml:space="preserve">总事件数（原文④）</t>
    </r>
  </si>
  <si>
    <t xml:space="preserve">中奖组合</t>
  </si>
  <si>
    <t xml:space="preserve">中奖事件数</t>
  </si>
  <si>
    <t xml:space="preserve">中奖率</t>
  </si>
  <si>
    <t xml:space="preserve">{J,J,J}</t>
  </si>
  <si>
    <r>
      <rPr>
        <sz val="11"/>
        <color theme="1"/>
        <rFont val="Calibri"/>
        <family val="2"/>
        <charset val="1"/>
      </rPr>
      <t xml:space="preserve">3×3×3 </t>
    </r>
    <r>
      <rPr>
        <sz val="11"/>
        <color theme="1"/>
        <rFont val="Noto Sans SC"/>
        <family val="2"/>
        <charset val="134"/>
      </rPr>
      <t xml:space="preserve">＝ </t>
    </r>
    <r>
      <rPr>
        <sz val="11"/>
        <color theme="1"/>
        <rFont val="Calibri"/>
        <family val="2"/>
        <charset val="1"/>
      </rPr>
      <t xml:space="preserve">27</t>
    </r>
  </si>
  <si>
    <t xml:space="preserve">{Q,Q,Q}</t>
  </si>
  <si>
    <t xml:space="preserve">27</t>
  </si>
  <si>
    <t xml:space="preserve">{K,K,K}</t>
  </si>
  <si>
    <t xml:space="preserve">{S,S,S}</t>
  </si>
  <si>
    <r>
      <rPr>
        <sz val="11"/>
        <color theme="1"/>
        <rFont val="Calibri"/>
        <family val="2"/>
        <charset val="1"/>
      </rPr>
      <t xml:space="preserve">1×3×1 </t>
    </r>
    <r>
      <rPr>
        <sz val="11"/>
        <color theme="1"/>
        <rFont val="Noto Sans SC"/>
        <family val="2"/>
        <charset val="134"/>
      </rPr>
      <t xml:space="preserve">＝ </t>
    </r>
    <r>
      <rPr>
        <sz val="11"/>
        <color theme="1"/>
        <rFont val="Calibri"/>
        <family val="2"/>
        <charset val="1"/>
      </rPr>
      <t xml:space="preserve">3</t>
    </r>
    <r>
      <rPr>
        <sz val="11"/>
        <color theme="1"/>
        <rFont val="Noto Sans SC"/>
        <family val="2"/>
        <charset val="134"/>
      </rPr>
      <t xml:space="preserve">（仅列</t>
    </r>
    <r>
      <rPr>
        <sz val="11"/>
        <color theme="1"/>
        <rFont val="Calibri"/>
        <family val="2"/>
        <charset val="1"/>
      </rPr>
      <t xml:space="preserve">2 </t>
    </r>
    <r>
      <rPr>
        <sz val="11"/>
        <color theme="1"/>
        <rFont val="Noto Sans SC"/>
        <family val="2"/>
        <charset val="134"/>
      </rPr>
      <t xml:space="preserve">有 </t>
    </r>
    <r>
      <rPr>
        <sz val="11"/>
        <color theme="1"/>
        <rFont val="Calibri"/>
        <family val="2"/>
        <charset val="1"/>
      </rPr>
      <t xml:space="preserve">3 </t>
    </r>
    <r>
      <rPr>
        <sz val="11"/>
        <color theme="1"/>
        <rFont val="Noto Sans SC"/>
        <family val="2"/>
        <charset val="134"/>
      </rPr>
      <t xml:space="preserve">种停留）</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</si>
  <si>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】标准图标 </t>
    </r>
    <r>
      <rPr>
        <b val="true"/>
        <sz val="11"/>
        <color rgb="FF1F4E79"/>
        <rFont val="Cambria"/>
        <family val="0"/>
        <charset val="1"/>
      </rPr>
      <t xml:space="preserve">RTP</t>
    </r>
    <r>
      <rPr>
        <b val="true"/>
        <sz val="11"/>
        <color rgb="FF1F4E79"/>
        <rFont val="Noto Sans SC"/>
        <family val="2"/>
        <charset val="134"/>
      </rPr>
      <t xml:space="preserve">（原文⑤）</t>
    </r>
  </si>
  <si>
    <t xml:space="preserve">赔付倍数</t>
  </si>
  <si>
    <t xml:space="preserve">期望</t>
  </si>
  <si>
    <t xml:space="preserve">5.27% × 2</t>
  </si>
  <si>
    <t xml:space="preserve">5.27% × 5</t>
  </si>
  <si>
    <t xml:space="preserve">5.27% × 10</t>
  </si>
  <si>
    <r>
      <rPr>
        <b val="true"/>
        <sz val="11"/>
        <rFont val="Noto Sans SC"/>
        <family val="2"/>
        <charset val="134"/>
      </rPr>
      <t xml:space="preserve">标准图标 </t>
    </r>
    <r>
      <rPr>
        <b val="true"/>
        <sz val="11"/>
        <rFont val="Cambria"/>
        <family val="0"/>
        <charset val="1"/>
      </rPr>
      <t xml:space="preserve">RTP</t>
    </r>
  </si>
  <si>
    <r>
      <rPr>
        <sz val="11"/>
        <color theme="1"/>
        <rFont val="Noto Sans SC"/>
        <family val="2"/>
        <charset val="134"/>
      </rPr>
      <t xml:space="preserve">原文⑤：</t>
    </r>
    <r>
      <rPr>
        <sz val="11"/>
        <color theme="1"/>
        <rFont val="Calibri"/>
        <family val="2"/>
        <charset val="1"/>
      </rPr>
      <t xml:space="preserve">0.8965</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</si>
  <si>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】免费摇：触发期望 → 无穷级数求和 → 免费摇 </t>
    </r>
    <r>
      <rPr>
        <b val="true"/>
        <sz val="11"/>
        <color rgb="FF1F4E79"/>
        <rFont val="Cambria"/>
        <family val="0"/>
        <charset val="1"/>
      </rPr>
      <t xml:space="preserve">RTP</t>
    </r>
    <r>
      <rPr>
        <b val="true"/>
        <sz val="11"/>
        <color rgb="FF1F4E79"/>
        <rFont val="Noto Sans SC"/>
        <family val="2"/>
        <charset val="134"/>
      </rPr>
      <t xml:space="preserve">（原文⑥⑦⑧）</t>
    </r>
  </si>
  <si>
    <r>
      <rPr>
        <sz val="11"/>
        <color theme="1"/>
        <rFont val="Noto Sans SC"/>
        <family val="2"/>
        <charset val="134"/>
      </rPr>
      <t xml:space="preserve">触发免费摇的几率（三列均 </t>
    </r>
    <r>
      <rPr>
        <sz val="11"/>
        <color theme="1"/>
        <rFont val="Calibri"/>
        <family val="2"/>
        <charset val="1"/>
      </rPr>
      <t xml:space="preserve">Scatter</t>
    </r>
    <r>
      <rPr>
        <sz val="11"/>
        <color theme="1"/>
        <rFont val="Noto Sans SC"/>
        <family val="2"/>
        <charset val="134"/>
      </rPr>
      <t xml:space="preserve">）</t>
    </r>
  </si>
  <si>
    <r>
      <rPr>
        <sz val="11"/>
        <color theme="1"/>
        <rFont val="Noto Sans SC"/>
        <family val="2"/>
        <charset val="134"/>
      </rPr>
      <t xml:space="preserve">＝ </t>
    </r>
    <r>
      <rPr>
        <sz val="11"/>
        <color theme="1"/>
        <rFont val="Calibri"/>
        <family val="2"/>
        <charset val="1"/>
      </rPr>
      <t xml:space="preserve">{S,S,S} </t>
    </r>
    <r>
      <rPr>
        <sz val="11"/>
        <color theme="1"/>
        <rFont val="Noto Sans SC"/>
        <family val="2"/>
        <charset val="134"/>
      </rPr>
      <t xml:space="preserve">的中奖率 </t>
    </r>
    <r>
      <rPr>
        <sz val="11"/>
        <color theme="1"/>
        <rFont val="Calibri"/>
        <family val="2"/>
        <charset val="1"/>
      </rPr>
      <t xml:space="preserve">0.5859%</t>
    </r>
  </si>
  <si>
    <t xml:space="preserve">普通摇触发时的免费摇次数</t>
  </si>
  <si>
    <r>
      <rPr>
        <sz val="11"/>
        <color theme="1"/>
        <rFont val="Noto Sans SC"/>
        <family val="2"/>
        <charset val="134"/>
      </rPr>
      <t xml:space="preserve">原文设定：免费摇固定 </t>
    </r>
    <r>
      <rPr>
        <sz val="11"/>
        <color theme="1"/>
        <rFont val="Calibri"/>
        <family val="2"/>
        <charset val="1"/>
      </rPr>
      <t xml:space="preserve">10 </t>
    </r>
    <r>
      <rPr>
        <sz val="11"/>
        <color theme="1"/>
        <rFont val="Noto Sans SC"/>
        <family val="2"/>
        <charset val="134"/>
      </rPr>
      <t xml:space="preserve">次</t>
    </r>
  </si>
  <si>
    <t xml:space="preserve">普通摇触发的期望次数</t>
  </si>
  <si>
    <r>
      <rPr>
        <sz val="11"/>
        <color theme="1"/>
        <rFont val="Noto Sans SC"/>
        <family val="2"/>
        <charset val="134"/>
      </rPr>
      <t xml:space="preserve">＝ </t>
    </r>
    <r>
      <rPr>
        <sz val="11"/>
        <color theme="1"/>
        <rFont val="Calibri"/>
        <family val="2"/>
        <charset val="1"/>
      </rPr>
      <t xml:space="preserve">0.5859% × 10 </t>
    </r>
    <r>
      <rPr>
        <sz val="11"/>
        <color theme="1"/>
        <rFont val="Noto Sans SC"/>
        <family val="2"/>
        <charset val="134"/>
      </rPr>
      <t xml:space="preserve">＝ </t>
    </r>
    <r>
      <rPr>
        <sz val="11"/>
        <color theme="1"/>
        <rFont val="Calibri"/>
        <family val="2"/>
        <charset val="1"/>
      </rPr>
      <t xml:space="preserve">0.0586</t>
    </r>
  </si>
  <si>
    <t xml:space="preserve">免费摇中再触发的免费摇次数</t>
  </si>
  <si>
    <r>
      <rPr>
        <sz val="11"/>
        <color theme="1"/>
        <rFont val="Noto Sans SC"/>
        <family val="2"/>
        <charset val="134"/>
      </rPr>
      <t xml:space="preserve">免费摇里 </t>
    </r>
    <r>
      <rPr>
        <sz val="11"/>
        <color theme="1"/>
        <rFont val="Calibri"/>
        <family val="2"/>
        <charset val="1"/>
      </rPr>
      <t xml:space="preserve">Scatter </t>
    </r>
    <r>
      <rPr>
        <sz val="11"/>
        <color theme="1"/>
        <rFont val="Noto Sans SC"/>
        <family val="2"/>
        <charset val="134"/>
      </rPr>
      <t xml:space="preserve">再次三列齐全时给的次数</t>
    </r>
  </si>
  <si>
    <t xml:space="preserve">单次免费摇的再触发期望</t>
  </si>
  <si>
    <r>
      <rPr>
        <sz val="11"/>
        <color theme="1"/>
        <rFont val="Noto Sans SC"/>
        <family val="2"/>
        <charset val="134"/>
      </rPr>
      <t xml:space="preserve">＝ </t>
    </r>
    <r>
      <rPr>
        <sz val="11"/>
        <color theme="1"/>
        <rFont val="Calibri"/>
        <family val="2"/>
        <charset val="1"/>
      </rPr>
      <t xml:space="preserve">0.5859% × 5 </t>
    </r>
    <r>
      <rPr>
        <sz val="11"/>
        <color theme="1"/>
        <rFont val="Noto Sans SC"/>
        <family val="2"/>
        <charset val="134"/>
      </rPr>
      <t xml:space="preserve">＝ </t>
    </r>
    <r>
      <rPr>
        <sz val="11"/>
        <color theme="1"/>
        <rFont val="Calibri"/>
        <family val="2"/>
        <charset val="1"/>
      </rPr>
      <t xml:space="preserve">0.0293</t>
    </r>
  </si>
  <si>
    <t xml:space="preserve">综合免费摇期望次数</t>
  </si>
  <si>
    <r>
      <rPr>
        <sz val="11"/>
        <color theme="1"/>
        <rFont val="Noto Sans SC"/>
        <family val="2"/>
        <charset val="134"/>
      </rPr>
      <t xml:space="preserve">无穷级数求和：原文 </t>
    </r>
    <r>
      <rPr>
        <sz val="11"/>
        <color theme="1"/>
        <rFont val="Calibri"/>
        <family val="2"/>
        <charset val="1"/>
      </rPr>
      <t xml:space="preserve">0.0604</t>
    </r>
  </si>
  <si>
    <r>
      <rPr>
        <sz val="11"/>
        <color theme="1"/>
        <rFont val="Noto Sans SC"/>
        <family val="2"/>
        <charset val="134"/>
      </rPr>
      <t xml:space="preserve">免费摇标准图标 </t>
    </r>
    <r>
      <rPr>
        <sz val="11"/>
        <color theme="1"/>
        <rFont val="Calibri"/>
        <family val="2"/>
        <charset val="1"/>
      </rPr>
      <t xml:space="preserve">RTP</t>
    </r>
  </si>
  <si>
    <r>
      <rPr>
        <sz val="11"/>
        <color theme="1"/>
        <rFont val="Noto Sans SC"/>
        <family val="2"/>
        <charset val="134"/>
      </rPr>
      <t xml:space="preserve">同上卷轴 → 同为 </t>
    </r>
    <r>
      <rPr>
        <sz val="11"/>
        <color theme="1"/>
        <rFont val="Calibri"/>
        <family val="2"/>
        <charset val="1"/>
      </rPr>
      <t xml:space="preserve">0.8965</t>
    </r>
  </si>
  <si>
    <r>
      <rPr>
        <b val="true"/>
        <sz val="11"/>
        <rFont val="Noto Sans SC"/>
        <family val="2"/>
        <charset val="134"/>
      </rPr>
      <t xml:space="preserve">免费摇 </t>
    </r>
    <r>
      <rPr>
        <b val="true"/>
        <sz val="11"/>
        <rFont val="Cambria"/>
        <family val="0"/>
        <charset val="1"/>
      </rPr>
      <t xml:space="preserve">RTP</t>
    </r>
  </si>
  <si>
    <r>
      <rPr>
        <sz val="11"/>
        <color theme="1"/>
        <rFont val="Noto Sans SC"/>
        <family val="2"/>
        <charset val="134"/>
      </rPr>
      <t xml:space="preserve">＝ </t>
    </r>
    <r>
      <rPr>
        <sz val="11"/>
        <color theme="1"/>
        <rFont val="Calibri"/>
        <family val="2"/>
        <charset val="1"/>
      </rPr>
      <t xml:space="preserve">0.0604 × 0.8965 </t>
    </r>
    <r>
      <rPr>
        <sz val="11"/>
        <color theme="1"/>
        <rFont val="Noto Sans SC"/>
        <family val="2"/>
        <charset val="134"/>
      </rPr>
      <t xml:space="preserve">＝ </t>
    </r>
    <r>
      <rPr>
        <sz val="11"/>
        <color theme="1"/>
        <rFont val="Calibri"/>
        <family val="2"/>
        <charset val="1"/>
      </rPr>
      <t xml:space="preserve">0.0541</t>
    </r>
  </si>
  <si>
    <r>
      <rPr>
        <b val="true"/>
        <sz val="11"/>
        <rFont val="Noto Sans SC"/>
        <family val="2"/>
        <charset val="134"/>
      </rPr>
      <t xml:space="preserve">综合 </t>
    </r>
    <r>
      <rPr>
        <b val="true"/>
        <sz val="11"/>
        <rFont val="Cambria"/>
        <family val="0"/>
        <charset val="1"/>
      </rPr>
      <t xml:space="preserve">RTP</t>
    </r>
  </si>
  <si>
    <r>
      <rPr>
        <sz val="11"/>
        <color theme="1"/>
        <rFont val="Noto Sans SC"/>
        <family val="2"/>
        <charset val="134"/>
      </rPr>
      <t xml:space="preserve">＝ </t>
    </r>
    <r>
      <rPr>
        <sz val="11"/>
        <color theme="1"/>
        <rFont val="Calibri"/>
        <family val="2"/>
        <charset val="1"/>
      </rPr>
      <t xml:space="preserve">0.8965 </t>
    </r>
    <r>
      <rPr>
        <sz val="11"/>
        <color theme="1"/>
        <rFont val="Noto Sans SC"/>
        <family val="2"/>
        <charset val="134"/>
      </rPr>
      <t xml:space="preserve">＋ </t>
    </r>
    <r>
      <rPr>
        <sz val="11"/>
        <color theme="1"/>
        <rFont val="Calibri"/>
        <family val="2"/>
        <charset val="1"/>
      </rPr>
      <t xml:space="preserve">0.0541 </t>
    </r>
    <r>
      <rPr>
        <sz val="11"/>
        <color theme="1"/>
        <rFont val="Noto Sans SC"/>
        <family val="2"/>
        <charset val="134"/>
      </rPr>
      <t xml:space="preserve">＝ </t>
    </r>
    <r>
      <rPr>
        <sz val="11"/>
        <color theme="1"/>
        <rFont val="Calibri"/>
        <family val="2"/>
        <charset val="1"/>
      </rPr>
      <t xml:space="preserve">0.9506</t>
    </r>
    <r>
      <rPr>
        <sz val="11"/>
        <color theme="1"/>
        <rFont val="Noto Sans SC"/>
        <family val="2"/>
        <charset val="134"/>
      </rPr>
      <t xml:space="preserve">（原文 </t>
    </r>
    <r>
      <rPr>
        <sz val="11"/>
        <color theme="1"/>
        <rFont val="Calibri"/>
        <family val="2"/>
        <charset val="1"/>
      </rPr>
      <t xml:space="preserve">95.06%</t>
    </r>
    <r>
      <rPr>
        <sz val="11"/>
        <color theme="1"/>
        <rFont val="Noto Sans SC"/>
        <family val="2"/>
        <charset val="134"/>
      </rPr>
      <t xml:space="preserve">）</t>
    </r>
  </si>
  <si>
    <r>
      <rPr>
        <b val="true"/>
        <sz val="11"/>
        <color rgb="FF1F4E79"/>
        <rFont val="Noto Sans SC"/>
        <family val="2"/>
        <charset val="134"/>
      </rPr>
      <t xml:space="preserve">【</t>
    </r>
    <r>
      <rPr>
        <b val="true"/>
        <sz val="11"/>
        <color rgb="FF1F4E79"/>
        <rFont val="Cambria"/>
        <family val="0"/>
        <charset val="1"/>
      </rPr>
      <t xml:space="preserve">7</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</si>
  <si>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</si>
  <si>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</si>
  <si>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总事件数 ＝ 每列停位数 </t>
    </r>
    <r>
      <rPr>
        <sz val="11"/>
        <color theme="1"/>
        <rFont val="Calibri"/>
        <family val="2"/>
        <charset val="1"/>
      </rPr>
      <t xml:space="preserve">^ </t>
    </r>
    <r>
      <rPr>
        <sz val="11"/>
        <color theme="1"/>
        <rFont val="Noto Sans SC"/>
        <family val="2"/>
        <charset val="134"/>
      </rPr>
      <t xml:space="preserve">列数</t>
    </r>
  </si>
  <si>
    <t xml:space="preserve">512</t>
  </si>
  <si>
    <r>
      <rPr>
        <sz val="11"/>
        <color theme="1"/>
        <rFont val="Noto Sans SC"/>
        <family val="2"/>
        <charset val="134"/>
      </rPr>
      <t xml:space="preserve">每列格数 ＝ </t>
    </r>
    <r>
      <rPr>
        <sz val="11"/>
        <color theme="1"/>
        <rFont val="Calibri"/>
        <family val="2"/>
        <charset val="1"/>
      </rPr>
      <t xml:space="preserve">8</t>
    </r>
  </si>
  <si>
    <r>
      <rPr>
        <sz val="11"/>
        <color theme="1"/>
        <rFont val="Noto Sans SC"/>
        <family val="2"/>
        <charset val="134"/>
      </rPr>
      <t xml:space="preserve">【</t>
    </r>
    <r>
      <rPr>
        <sz val="11"/>
        <color theme="1"/>
        <rFont val="Calibri"/>
        <family val="2"/>
        <charset val="1"/>
      </rPr>
      <t xml:space="preserve">2</t>
    </r>
    <r>
      <rPr>
        <sz val="11"/>
        <color theme="1"/>
        <rFont val="Noto Sans SC"/>
        <family val="2"/>
        <charset val="134"/>
      </rPr>
      <t xml:space="preserve">】</t>
    </r>
  </si>
  <si>
    <t xml:space="preserve">标准图标事件数 ＝ 个数 ＋ 百搭数</t>
  </si>
  <si>
    <r>
      <rPr>
        <sz val="11"/>
        <color theme="1"/>
        <rFont val="Calibri"/>
        <family val="2"/>
        <charset val="1"/>
      </rPr>
      <t xml:space="preserve">J </t>
    </r>
    <r>
      <rPr>
        <sz val="11"/>
        <color theme="1"/>
        <rFont val="Noto Sans SC"/>
        <family val="2"/>
        <charset val="134"/>
      </rPr>
      <t xml:space="preserve">列</t>
    </r>
    <r>
      <rPr>
        <sz val="11"/>
        <color theme="1"/>
        <rFont val="Calibri"/>
        <family val="2"/>
        <charset val="1"/>
      </rPr>
      <t xml:space="preserve">1</t>
    </r>
    <r>
      <rPr>
        <sz val="11"/>
        <color theme="1"/>
        <rFont val="Noto Sans SC"/>
        <family val="2"/>
        <charset val="134"/>
      </rPr>
      <t xml:space="preserve">：</t>
    </r>
    <r>
      <rPr>
        <sz val="11"/>
        <color theme="1"/>
        <rFont val="Calibri"/>
        <family val="2"/>
        <charset val="1"/>
      </rPr>
      <t xml:space="preserve">2</t>
    </r>
    <r>
      <rPr>
        <sz val="11"/>
        <color theme="1"/>
        <rFont val="Noto Sans SC"/>
        <family val="2"/>
        <charset val="134"/>
      </rPr>
      <t xml:space="preserve">＋</t>
    </r>
    <r>
      <rPr>
        <sz val="11"/>
        <color theme="1"/>
        <rFont val="Calibri"/>
        <family val="2"/>
        <charset val="1"/>
      </rPr>
      <t xml:space="preserve">1</t>
    </r>
    <r>
      <rPr>
        <sz val="11"/>
        <color theme="1"/>
        <rFont val="Noto Sans SC"/>
        <family val="2"/>
        <charset val="134"/>
      </rPr>
      <t xml:space="preserve">＝</t>
    </r>
    <r>
      <rPr>
        <sz val="11"/>
        <color theme="1"/>
        <rFont val="Calibri"/>
        <family val="2"/>
        <charset val="1"/>
      </rPr>
      <t xml:space="preserve">3</t>
    </r>
  </si>
  <si>
    <r>
      <rPr>
        <sz val="11"/>
        <color theme="1"/>
        <rFont val="Calibri"/>
        <family val="2"/>
        <charset val="1"/>
      </rPr>
      <t xml:space="preserve">Scatter </t>
    </r>
    <r>
      <rPr>
        <sz val="11"/>
        <color theme="1"/>
        <rFont val="Noto Sans SC"/>
        <family val="2"/>
        <charset val="134"/>
      </rPr>
      <t xml:space="preserve">事件数 ＝ 个数 </t>
    </r>
    <r>
      <rPr>
        <sz val="11"/>
        <color theme="1"/>
        <rFont val="Calibri"/>
        <family val="2"/>
        <charset val="1"/>
      </rPr>
      <t xml:space="preserve">× </t>
    </r>
    <r>
      <rPr>
        <sz val="11"/>
        <color theme="1"/>
        <rFont val="Noto Sans SC"/>
        <family val="2"/>
        <charset val="134"/>
      </rPr>
      <t xml:space="preserve">该列行数</t>
    </r>
  </si>
  <si>
    <r>
      <rPr>
        <sz val="11"/>
        <color theme="1"/>
        <rFont val="Noto Sans SC"/>
        <family val="2"/>
        <charset val="134"/>
      </rPr>
      <t xml:space="preserve">列</t>
    </r>
    <r>
      <rPr>
        <sz val="11"/>
        <color theme="1"/>
        <rFont val="Calibri"/>
        <family val="2"/>
        <charset val="1"/>
      </rPr>
      <t xml:space="preserve">2</t>
    </r>
    <r>
      <rPr>
        <sz val="11"/>
        <color theme="1"/>
        <rFont val="Noto Sans SC"/>
        <family val="2"/>
        <charset val="134"/>
      </rPr>
      <t xml:space="preserve">：</t>
    </r>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3</t>
    </r>
  </si>
  <si>
    <r>
      <rPr>
        <sz val="11"/>
        <color theme="1"/>
        <rFont val="Noto Sans SC"/>
        <family val="2"/>
        <charset val="134"/>
      </rPr>
      <t xml:space="preserve">标准图标 </t>
    </r>
    <r>
      <rPr>
        <sz val="11"/>
        <color theme="1"/>
        <rFont val="Calibri"/>
        <family val="2"/>
        <charset val="1"/>
      </rPr>
      <t xml:space="preserve">RTP </t>
    </r>
    <r>
      <rPr>
        <sz val="11"/>
        <color theme="1"/>
        <rFont val="Noto Sans SC"/>
        <family val="2"/>
        <charset val="134"/>
      </rPr>
      <t xml:space="preserve">＝ 原文 </t>
    </r>
    <r>
      <rPr>
        <sz val="11"/>
        <color theme="1"/>
        <rFont val="Calibri"/>
        <family val="2"/>
        <charset val="1"/>
      </rPr>
      <t xml:space="preserve">0.8965</t>
    </r>
  </si>
  <si>
    <t xml:space="preserve">原文⑤</t>
  </si>
  <si>
    <r>
      <rPr>
        <sz val="11"/>
        <color theme="1"/>
        <rFont val="Noto Sans SC"/>
        <family val="2"/>
        <charset val="134"/>
      </rPr>
      <t xml:space="preserve">综合免费摇期望次数 ＝ 原文 </t>
    </r>
    <r>
      <rPr>
        <sz val="11"/>
        <color theme="1"/>
        <rFont val="Calibri"/>
        <family val="2"/>
        <charset val="1"/>
      </rPr>
      <t xml:space="preserve">0.0604</t>
    </r>
  </si>
  <si>
    <t xml:space="preserve">无穷级数求和</t>
  </si>
  <si>
    <r>
      <rPr>
        <sz val="11"/>
        <color theme="1"/>
        <rFont val="Noto Sans SC"/>
        <family val="2"/>
        <charset val="134"/>
      </rPr>
      <t xml:space="preserve">综合 </t>
    </r>
    <r>
      <rPr>
        <sz val="11"/>
        <color theme="1"/>
        <rFont val="Calibri"/>
        <family val="2"/>
        <charset val="1"/>
      </rPr>
      <t xml:space="preserve">RTP </t>
    </r>
    <r>
      <rPr>
        <sz val="11"/>
        <color theme="1"/>
        <rFont val="Noto Sans SC"/>
        <family val="2"/>
        <charset val="134"/>
      </rPr>
      <t xml:space="preserve">＝ 原文 </t>
    </r>
    <r>
      <rPr>
        <sz val="11"/>
        <color theme="1"/>
        <rFont val="Calibri"/>
        <family val="2"/>
        <charset val="1"/>
      </rPr>
      <t xml:space="preserve">95.06%</t>
    </r>
  </si>
  <si>
    <t xml:space="preserve">原文⑧</t>
  </si>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</sst>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6">
    <numFmt numFmtId="164" formatCode="General"/>
    <numFmt numFmtId="165" formatCode="#,##0"/>
    <numFmt numFmtId="166" formatCode="0.00%"/>
    <numFmt numFmtId="167" formatCode="0.0000"/>
    <numFmt numFmtId="168" formatCode="0.0000%"/>
    <numFmt numFmtId="169"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8" fontId="15" fillId="0" borderId="0" xfId="0" applyFont="true" applyBorder="false" applyAlignment="true" applyProtection="true">
      <alignment horizontal="general" vertical="bottom" textRotation="0" wrapText="fals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xf numFmtId="169" applyNumberFormat="1" fontId="15" fillId="0" borderId="0" xfId="0" applyFont="true" applyBorder="false" applyAlignment="true" applyProtection="true">
      <alignment horizontal="general" vertical="bottom" textRotation="0" wrapText="false" indent="0" shrinkToFit="false"/>
      <protection locked="true" hidden="false"/>
    </xf>
    <xf numFmtId="169" applyNumberFormat="1"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9" customFormat="false" ht="15" hidden="false" customHeight="false" outlineLevel="0" collapsed="false">
      <c r="A9" s="4" t="s">
        <v>6</v>
      </c>
    </row>
    <row r="10" customFormat="false" ht="29" hidden="false" customHeight="false" outlineLevel="0" collapsed="false">
      <c r="A10" s="27" t="s">
        <v>7</v>
      </c>
    </row>
    <row r="11" customFormat="false" ht="29" hidden="false" customHeight="false" outlineLevel="0" collapsed="false">
      <c r="A11" s="27"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28" t="s">
        <v>10</v>
      </c>
      <c r="B14" s="6"/>
      <c r="C14" s="6"/>
    </row>
    <row r="15" customFormat="false" ht="42" hidden="false" customHeight="false" outlineLevel="0" collapsed="false">
      <c r="A15" s="27" t="s">
        <v>11</v>
      </c>
    </row>
    <row r="16" customFormat="false" ht="15" hidden="false" customHeight="1" outlineLevel="0" collapsed="false">
      <c r="A16" s="28"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43" hidden="false" customHeight="false" outlineLevel="0" collapsed="false">
      <c r="A19" s="27" t="s">
        <v>14</v>
      </c>
    </row>
    <row r="20" customFormat="false" ht="30" hidden="false" customHeight="false" outlineLevel="0" collapsed="false">
      <c r="A20" s="27" t="s">
        <v>15</v>
      </c>
    </row>
    <row r="21" customFormat="false" ht="29" hidden="false" customHeight="false" outlineLevel="0" collapsed="false">
      <c r="A21" s="29" t="s">
        <v>16</v>
      </c>
    </row>
    <row r="22" customFormat="false" ht="30" hidden="false" customHeight="false" outlineLevel="0" collapsed="false">
      <c r="A22" s="27" t="s">
        <v>17</v>
      </c>
    </row>
    <row r="23" customFormat="false" ht="44" hidden="false" customHeight="false" outlineLevel="0" collapsed="false">
      <c r="A23" s="29" t="s">
        <v>18</v>
      </c>
    </row>
    <row r="24" customFormat="false" ht="30" hidden="false" customHeight="false" outlineLevel="0" collapsed="false">
      <c r="A24" s="27" t="s">
        <v>19</v>
      </c>
    </row>
    <row r="25" customFormat="false" ht="30" hidden="false" customHeight="false" outlineLevel="0" collapsed="false">
      <c r="A25" s="27" t="s">
        <v>20</v>
      </c>
    </row>
    <row r="26" customFormat="false" ht="30" hidden="false" customHeight="false" outlineLevel="0" collapsed="false">
      <c r="A26" s="29" t="s">
        <v>21</v>
      </c>
    </row>
    <row r="27" customFormat="false" ht="30" hidden="false" customHeight="false" outlineLevel="0" collapsed="false">
      <c r="A27" s="27" t="s">
        <v>22</v>
      </c>
    </row>
    <row r="28" customFormat="false" ht="30" hidden="false" customHeight="false" outlineLevel="0" collapsed="false">
      <c r="A28" s="29" t="s">
        <v>23</v>
      </c>
    </row>
    <row r="29" customFormat="false" ht="30" hidden="false" customHeight="false" outlineLevel="0" collapsed="false">
      <c r="A29" s="27" t="s">
        <v>24</v>
      </c>
    </row>
    <row r="31" customFormat="false" ht="15" hidden="false" customHeight="false" outlineLevel="0" collapsed="false">
      <c r="A31" s="4" t="s">
        <v>25</v>
      </c>
    </row>
    <row r="32" customFormat="false" ht="15" hidden="false" customHeight="false" outlineLevel="0" collapsed="false">
      <c r="A32" s="7"/>
    </row>
    <row r="33" customFormat="false" ht="29" hidden="false" customHeight="false" outlineLevel="0" collapsed="false">
      <c r="A33" s="29" t="s">
        <v>26</v>
      </c>
    </row>
    <row r="34" customFormat="false" ht="29" hidden="false" customHeight="false" outlineLevel="0" collapsed="false">
      <c r="A34" s="29" t="s">
        <v>27</v>
      </c>
    </row>
    <row r="35" customFormat="false" ht="15" hidden="false" customHeight="1" outlineLevel="0" collapsed="false">
      <c r="A35" s="30" t="s">
        <v>28</v>
      </c>
      <c r="B35" s="8"/>
      <c r="C35" s="8"/>
      <c r="D35" s="8"/>
      <c r="E35" s="8"/>
    </row>
    <row r="36" customFormat="false" ht="30" hidden="false" customHeight="false" outlineLevel="0" collapsed="false">
      <c r="A36" s="29" t="s">
        <v>29</v>
      </c>
    </row>
    <row r="37" customFormat="false" ht="15" hidden="false" customHeight="false" outlineLevel="0" collapsed="false">
      <c r="A37" s="7"/>
    </row>
    <row r="38" customFormat="false" ht="16" hidden="false" customHeight="false" outlineLevel="0" collapsed="false">
      <c r="A38" s="7" t="s">
        <v>30</v>
      </c>
    </row>
    <row r="39" customFormat="false" ht="15" hidden="false" customHeight="false" outlineLevel="0" collapsed="false">
      <c r="A39" s="7"/>
    </row>
    <row r="40" customFormat="false" ht="16" hidden="false" customHeight="false" outlineLevel="0" collapsed="false">
      <c r="A40" s="7" t="s">
        <v>31</v>
      </c>
    </row>
    <row r="41" customFormat="false" ht="30" hidden="false" customHeight="false" outlineLevel="0" collapsed="false">
      <c r="A41" s="29" t="s">
        <v>32</v>
      </c>
    </row>
    <row r="42" customFormat="false" ht="16" hidden="false" customHeight="false" outlineLevel="0" collapsed="false">
      <c r="A42" s="29" t="s">
        <v>33</v>
      </c>
    </row>
    <row r="43" customFormat="false" ht="43" hidden="false" customHeight="false" outlineLevel="0" collapsed="false">
      <c r="A43" s="29" t="s">
        <v>34</v>
      </c>
    </row>
    <row r="44" customFormat="false" ht="15" hidden="false" customHeight="false" outlineLevel="0" collapsed="false">
      <c r="A44" s="7"/>
    </row>
    <row r="45" customFormat="false" ht="16" hidden="false" customHeight="false" outlineLevel="0" collapsed="false">
      <c r="A45" s="7" t="s">
        <v>35</v>
      </c>
    </row>
    <row r="46" customFormat="false" ht="15" hidden="false" customHeight="false" outlineLevel="0" collapsed="false">
      <c r="A46" s="7"/>
    </row>
    <row r="47" customFormat="false" ht="15" hidden="false" customHeight="false" outlineLevel="0" collapsed="false">
      <c r="A47" s="7" t="s">
        <v>36</v>
      </c>
    </row>
    <row r="48" customFormat="false" ht="15" hidden="false" customHeight="false" outlineLevel="0" collapsed="false">
      <c r="A48" s="7"/>
    </row>
    <row r="49" customFormat="false" ht="29" hidden="false" customHeight="false" outlineLevel="0" collapsed="false">
      <c r="A49" s="29" t="s">
        <v>37</v>
      </c>
    </row>
    <row r="50" customFormat="false" ht="30" hidden="false" customHeight="false" outlineLevel="0" collapsed="false">
      <c r="A50" s="29" t="s">
        <v>38</v>
      </c>
    </row>
    <row r="51" customFormat="false" ht="15" hidden="false" customHeight="false" outlineLevel="0" collapsed="false">
      <c r="A51" s="7"/>
    </row>
    <row r="52" customFormat="false" ht="16" hidden="false" customHeight="false" outlineLevel="0" collapsed="false">
      <c r="A52" s="7" t="s">
        <v>39</v>
      </c>
    </row>
    <row r="53" customFormat="false" ht="15" hidden="false" customHeight="false" outlineLevel="0" collapsed="false">
      <c r="A53" s="7"/>
    </row>
    <row r="54" customFormat="false" ht="16" hidden="false" customHeight="false" outlineLevel="0" collapsed="false">
      <c r="A54" s="7" t="s">
        <v>40</v>
      </c>
    </row>
    <row r="55" customFormat="false" ht="29" hidden="false" customHeight="false" outlineLevel="0" collapsed="false">
      <c r="A55" s="29" t="s">
        <v>41</v>
      </c>
    </row>
    <row r="56" customFormat="false" ht="30" hidden="false" customHeight="false" outlineLevel="0" collapsed="false">
      <c r="A56" s="29" t="s">
        <v>42</v>
      </c>
    </row>
    <row r="57" customFormat="false" ht="16" hidden="false" customHeight="false" outlineLevel="0" collapsed="false">
      <c r="A57" s="29" t="s">
        <v>43</v>
      </c>
    </row>
    <row r="58" customFormat="false" ht="16" hidden="false" customHeight="false" outlineLevel="0" collapsed="false">
      <c r="A58" s="7" t="s">
        <v>44</v>
      </c>
    </row>
    <row r="59" customFormat="false" ht="15" hidden="false" customHeight="false" outlineLevel="0" collapsed="false">
      <c r="A59" s="7" t="s">
        <v>45</v>
      </c>
    </row>
    <row r="60" customFormat="false" ht="15" hidden="false" customHeight="false" outlineLevel="0" collapsed="false">
      <c r="A60" s="7" t="s">
        <v>46</v>
      </c>
    </row>
    <row r="61" customFormat="false" ht="15" hidden="false" customHeight="false" outlineLevel="0" collapsed="false">
      <c r="A61" s="7"/>
    </row>
    <row r="62" customFormat="false" ht="16" hidden="false" customHeight="false" outlineLevel="0" collapsed="false">
      <c r="A62" s="7" t="s">
        <v>47</v>
      </c>
    </row>
    <row r="63" customFormat="false" ht="15" hidden="false" customHeight="false" outlineLevel="0" collapsed="false">
      <c r="A63" s="7"/>
    </row>
    <row r="64" customFormat="false" ht="15" hidden="false" customHeight="false" outlineLevel="0" collapsed="false">
      <c r="A64" s="7" t="s">
        <v>48</v>
      </c>
    </row>
    <row r="65" customFormat="false" ht="16" hidden="false" customHeight="false" outlineLevel="0" collapsed="false">
      <c r="A65" s="29" t="s">
        <v>49</v>
      </c>
    </row>
    <row r="66" customFormat="false" ht="15" hidden="false" customHeight="false" outlineLevel="0" collapsed="false">
      <c r="A66" s="7"/>
    </row>
    <row r="67" customFormat="false" ht="16" hidden="false" customHeight="false" outlineLevel="0" collapsed="false">
      <c r="A67" s="7" t="s">
        <v>50</v>
      </c>
    </row>
    <row r="68" customFormat="false" ht="15" hidden="false" customHeight="false" outlineLevel="0" collapsed="false">
      <c r="A68" s="7"/>
    </row>
    <row r="69" customFormat="false" ht="15" hidden="false" customHeight="false" outlineLevel="0" collapsed="false">
      <c r="A69" s="7" t="s">
        <v>51</v>
      </c>
    </row>
    <row r="70" customFormat="false" ht="29" hidden="false" customHeight="false" outlineLevel="0" collapsed="false">
      <c r="A70" s="29" t="s">
        <v>52</v>
      </c>
    </row>
    <row r="71" customFormat="false" ht="15" hidden="false" customHeight="false" outlineLevel="0" collapsed="false">
      <c r="A71" s="7"/>
    </row>
    <row r="72" customFormat="false" ht="16" hidden="false" customHeight="false" outlineLevel="0" collapsed="false">
      <c r="A72" s="7" t="s">
        <v>53</v>
      </c>
    </row>
    <row r="73" customFormat="false" ht="15" hidden="false" customHeight="false" outlineLevel="0" collapsed="false">
      <c r="A73" s="7"/>
    </row>
    <row r="74" customFormat="false" ht="41" hidden="false" customHeight="false" outlineLevel="0" collapsed="false">
      <c r="A74" s="29" t="s">
        <v>54</v>
      </c>
    </row>
    <row r="75" customFormat="false" ht="29" hidden="false" customHeight="false" outlineLevel="0" collapsed="false">
      <c r="A75" s="29" t="s">
        <v>55</v>
      </c>
    </row>
    <row r="76" customFormat="false" ht="29" hidden="false" customHeight="false" outlineLevel="0" collapsed="false">
      <c r="A76" s="29" t="s">
        <v>56</v>
      </c>
    </row>
    <row r="77" customFormat="false" ht="28" hidden="false" customHeight="false" outlineLevel="0" collapsed="false">
      <c r="A77" s="29" t="s">
        <v>57</v>
      </c>
    </row>
    <row r="78" customFormat="false" ht="28" hidden="false" customHeight="false" outlineLevel="0" collapsed="false">
      <c r="A78" s="29" t="s">
        <v>58</v>
      </c>
    </row>
    <row r="79" customFormat="false" ht="15" hidden="false" customHeight="false" outlineLevel="0" collapsed="false">
      <c r="A79" s="7"/>
    </row>
    <row r="80" customFormat="false" ht="29" hidden="false" customHeight="false" outlineLevel="0" collapsed="false">
      <c r="A80" s="29" t="s">
        <v>59</v>
      </c>
    </row>
    <row r="81" customFormat="false" ht="30" hidden="false" customHeight="false" outlineLevel="0" collapsed="false">
      <c r="A81" s="29" t="s">
        <v>60</v>
      </c>
    </row>
    <row r="82" customFormat="false" ht="29" hidden="false" customHeight="false" outlineLevel="0" collapsed="false">
      <c r="A82" s="29" t="s">
        <v>61</v>
      </c>
    </row>
    <row r="83" customFormat="false" ht="29" hidden="false" customHeight="false" outlineLevel="0" collapsed="false">
      <c r="A83" s="29" t="s">
        <v>62</v>
      </c>
    </row>
    <row r="84" customFormat="false" ht="16" hidden="false" customHeight="false" outlineLevel="0" collapsed="false">
      <c r="A84" s="29" t="s">
        <v>63</v>
      </c>
    </row>
    <row r="85" customFormat="false" ht="15" hidden="false" customHeight="false" outlineLevel="0" collapsed="false">
      <c r="A85" s="7"/>
    </row>
    <row r="86" customFormat="false" ht="16" hidden="false" customHeight="false" outlineLevel="0" collapsed="false">
      <c r="A86" s="7" t="s">
        <v>64</v>
      </c>
    </row>
    <row r="87" customFormat="false" ht="15" hidden="false" customHeight="false" outlineLevel="0" collapsed="false">
      <c r="A87" s="7"/>
    </row>
    <row r="88" customFormat="false" ht="43" hidden="false" customHeight="false" outlineLevel="0" collapsed="false">
      <c r="A88" s="29" t="s">
        <v>65</v>
      </c>
    </row>
    <row r="89" customFormat="false" ht="29" hidden="false" customHeight="false" outlineLevel="0" collapsed="false">
      <c r="A89" s="29" t="s">
        <v>66</v>
      </c>
    </row>
    <row r="90" customFormat="false" ht="43" hidden="false" customHeight="false" outlineLevel="0" collapsed="false">
      <c r="A90" s="29" t="s">
        <v>67</v>
      </c>
    </row>
    <row r="91" customFormat="false" ht="15" hidden="false" customHeight="false" outlineLevel="0" collapsed="false">
      <c r="A91" s="7"/>
    </row>
    <row r="92" customFormat="false" ht="15" hidden="false" customHeight="false" outlineLevel="0" collapsed="false">
      <c r="A92" s="7" t="s">
        <v>68</v>
      </c>
    </row>
    <row r="93" customFormat="false" ht="28" hidden="false" customHeight="false" outlineLevel="0" collapsed="false">
      <c r="A93" s="29" t="s">
        <v>69</v>
      </c>
    </row>
    <row r="94" customFormat="false" ht="28" hidden="false" customHeight="false" outlineLevel="0" collapsed="false">
      <c r="A94" s="29" t="s">
        <v>70</v>
      </c>
    </row>
    <row r="95" customFormat="false" ht="15" hidden="false" customHeight="false" outlineLevel="0" collapsed="false">
      <c r="A95" s="7"/>
    </row>
    <row r="96" customFormat="false" ht="16" hidden="false" customHeight="false" outlineLevel="0" collapsed="false">
      <c r="A96" s="7" t="s">
        <v>71</v>
      </c>
    </row>
    <row r="97" customFormat="false" ht="15" hidden="false" customHeight="false" outlineLevel="0" collapsed="false">
      <c r="A97" s="7"/>
    </row>
    <row r="98" customFormat="false" ht="16" hidden="false" customHeight="false" outlineLevel="0" collapsed="false">
      <c r="A98" s="7" t="s">
        <v>72</v>
      </c>
    </row>
    <row r="99" customFormat="false" ht="29" hidden="false" customHeight="false" outlineLevel="0" collapsed="false">
      <c r="A99" s="29" t="s">
        <v>73</v>
      </c>
    </row>
    <row r="100" customFormat="false" ht="15" hidden="false" customHeight="false" outlineLevel="0" collapsed="false">
      <c r="A100" s="7"/>
    </row>
    <row r="101" customFormat="false" ht="16" hidden="false" customHeight="false" outlineLevel="0" collapsed="false">
      <c r="A101" s="7" t="s">
        <v>74</v>
      </c>
    </row>
    <row r="102" customFormat="false" ht="15" hidden="false" customHeight="false" outlineLevel="0" collapsed="false">
      <c r="A102" s="7"/>
    </row>
    <row r="103" customFormat="false" ht="15" hidden="false" customHeight="false" outlineLevel="0" collapsed="false">
      <c r="A103" s="7" t="s">
        <v>75</v>
      </c>
    </row>
    <row r="104" customFormat="false" ht="26.5" hidden="false" customHeight="false" outlineLevel="0" collapsed="false">
      <c r="A104" s="29" t="s">
        <v>76</v>
      </c>
    </row>
    <row r="105" customFormat="false" ht="29" hidden="false" customHeight="false" outlineLevel="0" collapsed="false">
      <c r="A105" s="29" t="s">
        <v>77</v>
      </c>
    </row>
    <row r="106" customFormat="false" ht="15" hidden="false" customHeight="false" outlineLevel="0" collapsed="false">
      <c r="A106" s="29" t="s">
        <v>78</v>
      </c>
    </row>
    <row r="107" customFormat="false" ht="15" hidden="false" customHeight="false" outlineLevel="0" collapsed="false">
      <c r="A107" s="7"/>
    </row>
    <row r="108" customFormat="false" ht="16" hidden="false" customHeight="false" outlineLevel="0" collapsed="false">
      <c r="A108" s="7" t="s">
        <v>79</v>
      </c>
    </row>
    <row r="109" customFormat="false" ht="15" hidden="false" customHeight="false" outlineLevel="0" collapsed="false">
      <c r="A109" s="7"/>
    </row>
    <row r="110" customFormat="false" ht="16" hidden="false" customHeight="false" outlineLevel="0" collapsed="false">
      <c r="A110" s="7" t="s">
        <v>80</v>
      </c>
    </row>
    <row r="111" customFormat="false" ht="15" hidden="false" customHeight="1" outlineLevel="0" collapsed="false">
      <c r="A111" s="30" t="s">
        <v>81</v>
      </c>
      <c r="B111" s="8"/>
      <c r="C111" s="8"/>
      <c r="D111" s="8"/>
      <c r="E111" s="8"/>
    </row>
    <row r="112" customFormat="false" ht="15" hidden="false" customHeight="false" outlineLevel="0" collapsed="false">
      <c r="A112" s="7"/>
    </row>
    <row r="113" customFormat="false" ht="16" hidden="false" customHeight="false" outlineLevel="0" collapsed="false">
      <c r="A113" s="7" t="s">
        <v>82</v>
      </c>
    </row>
    <row r="114" customFormat="false" ht="15" hidden="false" customHeight="false" outlineLevel="0" collapsed="false">
      <c r="A114" s="7"/>
    </row>
    <row r="115" customFormat="false" ht="16" hidden="false" customHeight="false" outlineLevel="0" collapsed="false">
      <c r="A115" s="7" t="s">
        <v>83</v>
      </c>
    </row>
    <row r="116" customFormat="false" ht="41.5" hidden="false" customHeight="false" outlineLevel="0" collapsed="false">
      <c r="A116" s="29" t="s">
        <v>84</v>
      </c>
    </row>
    <row r="117" customFormat="false" ht="30" hidden="false" customHeight="false" outlineLevel="0" collapsed="false">
      <c r="A117" s="29" t="s">
        <v>85</v>
      </c>
    </row>
    <row r="118" customFormat="false" ht="15" hidden="false" customHeight="false" outlineLevel="0" collapsed="false">
      <c r="A118" s="7"/>
    </row>
    <row r="119" customFormat="false" ht="16" hidden="false" customHeight="false" outlineLevel="0" collapsed="false">
      <c r="A119" s="7" t="s">
        <v>86</v>
      </c>
    </row>
    <row r="120" customFormat="false" ht="15" hidden="false" customHeight="false" outlineLevel="0" collapsed="false">
      <c r="A120" s="7"/>
    </row>
    <row r="121" customFormat="false" ht="29" hidden="false" customHeight="false" outlineLevel="0" collapsed="false">
      <c r="A121" s="29" t="s">
        <v>87</v>
      </c>
    </row>
    <row r="122" customFormat="false" ht="15" hidden="false" customHeight="1" outlineLevel="0" collapsed="false">
      <c r="A122" s="30" t="s">
        <v>88</v>
      </c>
      <c r="B122" s="8"/>
      <c r="C122" s="8"/>
      <c r="D122" s="8"/>
    </row>
    <row r="123" customFormat="false" ht="30" hidden="false" customHeight="false" outlineLevel="0" collapsed="false">
      <c r="A123" s="29" t="s">
        <v>89</v>
      </c>
    </row>
    <row r="124" customFormat="false" ht="30" hidden="false" customHeight="false" outlineLevel="0" collapsed="false">
      <c r="A124" s="29" t="s">
        <v>90</v>
      </c>
    </row>
    <row r="125" customFormat="false" ht="15" hidden="false" customHeight="false" outlineLevel="0" collapsed="false">
      <c r="A125" s="7"/>
    </row>
    <row r="126" customFormat="false" ht="15" hidden="false" customHeight="false" outlineLevel="0" collapsed="false">
      <c r="A126" s="7" t="s">
        <v>91</v>
      </c>
    </row>
    <row r="127" customFormat="false" ht="42" hidden="false" customHeight="false" outlineLevel="0" collapsed="false">
      <c r="A127" s="29" t="s">
        <v>92</v>
      </c>
    </row>
    <row r="128" customFormat="false" ht="16" hidden="false" customHeight="false" outlineLevel="0" collapsed="false">
      <c r="A128" s="7" t="s">
        <v>93</v>
      </c>
    </row>
    <row r="129" customFormat="false" ht="28" hidden="false" customHeight="false" outlineLevel="0" collapsed="false">
      <c r="A129" s="29" t="s">
        <v>94</v>
      </c>
    </row>
    <row r="130" customFormat="false" ht="30" hidden="false" customHeight="false" outlineLevel="0" collapsed="false">
      <c r="A130" s="29" t="s">
        <v>95</v>
      </c>
    </row>
    <row r="131" customFormat="false" ht="15" hidden="false" customHeight="false" outlineLevel="0" collapsed="false">
      <c r="A131" s="7" t="s">
        <v>96</v>
      </c>
    </row>
    <row r="132" customFormat="false" ht="15" hidden="false" customHeight="false" outlineLevel="0" collapsed="false">
      <c r="A132" s="7"/>
    </row>
    <row r="133" customFormat="false" ht="16" hidden="false" customHeight="false" outlineLevel="0" collapsed="false">
      <c r="A133" s="7" t="s">
        <v>97</v>
      </c>
    </row>
    <row r="134" customFormat="false" ht="15" hidden="false" customHeight="false" outlineLevel="0" collapsed="false">
      <c r="A134" s="7"/>
    </row>
    <row r="135" customFormat="false" ht="29" hidden="false" customHeight="false" outlineLevel="0" collapsed="false">
      <c r="A135" s="29" t="s">
        <v>98</v>
      </c>
    </row>
    <row r="136" customFormat="false" ht="29" hidden="false" customHeight="false" outlineLevel="0" collapsed="false">
      <c r="A136" s="29" t="s">
        <v>99</v>
      </c>
    </row>
    <row r="137" customFormat="false" ht="30" hidden="false" customHeight="false" outlineLevel="0" collapsed="false">
      <c r="A137" s="29" t="s">
        <v>100</v>
      </c>
    </row>
    <row r="138" customFormat="false" ht="29" hidden="false" customHeight="false" outlineLevel="0" collapsed="false">
      <c r="A138" s="29" t="s">
        <v>101</v>
      </c>
    </row>
    <row r="139" customFormat="false" ht="15" hidden="false" customHeight="false" outlineLevel="0" collapsed="false">
      <c r="A139" s="7"/>
    </row>
    <row r="140" customFormat="false" ht="30" hidden="false" customHeight="false" outlineLevel="0" collapsed="false">
      <c r="A140" s="29" t="s">
        <v>102</v>
      </c>
    </row>
    <row r="141" customFormat="false" ht="30" hidden="false" customHeight="false" outlineLevel="0" collapsed="false">
      <c r="A141" s="29" t="s">
        <v>103</v>
      </c>
    </row>
    <row r="142" customFormat="false" ht="15" hidden="false" customHeight="false" outlineLevel="0" collapsed="false">
      <c r="A142" s="29" t="s">
        <v>104</v>
      </c>
    </row>
    <row r="143" customFormat="false" ht="16" hidden="false" customHeight="false" outlineLevel="0" collapsed="false">
      <c r="A143" s="5" t="s">
        <v>105</v>
      </c>
    </row>
    <row r="144" customFormat="false" ht="16" hidden="false" customHeight="false" outlineLevel="0" collapsed="false">
      <c r="A144" s="5" t="s">
        <v>106</v>
      </c>
    </row>
    <row r="145" customFormat="false" ht="16" hidden="false" customHeight="false" outlineLevel="0" collapsed="false">
      <c r="A145" s="5" t="s">
        <v>107</v>
      </c>
    </row>
    <row r="147" customFormat="false" ht="29" hidden="false" customHeight="false" outlineLevel="0" collapsed="false">
      <c r="A147" s="31" t="s">
        <v>108</v>
      </c>
    </row>
    <row r="148" customFormat="false" ht="15.5" hidden="false" customHeight="false" outlineLevel="0" collapsed="false">
      <c r="A148" s="2" t="s">
        <v>109</v>
      </c>
    </row>
    <row r="149" customFormat="false" ht="15.5" hidden="false" customHeight="false" outlineLevel="0" collapsed="false">
      <c r="A149" s="2" t="s">
        <v>110</v>
      </c>
    </row>
    <row r="150" customFormat="false" ht="15.5" hidden="false" customHeight="false" outlineLevel="0" collapsed="false">
      <c r="A150" s="2" t="s">
        <v>111</v>
      </c>
    </row>
    <row r="151" customFormat="false" ht="15.5" hidden="false" customHeight="false" outlineLevel="0" collapsed="false">
      <c r="A151" s="2" t="s">
        <v>112</v>
      </c>
    </row>
    <row r="152" customFormat="false" ht="15.5" hidden="false" customHeight="false" outlineLevel="0" collapsed="false">
      <c r="A152" s="2" t="s">
        <v>113</v>
      </c>
    </row>
    <row r="153" customFormat="false" ht="15.5" hidden="false" customHeight="false" outlineLevel="0" collapsed="false">
      <c r="A153" s="2" t="s">
        <v>114</v>
      </c>
    </row>
    <row r="154" customFormat="false" ht="15.5" hidden="false" customHeight="false" outlineLevel="0" collapsed="false">
      <c r="A154" s="2" t="s">
        <v>115</v>
      </c>
    </row>
    <row r="155" customFormat="false" ht="15.5" hidden="false" customHeight="false" outlineLevel="0" collapsed="false">
      <c r="A155" s="2" t="s">
        <v>116</v>
      </c>
    </row>
    <row r="156" customFormat="false" ht="15.5" hidden="false" customHeight="false" outlineLevel="0" collapsed="false">
      <c r="A156" s="2" t="s">
        <v>117</v>
      </c>
    </row>
    <row r="157" customFormat="false" ht="15.5" hidden="false" customHeight="false" outlineLevel="0" collapsed="false">
      <c r="A157" s="2" t="s">
        <v>118</v>
      </c>
    </row>
    <row r="158" customFormat="false" ht="15.5" hidden="false" customHeight="false" outlineLevel="0" collapsed="false">
      <c r="A158" s="2" t="s">
        <v>119</v>
      </c>
    </row>
    <row r="159" customFormat="false" ht="15.5" hidden="false" customHeight="false" outlineLevel="0" collapsed="false">
      <c r="A159" s="2" t="s">
        <v>120</v>
      </c>
    </row>
    <row r="160" customFormat="false" ht="15.5" hidden="false" customHeight="false" outlineLevel="0" collapsed="false">
      <c r="A160" s="2" t="s">
        <v>121</v>
      </c>
    </row>
    <row r="162" customFormat="false" ht="15" hidden="false" customHeight="false" outlineLevel="0" collapsed="false">
      <c r="A162" s="4" t="s">
        <v>122</v>
      </c>
    </row>
    <row r="163" customFormat="false" ht="30" hidden="false" customHeight="false" outlineLevel="0" collapsed="false">
      <c r="A163" s="29" t="s">
        <v>123</v>
      </c>
    </row>
    <row r="164" customFormat="false" ht="28" hidden="false" customHeight="false" outlineLevel="0" collapsed="false">
      <c r="A164" s="29" t="s">
        <v>124</v>
      </c>
    </row>
    <row r="165" customFormat="false" ht="15" hidden="false" customHeight="false" outlineLevel="0" collapsed="false">
      <c r="A165" s="7"/>
    </row>
    <row r="166" customFormat="false" ht="15" hidden="false" customHeight="false" outlineLevel="0" collapsed="false">
      <c r="A166" s="4" t="s">
        <v>125</v>
      </c>
    </row>
    <row r="167" customFormat="false" ht="28" hidden="false" customHeight="false" outlineLevel="0" collapsed="false">
      <c r="A167" s="29" t="s">
        <v>126</v>
      </c>
    </row>
    <row r="168" customFormat="false" ht="29" hidden="false" customHeight="false" outlineLevel="0" collapsed="false">
      <c r="A168" s="29" t="s">
        <v>127</v>
      </c>
    </row>
    <row r="170" customFormat="false" ht="15.5" hidden="false" customHeight="false" outlineLevel="0" collapsed="false">
      <c r="A170" s="9" t="s">
        <v>128</v>
      </c>
    </row>
  </sheetData>
  <mergeCells count="8">
    <mergeCell ref="A5:L5"/>
    <mergeCell ref="A6:J6"/>
    <mergeCell ref="A7:Z7"/>
    <mergeCell ref="A14:I14"/>
    <mergeCell ref="A16:J16"/>
    <mergeCell ref="A35:N35"/>
    <mergeCell ref="A111:M111"/>
    <mergeCell ref="A122:L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90"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129</v>
      </c>
      <c r="B1" s="11"/>
      <c r="C1" s="11"/>
      <c r="D1" s="11"/>
      <c r="E1" s="11"/>
      <c r="F1" s="11"/>
      <c r="G1" s="11"/>
      <c r="H1" s="11"/>
    </row>
    <row r="3" customFormat="false" ht="15.5" hidden="false" customHeight="false" outlineLevel="0" collapsed="false">
      <c r="A3" s="12" t="s">
        <v>130</v>
      </c>
      <c r="B3" s="12"/>
      <c r="C3" s="12"/>
      <c r="D3" s="13"/>
      <c r="E3" s="13"/>
      <c r="F3" s="13"/>
      <c r="G3" s="13"/>
      <c r="H3" s="13"/>
    </row>
    <row r="4" customFormat="false" ht="15" hidden="false" customHeight="false" outlineLevel="0" collapsed="false">
      <c r="A4" s="14" t="s">
        <v>131</v>
      </c>
      <c r="B4" s="14" t="s">
        <v>132</v>
      </c>
      <c r="C4" s="14" t="s">
        <v>125</v>
      </c>
      <c r="D4" s="14"/>
      <c r="E4" s="14"/>
      <c r="F4" s="14"/>
      <c r="G4" s="14"/>
      <c r="H4" s="14"/>
    </row>
    <row r="5" customFormat="false" ht="16" hidden="false" customHeight="false" outlineLevel="0" collapsed="false">
      <c r="A5" s="10" t="s">
        <v>133</v>
      </c>
      <c r="B5" s="15" t="s">
        <v>134</v>
      </c>
      <c r="C5" s="16" t="s">
        <v>135</v>
      </c>
      <c r="D5" s="16"/>
      <c r="E5" s="16"/>
    </row>
    <row r="6" customFormat="false" ht="15" hidden="false" customHeight="false" outlineLevel="0" collapsed="false">
      <c r="A6" s="10" t="s">
        <v>136</v>
      </c>
      <c r="B6" s="15" t="n">
        <v>3</v>
      </c>
    </row>
    <row r="7" customFormat="false" ht="16" hidden="false" customHeight="false" outlineLevel="0" collapsed="false">
      <c r="A7" s="10" t="s">
        <v>137</v>
      </c>
      <c r="B7" s="15" t="s">
        <v>138</v>
      </c>
      <c r="C7" s="16" t="s">
        <v>139</v>
      </c>
      <c r="D7" s="16"/>
      <c r="E7" s="16"/>
      <c r="F7" s="16"/>
    </row>
    <row r="8" customFormat="false" ht="15" hidden="false" customHeight="false" outlineLevel="0" collapsed="false">
      <c r="A8" s="10" t="s">
        <v>140</v>
      </c>
      <c r="B8" s="15" t="n">
        <v>8</v>
      </c>
      <c r="C8" s="16" t="s">
        <v>141</v>
      </c>
      <c r="D8" s="16"/>
      <c r="E8" s="16"/>
      <c r="F8" s="16"/>
      <c r="G8" s="16"/>
    </row>
    <row r="9" customFormat="false" ht="16" hidden="false" customHeight="false" outlineLevel="0" collapsed="false">
      <c r="A9" s="10" t="s">
        <v>142</v>
      </c>
      <c r="B9" s="17" t="n">
        <f aca="false">B8^B6</f>
        <v>512</v>
      </c>
      <c r="C9" s="10" t="s">
        <v>143</v>
      </c>
    </row>
    <row r="10" customFormat="false" ht="16" hidden="false" customHeight="false" outlineLevel="0" collapsed="false">
      <c r="A10" s="10" t="s">
        <v>144</v>
      </c>
      <c r="B10" s="15" t="n">
        <v>1</v>
      </c>
      <c r="C10" s="16" t="s">
        <v>145</v>
      </c>
      <c r="D10" s="16"/>
      <c r="E10" s="16"/>
      <c r="F10" s="16"/>
    </row>
    <row r="11" customFormat="false" ht="16" hidden="false" customHeight="false" outlineLevel="0" collapsed="false">
      <c r="A11" s="10" t="s">
        <v>146</v>
      </c>
      <c r="B11" s="15" t="s">
        <v>147</v>
      </c>
      <c r="C11" s="18" t="s">
        <v>148</v>
      </c>
      <c r="D11" s="18"/>
    </row>
    <row r="12" customFormat="false" ht="15.5" hidden="false" customHeight="false" outlineLevel="0" collapsed="false">
      <c r="A12" s="10" t="s">
        <v>149</v>
      </c>
      <c r="B12" s="15" t="s">
        <v>150</v>
      </c>
      <c r="C12" s="16" t="s">
        <v>151</v>
      </c>
      <c r="D12" s="16"/>
    </row>
    <row r="14" customFormat="false" ht="15.5" hidden="false" customHeight="false" outlineLevel="0" collapsed="false">
      <c r="A14" s="12" t="s">
        <v>152</v>
      </c>
      <c r="B14" s="12"/>
      <c r="C14" s="12"/>
      <c r="D14" s="12"/>
      <c r="E14" s="12"/>
      <c r="F14" s="12"/>
      <c r="G14" s="13"/>
      <c r="H14" s="13"/>
    </row>
    <row r="15" customFormat="false" ht="15.5" hidden="false" customHeight="false" outlineLevel="0" collapsed="false">
      <c r="A15" s="14" t="s">
        <v>153</v>
      </c>
      <c r="B15" s="14" t="s">
        <v>154</v>
      </c>
      <c r="C15" s="14" t="s">
        <v>155</v>
      </c>
      <c r="D15" s="14" t="s">
        <v>156</v>
      </c>
      <c r="E15" s="14"/>
      <c r="F15" s="14" t="s">
        <v>125</v>
      </c>
    </row>
    <row r="16" customFormat="false" ht="16" hidden="false" customHeight="false" outlineLevel="0" collapsed="false">
      <c r="A16" s="10" t="n">
        <v>1</v>
      </c>
      <c r="B16" s="15" t="s">
        <v>157</v>
      </c>
      <c r="C16" s="15" t="s">
        <v>157</v>
      </c>
      <c r="D16" s="15" t="s">
        <v>157</v>
      </c>
      <c r="F16" s="19" t="s">
        <v>158</v>
      </c>
    </row>
    <row r="17" customFormat="false" ht="15" hidden="false" customHeight="false" outlineLevel="0" collapsed="false">
      <c r="A17" s="10" t="n">
        <v>2</v>
      </c>
      <c r="B17" s="15" t="s">
        <v>159</v>
      </c>
      <c r="C17" s="15" t="s">
        <v>159</v>
      </c>
      <c r="D17" s="15" t="s">
        <v>159</v>
      </c>
    </row>
    <row r="18" customFormat="false" ht="15" hidden="false" customHeight="false" outlineLevel="0" collapsed="false">
      <c r="A18" s="10" t="n">
        <v>3</v>
      </c>
      <c r="B18" s="15" t="s">
        <v>160</v>
      </c>
      <c r="C18" s="15" t="s">
        <v>160</v>
      </c>
      <c r="D18" s="15" t="s">
        <v>160</v>
      </c>
    </row>
    <row r="19" customFormat="false" ht="16" hidden="false" customHeight="false" outlineLevel="0" collapsed="false">
      <c r="A19" s="10" t="n">
        <v>4</v>
      </c>
      <c r="B19" s="15" t="s">
        <v>161</v>
      </c>
      <c r="C19" s="15" t="s">
        <v>161</v>
      </c>
      <c r="D19" s="15" t="s">
        <v>161</v>
      </c>
      <c r="F19" s="16" t="s">
        <v>162</v>
      </c>
      <c r="G19" s="16"/>
      <c r="H19" s="16"/>
    </row>
    <row r="20" customFormat="false" ht="15" hidden="false" customHeight="false" outlineLevel="0" collapsed="false">
      <c r="A20" s="10" t="n">
        <v>5</v>
      </c>
      <c r="B20" s="15" t="s">
        <v>157</v>
      </c>
      <c r="C20" s="15" t="s">
        <v>157</v>
      </c>
      <c r="D20" s="15" t="s">
        <v>157</v>
      </c>
    </row>
    <row r="21" customFormat="false" ht="15" hidden="false" customHeight="false" outlineLevel="0" collapsed="false">
      <c r="A21" s="10" t="n">
        <v>6</v>
      </c>
      <c r="B21" s="15" t="s">
        <v>159</v>
      </c>
      <c r="C21" s="15" t="s">
        <v>159</v>
      </c>
      <c r="D21" s="15" t="s">
        <v>159</v>
      </c>
    </row>
    <row r="22" customFormat="false" ht="15" hidden="false" customHeight="false" outlineLevel="0" collapsed="false">
      <c r="A22" s="10" t="n">
        <v>7</v>
      </c>
      <c r="B22" s="15" t="s">
        <v>160</v>
      </c>
      <c r="C22" s="15" t="s">
        <v>160</v>
      </c>
      <c r="D22" s="15" t="s">
        <v>160</v>
      </c>
    </row>
    <row r="23" customFormat="false" ht="16" hidden="false" customHeight="false" outlineLevel="0" collapsed="false">
      <c r="A23" s="10" t="n">
        <v>8</v>
      </c>
      <c r="B23" s="15" t="s">
        <v>163</v>
      </c>
      <c r="C23" s="15" t="s">
        <v>163</v>
      </c>
      <c r="D23" s="15" t="s">
        <v>163</v>
      </c>
      <c r="F23" s="16" t="s">
        <v>164</v>
      </c>
      <c r="G23" s="16"/>
      <c r="H23" s="16"/>
    </row>
    <row r="24" customFormat="false" ht="16" hidden="false" customHeight="false" outlineLevel="0" collapsed="false">
      <c r="A24" s="10" t="s">
        <v>165</v>
      </c>
      <c r="B24" s="17" t="n">
        <f aca="false">COUNTA(B16:B23)</f>
        <v>8</v>
      </c>
      <c r="C24" s="17" t="n">
        <f aca="false">COUNTA(C16:C23)</f>
        <v>8</v>
      </c>
      <c r="D24" s="17" t="n">
        <f aca="false">COUNTA(D16:D23)</f>
        <v>8</v>
      </c>
      <c r="F24" s="16" t="s">
        <v>166</v>
      </c>
      <c r="G24" s="16"/>
    </row>
    <row r="26" customFormat="false" ht="15.5" hidden="false" customHeight="false" outlineLevel="0" collapsed="false">
      <c r="A26" s="12" t="s">
        <v>167</v>
      </c>
      <c r="B26" s="12"/>
      <c r="C26" s="12"/>
      <c r="D26" s="12"/>
      <c r="E26" s="12"/>
      <c r="F26" s="12"/>
      <c r="G26" s="13"/>
      <c r="H26" s="13"/>
    </row>
    <row r="27" customFormat="false" ht="15.5" hidden="false" customHeight="false" outlineLevel="0" collapsed="false">
      <c r="A27" s="14" t="s">
        <v>168</v>
      </c>
      <c r="B27" s="14" t="s">
        <v>154</v>
      </c>
      <c r="C27" s="14" t="s">
        <v>155</v>
      </c>
      <c r="D27" s="14" t="s">
        <v>156</v>
      </c>
      <c r="E27" s="14" t="s">
        <v>169</v>
      </c>
      <c r="F27" s="14" t="s">
        <v>170</v>
      </c>
      <c r="G27" s="14" t="s">
        <v>171</v>
      </c>
      <c r="H27" s="14" t="s">
        <v>125</v>
      </c>
    </row>
    <row r="28" customFormat="false" ht="16" hidden="false" customHeight="false" outlineLevel="0" collapsed="false">
      <c r="A28" s="19" t="s">
        <v>172</v>
      </c>
      <c r="B28" s="17" t="n">
        <f aca="false">COUNTIF(B16:B23,"Wild")</f>
        <v>1</v>
      </c>
      <c r="C28" s="17" t="n">
        <f aca="false">COUNTIF(C16:C23,"Wild")</f>
        <v>1</v>
      </c>
      <c r="D28" s="17" t="n">
        <f aca="false">COUNTIF(D16:D23,"Wild")</f>
        <v>1</v>
      </c>
      <c r="E28" s="10" t="s">
        <v>173</v>
      </c>
      <c r="F28" s="10" t="s">
        <v>173</v>
      </c>
      <c r="G28" s="10" t="s">
        <v>173</v>
      </c>
      <c r="H28" s="10" t="s">
        <v>174</v>
      </c>
    </row>
    <row r="29" customFormat="false" ht="15" hidden="false" customHeight="false" outlineLevel="0" collapsed="false">
      <c r="A29" s="19" t="s">
        <v>157</v>
      </c>
      <c r="B29" s="17" t="n">
        <f aca="false">COUNTIF(B16:B23,"J")</f>
        <v>2</v>
      </c>
      <c r="C29" s="17" t="n">
        <f aca="false">COUNTIF(C16:C23,"J")</f>
        <v>2</v>
      </c>
      <c r="D29" s="17" t="n">
        <f aca="false">COUNTIF(D16:D23,"J")</f>
        <v>2</v>
      </c>
      <c r="E29" s="17" t="n">
        <f aca="false">B29+B28</f>
        <v>3</v>
      </c>
      <c r="F29" s="17" t="n">
        <f aca="false">C29+C28</f>
        <v>3</v>
      </c>
      <c r="G29" s="17" t="n">
        <f aca="false">D29+D28</f>
        <v>3</v>
      </c>
      <c r="H29" s="10" t="s">
        <v>175</v>
      </c>
    </row>
    <row r="30" customFormat="false" ht="15" hidden="false" customHeight="false" outlineLevel="0" collapsed="false">
      <c r="A30" s="19" t="s">
        <v>159</v>
      </c>
      <c r="B30" s="17" t="n">
        <f aca="false">COUNTIF(B16:B23,"Q")</f>
        <v>2</v>
      </c>
      <c r="C30" s="17" t="n">
        <f aca="false">COUNTIF(C16:C23,"Q")</f>
        <v>2</v>
      </c>
      <c r="D30" s="17" t="n">
        <f aca="false">COUNTIF(D16:D23,"Q")</f>
        <v>2</v>
      </c>
      <c r="E30" s="17" t="n">
        <f aca="false">B30+B28</f>
        <v>3</v>
      </c>
      <c r="F30" s="17" t="n">
        <f aca="false">C30+C28</f>
        <v>3</v>
      </c>
      <c r="G30" s="17" t="n">
        <f aca="false">D30+D28</f>
        <v>3</v>
      </c>
    </row>
    <row r="31" customFormat="false" ht="15" hidden="false" customHeight="false" outlineLevel="0" collapsed="false">
      <c r="A31" s="19" t="s">
        <v>160</v>
      </c>
      <c r="B31" s="17" t="n">
        <f aca="false">COUNTIF(B16:B23,"K")</f>
        <v>2</v>
      </c>
      <c r="C31" s="17" t="n">
        <f aca="false">COUNTIF(C16:C23,"K")</f>
        <v>2</v>
      </c>
      <c r="D31" s="17" t="n">
        <f aca="false">COUNTIF(D16:D23,"K")</f>
        <v>2</v>
      </c>
      <c r="E31" s="17" t="n">
        <f aca="false">B31+B28</f>
        <v>3</v>
      </c>
      <c r="F31" s="17" t="n">
        <f aca="false">C31+C28</f>
        <v>3</v>
      </c>
      <c r="G31" s="17" t="n">
        <f aca="false">D31+D28</f>
        <v>3</v>
      </c>
    </row>
    <row r="32" customFormat="false" ht="16" hidden="false" customHeight="false" outlineLevel="0" collapsed="false">
      <c r="A32" s="10" t="s">
        <v>176</v>
      </c>
      <c r="B32" s="15" t="n">
        <v>1</v>
      </c>
      <c r="C32" s="15" t="n">
        <v>3</v>
      </c>
      <c r="D32" s="15" t="n">
        <v>1</v>
      </c>
      <c r="H32" s="10" t="s">
        <v>177</v>
      </c>
    </row>
    <row r="33" customFormat="false" ht="16" hidden="false" customHeight="false" outlineLevel="0" collapsed="false">
      <c r="A33" s="19" t="s">
        <v>163</v>
      </c>
      <c r="B33" s="17" t="n">
        <f aca="false">COUNTIF(B16:B23,"Scatter")</f>
        <v>1</v>
      </c>
      <c r="C33" s="17" t="n">
        <f aca="false">COUNTIF(C16:C23,"Scatter")</f>
        <v>1</v>
      </c>
      <c r="D33" s="17" t="n">
        <f aca="false">COUNTIF(D16:D23,"Scatter")</f>
        <v>1</v>
      </c>
      <c r="E33" s="17" t="n">
        <f aca="false">B33*B32</f>
        <v>1</v>
      </c>
      <c r="F33" s="17" t="n">
        <f aca="false">C33*C32</f>
        <v>3</v>
      </c>
      <c r="G33" s="17" t="n">
        <f aca="false">D33*D32</f>
        <v>1</v>
      </c>
      <c r="H33" s="10" t="s">
        <v>178</v>
      </c>
    </row>
    <row r="35" customFormat="false" ht="15.5" hidden="false" customHeight="false" outlineLevel="0" collapsed="false">
      <c r="A35" s="12" t="s">
        <v>179</v>
      </c>
      <c r="B35" s="12"/>
      <c r="C35" s="12"/>
      <c r="D35" s="12"/>
      <c r="E35" s="12"/>
      <c r="F35" s="12"/>
      <c r="G35" s="13"/>
      <c r="H35" s="13"/>
    </row>
    <row r="36" customFormat="false" ht="15" hidden="false" customHeight="false" outlineLevel="0" collapsed="false">
      <c r="A36" s="14" t="s">
        <v>168</v>
      </c>
      <c r="B36" s="14" t="s">
        <v>180</v>
      </c>
      <c r="C36" s="14" t="s">
        <v>181</v>
      </c>
      <c r="D36" s="14" t="s">
        <v>142</v>
      </c>
      <c r="E36" s="14" t="s">
        <v>182</v>
      </c>
      <c r="F36" s="14"/>
      <c r="G36" s="14" t="s">
        <v>125</v>
      </c>
      <c r="H36" s="14"/>
    </row>
    <row r="37" customFormat="false" ht="16" hidden="false" customHeight="false" outlineLevel="0" collapsed="false">
      <c r="A37" s="19" t="s">
        <v>157</v>
      </c>
      <c r="B37" s="19" t="s">
        <v>183</v>
      </c>
      <c r="C37" s="17" t="n">
        <f aca="false">E29*F29*G29</f>
        <v>27</v>
      </c>
      <c r="D37" s="17" t="n">
        <f aca="false">$B$9</f>
        <v>512</v>
      </c>
      <c r="E37" s="33" t="n">
        <f aca="false">C37/D37</f>
        <v>0.052734375</v>
      </c>
      <c r="G37" s="19" t="s">
        <v>184</v>
      </c>
    </row>
    <row r="38" customFormat="false" ht="15" hidden="false" customHeight="false" outlineLevel="0" collapsed="false">
      <c r="A38" s="19" t="s">
        <v>159</v>
      </c>
      <c r="B38" s="19" t="s">
        <v>185</v>
      </c>
      <c r="C38" s="17" t="n">
        <f aca="false">E30*F30*G30</f>
        <v>27</v>
      </c>
      <c r="D38" s="17" t="n">
        <f aca="false">$B$9</f>
        <v>512</v>
      </c>
      <c r="E38" s="33" t="n">
        <f aca="false">C38/D38</f>
        <v>0.052734375</v>
      </c>
      <c r="G38" s="32">
        <v>27</v>
      </c>
    </row>
    <row r="39" customFormat="false" ht="15" hidden="false" customHeight="false" outlineLevel="0" collapsed="false">
      <c r="A39" s="19" t="s">
        <v>160</v>
      </c>
      <c r="B39" s="19" t="s">
        <v>187</v>
      </c>
      <c r="C39" s="17" t="n">
        <f aca="false">E31*F31*G31</f>
        <v>27</v>
      </c>
      <c r="D39" s="17" t="n">
        <f aca="false">$B$9</f>
        <v>512</v>
      </c>
      <c r="E39" s="33" t="n">
        <f aca="false">C39/D39</f>
        <v>0.052734375</v>
      </c>
      <c r="G39" s="32">
        <v>27</v>
      </c>
    </row>
    <row r="40" customFormat="false" ht="16" hidden="false" customHeight="false" outlineLevel="0" collapsed="false">
      <c r="A40" s="19" t="s">
        <v>163</v>
      </c>
      <c r="B40" s="19" t="s">
        <v>188</v>
      </c>
      <c r="C40" s="17" t="n">
        <f aca="false">E33*F33*G33</f>
        <v>3</v>
      </c>
      <c r="D40" s="17" t="n">
        <f aca="false">$B$9</f>
        <v>512</v>
      </c>
      <c r="E40" s="33" t="n">
        <f aca="false">C40/D40</f>
        <v>0.005859375</v>
      </c>
      <c r="G40" s="18" t="s">
        <v>189</v>
      </c>
      <c r="H40" s="18"/>
    </row>
    <row r="42" customFormat="false" ht="15.5" hidden="false" customHeight="false" outlineLevel="0" collapsed="false">
      <c r="A42" s="12" t="s">
        <v>190</v>
      </c>
      <c r="B42" s="12"/>
      <c r="C42" s="12"/>
      <c r="D42" s="12"/>
      <c r="E42" s="12"/>
      <c r="F42" s="12"/>
      <c r="G42" s="13"/>
      <c r="H42" s="13"/>
    </row>
    <row r="43" customFormat="false" ht="15" hidden="false" customHeight="false" outlineLevel="0" collapsed="false">
      <c r="A43" s="14" t="s">
        <v>168</v>
      </c>
      <c r="B43" s="14" t="s">
        <v>180</v>
      </c>
      <c r="C43" s="14" t="s">
        <v>182</v>
      </c>
      <c r="D43" s="14" t="s">
        <v>191</v>
      </c>
      <c r="E43" s="14" t="s">
        <v>192</v>
      </c>
      <c r="F43" s="14"/>
      <c r="G43" s="14" t="s">
        <v>125</v>
      </c>
      <c r="H43" s="14"/>
    </row>
    <row r="44" customFormat="false" ht="15" hidden="false" customHeight="false" outlineLevel="0" collapsed="false">
      <c r="A44" s="19" t="s">
        <v>157</v>
      </c>
      <c r="B44" s="19" t="s">
        <v>183</v>
      </c>
      <c r="C44" s="33" t="n">
        <f aca="false">E37</f>
        <v>0.052734375</v>
      </c>
      <c r="D44" s="15" t="n">
        <v>2</v>
      </c>
      <c r="E44" s="21" t="n">
        <f aca="false">C44*D44</f>
        <v>0.10546875</v>
      </c>
      <c r="G44" s="19" t="s">
        <v>193</v>
      </c>
    </row>
    <row r="45" customFormat="false" ht="15" hidden="false" customHeight="false" outlineLevel="0" collapsed="false">
      <c r="A45" s="19" t="s">
        <v>159</v>
      </c>
      <c r="B45" s="19" t="s">
        <v>185</v>
      </c>
      <c r="C45" s="33" t="n">
        <f aca="false">E38</f>
        <v>0.052734375</v>
      </c>
      <c r="D45" s="15" t="n">
        <v>5</v>
      </c>
      <c r="E45" s="21" t="n">
        <f aca="false">C45*D45</f>
        <v>0.263671875</v>
      </c>
      <c r="G45" s="19" t="s">
        <v>194</v>
      </c>
    </row>
    <row r="46" customFormat="false" ht="15" hidden="false" customHeight="false" outlineLevel="0" collapsed="false">
      <c r="A46" s="19" t="s">
        <v>160</v>
      </c>
      <c r="B46" s="19" t="s">
        <v>187</v>
      </c>
      <c r="C46" s="33" t="n">
        <f aca="false">E39</f>
        <v>0.052734375</v>
      </c>
      <c r="D46" s="15" t="n">
        <v>10</v>
      </c>
      <c r="E46" s="21" t="n">
        <f aca="false">C46*D46</f>
        <v>0.52734375</v>
      </c>
      <c r="G46" s="19" t="s">
        <v>195</v>
      </c>
    </row>
    <row r="47" customFormat="false" ht="16" hidden="false" customHeight="false" outlineLevel="0" collapsed="false">
      <c r="A47" s="22" t="s">
        <v>196</v>
      </c>
      <c r="E47" s="21" t="n">
        <f aca="false">SUM(E44:E46)</f>
        <v>0.896484375</v>
      </c>
      <c r="G47" s="10" t="s">
        <v>197</v>
      </c>
    </row>
    <row r="49" customFormat="false" ht="15.5" hidden="false" customHeight="false" outlineLevel="0" collapsed="false">
      <c r="A49" s="12" t="s">
        <v>198</v>
      </c>
      <c r="B49" s="12"/>
      <c r="C49" s="12"/>
      <c r="D49" s="13"/>
      <c r="E49" s="13"/>
      <c r="F49" s="13"/>
      <c r="G49" s="13"/>
      <c r="H49" s="13"/>
    </row>
    <row r="50" customFormat="false" ht="15" hidden="false" customHeight="false" outlineLevel="0" collapsed="false">
      <c r="A50" s="14" t="s">
        <v>131</v>
      </c>
      <c r="B50" s="14" t="s">
        <v>132</v>
      </c>
      <c r="C50" s="14" t="s">
        <v>125</v>
      </c>
      <c r="D50" s="14"/>
      <c r="E50" s="14"/>
      <c r="F50" s="14"/>
      <c r="G50" s="14"/>
      <c r="H50" s="14"/>
    </row>
    <row r="51" customFormat="false" ht="16" hidden="false" customHeight="false" outlineLevel="0" collapsed="false">
      <c r="A51" s="10" t="s">
        <v>199</v>
      </c>
      <c r="B51" s="34" t="n">
        <f aca="false">E40</f>
        <v>0.005859375</v>
      </c>
      <c r="C51" s="16" t="s">
        <v>200</v>
      </c>
      <c r="D51" s="16"/>
      <c r="E51" s="16"/>
    </row>
    <row r="52" customFormat="false" ht="16" hidden="false" customHeight="false" outlineLevel="0" collapsed="false">
      <c r="A52" s="10" t="s">
        <v>201</v>
      </c>
      <c r="B52" s="15" t="n">
        <v>10</v>
      </c>
      <c r="C52" s="16" t="s">
        <v>202</v>
      </c>
      <c r="D52" s="16"/>
      <c r="E52" s="16"/>
    </row>
    <row r="53" customFormat="false" ht="16" hidden="false" customHeight="false" outlineLevel="0" collapsed="false">
      <c r="A53" s="10" t="s">
        <v>203</v>
      </c>
      <c r="B53" s="24" t="n">
        <f aca="false">B51*B52</f>
        <v>0.05859375</v>
      </c>
      <c r="C53" s="16" t="s">
        <v>204</v>
      </c>
      <c r="D53" s="16"/>
      <c r="E53" s="16"/>
    </row>
    <row r="54" customFormat="false" ht="16" hidden="false" customHeight="false" outlineLevel="0" collapsed="false">
      <c r="A54" s="10" t="s">
        <v>205</v>
      </c>
      <c r="B54" s="15" t="n">
        <v>5</v>
      </c>
      <c r="C54" s="16" t="s">
        <v>206</v>
      </c>
      <c r="D54" s="16"/>
      <c r="E54" s="16"/>
      <c r="F54" s="16"/>
    </row>
    <row r="55" customFormat="false" ht="16" hidden="false" customHeight="false" outlineLevel="0" collapsed="false">
      <c r="A55" s="10" t="s">
        <v>207</v>
      </c>
      <c r="B55" s="24" t="n">
        <f aca="false">B51*B54</f>
        <v>0.029296875</v>
      </c>
      <c r="C55" s="16" t="s">
        <v>208</v>
      </c>
      <c r="D55" s="16"/>
      <c r="E55" s="16"/>
    </row>
    <row r="56" customFormat="false" ht="16" hidden="false" customHeight="false" outlineLevel="0" collapsed="false">
      <c r="A56" s="10" t="s">
        <v>209</v>
      </c>
      <c r="B56" s="24" t="n">
        <f aca="false">B53/(1-B55)</f>
        <v>0.0603621730382294</v>
      </c>
      <c r="C56" s="16" t="s">
        <v>210</v>
      </c>
      <c r="D56" s="16"/>
      <c r="E56" s="16"/>
    </row>
    <row r="57" customFormat="false" ht="16" hidden="false" customHeight="false" outlineLevel="0" collapsed="false">
      <c r="A57" s="10" t="s">
        <v>211</v>
      </c>
      <c r="B57" s="24" t="n">
        <f aca="false">E47</f>
        <v>0.896484375</v>
      </c>
      <c r="C57" s="16" t="s">
        <v>212</v>
      </c>
      <c r="D57" s="16"/>
    </row>
    <row r="58" customFormat="false" ht="16" hidden="false" customHeight="false" outlineLevel="0" collapsed="false">
      <c r="A58" s="22" t="s">
        <v>213</v>
      </c>
      <c r="B58" s="21" t="n">
        <f aca="false">B56*B57</f>
        <v>0.0541137449698189</v>
      </c>
      <c r="C58" s="16" t="s">
        <v>214</v>
      </c>
      <c r="D58" s="16"/>
      <c r="E58" s="16"/>
    </row>
    <row r="59" customFormat="false" ht="16" hidden="false" customHeight="false" outlineLevel="0" collapsed="false">
      <c r="A59" s="22" t="s">
        <v>215</v>
      </c>
      <c r="B59" s="21" t="n">
        <f aca="false">E47+B58</f>
        <v>0.950598119969819</v>
      </c>
      <c r="C59" s="16" t="s">
        <v>216</v>
      </c>
      <c r="D59" s="16"/>
      <c r="E59" s="16"/>
      <c r="F59" s="16"/>
    </row>
    <row r="61" customFormat="false" ht="15.5" hidden="false" customHeight="false" outlineLevel="0" collapsed="false">
      <c r="A61" s="12" t="s">
        <v>217</v>
      </c>
      <c r="B61" s="12"/>
      <c r="C61" s="12"/>
      <c r="D61" s="13"/>
      <c r="E61" s="13"/>
      <c r="F61" s="13"/>
      <c r="G61" s="13"/>
      <c r="H61" s="13"/>
    </row>
    <row r="62" customFormat="false" ht="15" hidden="false" customHeight="false" outlineLevel="0" collapsed="false">
      <c r="A62" s="14" t="s">
        <v>218</v>
      </c>
      <c r="B62" s="14" t="s">
        <v>219</v>
      </c>
      <c r="C62" s="14" t="s">
        <v>125</v>
      </c>
      <c r="D62" s="14"/>
      <c r="E62" s="14"/>
      <c r="F62" s="14"/>
      <c r="G62" s="14"/>
      <c r="H62" s="14"/>
    </row>
    <row r="63" customFormat="false" ht="16" hidden="false" customHeight="false" outlineLevel="0" collapsed="false">
      <c r="A63" s="10" t="s">
        <v>220</v>
      </c>
      <c r="B63" s="25" t="str">
        <f aca="false">IF(B9=B8^B6,"✓","✗")</f>
        <v>✓</v>
      </c>
      <c r="C63" s="32">
        <v>512</v>
      </c>
    </row>
    <row r="64" customFormat="false" ht="16" hidden="false" customHeight="false" outlineLevel="0" collapsed="false">
      <c r="A64" s="10" t="s">
        <v>222</v>
      </c>
      <c r="B64" s="25" t="str">
        <f aca="false">IF(AND(B24=$B$8,C24=$B$8,D24=$B$8),"✓","✗")</f>
        <v>✓</v>
      </c>
      <c r="C64" s="10" t="s">
        <v>223</v>
      </c>
    </row>
    <row r="65" customFormat="false" ht="16" hidden="false" customHeight="false" outlineLevel="0" collapsed="false">
      <c r="A65" s="10" t="s">
        <v>224</v>
      </c>
      <c r="B65" s="25" t="str">
        <f aca="false">IF(AND(E29=B29+B28,F29=C29+C28,G29=D29+D28),"✓","✗")</f>
        <v>✓</v>
      </c>
      <c r="C65" s="18" t="s">
        <v>225</v>
      </c>
      <c r="D65" s="18"/>
    </row>
    <row r="66" customFormat="false" ht="16" hidden="false" customHeight="false" outlineLevel="0" collapsed="false">
      <c r="A66" s="19" t="s">
        <v>226</v>
      </c>
      <c r="B66" s="25" t="str">
        <f aca="false">IF(AND(E33=B33*B32,F33=C33*C32,G33=D33*D32),"✓","✗")</f>
        <v>✓</v>
      </c>
      <c r="C66" s="10" t="s">
        <v>227</v>
      </c>
    </row>
    <row r="67" customFormat="false" ht="16" hidden="false" customHeight="false" outlineLevel="0" collapsed="false">
      <c r="A67" s="10" t="s">
        <v>228</v>
      </c>
      <c r="B67" s="25" t="str">
        <f aca="false">IF(ABS(E47-0.8965)&lt;0.0005,"✓","✗")</f>
        <v>✓</v>
      </c>
      <c r="C67" s="10" t="s">
        <v>229</v>
      </c>
    </row>
    <row r="68" customFormat="false" ht="16" hidden="false" customHeight="false" outlineLevel="0" collapsed="false">
      <c r="A68" s="10" t="s">
        <v>230</v>
      </c>
      <c r="B68" s="25" t="str">
        <f aca="false">IF(ABS(B56-0.0604)&lt;0.0005,"✓","✗")</f>
        <v>✓</v>
      </c>
      <c r="C68" s="10" t="s">
        <v>231</v>
      </c>
    </row>
    <row r="69" customFormat="false" ht="16" hidden="false" customHeight="false" outlineLevel="0" collapsed="false">
      <c r="A69" s="10" t="s">
        <v>232</v>
      </c>
      <c r="B69" s="25" t="str">
        <f aca="false">IF(ABS(B59-0.9506)&lt;0.0005,"✓","✗")</f>
        <v>✓</v>
      </c>
      <c r="C69" s="10" t="s">
        <v>233</v>
      </c>
    </row>
    <row r="71" customFormat="false" ht="15" hidden="false" customHeight="true" outlineLevel="0" collapsed="false">
      <c r="A71" s="26" t="s">
        <v>234</v>
      </c>
      <c r="B71" s="26"/>
      <c r="C71" s="26"/>
      <c r="D71" s="26"/>
      <c r="E71" s="26"/>
      <c r="F71" s="26"/>
      <c r="G71" s="26"/>
      <c r="H71" s="26"/>
    </row>
  </sheetData>
  <mergeCells count="29">
    <mergeCell ref="A1:H1"/>
    <mergeCell ref="A3:C3"/>
    <mergeCell ref="C5:E5"/>
    <mergeCell ref="C7:F7"/>
    <mergeCell ref="C8:G8"/>
    <mergeCell ref="C10:F10"/>
    <mergeCell ref="C11:D11"/>
    <mergeCell ref="C12:D12"/>
    <mergeCell ref="A14:F14"/>
    <mergeCell ref="F19:H19"/>
    <mergeCell ref="F23:H23"/>
    <mergeCell ref="F24:G24"/>
    <mergeCell ref="A26:F26"/>
    <mergeCell ref="A35:F35"/>
    <mergeCell ref="G40:H40"/>
    <mergeCell ref="A42:F42"/>
    <mergeCell ref="A49:C49"/>
    <mergeCell ref="C51:E51"/>
    <mergeCell ref="C52:E52"/>
    <mergeCell ref="C53:E53"/>
    <mergeCell ref="C54:F54"/>
    <mergeCell ref="C55:E55"/>
    <mergeCell ref="C56:E56"/>
    <mergeCell ref="C57:D57"/>
    <mergeCell ref="C58:E58"/>
    <mergeCell ref="C59:F59"/>
    <mergeCell ref="A61:C61"/>
    <mergeCell ref="C65:D65"/>
    <mergeCell ref="A71:H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91"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2026-09-29T15:06:26Z</dcterms:created>
  <dc:creator>openpyxl</dc:creator>
  <dc:description/>
  <dc:language>zh-CN</dc:language>
  <cp:lastModifiedBy/>
  <dcterms:modified xsi:type="dcterms:W3CDTF">2026-09-29T15:06:26Z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