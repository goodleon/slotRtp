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lotRtp\"/>
    </mc:Choice>
  </mc:AlternateContent>
  <bookViews>
    <workbookView windowWidth="28800" windowHeight="12255" firstSheet="1" activeTab="1"/>
  </bookViews>
  <sheets>
    <sheet name="说明" sheetId="1" r:id="rId1"/>
    <sheet name="PartIII 转轮+WILD连线→RTP" sheetId="5" r:id="rId2"/>
  </sheets>
  <definedNames>
    <definedName name="_xlnm._FilterDatabase" localSheetId="1" hidden="1">'PartIII 转轮+WILD连线→RTP'!$A$51:$L$300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<sst xmlns="http://schemas.openxmlformats.org/spreadsheetml/2006/main" count="2923" uniqueCount="151">
  <si>
    <t>老虎机数学入门 PART Ⅲ —— 首轮出现 WILD 的 RTP 计算模型</t>
  </si>
  <si>
    <t xml:space="preserve"> </t>
  </si>
  <si>
    <t>来源：SLOT设计王《老虎机数学入门 PART Ⅲ》 https://ezslotdesign.com/slotmath3/</t>
  </si>
  <si>
    <t/>
  </si>
  <si>
    <t>页签说明</t>
  </si>
  <si>
    <t>· 赔率表：一般符号 + WILD 自己的连线分（本篇新增），另设「WILD 不可替代符号数」= Scatter 数（本例 0）</t>
  </si>
  <si>
    <t>· 滚轮表：本篇轮带（每轮第 1、7 格为 WILD），下方用 COUNTIF 自动计数</t>
  </si>
  <si>
    <t>· 连线计算：A 段=不含 WILD 的连线；B 段=含 WILD 的逐落点连线（买 MAX 判定 W 档还是图案档）；C 段=纯 WILD</t>
  </si>
  <si>
    <t>判赔规则：一条线上同时符合 WILD 连线与一般符号连线时，取赔付较高者</t>
  </si>
  <si>
    <t>例：W-W-W-K-K → MAX(W三连线 150, K五连线 100) = 150</t>
  </si>
  <si>
    <t>纯 WILD 四连/三连：后面那格必须是「WILD 不可替代符号」（本例 Scatter 数 = 0，故次数为 0）</t>
  </si>
  <si>
    <t>对照原文配图（可用下列结果自查）：W K K K K = 162 ／ K W K K K = 54 ／ W W W K K = 72 ／ W W W W K = 48 ／ 纯 W 五连线 = 32（赔 1000）</t>
  </si>
  <si>
    <t>（本簿已合并为 2 个页签：说明、PartIII 转轮+WILD连线→RTP；各区块：赔率表 第2~11行，转轮表 第14~45行，连线计算 第48~335行）</t>
  </si>
  <si>
    <t>── 完整文档（原 老虎机数学入门-PartIII-首轮百搭与Wild连线.md 存档）──</t>
  </si>
  <si>
    <t>老虎机数学入门（PART Ⅲ）：首轮出现 WILD 时怎么算 RTP</t>
  </si>
  <si>
    <t>来源文章：&lt;https://ezslotdesign.com/slotmath3/&gt;（SLOT设计王 · 老虎机数学入门 PART Ⅲ）</t>
  </si>
  <si>
    <t>前篇：PART Ⅰ / PART Ⅱ（见本目录）</t>
  </si>
  <si>
    <t>整理日期：2026-09-27 ｜ 配图已下载到 images/slotmath3/ 并嵌入本文</t>
  </si>
  <si>
    <t>0. 本篇要解决的问题</t>
  </si>
  <si>
    <t>前两篇的滚轮表里，转轮 1 没有 WILD；本篇换成「首轮（甚至每轮）都出现 WILD」的滚轮表，于是必须多处理三件事：</t>
  </si>
  <si>
    <t>• 1. 赔率表要新增 WILD 自己的连线分数 —— 否则出现「纯 WILD 连线」时不知道该赔多少。</t>
  </si>
  <si>
    <t>• 2. 一条线上同时符合「WILD 连线」与「一般符号连线」时，取赔付较高的那一种。</t>
  </si>
  <si>
    <t>• 例：W-W-W-K-K 同时符合《W 三连线 150 分》与《K 五连线 100 分》→ 赔 150 分。</t>
  </si>
  <si>
    <t>• 3. 纯 WILD 的四连 / 三连线：其后面那格必须算「WILD 无法替代的符号总个数」（通常就是 Scatter 总个数；本范例滚轮表没有配 Scatter，所以是 0）。</t>
  </si>
  <si>
    <t>本篇只示范主游戏。</t>
  </si>
  <si>
    <t>1. 滚轮表与赔率表（原文配图）</t>
  </si>
  <si>
    <t>[图片] 本篇滚轮表：5 轮 × 20 格，每轮第 1、7 格都是 WILD（转轮 1 终于有 WILD 了）  images/slotmath3/02-image-25-opt.webp</t>
  </si>
  <si>
    <t>滚轮表计数（从配图读出）：</t>
  </si>
  <si>
    <t>图案</t>
  </si>
  <si>
    <t>转轮1</t>
  </si>
  <si>
    <t>转轮2</t>
  </si>
  <si>
    <t>转轮3</t>
  </si>
  <si>
    <t>转轮4</t>
  </si>
  <si>
    <t>转轮5</t>
  </si>
  <si>
    <t>W</t>
  </si>
  <si>
    <t>K</t>
  </si>
  <si>
    <t>Q</t>
  </si>
  <si>
    <t>J</t>
  </si>
  <si>
    <t>合计</t>
  </si>
  <si>
    <t>赔率表（一般符号沿用 PART Ⅰ；W 行为本篇新增）：</t>
  </si>
  <si>
    <t>3 连线</t>
  </si>
  <si>
    <t>4 连线</t>
  </si>
  <si>
    <t>5 连线</t>
  </si>
  <si>
    <t>W（WILD）</t>
  </si>
  <si>
    <t>W 的赔付在配图里可见三处：纯 W 五连线 32 次、得 1000；四连线 300；三连线 150。</t>
  </si>
  <si>
    <t>2. 三段式计算（原文结构）</t>
  </si>
  <si>
    <t>本篇的连线得分被拆成三张计算图相加：</t>
  </si>
  <si>
    <t>① 不含 WILD 的连线得分</t>
  </si>
  <si>
    <t>与 PART Ⅰ 完全一致，但转轮 1~5 只统计 K/Q/J/10/9 这些图案本身的个数，不含 WILD 的个数。</t>
  </si>
  <si>
    <t>② 含 WILD 的连线得分（逐图案做，原文以 K 为例）</t>
  </si>
  <si>
    <t>必须把「连线上有 {1,2,3,4} 个 WILD」并且各种不同位置的状况逐条列出，再判断每条该给「WILD 连线」还是「该图案连线」的分（取较大者）。</t>
  </si>
  <si>
    <t>[图片] 以 K 为例：把 W 与 K 在 5 个转轮上的各种落点逐条列出，逐条判定赔付（100 或 150 / 300）  images/slotmath3/01-image-28.png</t>
  </si>
  <si>
    <t>计算方式（每条 = 精确落点的次数相乘）：</t>
  </si>
  <si>
    <t>出现次数 = Π(各轮实际落点符号的个数)     例：W K K K K = 2 × 3 × 3 × 3 × 3 = 162</t>
  </si>
  <si>
    <t>K W K K K = 1 × 2 × 3 × 3 × 3 = 54</t>
  </si>
  <si>
    <t>W W W K K = 2 × 2 × 2 × 3 × 3 = 72</t>
  </si>
  <si>
    <t>W W W W K = 2 × 2 × 2 × 2 × 3 = 48</t>
  </si>
  <si>
    <t>得分数   = MAX( WILD 连线的分(前导 W 个数) , 该图案 n 连线的分 )</t>
  </si>
  <si>
    <t>→ W K K K K：MAX(W1 无档位=0, K5=100)      = 100</t>
  </si>
  <si>
    <t>→ W W W K K：MAX(W3=150,       K5=100)      = 150</t>
  </si>
  <si>
    <t>→ W W W W K：MAX(W4=300,       K5=100)      = 300</t>
  </si>
  <si>
    <t>原文留了个小测验：「上图中总共有四列是判断为百搭连线而非图案K连线，读者可以找看看是哪四列」——即上表里得分数为 150/300 的那几行。</t>
  </si>
  <si>
    <t>③ 只有 WILD 的连线得分</t>
  </si>
  <si>
    <t>[图片] 纯 WILD：W5 = 32 次赔 1000；W4 / W3 因为后面要接「WILD 无法替代的符号」（本例 Scatter 数 = 0）所以次数为 0  images/slotmath3/05-image-29-opt.webp</t>
  </si>
  <si>
    <t>连线</t>
  </si>
  <si>
    <t>组合模式</t>
  </si>
  <si>
    <t>出现次数</t>
  </si>
  <si>
    <t>得分</t>
  </si>
  <si>
    <t>W 五连线</t>
  </si>
  <si>
    <t>W W W W W</t>
  </si>
  <si>
    <t>2⁵ = 32</t>
  </si>
  <si>
    <t>W 四连线</t>
  </si>
  <si>
    <t>W W W W 不可替代符号</t>
  </si>
  <si>
    <t>2⁴ × 0 = 0</t>
  </si>
  <si>
    <t>W 三连线</t>
  </si>
  <si>
    <t>W W W 不可替代符号 any</t>
  </si>
  <si>
    <t>2³ × 0 = 0</t>
  </si>
  <si>
    <t>关键：四连/三连 WILD 后面的那一格不能是普通符号（否则它就变成 5 连 / 4 连了），只能是 WILD 也替代不了的符号（Scatter）。本例没配 Scatter → 次数 0。</t>
  </si>
  <si>
    <t>3. 这套算法的价值（原文结论）</t>
  </si>
  <si>
    <t>• 只要滚轮表里有 WILD，就必须用②③这两段来补，否则会漏掉「WILD 起头」和「纯 WILD」的中奖组合。</t>
  </si>
  <si>
    <t>• 同一思路很容易扩展：当 WILD 带连线倍数时，把倍率乘进得分数即可。</t>
  </si>
  <si>
    <t>• W-W-W-K-K 这类「两种连线同时成立」的情况，一律取较大赔付，是这类机台的通用规则。</t>
  </si>
  <si>
    <t>4. 公式速查</t>
  </si>
  <si>
    <t>项</t>
  </si>
  <si>
    <t>公式</t>
  </si>
  <si>
    <t>单条连线次数（含 WILD）</t>
  </si>
  <si>
    <t>Π 各轮落点符号的个数（落点可以是 W，也可以是该图案）</t>
  </si>
  <si>
    <t>单条得分数</t>
  </si>
  <si>
    <t>MAX( WILD 档位赔付(前导 W 数) , 该图案赔付(n 连线) )</t>
  </si>
  <si>
    <t>不含 WILD 的连线</t>
  </si>
  <si>
    <t>各轮用「该图案个数」（不含 W）相乘，模式同 PART Ⅰ</t>
  </si>
  <si>
    <t>纯 WILD n 连线</t>
  </si>
  <si>
    <t>Π W 个数 × (n 连线之后那格的「WILD 不可替代符号数」，本例 0)</t>
  </si>
  <si>
    <t>该图案总期望值</t>
  </si>
  <si>
    <t>① + ② 两段逐条 机率 × 得分 求和</t>
  </si>
  <si>
    <t>主游戏 RTP</t>
  </si>
  <si>
    <t>所有图案（含纯 WILD）期望值之和</t>
  </si>
  <si>
    <t>5. 配套 Excel</t>
  </si>
  <si>
    <t>同目录 老虎机数学入门-PartIII-Wild连线模型.xlsx：把上面的三段式计算做成可改参数模型——滚轮表 →（COUNTIF）计数 → 「W×图案」落点枚举表（PRODUCT 逐轮相乘 + MAX 判定赔付档位）→ RTP；可对照原文配图核对（如 W K K K K = 162、K W K K K = 54、W W W K K = 72、W W W W K = 48、纯 W 五连线 = 32 / 得 1000）。</t>
  </si>
  <si>
    <t>6. 配图清单（images/slotmath3/）</t>
  </si>
  <si>
    <t>文件</t>
  </si>
  <si>
    <t>原文图</t>
  </si>
  <si>
    <t>内容</t>
  </si>
  <si>
    <t>01-image-28.png</t>
  </si>
  <si>
    <t>image-28</t>
  </si>
  <si>
    <t>含 WILD（以 K 为例）的逐落点计算与判定</t>
  </si>
  <si>
    <t>02-image-25-opt.webp</t>
  </si>
  <si>
    <t>image-25</t>
  </si>
  <si>
    <t>本篇滚轮表（每轮第 1、7 格为 WILD）</t>
  </si>
  <si>
    <t>03-image-26-opt.webp</t>
  </si>
  <si>
    <t>image-26</t>
  </si>
  <si>
    <t>不含 WILD 的连线计算</t>
  </si>
  <si>
    <t>04-image-27-opt.webp</t>
  </si>
  <si>
    <t>image-27</t>
  </si>
  <si>
    <t>含 WILD 连线计算的另一张</t>
  </si>
  <si>
    <t>05-image-29-opt.webp</t>
  </si>
  <si>
    <t>image-29</t>
  </si>
  <si>
    <t>纯 WILD 的 W5 / W4 / W3 计算</t>
  </si>
  <si>
    <t>7. 参考链接</t>
  </si>
  <si>
    <t>• 本篇：&lt;https://ezslotdesign.com/slotmath3/&gt;</t>
  </si>
  <si>
    <t>• 前篇：&lt;https://ezslotdesign.com/slotmath2/&gt;（PART Ⅱ）、&lt;https://ezslotdesign.com/slotmath1v2/&gt;（PART Ⅰ 修订版）</t>
  </si>
  <si>
    <t>【赔率表】</t>
  </si>
  <si>
    <t>WILD 不可替代符号数（本例 Scatter = 0）</t>
  </si>
  <si>
    <t>（纯 WILD 4/3 连线时，其后一格要乘这个数）</t>
  </si>
  <si>
    <t>【转轮表】</t>
  </si>
  <si>
    <t>位置</t>
  </si>
  <si>
    <t>图案次数统计</t>
  </si>
  <si>
    <t>S</t>
  </si>
  <si>
    <t>【连线计算】</t>
  </si>
  <si>
    <t>所有可能数</t>
  </si>
  <si>
    <t>RTP 合计（含 WILD）</t>
  </si>
  <si>
    <t>段落</t>
  </si>
  <si>
    <t>连线数</t>
  </si>
  <si>
    <t>轮1</t>
  </si>
  <si>
    <t>轮2</t>
  </si>
  <si>
    <t>轮3</t>
  </si>
  <si>
    <t>轮4</t>
  </si>
  <si>
    <t>轮5</t>
  </si>
  <si>
    <t>出现机率</t>
  </si>
  <si>
    <t>得分数</t>
  </si>
  <si>
    <t>RTP</t>
  </si>
  <si>
    <t>A 不含W</t>
  </si>
  <si>
    <t>X_WK</t>
  </si>
  <si>
    <t>any</t>
  </si>
  <si>
    <t>X_WQ</t>
  </si>
  <si>
    <t>X_WJ</t>
  </si>
  <si>
    <t>X_W10</t>
  </si>
  <si>
    <t>X_W9</t>
  </si>
  <si>
    <t>B 含W</t>
  </si>
  <si>
    <t>C 纯W</t>
  </si>
  <si>
    <t>_W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</si>
</sst>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64" formatCode="0.0000000000%"/>
  </numFmts>
  <fonts count="31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sz val="11"/>
      <color rgb="FF0000FF"/>
      <name val="微软雅黑"/>
      <charset val="134"/>
    </font>
    <font>
      <b/>
      <sz val="11"/>
      <name val="微软雅黑"/>
      <charset val="134"/>
    </font>
    <font>
      <sz val="11"/>
      <color rgb="FF000000"/>
      <name val="微软雅黑"/>
      <charset val="134"/>
    </font>
    <font>
      <b/>
      <sz val="14"/>
      <color rgb="FF1F4E79"/>
      <name val="微软雅黑"/>
      <charset val="134"/>
    </font>
    <font>
      <b/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8" borderId="4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1" fillId="3" borderId="0" xfId="0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1" fillId="3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10" fontId="4" fillId="5" borderId="0" xfId="0" applyNumberFormat="1" applyFont="1" applyFill="1" applyBorder="1"/>
    <xf numFmtId="0" fontId="4" fillId="6" borderId="0" xfId="0" applyFont="1" applyFill="1" applyBorder="1"/>
    <xf numFmtId="3" fontId="5" fillId="0" borderId="0" xfId="0" applyNumberFormat="1" applyFont="1" applyBorder="1"/>
    <xf numFmtId="10" fontId="5" fillId="0" borderId="0" xfId="0" applyNumberFormat="1" applyFont="1" applyBorder="1"/>
    <xf numFmtId="0" fontId="3" fillId="4" borderId="0" xfId="0" applyFont="1" applyFill="1" applyBorder="1"/>
    <xf numFmtId="3" fontId="4" fillId="0" borderId="0" xfId="0" applyNumberFormat="1" applyFont="1" applyBorder="1"/>
    <xf numFmtId="10" fontId="4" fillId="6" borderId="0" xfId="0" applyNumberFormat="1" applyFont="1" applyFill="1" applyBorder="1"/>
    <xf numFmtId="0" fontId="0" fillId="0" borderId="0" xfId="0" applyAlignment="1">
      <alignment wrapText="1"/>
    </xf>
    <xf numFmtId="0" fontId="6" fillId="0" borderId="0" xfId="0" applyFont="1" applyFill="1" applyBorder="1" applyAlignment="1">
      <alignment wrapText="1"/>
    </xf>
    <xf numFmtId="0" fontId="5" fillId="0" borderId="0" xfId="0" applyFont="1" applyFill="1" applyBorder="1"/>
    <xf numFmtId="0" fontId="5" fillId="0" borderId="0" xfId="0" applyFont="1" applyAlignment="1">
      <alignment wrapText="1"/>
    </xf>
    <xf numFmtId="0" fontId="5" fillId="0" borderId="0" xfId="0" applyFont="1"/>
    <xf numFmtId="0" fontId="7" fillId="0" borderId="0" xfId="0" applyFont="1" applyAlignment="1">
      <alignment wrapText="1"/>
    </xf>
    <xf numFmtId="0" fontId="5" fillId="0" borderId="0" xfId="0" applyFont="1" applyAlignment="1"/>
    <xf numFmtId="0" fontId="8" fillId="0" borderId="0" xfId="0" applyFont="1" applyAlignment="1">
      <alignment wrapText="1"/>
    </xf>
    <xf numFmtId="0" fontId="6" fillId="0" borderId="0" xfId="0" applyNumberFormat="1" applyFont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9" fillId="0" borderId="0" xfId="0" applyNumberFormat="1" applyFont="1" applyAlignment="1">
      <alignment wrapText="1"/>
    </xf>
    <xf numFmtId="0" fontId="8" fillId="0" borderId="0" xfId="0" applyNumberFormat="1" applyFont="1" applyAlignment="1">
      <alignment wrapText="1"/>
    </xf>
    <xf numFmtId="0" fontId="5" fillId="0" borderId="0" xfId="0" applyNumberFormat="1" applyFont="1" applyAlignment="1">
      <alignment wrapText="1"/>
    </xf>
    <xf numFmtId="0" fontId="5" fillId="0" borderId="0" xfId="0" applyNumberFormat="1" applyFont="1" applyAlignment="1"/>
    <xf numFmtId="0" fontId="10" fillId="3" borderId="0" xfId="0" applyNumberFormat="1" applyFont="1" applyFill="1" applyAlignment="1">
      <alignment wrapText="1"/>
    </xf>
    <xf numFmtId="0" fontId="10" fillId="3" borderId="0" xfId="0" applyNumberFormat="1" applyFont="1" applyFill="1"/>
    <xf numFmtId="0" fontId="11" fillId="0" borderId="0" xfId="0" applyNumberFormat="1" applyFont="1" applyAlignment="1">
      <alignment wrapText="1"/>
    </xf>
    <xf numFmtId="0" fontId="11" fillId="0" borderId="0" xfId="0" applyNumberFormat="1" applyFont="1"/>
    <xf numFmtId="0" fontId="1" fillId="0" borderId="0" xfId="0" applyNumberFormat="1" applyFont="1" applyAlignment="1">
      <alignment wrapText="1"/>
    </xf>
    <xf numFmtId="0" fontId="9" fillId="0" borderId="0" xfId="0" applyNumberFormat="1" applyFont="1" applyAlignment="1"/>
    <xf numFmtId="164" applyNumberFormat="1" fontId="4" fillId="5" borderId="0" xfId="0" applyFont="1" applyFill="1" applyBorder="1"/>
    <xf numFmtId="164" applyNumberFormat="1" fontId="5" fillId="0" borderId="0" xfId="0" applyFont="1" applyBorder="1"/>
    <xf numFmtId="164" applyNumberFormat="1" fontId="4" fillId="6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32</xdr:row>
      <xdr:rowOff>0</xdr:rowOff>
    </xdr:from>
    <xdr:to>
      <xdr:col>8</xdr:col>
      <xdr:colOff>622300</xdr:colOff>
      <xdr:row>56</xdr:row>
      <xdr:rowOff>57150</xdr:rowOff>
    </xdr:to>
    <xdr:pic>
      <xdr:nvPicPr>
        <xdr:cNvPr id="5" name="图片 4" descr="02-image-25-opt"/>
        <xdr:cNvPicPr/>
      </xdr:nvPicPr>
      <xdr:blipFill>
        <a:blip r:embed="rId1"/>
        <a:stretch>
          <a:fillRect/>
        </a:stretch>
      </xdr:blipFill>
      <xdr:spPr>
        <a:xfrm>
          <a:off x="6480810" y="6445250"/>
          <a:ext cx="5391150" cy="50546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60</xdr:row>
      <xdr:rowOff>0</xdr:rowOff>
    </xdr:from>
    <xdr:to>
      <xdr:col>8</xdr:col>
      <xdr:colOff>127000</xdr:colOff>
      <xdr:row>79</xdr:row>
      <xdr:rowOff>215900</xdr:rowOff>
    </xdr:to>
    <xdr:pic>
      <xdr:nvPicPr>
        <xdr:cNvPr id="6" name="图片 5" descr="01-image-28"/>
        <xdr:cNvPicPr/>
      </xdr:nvPicPr>
      <xdr:blipFill>
        <a:blip r:embed="rId2"/>
        <a:stretch>
          <a:fillRect/>
        </a:stretch>
      </xdr:blipFill>
      <xdr:spPr>
        <a:xfrm>
          <a:off x="6480810" y="12293600"/>
          <a:ext cx="4895850" cy="51181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80</xdr:row>
      <xdr:rowOff>63500</xdr:rowOff>
    </xdr:from>
    <xdr:to>
      <xdr:col>9</xdr:col>
      <xdr:colOff>463550</xdr:colOff>
      <xdr:row>82</xdr:row>
      <xdr:rowOff>0</xdr:rowOff>
    </xdr:to>
    <xdr:pic>
      <xdr:nvPicPr>
        <xdr:cNvPr id="7" name="图片 6" descr="05-image-29-opt"/>
        <xdr:cNvPicPr/>
      </xdr:nvPicPr>
      <xdr:blipFill>
        <a:blip r:embed="rId3"/>
        <a:stretch>
          <a:fillRect/>
        </a:stretch>
      </xdr:blipFill>
      <xdr:spPr>
        <a:xfrm>
          <a:off x="6480810" y="17513300"/>
          <a:ext cx="5918200" cy="31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0"/>
  <sheetViews>
    <sheetView workbookViewId="0">
      <selection activeCell="A1" sqref="A1:F1"/>
    </sheetView>
  </sheetViews>
  <sheetFormatPr defaultColWidth="9" defaultRowHeight="13.5"/>
  <cols>
    <col min="1" max="1" width="84.6333333333333" style="23" customWidth="1"/>
  </cols>
  <sheetData>
    <row r="1" ht="22" customHeight="1" spans="1:10">
      <c r="A1" s="24" t="s">
        <v>0</v>
      </c>
      <c r="B1" s="25" t="s">
        <v>1</v>
      </c>
      <c r="C1" s="25" t="s">
        <v>1</v>
      </c>
      <c r="D1" s="25" t="s">
        <v>1</v>
      </c>
      <c r="E1" s="25" t="s">
        <v>1</v>
      </c>
      <c r="F1" s="25" t="s">
        <v>1</v>
      </c>
      <c r="G1" s="25" t="s">
        <v>1</v>
      </c>
      <c r="H1" s="25" t="s">
        <v>1</v>
      </c>
      <c r="I1" s="25" t="s">
        <v>1</v>
      </c>
      <c r="J1" s="25" t="s">
        <v>1</v>
      </c>
    </row>
    <row r="2" ht="14" customHeight="1" spans="1:10">
      <c r="A2" s="26" t="s">
        <v>2</v>
      </c>
      <c r="B2" s="27" t="s">
        <v>1</v>
      </c>
      <c r="C2" s="27" t="s">
        <v>1</v>
      </c>
      <c r="D2" s="27" t="s">
        <v>1</v>
      </c>
      <c r="E2" s="27" t="s">
        <v>1</v>
      </c>
      <c r="F2" s="27" t="s">
        <v>1</v>
      </c>
      <c r="G2" s="27" t="s">
        <v>1</v>
      </c>
      <c r="H2" s="27" t="s">
        <v>1</v>
      </c>
      <c r="I2" s="27" t="s">
        <v>1</v>
      </c>
      <c r="J2" s="27" t="s">
        <v>1</v>
      </c>
    </row>
    <row r="3" ht="14" customHeight="1" spans="1:10">
      <c r="A3" s="26" t="s">
        <v>3</v>
      </c>
      <c r="B3" s="27" t="s">
        <v>1</v>
      </c>
      <c r="C3" s="27" t="s">
        <v>1</v>
      </c>
      <c r="D3" s="27" t="s">
        <v>1</v>
      </c>
      <c r="E3" s="27" t="s">
        <v>1</v>
      </c>
      <c r="F3" s="27" t="s">
        <v>1</v>
      </c>
      <c r="G3" s="27" t="s">
        <v>1</v>
      </c>
      <c r="H3" s="27" t="s">
        <v>1</v>
      </c>
      <c r="I3" s="27" t="s">
        <v>1</v>
      </c>
      <c r="J3" s="27" t="s">
        <v>1</v>
      </c>
    </row>
    <row r="4" ht="14" customHeight="1" spans="1:10">
      <c r="A4" s="28" t="s">
        <v>4</v>
      </c>
      <c r="B4" s="27" t="s">
        <v>1</v>
      </c>
      <c r="C4" s="27" t="s">
        <v>1</v>
      </c>
      <c r="D4" s="27" t="s">
        <v>1</v>
      </c>
      <c r="E4" s="27" t="s">
        <v>1</v>
      </c>
      <c r="F4" s="27" t="s">
        <v>1</v>
      </c>
      <c r="G4" s="27" t="s">
        <v>1</v>
      </c>
      <c r="H4" s="27" t="s">
        <v>1</v>
      </c>
      <c r="I4" s="27" t="s">
        <v>1</v>
      </c>
      <c r="J4" s="27" t="s">
        <v>1</v>
      </c>
    </row>
    <row r="5" ht="14" customHeight="1" spans="1:10">
      <c r="A5" s="26" t="s">
        <v>5</v>
      </c>
      <c r="B5" s="27" t="s">
        <v>1</v>
      </c>
      <c r="C5" s="27" t="s">
        <v>1</v>
      </c>
      <c r="D5" s="27" t="s">
        <v>1</v>
      </c>
      <c r="E5" s="27" t="s">
        <v>1</v>
      </c>
      <c r="F5" s="27" t="s">
        <v>1</v>
      </c>
      <c r="G5" s="27" t="s">
        <v>1</v>
      </c>
      <c r="H5" s="27" t="s">
        <v>1</v>
      </c>
      <c r="I5" s="27" t="s">
        <v>1</v>
      </c>
      <c r="J5" s="27" t="s">
        <v>1</v>
      </c>
    </row>
    <row r="6" ht="14" customHeight="1" spans="1:10">
      <c r="A6" s="26" t="s">
        <v>6</v>
      </c>
      <c r="B6" s="27" t="s">
        <v>1</v>
      </c>
      <c r="C6" s="27" t="s">
        <v>1</v>
      </c>
      <c r="D6" s="27" t="s">
        <v>1</v>
      </c>
      <c r="E6" s="27" t="s">
        <v>1</v>
      </c>
      <c r="F6" s="27" t="s">
        <v>1</v>
      </c>
      <c r="G6" s="27" t="s">
        <v>1</v>
      </c>
      <c r="H6" s="27" t="s">
        <v>1</v>
      </c>
      <c r="I6" s="27" t="s">
        <v>1</v>
      </c>
      <c r="J6" s="27" t="s">
        <v>1</v>
      </c>
    </row>
    <row r="7" ht="14" customHeight="1" spans="1:10">
      <c r="A7" s="26" t="s">
        <v>7</v>
      </c>
      <c r="B7" s="27" t="s">
        <v>1</v>
      </c>
      <c r="C7" s="27" t="s">
        <v>1</v>
      </c>
      <c r="D7" s="27" t="s">
        <v>1</v>
      </c>
      <c r="E7" s="27" t="s">
        <v>1</v>
      </c>
      <c r="F7" s="27" t="s">
        <v>1</v>
      </c>
      <c r="G7" s="27" t="s">
        <v>1</v>
      </c>
      <c r="H7" s="27" t="s">
        <v>1</v>
      </c>
      <c r="I7" s="27" t="s">
        <v>1</v>
      </c>
      <c r="J7" s="27" t="s">
        <v>1</v>
      </c>
    </row>
    <row r="8" ht="14" customHeight="1" spans="1:10">
      <c r="A8" s="26" t="s">
        <v>3</v>
      </c>
      <c r="B8" s="27" t="s">
        <v>1</v>
      </c>
      <c r="C8" s="27" t="s">
        <v>1</v>
      </c>
      <c r="D8" s="27" t="s">
        <v>1</v>
      </c>
      <c r="E8" s="27" t="s">
        <v>1</v>
      </c>
      <c r="F8" s="27" t="s">
        <v>1</v>
      </c>
      <c r="G8" s="27" t="s">
        <v>1</v>
      </c>
      <c r="H8" s="27" t="s">
        <v>1</v>
      </c>
      <c r="I8" s="27" t="s">
        <v>1</v>
      </c>
      <c r="J8" s="27" t="s">
        <v>1</v>
      </c>
    </row>
    <row r="9" ht="14" customHeight="1" spans="1:10">
      <c r="A9" s="28" t="s">
        <v>8</v>
      </c>
      <c r="B9" s="27" t="s">
        <v>1</v>
      </c>
      <c r="C9" s="27" t="s">
        <v>1</v>
      </c>
      <c r="D9" s="27" t="s">
        <v>1</v>
      </c>
      <c r="E9" s="27" t="s">
        <v>1</v>
      </c>
      <c r="F9" s="27" t="s">
        <v>1</v>
      </c>
      <c r="G9" s="27" t="s">
        <v>1</v>
      </c>
      <c r="H9" s="27" t="s">
        <v>1</v>
      </c>
      <c r="I9" s="27" t="s">
        <v>1</v>
      </c>
      <c r="J9" s="27" t="s">
        <v>1</v>
      </c>
    </row>
    <row r="10" ht="14" customHeight="1" spans="1:10">
      <c r="A10" s="26" t="s">
        <v>9</v>
      </c>
      <c r="B10" s="27" t="s">
        <v>1</v>
      </c>
      <c r="C10" s="27" t="s">
        <v>1</v>
      </c>
      <c r="D10" s="27" t="s">
        <v>1</v>
      </c>
      <c r="E10" s="27" t="s">
        <v>1</v>
      </c>
      <c r="F10" s="27" t="s">
        <v>1</v>
      </c>
      <c r="G10" s="27" t="s">
        <v>1</v>
      </c>
      <c r="H10" s="27" t="s">
        <v>1</v>
      </c>
      <c r="I10" s="27" t="s">
        <v>1</v>
      </c>
      <c r="J10" s="27" t="s">
        <v>1</v>
      </c>
    </row>
    <row r="11" ht="14" customHeight="1" spans="1:10">
      <c r="A11" s="26" t="s">
        <v>10</v>
      </c>
      <c r="B11" s="27" t="s">
        <v>1</v>
      </c>
      <c r="C11" s="27" t="s">
        <v>1</v>
      </c>
      <c r="D11" s="27" t="s">
        <v>1</v>
      </c>
      <c r="E11" s="27" t="s">
        <v>1</v>
      </c>
      <c r="F11" s="27" t="s">
        <v>1</v>
      </c>
      <c r="G11" s="27" t="s">
        <v>1</v>
      </c>
      <c r="H11" s="27" t="s">
        <v>1</v>
      </c>
      <c r="I11" s="27" t="s">
        <v>1</v>
      </c>
      <c r="J11" s="27" t="s">
        <v>1</v>
      </c>
    </row>
    <row r="12" ht="14" customHeight="1" spans="1:10">
      <c r="A12" s="26" t="s">
        <v>3</v>
      </c>
      <c r="B12" s="27" t="s">
        <v>1</v>
      </c>
      <c r="C12" s="27" t="s">
        <v>1</v>
      </c>
      <c r="D12" s="27" t="s">
        <v>1</v>
      </c>
      <c r="E12" s="27" t="s">
        <v>1</v>
      </c>
      <c r="F12" s="27" t="s">
        <v>1</v>
      </c>
      <c r="G12" s="27" t="s">
        <v>1</v>
      </c>
      <c r="H12" s="27" t="s">
        <v>1</v>
      </c>
      <c r="I12" s="27" t="s">
        <v>1</v>
      </c>
      <c r="J12" s="27" t="s">
        <v>1</v>
      </c>
    </row>
    <row r="13" ht="14" customHeight="1" spans="1:10">
      <c r="A13" s="29" t="s">
        <v>11</v>
      </c>
      <c r="B13" s="27" t="s">
        <v>1</v>
      </c>
      <c r="C13" s="27" t="s">
        <v>1</v>
      </c>
      <c r="D13" s="27" t="s">
        <v>1</v>
      </c>
      <c r="E13" s="27" t="s">
        <v>1</v>
      </c>
      <c r="F13" s="27" t="s">
        <v>1</v>
      </c>
      <c r="G13" s="27" t="s">
        <v>1</v>
      </c>
      <c r="H13" s="27" t="s">
        <v>1</v>
      </c>
      <c r="I13" s="27" t="s">
        <v>1</v>
      </c>
      <c r="J13" s="27" t="s">
        <v>1</v>
      </c>
    </row>
    <row r="14" ht="14" customHeight="1" spans="1:10">
      <c r="A14" s="26" t="s">
        <v>1</v>
      </c>
      <c r="B14" s="27" t="s">
        <v>1</v>
      </c>
      <c r="C14" s="27" t="s">
        <v>1</v>
      </c>
      <c r="D14" s="27" t="s">
        <v>1</v>
      </c>
      <c r="E14" s="27" t="s">
        <v>1</v>
      </c>
      <c r="F14" s="27" t="s">
        <v>1</v>
      </c>
      <c r="G14" s="27" t="s">
        <v>1</v>
      </c>
      <c r="H14" s="27" t="s">
        <v>1</v>
      </c>
      <c r="I14" s="27" t="s">
        <v>1</v>
      </c>
      <c r="J14" s="27" t="s">
        <v>1</v>
      </c>
    </row>
    <row r="15" ht="14" customHeight="1" spans="1:10">
      <c r="A15" s="29" t="s">
        <v>12</v>
      </c>
      <c r="B15" s="27" t="s">
        <v>1</v>
      </c>
      <c r="C15" s="27" t="s">
        <v>1</v>
      </c>
      <c r="D15" s="27" t="s">
        <v>1</v>
      </c>
      <c r="E15" s="27" t="s">
        <v>1</v>
      </c>
      <c r="F15" s="27" t="s">
        <v>1</v>
      </c>
      <c r="G15" s="27" t="s">
        <v>1</v>
      </c>
      <c r="H15" s="27" t="s">
        <v>1</v>
      </c>
      <c r="I15" s="27" t="s">
        <v>1</v>
      </c>
      <c r="J15" s="27" t="s">
        <v>1</v>
      </c>
    </row>
    <row r="16" ht="16.5" spans="1:10">
      <c r="A16" s="26" t="s">
        <v>1</v>
      </c>
      <c r="B16" s="27" t="s">
        <v>1</v>
      </c>
      <c r="C16" s="27" t="s">
        <v>1</v>
      </c>
      <c r="D16" s="27" t="s">
        <v>1</v>
      </c>
      <c r="E16" s="27" t="s">
        <v>1</v>
      </c>
      <c r="F16" s="27" t="s">
        <v>1</v>
      </c>
      <c r="G16" s="27" t="s">
        <v>1</v>
      </c>
      <c r="H16" s="27" t="s">
        <v>1</v>
      </c>
      <c r="I16" s="27" t="s">
        <v>1</v>
      </c>
      <c r="J16" s="27" t="s">
        <v>1</v>
      </c>
    </row>
    <row r="17" ht="20" customHeight="1" spans="1:10">
      <c r="A17" s="30" t="s">
        <v>13</v>
      </c>
      <c r="B17" s="27" t="s">
        <v>1</v>
      </c>
      <c r="C17" s="27" t="s">
        <v>1</v>
      </c>
      <c r="D17" s="27" t="s">
        <v>1</v>
      </c>
      <c r="E17" s="27" t="s">
        <v>1</v>
      </c>
      <c r="F17" s="27" t="s">
        <v>1</v>
      </c>
      <c r="G17" s="27" t="s">
        <v>1</v>
      </c>
      <c r="H17" s="27" t="s">
        <v>1</v>
      </c>
      <c r="I17" s="27" t="s">
        <v>1</v>
      </c>
      <c r="J17" s="27" t="s">
        <v>1</v>
      </c>
    </row>
    <row r="18" ht="24" customHeight="1" spans="1:10">
      <c r="A18" s="31" t="s">
        <v>14</v>
      </c>
      <c r="B18" s="32" t="s">
        <v>1</v>
      </c>
      <c r="C18" s="32" t="s">
        <v>1</v>
      </c>
      <c r="D18" s="32" t="s">
        <v>1</v>
      </c>
      <c r="E18" s="32" t="s">
        <v>1</v>
      </c>
      <c r="F18" s="32" t="s">
        <v>1</v>
      </c>
      <c r="G18" s="32" t="s">
        <v>1</v>
      </c>
      <c r="H18" s="32" t="s">
        <v>1</v>
      </c>
      <c r="I18" s="32" t="s">
        <v>1</v>
      </c>
      <c r="J18" s="32" t="s">
        <v>1</v>
      </c>
    </row>
    <row r="19" spans="1:10">
      <c r="A19" s="33" t="s">
        <v>1</v>
      </c>
      <c r="B19" s="32" t="s">
        <v>1</v>
      </c>
      <c r="C19" s="32" t="s">
        <v>1</v>
      </c>
      <c r="D19" s="32" t="s">
        <v>1</v>
      </c>
      <c r="E19" s="32" t="s">
        <v>1</v>
      </c>
      <c r="F19" s="32" t="s">
        <v>1</v>
      </c>
      <c r="G19" s="32" t="s">
        <v>1</v>
      </c>
      <c r="H19" s="32" t="s">
        <v>1</v>
      </c>
      <c r="I19" s="32" t="s">
        <v>1</v>
      </c>
      <c r="J19" s="32" t="s">
        <v>1</v>
      </c>
    </row>
    <row r="20" ht="16.5" spans="1:10">
      <c r="A20" s="34" t="s">
        <v>15</v>
      </c>
      <c r="B20" s="32" t="s">
        <v>1</v>
      </c>
      <c r="C20" s="32" t="s">
        <v>1</v>
      </c>
      <c r="D20" s="32" t="s">
        <v>1</v>
      </c>
      <c r="E20" s="32" t="s">
        <v>1</v>
      </c>
      <c r="F20" s="32" t="s">
        <v>1</v>
      </c>
      <c r="G20" s="32" t="s">
        <v>1</v>
      </c>
      <c r="H20" s="32" t="s">
        <v>1</v>
      </c>
      <c r="I20" s="32" t="s">
        <v>1</v>
      </c>
      <c r="J20" s="32" t="s">
        <v>1</v>
      </c>
    </row>
    <row r="21" ht="16.5" spans="1:10">
      <c r="A21" s="34" t="s">
        <v>16</v>
      </c>
      <c r="B21" s="32" t="s">
        <v>1</v>
      </c>
      <c r="C21" s="32" t="s">
        <v>1</v>
      </c>
      <c r="D21" s="32" t="s">
        <v>1</v>
      </c>
      <c r="E21" s="32" t="s">
        <v>1</v>
      </c>
      <c r="F21" s="32" t="s">
        <v>1</v>
      </c>
      <c r="G21" s="32" t="s">
        <v>1</v>
      </c>
      <c r="H21" s="32" t="s">
        <v>1</v>
      </c>
      <c r="I21" s="32" t="s">
        <v>1</v>
      </c>
      <c r="J21" s="32" t="s">
        <v>1</v>
      </c>
    </row>
    <row r="22" ht="16.5" spans="1:10">
      <c r="A22" s="34" t="s">
        <v>17</v>
      </c>
      <c r="B22" s="32" t="s">
        <v>1</v>
      </c>
      <c r="C22" s="32" t="s">
        <v>1</v>
      </c>
      <c r="D22" s="32" t="s">
        <v>1</v>
      </c>
      <c r="E22" s="32" t="s">
        <v>1</v>
      </c>
      <c r="F22" s="32" t="s">
        <v>1</v>
      </c>
      <c r="G22" s="32" t="s">
        <v>1</v>
      </c>
      <c r="H22" s="32" t="s">
        <v>1</v>
      </c>
      <c r="I22" s="32" t="s">
        <v>1</v>
      </c>
      <c r="J22" s="32" t="s">
        <v>1</v>
      </c>
    </row>
    <row r="23" ht="20" customHeight="1" spans="1:10">
      <c r="A23" s="35" t="s">
        <v>18</v>
      </c>
      <c r="B23" s="32" t="s">
        <v>1</v>
      </c>
      <c r="C23" s="32" t="s">
        <v>1</v>
      </c>
      <c r="D23" s="32" t="s">
        <v>1</v>
      </c>
      <c r="E23" s="32" t="s">
        <v>1</v>
      </c>
      <c r="F23" s="32" t="s">
        <v>1</v>
      </c>
      <c r="G23" s="32" t="s">
        <v>1</v>
      </c>
      <c r="H23" s="32" t="s">
        <v>1</v>
      </c>
      <c r="I23" s="32" t="s">
        <v>1</v>
      </c>
      <c r="J23" s="32" t="s">
        <v>1</v>
      </c>
    </row>
    <row r="24" spans="1:10">
      <c r="A24" s="33" t="s">
        <v>1</v>
      </c>
      <c r="B24" s="32" t="s">
        <v>1</v>
      </c>
      <c r="C24" s="32" t="s">
        <v>1</v>
      </c>
      <c r="D24" s="32" t="s">
        <v>1</v>
      </c>
      <c r="E24" s="32" t="s">
        <v>1</v>
      </c>
      <c r="F24" s="32" t="s">
        <v>1</v>
      </c>
      <c r="G24" s="32" t="s">
        <v>1</v>
      </c>
      <c r="H24" s="32" t="s">
        <v>1</v>
      </c>
      <c r="I24" s="32" t="s">
        <v>1</v>
      </c>
      <c r="J24" s="32" t="s">
        <v>1</v>
      </c>
    </row>
    <row r="25" ht="16.5" spans="1:10">
      <c r="A25" s="36" t="s">
        <v>19</v>
      </c>
      <c r="B25" s="32" t="s">
        <v>1</v>
      </c>
      <c r="C25" s="32" t="s">
        <v>1</v>
      </c>
      <c r="D25" s="32" t="s">
        <v>1</v>
      </c>
      <c r="E25" s="32" t="s">
        <v>1</v>
      </c>
      <c r="F25" s="32" t="s">
        <v>1</v>
      </c>
      <c r="G25" s="32" t="s">
        <v>1</v>
      </c>
      <c r="H25" s="32" t="s">
        <v>1</v>
      </c>
      <c r="I25" s="32" t="s">
        <v>1</v>
      </c>
      <c r="J25" s="32" t="s">
        <v>1</v>
      </c>
    </row>
    <row r="26" ht="16.5" spans="1:10">
      <c r="A26" s="37" t="s">
        <v>20</v>
      </c>
    </row>
    <row r="27" ht="16.5" spans="1:10">
      <c r="A27" s="36" t="s">
        <v>21</v>
      </c>
      <c r="B27" s="32" t="s">
        <v>1</v>
      </c>
      <c r="C27" s="32" t="s">
        <v>1</v>
      </c>
      <c r="D27" s="32" t="s">
        <v>1</v>
      </c>
      <c r="E27" s="32" t="s">
        <v>1</v>
      </c>
      <c r="F27" s="32" t="s">
        <v>1</v>
      </c>
      <c r="G27" s="32" t="s">
        <v>1</v>
      </c>
      <c r="H27" s="32" t="s">
        <v>1</v>
      </c>
      <c r="I27" s="32" t="s">
        <v>1</v>
      </c>
      <c r="J27" s="32" t="s">
        <v>1</v>
      </c>
    </row>
    <row r="28" ht="16.5" spans="1:10">
      <c r="A28" s="36" t="s">
        <v>22</v>
      </c>
      <c r="B28" s="32" t="s">
        <v>1</v>
      </c>
      <c r="C28" s="32" t="s">
        <v>1</v>
      </c>
      <c r="D28" s="32" t="s">
        <v>1</v>
      </c>
      <c r="E28" s="32" t="s">
        <v>1</v>
      </c>
      <c r="F28" s="32" t="s">
        <v>1</v>
      </c>
      <c r="G28" s="32" t="s">
        <v>1</v>
      </c>
      <c r="H28" s="32" t="s">
        <v>1</v>
      </c>
      <c r="I28" s="32" t="s">
        <v>1</v>
      </c>
      <c r="J28" s="32" t="s">
        <v>1</v>
      </c>
    </row>
    <row r="29" ht="16.5" spans="1:10">
      <c r="A29" s="37" t="s">
        <v>23</v>
      </c>
      <c r="B29" s="32" t="s">
        <v>1</v>
      </c>
      <c r="C29" s="32" t="s">
        <v>1</v>
      </c>
      <c r="D29" s="32" t="s">
        <v>1</v>
      </c>
      <c r="E29" s="32" t="s">
        <v>1</v>
      </c>
      <c r="F29" s="32" t="s">
        <v>1</v>
      </c>
      <c r="G29" s="32" t="s">
        <v>1</v>
      </c>
      <c r="H29" s="32" t="s">
        <v>1</v>
      </c>
      <c r="I29" s="32" t="s">
        <v>1</v>
      </c>
      <c r="J29" s="32" t="s">
        <v>1</v>
      </c>
    </row>
    <row r="30" ht="16.5" spans="1:10">
      <c r="A30" s="36" t="s">
        <v>24</v>
      </c>
      <c r="B30" s="32" t="s">
        <v>1</v>
      </c>
      <c r="C30" s="32" t="s">
        <v>1</v>
      </c>
      <c r="D30" s="32" t="s">
        <v>1</v>
      </c>
      <c r="E30" s="32" t="s">
        <v>1</v>
      </c>
      <c r="F30" s="32" t="s">
        <v>1</v>
      </c>
      <c r="G30" s="32" t="s">
        <v>1</v>
      </c>
      <c r="H30" s="32" t="s">
        <v>1</v>
      </c>
      <c r="I30" s="32" t="s">
        <v>1</v>
      </c>
      <c r="J30" s="32" t="s">
        <v>1</v>
      </c>
    </row>
    <row r="31" ht="20" customHeight="1" spans="1:10">
      <c r="A31" s="35" t="s">
        <v>25</v>
      </c>
      <c r="B31" s="32" t="s">
        <v>1</v>
      </c>
      <c r="C31" s="32" t="s">
        <v>1</v>
      </c>
      <c r="D31" s="32" t="s">
        <v>1</v>
      </c>
      <c r="E31" s="32" t="s">
        <v>1</v>
      </c>
      <c r="F31" s="32" t="s">
        <v>1</v>
      </c>
      <c r="G31" s="32" t="s">
        <v>1</v>
      </c>
      <c r="H31" s="32" t="s">
        <v>1</v>
      </c>
      <c r="I31" s="32" t="s">
        <v>1</v>
      </c>
      <c r="J31" s="32" t="s">
        <v>1</v>
      </c>
    </row>
    <row r="32" spans="1:10">
      <c r="A32" s="33" t="s">
        <v>1</v>
      </c>
      <c r="B32" s="32" t="s">
        <v>1</v>
      </c>
      <c r="C32" s="32" t="s">
        <v>1</v>
      </c>
      <c r="D32" s="32" t="s">
        <v>1</v>
      </c>
      <c r="E32" s="32" t="s">
        <v>1</v>
      </c>
      <c r="F32" s="32" t="s">
        <v>1</v>
      </c>
      <c r="G32" s="32" t="s">
        <v>1</v>
      </c>
      <c r="H32" s="32" t="s">
        <v>1</v>
      </c>
      <c r="I32" s="32" t="s">
        <v>1</v>
      </c>
      <c r="J32" s="32" t="s">
        <v>1</v>
      </c>
    </row>
    <row r="33" ht="16.5" spans="1:10">
      <c r="A33" s="37" t="s">
        <v>26</v>
      </c>
      <c r="B33" s="32" t="s">
        <v>1</v>
      </c>
      <c r="C33" s="32" t="s">
        <v>1</v>
      </c>
      <c r="D33" s="32" t="s">
        <v>1</v>
      </c>
      <c r="E33" s="32" t="s">
        <v>1</v>
      </c>
      <c r="F33" s="32" t="s">
        <v>1</v>
      </c>
      <c r="G33" s="32" t="s">
        <v>1</v>
      </c>
      <c r="H33" s="32" t="s">
        <v>1</v>
      </c>
      <c r="I33" s="32" t="s">
        <v>1</v>
      </c>
      <c r="J33" s="32" t="s">
        <v>1</v>
      </c>
    </row>
    <row r="34" ht="16.5" spans="1:10">
      <c r="A34" s="36" t="s">
        <v>27</v>
      </c>
      <c r="B34" s="32" t="s">
        <v>1</v>
      </c>
      <c r="C34" s="32" t="s">
        <v>1</v>
      </c>
      <c r="D34" s="32" t="s">
        <v>1</v>
      </c>
      <c r="E34" s="32" t="s">
        <v>1</v>
      </c>
      <c r="F34" s="32" t="s">
        <v>1</v>
      </c>
      <c r="G34" s="32" t="s">
        <v>1</v>
      </c>
      <c r="H34" s="32" t="s">
        <v>1</v>
      </c>
      <c r="I34" s="32" t="s">
        <v>1</v>
      </c>
      <c r="J34" s="32" t="s">
        <v>1</v>
      </c>
    </row>
    <row r="35" ht="18" customHeight="1" spans="1:10">
      <c r="A35" s="38" t="s">
        <v>28</v>
      </c>
      <c r="B35" s="39" t="s">
        <v>29</v>
      </c>
      <c r="C35" s="39" t="s">
        <v>30</v>
      </c>
      <c r="D35" s="39" t="s">
        <v>31</v>
      </c>
      <c r="E35" s="39" t="s">
        <v>32</v>
      </c>
      <c r="F35" s="39" t="s">
        <v>33</v>
      </c>
      <c r="G35" s="32" t="s">
        <v>1</v>
      </c>
      <c r="H35" s="32" t="s">
        <v>1</v>
      </c>
      <c r="I35" s="32" t="s">
        <v>1</v>
      </c>
      <c r="J35" s="32" t="s">
        <v>1</v>
      </c>
    </row>
    <row r="36" ht="16.5" spans="1:10">
      <c r="A36" s="40" t="s">
        <v>34</v>
      </c>
      <c r="B36" s="41">
        <v>2</v>
      </c>
      <c r="C36" s="41">
        <v>2</v>
      </c>
      <c r="D36" s="41">
        <v>2</v>
      </c>
      <c r="E36" s="41">
        <v>2</v>
      </c>
      <c r="F36" s="41">
        <v>2</v>
      </c>
      <c r="G36" s="32" t="s">
        <v>1</v>
      </c>
      <c r="H36" s="32" t="s">
        <v>1</v>
      </c>
      <c r="I36" s="32" t="s">
        <v>1</v>
      </c>
      <c r="J36" s="32" t="s">
        <v>1</v>
      </c>
    </row>
    <row r="37" ht="16.5" spans="1:10">
      <c r="A37" s="40" t="s">
        <v>35</v>
      </c>
      <c r="B37" s="41">
        <v>1</v>
      </c>
      <c r="C37" s="41">
        <v>3</v>
      </c>
      <c r="D37" s="41">
        <v>3</v>
      </c>
      <c r="E37" s="41">
        <v>3</v>
      </c>
      <c r="F37" s="41">
        <v>3</v>
      </c>
      <c r="G37" s="32" t="s">
        <v>1</v>
      </c>
      <c r="H37" s="32" t="s">
        <v>1</v>
      </c>
      <c r="I37" s="32" t="s">
        <v>1</v>
      </c>
      <c r="J37" s="32" t="s">
        <v>1</v>
      </c>
    </row>
    <row r="38" ht="16.5" spans="1:10">
      <c r="A38" s="40" t="s">
        <v>36</v>
      </c>
      <c r="B38" s="41">
        <v>2</v>
      </c>
      <c r="C38" s="41">
        <v>3</v>
      </c>
      <c r="D38" s="41">
        <v>3</v>
      </c>
      <c r="E38" s="41">
        <v>3</v>
      </c>
      <c r="F38" s="41">
        <v>3</v>
      </c>
      <c r="G38" s="32" t="s">
        <v>1</v>
      </c>
      <c r="H38" s="32" t="s">
        <v>1</v>
      </c>
      <c r="I38" s="32" t="s">
        <v>1</v>
      </c>
      <c r="J38" s="32" t="s">
        <v>1</v>
      </c>
    </row>
    <row r="39" ht="16.5" spans="1:10">
      <c r="A39" s="40" t="s">
        <v>37</v>
      </c>
      <c r="B39" s="41">
        <v>4</v>
      </c>
      <c r="C39" s="41">
        <v>5</v>
      </c>
      <c r="D39" s="41">
        <v>4</v>
      </c>
      <c r="E39" s="41">
        <v>4</v>
      </c>
      <c r="F39" s="41">
        <v>4</v>
      </c>
      <c r="G39" s="32" t="s">
        <v>1</v>
      </c>
      <c r="H39" s="32" t="s">
        <v>1</v>
      </c>
      <c r="I39" s="32" t="s">
        <v>1</v>
      </c>
      <c r="J39" s="32" t="s">
        <v>1</v>
      </c>
    </row>
    <row r="40" ht="16.5" spans="1:10">
      <c r="A40" s="40">
        <v>10</v>
      </c>
      <c r="B40" s="41">
        <v>5</v>
      </c>
      <c r="C40" s="41">
        <v>3</v>
      </c>
      <c r="D40" s="41">
        <v>4</v>
      </c>
      <c r="E40" s="41">
        <v>4</v>
      </c>
      <c r="F40" s="41">
        <v>4</v>
      </c>
      <c r="G40" s="32" t="s">
        <v>1</v>
      </c>
      <c r="H40" s="32" t="s">
        <v>1</v>
      </c>
      <c r="I40" s="32" t="s">
        <v>1</v>
      </c>
      <c r="J40" s="32" t="s">
        <v>1</v>
      </c>
    </row>
    <row r="41" ht="16.5" spans="1:10">
      <c r="A41" s="40">
        <v>9</v>
      </c>
      <c r="B41" s="41">
        <v>6</v>
      </c>
      <c r="C41" s="41">
        <v>4</v>
      </c>
      <c r="D41" s="41">
        <v>4</v>
      </c>
      <c r="E41" s="41">
        <v>4</v>
      </c>
      <c r="F41" s="41">
        <v>4</v>
      </c>
      <c r="G41" s="32" t="s">
        <v>1</v>
      </c>
      <c r="H41" s="32" t="s">
        <v>1</v>
      </c>
      <c r="I41" s="32" t="s">
        <v>1</v>
      </c>
      <c r="J41" s="32" t="s">
        <v>1</v>
      </c>
    </row>
    <row r="42" ht="16.5" spans="1:10">
      <c r="A42" s="40" t="s">
        <v>38</v>
      </c>
      <c r="B42" s="41">
        <v>20</v>
      </c>
      <c r="C42" s="41">
        <v>20</v>
      </c>
      <c r="D42" s="41">
        <v>20</v>
      </c>
      <c r="E42" s="41">
        <v>20</v>
      </c>
      <c r="F42" s="41">
        <v>20</v>
      </c>
      <c r="G42" s="32" t="s">
        <v>1</v>
      </c>
      <c r="H42" s="32" t="s">
        <v>1</v>
      </c>
      <c r="I42" s="32" t="s">
        <v>1</v>
      </c>
      <c r="J42" s="32" t="s">
        <v>1</v>
      </c>
    </row>
    <row r="43" spans="1:10">
      <c r="A43" s="33" t="s">
        <v>1</v>
      </c>
      <c r="B43" s="32" t="s">
        <v>1</v>
      </c>
      <c r="C43" s="32" t="s">
        <v>1</v>
      </c>
      <c r="D43" s="32" t="s">
        <v>1</v>
      </c>
      <c r="E43" s="32" t="s">
        <v>1</v>
      </c>
      <c r="F43" s="32" t="s">
        <v>1</v>
      </c>
      <c r="G43" s="32" t="s">
        <v>1</v>
      </c>
      <c r="H43" s="32" t="s">
        <v>1</v>
      </c>
      <c r="I43" s="32" t="s">
        <v>1</v>
      </c>
      <c r="J43" s="32" t="s">
        <v>1</v>
      </c>
    </row>
    <row r="44" ht="16.5" spans="1:10">
      <c r="A44" s="36" t="s">
        <v>39</v>
      </c>
      <c r="B44" s="32" t="s">
        <v>1</v>
      </c>
      <c r="C44" s="32" t="s">
        <v>1</v>
      </c>
      <c r="D44" s="32" t="s">
        <v>1</v>
      </c>
      <c r="E44" s="32" t="s">
        <v>1</v>
      </c>
      <c r="F44" s="32" t="s">
        <v>1</v>
      </c>
      <c r="G44" s="32" t="s">
        <v>1</v>
      </c>
      <c r="H44" s="32" t="s">
        <v>1</v>
      </c>
      <c r="I44" s="32" t="s">
        <v>1</v>
      </c>
      <c r="J44" s="32" t="s">
        <v>1</v>
      </c>
    </row>
    <row r="45" ht="18" customHeight="1" spans="1:10">
      <c r="A45" s="38" t="s">
        <v>28</v>
      </c>
      <c r="B45" s="39" t="s">
        <v>40</v>
      </c>
      <c r="C45" s="39" t="s">
        <v>41</v>
      </c>
      <c r="D45" s="39" t="s">
        <v>42</v>
      </c>
      <c r="E45" s="32" t="s">
        <v>1</v>
      </c>
      <c r="F45" s="32" t="s">
        <v>1</v>
      </c>
      <c r="G45" s="32" t="s">
        <v>1</v>
      </c>
      <c r="H45" s="32" t="s">
        <v>1</v>
      </c>
      <c r="I45" s="32" t="s">
        <v>1</v>
      </c>
      <c r="J45" s="32" t="s">
        <v>1</v>
      </c>
    </row>
    <row r="46" ht="16.5" spans="1:10">
      <c r="A46" s="40" t="s">
        <v>35</v>
      </c>
      <c r="B46" s="41">
        <v>5</v>
      </c>
      <c r="C46" s="41">
        <v>30</v>
      </c>
      <c r="D46" s="41">
        <v>100</v>
      </c>
      <c r="E46" s="32" t="s">
        <v>1</v>
      </c>
      <c r="F46" s="32" t="s">
        <v>1</v>
      </c>
      <c r="G46" s="32" t="s">
        <v>1</v>
      </c>
      <c r="H46" s="32" t="s">
        <v>1</v>
      </c>
      <c r="I46" s="32" t="s">
        <v>1</v>
      </c>
      <c r="J46" s="32" t="s">
        <v>1</v>
      </c>
    </row>
    <row r="47" ht="16.5" spans="1:10">
      <c r="A47" s="40" t="s">
        <v>36</v>
      </c>
      <c r="B47" s="41">
        <v>5</v>
      </c>
      <c r="C47" s="41">
        <v>25</v>
      </c>
      <c r="D47" s="41">
        <v>100</v>
      </c>
      <c r="E47" s="32" t="s">
        <v>1</v>
      </c>
      <c r="F47" s="32" t="s">
        <v>1</v>
      </c>
      <c r="G47" s="32" t="s">
        <v>1</v>
      </c>
      <c r="H47" s="32" t="s">
        <v>1</v>
      </c>
      <c r="I47" s="32" t="s">
        <v>1</v>
      </c>
      <c r="J47" s="32" t="s">
        <v>1</v>
      </c>
    </row>
    <row r="48" ht="16.5" spans="1:10">
      <c r="A48" s="40" t="s">
        <v>37</v>
      </c>
      <c r="B48" s="41">
        <v>5</v>
      </c>
      <c r="C48" s="41">
        <v>20</v>
      </c>
      <c r="D48" s="41">
        <v>75</v>
      </c>
      <c r="E48" s="32" t="s">
        <v>1</v>
      </c>
      <c r="F48" s="32" t="s">
        <v>1</v>
      </c>
      <c r="G48" s="32" t="s">
        <v>1</v>
      </c>
      <c r="H48" s="32" t="s">
        <v>1</v>
      </c>
      <c r="I48" s="32" t="s">
        <v>1</v>
      </c>
      <c r="J48" s="32" t="s">
        <v>1</v>
      </c>
    </row>
    <row r="49" ht="16.5" spans="1:10">
      <c r="A49" s="40">
        <v>10</v>
      </c>
      <c r="B49" s="41">
        <v>5</v>
      </c>
      <c r="C49" s="41">
        <v>20</v>
      </c>
      <c r="D49" s="41">
        <v>75</v>
      </c>
      <c r="E49" s="32" t="s">
        <v>1</v>
      </c>
      <c r="F49" s="32" t="s">
        <v>1</v>
      </c>
      <c r="G49" s="32" t="s">
        <v>1</v>
      </c>
      <c r="H49" s="32" t="s">
        <v>1</v>
      </c>
      <c r="I49" s="32" t="s">
        <v>1</v>
      </c>
      <c r="J49" s="32" t="s">
        <v>1</v>
      </c>
    </row>
    <row r="50" ht="16.5" spans="1:10">
      <c r="A50" s="40">
        <v>9</v>
      </c>
      <c r="B50" s="41">
        <v>5</v>
      </c>
      <c r="C50" s="41">
        <v>10</v>
      </c>
      <c r="D50" s="41">
        <v>50</v>
      </c>
      <c r="E50" s="32" t="s">
        <v>1</v>
      </c>
      <c r="F50" s="32" t="s">
        <v>1</v>
      </c>
      <c r="G50" s="32" t="s">
        <v>1</v>
      </c>
      <c r="H50" s="32" t="s">
        <v>1</v>
      </c>
      <c r="I50" s="32" t="s">
        <v>1</v>
      </c>
      <c r="J50" s="32" t="s">
        <v>1</v>
      </c>
    </row>
    <row r="51" ht="16.5" spans="1:10">
      <c r="A51" s="40" t="s">
        <v>43</v>
      </c>
      <c r="B51" s="41">
        <v>150</v>
      </c>
      <c r="C51" s="41">
        <v>300</v>
      </c>
      <c r="D51" s="41">
        <v>1000</v>
      </c>
      <c r="E51" s="32" t="s">
        <v>1</v>
      </c>
      <c r="F51" s="32" t="s">
        <v>1</v>
      </c>
      <c r="G51" s="32" t="s">
        <v>1</v>
      </c>
      <c r="H51" s="32" t="s">
        <v>1</v>
      </c>
      <c r="I51" s="32" t="s">
        <v>1</v>
      </c>
      <c r="J51" s="32" t="s">
        <v>1</v>
      </c>
    </row>
    <row r="52" spans="1:10">
      <c r="A52" s="33" t="s">
        <v>1</v>
      </c>
      <c r="B52" s="32" t="s">
        <v>1</v>
      </c>
      <c r="C52" s="32" t="s">
        <v>1</v>
      </c>
      <c r="D52" s="32" t="s">
        <v>1</v>
      </c>
      <c r="E52" s="32" t="s">
        <v>1</v>
      </c>
      <c r="F52" s="32" t="s">
        <v>1</v>
      </c>
      <c r="G52" s="32" t="s">
        <v>1</v>
      </c>
      <c r="H52" s="32" t="s">
        <v>1</v>
      </c>
      <c r="I52" s="32" t="s">
        <v>1</v>
      </c>
      <c r="J52" s="32" t="s">
        <v>1</v>
      </c>
    </row>
    <row r="53" ht="16.5" spans="1:10">
      <c r="A53" s="34" t="s">
        <v>44</v>
      </c>
      <c r="B53" s="32" t="s">
        <v>1</v>
      </c>
      <c r="C53" s="32" t="s">
        <v>1</v>
      </c>
      <c r="D53" s="32" t="s">
        <v>1</v>
      </c>
      <c r="E53" s="32" t="s">
        <v>1</v>
      </c>
      <c r="F53" s="32" t="s">
        <v>1</v>
      </c>
      <c r="G53" s="32" t="s">
        <v>1</v>
      </c>
      <c r="H53" s="32" t="s">
        <v>1</v>
      </c>
      <c r="I53" s="32" t="s">
        <v>1</v>
      </c>
      <c r="J53" s="32" t="s">
        <v>1</v>
      </c>
    </row>
    <row r="54" ht="20" customHeight="1" spans="1:10">
      <c r="A54" s="35" t="s">
        <v>45</v>
      </c>
      <c r="B54" s="32" t="s">
        <v>1</v>
      </c>
      <c r="C54" s="32" t="s">
        <v>1</v>
      </c>
      <c r="D54" s="32" t="s">
        <v>1</v>
      </c>
      <c r="E54" s="32" t="s">
        <v>1</v>
      </c>
      <c r="F54" s="32" t="s">
        <v>1</v>
      </c>
      <c r="G54" s="32" t="s">
        <v>1</v>
      </c>
      <c r="H54" s="32" t="s">
        <v>1</v>
      </c>
      <c r="I54" s="32" t="s">
        <v>1</v>
      </c>
      <c r="J54" s="32" t="s">
        <v>1</v>
      </c>
    </row>
    <row r="55" spans="1:10">
      <c r="A55" s="33" t="s">
        <v>1</v>
      </c>
      <c r="B55" s="32" t="s">
        <v>1</v>
      </c>
      <c r="C55" s="32" t="s">
        <v>1</v>
      </c>
      <c r="D55" s="32" t="s">
        <v>1</v>
      </c>
      <c r="E55" s="32" t="s">
        <v>1</v>
      </c>
      <c r="F55" s="32" t="s">
        <v>1</v>
      </c>
      <c r="G55" s="32" t="s">
        <v>1</v>
      </c>
      <c r="H55" s="32" t="s">
        <v>1</v>
      </c>
      <c r="I55" s="32" t="s">
        <v>1</v>
      </c>
      <c r="J55" s="32" t="s">
        <v>1</v>
      </c>
    </row>
    <row r="56" ht="16.5" spans="1:10">
      <c r="A56" s="36" t="s">
        <v>46</v>
      </c>
      <c r="B56" s="32" t="s">
        <v>1</v>
      </c>
      <c r="C56" s="32" t="s">
        <v>1</v>
      </c>
      <c r="D56" s="32" t="s">
        <v>1</v>
      </c>
      <c r="E56" s="32" t="s">
        <v>1</v>
      </c>
      <c r="F56" s="32" t="s">
        <v>1</v>
      </c>
      <c r="G56" s="32" t="s">
        <v>1</v>
      </c>
      <c r="H56" s="32" t="s">
        <v>1</v>
      </c>
      <c r="I56" s="32" t="s">
        <v>1</v>
      </c>
      <c r="J56" s="32" t="s">
        <v>1</v>
      </c>
    </row>
    <row r="57" ht="17" customHeight="1" spans="1:10">
      <c r="A57" s="42" t="s">
        <v>47</v>
      </c>
      <c r="B57" s="32" t="s">
        <v>1</v>
      </c>
      <c r="C57" s="32" t="s">
        <v>1</v>
      </c>
      <c r="D57" s="32" t="s">
        <v>1</v>
      </c>
      <c r="E57" s="32" t="s">
        <v>1</v>
      </c>
      <c r="F57" s="32" t="s">
        <v>1</v>
      </c>
      <c r="G57" s="32" t="s">
        <v>1</v>
      </c>
      <c r="H57" s="32" t="s">
        <v>1</v>
      </c>
      <c r="I57" s="32" t="s">
        <v>1</v>
      </c>
      <c r="J57" s="32" t="s">
        <v>1</v>
      </c>
    </row>
    <row r="58" ht="16.5" spans="1:10">
      <c r="A58" s="36" t="s">
        <v>48</v>
      </c>
      <c r="B58" s="32" t="s">
        <v>1</v>
      </c>
      <c r="C58" s="32" t="s">
        <v>1</v>
      </c>
      <c r="D58" s="32" t="s">
        <v>1</v>
      </c>
      <c r="E58" s="32" t="s">
        <v>1</v>
      </c>
      <c r="F58" s="32" t="s">
        <v>1</v>
      </c>
      <c r="G58" s="32" t="s">
        <v>1</v>
      </c>
      <c r="H58" s="32" t="s">
        <v>1</v>
      </c>
      <c r="I58" s="32" t="s">
        <v>1</v>
      </c>
      <c r="J58" s="32" t="s">
        <v>1</v>
      </c>
    </row>
    <row r="59" ht="17" customHeight="1" spans="1:10">
      <c r="A59" s="42" t="s">
        <v>49</v>
      </c>
      <c r="B59" s="32" t="s">
        <v>1</v>
      </c>
      <c r="C59" s="32" t="s">
        <v>1</v>
      </c>
      <c r="D59" s="32" t="s">
        <v>1</v>
      </c>
      <c r="E59" s="32" t="s">
        <v>1</v>
      </c>
      <c r="F59" s="32" t="s">
        <v>1</v>
      </c>
      <c r="G59" s="32" t="s">
        <v>1</v>
      </c>
      <c r="H59" s="32" t="s">
        <v>1</v>
      </c>
      <c r="I59" s="32" t="s">
        <v>1</v>
      </c>
      <c r="J59" s="32" t="s">
        <v>1</v>
      </c>
    </row>
    <row r="60" ht="16.5" spans="1:10">
      <c r="A60" s="37" t="s">
        <v>50</v>
      </c>
      <c r="B60" s="32" t="s">
        <v>1</v>
      </c>
      <c r="C60" s="32" t="s">
        <v>1</v>
      </c>
      <c r="D60" s="32" t="s">
        <v>1</v>
      </c>
      <c r="E60" s="32" t="s">
        <v>1</v>
      </c>
      <c r="F60" s="32" t="s">
        <v>1</v>
      </c>
      <c r="G60" s="32" t="s">
        <v>1</v>
      </c>
      <c r="H60" s="32" t="s">
        <v>1</v>
      </c>
      <c r="I60" s="32" t="s">
        <v>1</v>
      </c>
      <c r="J60" s="32" t="s">
        <v>1</v>
      </c>
    </row>
    <row r="61" ht="16.5" spans="1:10">
      <c r="A61" s="36" t="s">
        <v>51</v>
      </c>
      <c r="B61" s="32" t="s">
        <v>1</v>
      </c>
      <c r="C61" s="32" t="s">
        <v>1</v>
      </c>
      <c r="D61" s="32" t="s">
        <v>1</v>
      </c>
      <c r="E61" s="32" t="s">
        <v>1</v>
      </c>
      <c r="F61" s="32" t="s">
        <v>1</v>
      </c>
      <c r="G61" s="32" t="s">
        <v>1</v>
      </c>
      <c r="H61" s="32" t="s">
        <v>1</v>
      </c>
      <c r="I61" s="32" t="s">
        <v>1</v>
      </c>
      <c r="J61" s="32" t="s">
        <v>1</v>
      </c>
    </row>
    <row r="62" ht="16.5" spans="1:10">
      <c r="A62" s="36" t="s">
        <v>52</v>
      </c>
      <c r="B62" s="32" t="s">
        <v>1</v>
      </c>
      <c r="C62" s="32" t="s">
        <v>1</v>
      </c>
      <c r="D62" s="32" t="s">
        <v>1</v>
      </c>
      <c r="E62" s="32" t="s">
        <v>1</v>
      </c>
      <c r="F62" s="32" t="s">
        <v>1</v>
      </c>
      <c r="G62" s="32" t="s">
        <v>1</v>
      </c>
      <c r="H62" s="32" t="s">
        <v>1</v>
      </c>
      <c r="I62" s="32" t="s">
        <v>1</v>
      </c>
      <c r="J62" s="32" t="s">
        <v>1</v>
      </c>
    </row>
    <row r="63" ht="16.5" spans="1:10">
      <c r="A63" s="36" t="s">
        <v>53</v>
      </c>
      <c r="B63" s="32" t="s">
        <v>1</v>
      </c>
      <c r="C63" s="32" t="s">
        <v>1</v>
      </c>
      <c r="D63" s="32" t="s">
        <v>1</v>
      </c>
      <c r="E63" s="32" t="s">
        <v>1</v>
      </c>
      <c r="F63" s="32" t="s">
        <v>1</v>
      </c>
      <c r="G63" s="32" t="s">
        <v>1</v>
      </c>
      <c r="H63" s="32" t="s">
        <v>1</v>
      </c>
      <c r="I63" s="32" t="s">
        <v>1</v>
      </c>
      <c r="J63" s="32" t="s">
        <v>1</v>
      </c>
    </row>
    <row r="64" ht="16.5" spans="1:10">
      <c r="A64" s="36" t="s">
        <v>54</v>
      </c>
      <c r="B64" s="32" t="s">
        <v>1</v>
      </c>
      <c r="C64" s="32" t="s">
        <v>1</v>
      </c>
      <c r="D64" s="32" t="s">
        <v>1</v>
      </c>
      <c r="E64" s="32" t="s">
        <v>1</v>
      </c>
      <c r="F64" s="32" t="s">
        <v>1</v>
      </c>
      <c r="G64" s="32" t="s">
        <v>1</v>
      </c>
      <c r="H64" s="32" t="s">
        <v>1</v>
      </c>
      <c r="I64" s="32" t="s">
        <v>1</v>
      </c>
      <c r="J64" s="32" t="s">
        <v>1</v>
      </c>
    </row>
    <row r="65" ht="16.5" spans="1:10">
      <c r="A65" s="36" t="s">
        <v>55</v>
      </c>
      <c r="B65" s="32" t="s">
        <v>1</v>
      </c>
      <c r="C65" s="32" t="s">
        <v>1</v>
      </c>
      <c r="D65" s="32" t="s">
        <v>1</v>
      </c>
      <c r="E65" s="32" t="s">
        <v>1</v>
      </c>
      <c r="F65" s="32" t="s">
        <v>1</v>
      </c>
      <c r="G65" s="32" t="s">
        <v>1</v>
      </c>
      <c r="H65" s="32" t="s">
        <v>1</v>
      </c>
      <c r="I65" s="32" t="s">
        <v>1</v>
      </c>
      <c r="J65" s="32" t="s">
        <v>1</v>
      </c>
    </row>
    <row r="66" ht="16.5" spans="1:10">
      <c r="A66" s="36" t="s">
        <v>56</v>
      </c>
      <c r="B66" s="32" t="s">
        <v>1</v>
      </c>
      <c r="C66" s="32" t="s">
        <v>1</v>
      </c>
      <c r="D66" s="32" t="s">
        <v>1</v>
      </c>
      <c r="E66" s="32" t="s">
        <v>1</v>
      </c>
      <c r="F66" s="32" t="s">
        <v>1</v>
      </c>
      <c r="G66" s="32" t="s">
        <v>1</v>
      </c>
      <c r="H66" s="32" t="s">
        <v>1</v>
      </c>
      <c r="I66" s="32" t="s">
        <v>1</v>
      </c>
      <c r="J66" s="32" t="s">
        <v>1</v>
      </c>
    </row>
    <row r="67" ht="16.5" spans="1:10">
      <c r="A67" s="36" t="s">
        <v>57</v>
      </c>
      <c r="B67" s="32" t="s">
        <v>1</v>
      </c>
      <c r="C67" s="32" t="s">
        <v>1</v>
      </c>
      <c r="D67" s="32" t="s">
        <v>1</v>
      </c>
      <c r="E67" s="32" t="s">
        <v>1</v>
      </c>
      <c r="F67" s="32" t="s">
        <v>1</v>
      </c>
      <c r="G67" s="32" t="s">
        <v>1</v>
      </c>
      <c r="H67" s="32" t="s">
        <v>1</v>
      </c>
      <c r="I67" s="32" t="s">
        <v>1</v>
      </c>
      <c r="J67" s="32" t="s">
        <v>1</v>
      </c>
    </row>
    <row r="68" ht="16.5" spans="1:10">
      <c r="A68" s="36" t="s">
        <v>58</v>
      </c>
      <c r="B68" s="32" t="s">
        <v>1</v>
      </c>
      <c r="C68" s="32" t="s">
        <v>1</v>
      </c>
      <c r="D68" s="32" t="s">
        <v>1</v>
      </c>
      <c r="E68" s="32" t="s">
        <v>1</v>
      </c>
      <c r="F68" s="32" t="s">
        <v>1</v>
      </c>
      <c r="G68" s="32" t="s">
        <v>1</v>
      </c>
      <c r="H68" s="32" t="s">
        <v>1</v>
      </c>
      <c r="I68" s="32" t="s">
        <v>1</v>
      </c>
      <c r="J68" s="32" t="s">
        <v>1</v>
      </c>
    </row>
    <row r="69" ht="16.5" spans="1:10">
      <c r="A69" s="36" t="s">
        <v>59</v>
      </c>
      <c r="B69" s="32" t="s">
        <v>1</v>
      </c>
      <c r="C69" s="32" t="s">
        <v>1</v>
      </c>
      <c r="D69" s="32" t="s">
        <v>1</v>
      </c>
      <c r="E69" s="32" t="s">
        <v>1</v>
      </c>
      <c r="F69" s="32" t="s">
        <v>1</v>
      </c>
      <c r="G69" s="32" t="s">
        <v>1</v>
      </c>
      <c r="H69" s="32" t="s">
        <v>1</v>
      </c>
      <c r="I69" s="32" t="s">
        <v>1</v>
      </c>
      <c r="J69" s="32" t="s">
        <v>1</v>
      </c>
    </row>
    <row r="70" ht="16.5" spans="1:10">
      <c r="A70" s="36" t="s">
        <v>60</v>
      </c>
      <c r="B70" s="32" t="s">
        <v>1</v>
      </c>
      <c r="C70" s="32" t="s">
        <v>1</v>
      </c>
      <c r="D70" s="32" t="s">
        <v>1</v>
      </c>
      <c r="E70" s="32" t="s">
        <v>1</v>
      </c>
      <c r="F70" s="32" t="s">
        <v>1</v>
      </c>
      <c r="G70" s="32" t="s">
        <v>1</v>
      </c>
      <c r="H70" s="32" t="s">
        <v>1</v>
      </c>
      <c r="I70" s="32" t="s">
        <v>1</v>
      </c>
      <c r="J70" s="32" t="s">
        <v>1</v>
      </c>
    </row>
    <row r="71" ht="16.5" spans="1:10">
      <c r="A71" s="43" t="s">
        <v>61</v>
      </c>
      <c r="B71" s="32" t="s">
        <v>1</v>
      </c>
      <c r="C71" s="32" t="s">
        <v>1</v>
      </c>
      <c r="D71" s="32" t="s">
        <v>1</v>
      </c>
      <c r="E71" s="32" t="s">
        <v>1</v>
      </c>
      <c r="F71" s="32" t="s">
        <v>1</v>
      </c>
      <c r="G71" s="32" t="s">
        <v>1</v>
      </c>
      <c r="H71" s="32" t="s">
        <v>1</v>
      </c>
      <c r="I71" s="32" t="s">
        <v>1</v>
      </c>
      <c r="J71" s="32" t="s">
        <v>1</v>
      </c>
    </row>
    <row r="72" ht="17" customHeight="1" spans="1:10">
      <c r="A72" s="42" t="s">
        <v>62</v>
      </c>
      <c r="B72" s="32" t="s">
        <v>1</v>
      </c>
      <c r="C72" s="32" t="s">
        <v>1</v>
      </c>
      <c r="D72" s="32" t="s">
        <v>1</v>
      </c>
      <c r="E72" s="32" t="s">
        <v>1</v>
      </c>
      <c r="F72" s="32" t="s">
        <v>1</v>
      </c>
      <c r="G72" s="32" t="s">
        <v>1</v>
      </c>
      <c r="H72" s="32" t="s">
        <v>1</v>
      </c>
      <c r="I72" s="32" t="s">
        <v>1</v>
      </c>
      <c r="J72" s="32" t="s">
        <v>1</v>
      </c>
    </row>
    <row r="73" ht="16.5" spans="1:10">
      <c r="A73" s="37" t="s">
        <v>63</v>
      </c>
      <c r="B73" s="32" t="s">
        <v>1</v>
      </c>
      <c r="C73" s="32" t="s">
        <v>1</v>
      </c>
      <c r="D73" s="32" t="s">
        <v>1</v>
      </c>
      <c r="E73" s="32" t="s">
        <v>1</v>
      </c>
      <c r="F73" s="32" t="s">
        <v>1</v>
      </c>
      <c r="G73" s="32" t="s">
        <v>1</v>
      </c>
      <c r="H73" s="32" t="s">
        <v>1</v>
      </c>
      <c r="I73" s="32" t="s">
        <v>1</v>
      </c>
      <c r="J73" s="32" t="s">
        <v>1</v>
      </c>
    </row>
    <row r="74" ht="18" customHeight="1" spans="1:10">
      <c r="A74" s="38" t="s">
        <v>64</v>
      </c>
      <c r="B74" s="39" t="s">
        <v>65</v>
      </c>
      <c r="C74" s="39" t="s">
        <v>66</v>
      </c>
      <c r="D74" s="39" t="s">
        <v>67</v>
      </c>
      <c r="E74" s="32" t="s">
        <v>1</v>
      </c>
      <c r="F74" s="32" t="s">
        <v>1</v>
      </c>
      <c r="G74" s="32" t="s">
        <v>1</v>
      </c>
      <c r="H74" s="32" t="s">
        <v>1</v>
      </c>
      <c r="I74" s="32" t="s">
        <v>1</v>
      </c>
      <c r="J74" s="32" t="s">
        <v>1</v>
      </c>
    </row>
    <row r="75" ht="33" spans="1:10">
      <c r="A75" s="40" t="s">
        <v>68</v>
      </c>
      <c r="B75" s="40" t="s">
        <v>69</v>
      </c>
      <c r="C75" s="41" t="s">
        <v>70</v>
      </c>
      <c r="D75" s="41">
        <v>1000</v>
      </c>
      <c r="E75" s="32" t="s">
        <v>1</v>
      </c>
      <c r="F75" s="32" t="s">
        <v>1</v>
      </c>
      <c r="G75" s="32" t="s">
        <v>1</v>
      </c>
      <c r="H75" s="32" t="s">
        <v>1</v>
      </c>
      <c r="I75" s="32" t="s">
        <v>1</v>
      </c>
      <c r="J75" s="32" t="s">
        <v>1</v>
      </c>
    </row>
    <row r="76" ht="45" customHeight="1" spans="1:10">
      <c r="A76" s="40" t="s">
        <v>71</v>
      </c>
      <c r="B76" s="40" t="s">
        <v>72</v>
      </c>
      <c r="C76" s="40" t="s">
        <v>73</v>
      </c>
      <c r="D76" s="41">
        <v>300</v>
      </c>
      <c r="E76" s="32" t="s">
        <v>1</v>
      </c>
      <c r="F76" s="32" t="s">
        <v>1</v>
      </c>
      <c r="G76" s="32" t="s">
        <v>1</v>
      </c>
      <c r="H76" s="32" t="s">
        <v>1</v>
      </c>
      <c r="I76" s="32" t="s">
        <v>1</v>
      </c>
      <c r="J76" s="32" t="s">
        <v>1</v>
      </c>
    </row>
    <row r="77" ht="45" customHeight="1" spans="1:10">
      <c r="A77" s="40" t="s">
        <v>74</v>
      </c>
      <c r="B77" s="40" t="s">
        <v>75</v>
      </c>
      <c r="C77" s="40" t="s">
        <v>76</v>
      </c>
      <c r="D77" s="41">
        <v>150</v>
      </c>
      <c r="E77" s="32" t="s">
        <v>1</v>
      </c>
      <c r="F77" s="32" t="s">
        <v>1</v>
      </c>
      <c r="G77" s="32" t="s">
        <v>1</v>
      </c>
      <c r="H77" s="32" t="s">
        <v>1</v>
      </c>
      <c r="I77" s="32" t="s">
        <v>1</v>
      </c>
      <c r="J77" s="32" t="s">
        <v>1</v>
      </c>
    </row>
    <row r="78" spans="1:10">
      <c r="A78" s="33" t="s">
        <v>1</v>
      </c>
      <c r="B78" s="32" t="s">
        <v>1</v>
      </c>
      <c r="C78" s="32" t="s">
        <v>1</v>
      </c>
      <c r="D78" s="32" t="s">
        <v>1</v>
      </c>
      <c r="E78" s="32" t="s">
        <v>1</v>
      </c>
      <c r="F78" s="32" t="s">
        <v>1</v>
      </c>
      <c r="G78" s="32" t="s">
        <v>1</v>
      </c>
      <c r="H78" s="32" t="s">
        <v>1</v>
      </c>
      <c r="I78" s="32" t="s">
        <v>1</v>
      </c>
      <c r="J78" s="32" t="s">
        <v>1</v>
      </c>
    </row>
    <row r="79" ht="16.5" spans="1:10">
      <c r="A79" s="43" t="s">
        <v>77</v>
      </c>
      <c r="B79" s="32" t="s">
        <v>1</v>
      </c>
      <c r="C79" s="32" t="s">
        <v>1</v>
      </c>
      <c r="D79" s="32" t="s">
        <v>1</v>
      </c>
      <c r="E79" s="32" t="s">
        <v>1</v>
      </c>
      <c r="F79" s="32" t="s">
        <v>1</v>
      </c>
      <c r="G79" s="32" t="s">
        <v>1</v>
      </c>
      <c r="H79" s="32" t="s">
        <v>1</v>
      </c>
      <c r="I79" s="32" t="s">
        <v>1</v>
      </c>
      <c r="J79" s="32" t="s">
        <v>1</v>
      </c>
    </row>
    <row r="80" ht="20" customHeight="1" spans="1:10">
      <c r="A80" s="35" t="s">
        <v>78</v>
      </c>
      <c r="B80" s="32" t="s">
        <v>1</v>
      </c>
      <c r="C80" s="32" t="s">
        <v>1</v>
      </c>
      <c r="D80" s="32" t="s">
        <v>1</v>
      </c>
      <c r="E80" s="32" t="s">
        <v>1</v>
      </c>
      <c r="F80" s="32" t="s">
        <v>1</v>
      </c>
      <c r="G80" s="32" t="s">
        <v>1</v>
      </c>
      <c r="H80" s="32" t="s">
        <v>1</v>
      </c>
      <c r="I80" s="32" t="s">
        <v>1</v>
      </c>
      <c r="J80" s="32" t="s">
        <v>1</v>
      </c>
    </row>
    <row r="81" spans="1:10">
      <c r="A81" s="33" t="s">
        <v>1</v>
      </c>
      <c r="B81" s="32" t="s">
        <v>1</v>
      </c>
      <c r="C81" s="32" t="s">
        <v>1</v>
      </c>
      <c r="D81" s="32" t="s">
        <v>1</v>
      </c>
      <c r="E81" s="32" t="s">
        <v>1</v>
      </c>
      <c r="F81" s="32" t="s">
        <v>1</v>
      </c>
      <c r="G81" s="32" t="s">
        <v>1</v>
      </c>
      <c r="H81" s="32" t="s">
        <v>1</v>
      </c>
      <c r="I81" s="32" t="s">
        <v>1</v>
      </c>
      <c r="J81" s="32" t="s">
        <v>1</v>
      </c>
    </row>
    <row r="82" ht="16.5" spans="1:10">
      <c r="A82" s="36" t="s">
        <v>79</v>
      </c>
      <c r="B82" s="32" t="s">
        <v>1</v>
      </c>
      <c r="C82" s="32" t="s">
        <v>1</v>
      </c>
      <c r="D82" s="32" t="s">
        <v>1</v>
      </c>
      <c r="E82" s="32" t="s">
        <v>1</v>
      </c>
      <c r="F82" s="32" t="s">
        <v>1</v>
      </c>
      <c r="G82" s="32" t="s">
        <v>1</v>
      </c>
      <c r="H82" s="32" t="s">
        <v>1</v>
      </c>
      <c r="I82" s="32" t="s">
        <v>1</v>
      </c>
      <c r="J82" s="32" t="s">
        <v>1</v>
      </c>
    </row>
    <row r="83" ht="16.5" spans="1:10">
      <c r="A83" s="36" t="s">
        <v>80</v>
      </c>
      <c r="B83" s="32" t="s">
        <v>1</v>
      </c>
      <c r="C83" s="32" t="s">
        <v>1</v>
      </c>
      <c r="D83" s="32" t="s">
        <v>1</v>
      </c>
      <c r="E83" s="32" t="s">
        <v>1</v>
      </c>
      <c r="F83" s="32" t="s">
        <v>1</v>
      </c>
      <c r="G83" s="32" t="s">
        <v>1</v>
      </c>
      <c r="H83" s="32" t="s">
        <v>1</v>
      </c>
      <c r="I83" s="32" t="s">
        <v>1</v>
      </c>
      <c r="J83" s="32" t="s">
        <v>1</v>
      </c>
    </row>
    <row r="84" ht="16.5" spans="1:10">
      <c r="A84" s="36" t="s">
        <v>81</v>
      </c>
      <c r="B84" s="32" t="s">
        <v>1</v>
      </c>
      <c r="C84" s="32" t="s">
        <v>1</v>
      </c>
      <c r="D84" s="32" t="s">
        <v>1</v>
      </c>
      <c r="E84" s="32" t="s">
        <v>1</v>
      </c>
      <c r="F84" s="32" t="s">
        <v>1</v>
      </c>
      <c r="G84" s="32" t="s">
        <v>1</v>
      </c>
      <c r="H84" s="32" t="s">
        <v>1</v>
      </c>
      <c r="I84" s="32" t="s">
        <v>1</v>
      </c>
      <c r="J84" s="32" t="s">
        <v>1</v>
      </c>
    </row>
    <row r="85" ht="20" customHeight="1" spans="1:10">
      <c r="A85" s="35" t="s">
        <v>82</v>
      </c>
      <c r="B85" s="32" t="s">
        <v>1</v>
      </c>
      <c r="C85" s="32" t="s">
        <v>1</v>
      </c>
      <c r="D85" s="32" t="s">
        <v>1</v>
      </c>
      <c r="E85" s="32" t="s">
        <v>1</v>
      </c>
      <c r="F85" s="32" t="s">
        <v>1</v>
      </c>
      <c r="G85" s="32" t="s">
        <v>1</v>
      </c>
      <c r="H85" s="32" t="s">
        <v>1</v>
      </c>
      <c r="I85" s="32" t="s">
        <v>1</v>
      </c>
      <c r="J85" s="32" t="s">
        <v>1</v>
      </c>
    </row>
    <row r="86" spans="1:10">
      <c r="A86" s="33" t="s">
        <v>1</v>
      </c>
      <c r="B86" s="32" t="s">
        <v>1</v>
      </c>
      <c r="C86" s="32" t="s">
        <v>1</v>
      </c>
      <c r="D86" s="32" t="s">
        <v>1</v>
      </c>
      <c r="E86" s="32" t="s">
        <v>1</v>
      </c>
      <c r="F86" s="32" t="s">
        <v>1</v>
      </c>
      <c r="G86" s="32" t="s">
        <v>1</v>
      </c>
      <c r="H86" s="32" t="s">
        <v>1</v>
      </c>
      <c r="I86" s="32" t="s">
        <v>1</v>
      </c>
      <c r="J86" s="32" t="s">
        <v>1</v>
      </c>
    </row>
    <row r="87" ht="18" customHeight="1" spans="1:10">
      <c r="A87" s="38" t="s">
        <v>83</v>
      </c>
      <c r="B87" s="39" t="s">
        <v>84</v>
      </c>
      <c r="C87" s="32" t="s">
        <v>1</v>
      </c>
      <c r="D87" s="32" t="s">
        <v>1</v>
      </c>
      <c r="E87" s="32" t="s">
        <v>1</v>
      </c>
      <c r="F87" s="32" t="s">
        <v>1</v>
      </c>
      <c r="G87" s="32" t="s">
        <v>1</v>
      </c>
      <c r="H87" s="32" t="s">
        <v>1</v>
      </c>
      <c r="I87" s="32" t="s">
        <v>1</v>
      </c>
      <c r="J87" s="32" t="s">
        <v>1</v>
      </c>
    </row>
    <row r="88" ht="16.5" spans="1:10">
      <c r="A88" s="40" t="s">
        <v>85</v>
      </c>
      <c r="B88" s="41" t="s">
        <v>86</v>
      </c>
      <c r="C88" s="32" t="s">
        <v>1</v>
      </c>
      <c r="D88" s="32" t="s">
        <v>1</v>
      </c>
      <c r="E88" s="32" t="s">
        <v>1</v>
      </c>
      <c r="F88" s="32" t="s">
        <v>1</v>
      </c>
      <c r="G88" s="32" t="s">
        <v>1</v>
      </c>
      <c r="H88" s="32" t="s">
        <v>1</v>
      </c>
      <c r="I88" s="32" t="s">
        <v>1</v>
      </c>
      <c r="J88" s="32" t="s">
        <v>1</v>
      </c>
    </row>
    <row r="89" ht="16.5" spans="1:10">
      <c r="A89" s="40" t="s">
        <v>87</v>
      </c>
      <c r="B89" s="41" t="s">
        <v>88</v>
      </c>
      <c r="C89" s="32" t="s">
        <v>1</v>
      </c>
      <c r="D89" s="32" t="s">
        <v>1</v>
      </c>
      <c r="E89" s="32" t="s">
        <v>1</v>
      </c>
      <c r="F89" s="32" t="s">
        <v>1</v>
      </c>
      <c r="G89" s="32" t="s">
        <v>1</v>
      </c>
      <c r="H89" s="32" t="s">
        <v>1</v>
      </c>
      <c r="I89" s="32" t="s">
        <v>1</v>
      </c>
      <c r="J89" s="32" t="s">
        <v>1</v>
      </c>
    </row>
    <row r="90" ht="16.5" spans="1:10">
      <c r="A90" s="40" t="s">
        <v>89</v>
      </c>
      <c r="B90" s="41" t="s">
        <v>90</v>
      </c>
      <c r="C90" s="32" t="s">
        <v>1</v>
      </c>
      <c r="D90" s="32" t="s">
        <v>1</v>
      </c>
      <c r="E90" s="32" t="s">
        <v>1</v>
      </c>
      <c r="F90" s="32" t="s">
        <v>1</v>
      </c>
      <c r="G90" s="32" t="s">
        <v>1</v>
      </c>
      <c r="H90" s="32" t="s">
        <v>1</v>
      </c>
      <c r="I90" s="32" t="s">
        <v>1</v>
      </c>
      <c r="J90" s="32" t="s">
        <v>1</v>
      </c>
    </row>
    <row r="91" ht="16.5" spans="1:10">
      <c r="A91" s="40" t="s">
        <v>91</v>
      </c>
      <c r="B91" s="41" t="s">
        <v>92</v>
      </c>
      <c r="C91" s="32" t="s">
        <v>1</v>
      </c>
      <c r="D91" s="32" t="s">
        <v>1</v>
      </c>
      <c r="E91" s="32" t="s">
        <v>1</v>
      </c>
      <c r="F91" s="32" t="s">
        <v>1</v>
      </c>
      <c r="G91" s="32" t="s">
        <v>1</v>
      </c>
      <c r="H91" s="32" t="s">
        <v>1</v>
      </c>
      <c r="I91" s="32" t="s">
        <v>1</v>
      </c>
      <c r="J91" s="32" t="s">
        <v>1</v>
      </c>
    </row>
    <row r="92" ht="16.5" spans="1:10">
      <c r="A92" s="40" t="s">
        <v>93</v>
      </c>
      <c r="B92" s="41" t="s">
        <v>94</v>
      </c>
      <c r="C92" s="32" t="s">
        <v>1</v>
      </c>
      <c r="D92" s="32" t="s">
        <v>1</v>
      </c>
      <c r="E92" s="32" t="s">
        <v>1</v>
      </c>
      <c r="F92" s="32" t="s">
        <v>1</v>
      </c>
      <c r="G92" s="32" t="s">
        <v>1</v>
      </c>
      <c r="H92" s="32" t="s">
        <v>1</v>
      </c>
      <c r="I92" s="32" t="s">
        <v>1</v>
      </c>
      <c r="J92" s="32" t="s">
        <v>1</v>
      </c>
    </row>
    <row r="93" ht="16.5" spans="1:10">
      <c r="A93" s="40" t="s">
        <v>95</v>
      </c>
      <c r="B93" s="41" t="s">
        <v>96</v>
      </c>
      <c r="C93" s="32" t="s">
        <v>1</v>
      </c>
      <c r="D93" s="32" t="s">
        <v>1</v>
      </c>
      <c r="E93" s="32" t="s">
        <v>1</v>
      </c>
      <c r="F93" s="32" t="s">
        <v>1</v>
      </c>
      <c r="G93" s="32" t="s">
        <v>1</v>
      </c>
      <c r="H93" s="32" t="s">
        <v>1</v>
      </c>
      <c r="I93" s="32" t="s">
        <v>1</v>
      </c>
      <c r="J93" s="32" t="s">
        <v>1</v>
      </c>
    </row>
    <row r="94" spans="1:10">
      <c r="A94" s="33" t="s">
        <v>1</v>
      </c>
      <c r="B94" s="32" t="s">
        <v>1</v>
      </c>
      <c r="C94" s="32" t="s">
        <v>1</v>
      </c>
      <c r="D94" s="32" t="s">
        <v>1</v>
      </c>
      <c r="E94" s="32" t="s">
        <v>1</v>
      </c>
      <c r="F94" s="32" t="s">
        <v>1</v>
      </c>
      <c r="G94" s="32" t="s">
        <v>1</v>
      </c>
      <c r="H94" s="32" t="s">
        <v>1</v>
      </c>
      <c r="I94" s="32" t="s">
        <v>1</v>
      </c>
      <c r="J94" s="32" t="s">
        <v>1</v>
      </c>
    </row>
    <row r="95" ht="20" customHeight="1" spans="1:10">
      <c r="A95" s="35" t="s">
        <v>97</v>
      </c>
      <c r="B95" s="32" t="s">
        <v>1</v>
      </c>
      <c r="C95" s="32" t="s">
        <v>1</v>
      </c>
      <c r="D95" s="32" t="s">
        <v>1</v>
      </c>
      <c r="E95" s="32" t="s">
        <v>1</v>
      </c>
      <c r="F95" s="32" t="s">
        <v>1</v>
      </c>
      <c r="G95" s="32" t="s">
        <v>1</v>
      </c>
      <c r="H95" s="32" t="s">
        <v>1</v>
      </c>
      <c r="I95" s="32" t="s">
        <v>1</v>
      </c>
      <c r="J95" s="32" t="s">
        <v>1</v>
      </c>
    </row>
    <row r="96" spans="1:10">
      <c r="A96" s="33" t="s">
        <v>1</v>
      </c>
      <c r="B96" s="32" t="s">
        <v>1</v>
      </c>
      <c r="C96" s="32" t="s">
        <v>1</v>
      </c>
      <c r="D96" s="32" t="s">
        <v>1</v>
      </c>
      <c r="E96" s="32" t="s">
        <v>1</v>
      </c>
      <c r="F96" s="32" t="s">
        <v>1</v>
      </c>
      <c r="G96" s="32" t="s">
        <v>1</v>
      </c>
      <c r="H96" s="32" t="s">
        <v>1</v>
      </c>
      <c r="I96" s="32" t="s">
        <v>1</v>
      </c>
      <c r="J96" s="32" t="s">
        <v>1</v>
      </c>
    </row>
    <row r="97" ht="16.5" spans="1:10">
      <c r="A97" s="37" t="s">
        <v>98</v>
      </c>
      <c r="B97" s="32" t="s">
        <v>1</v>
      </c>
      <c r="C97" s="32" t="s">
        <v>1</v>
      </c>
      <c r="D97" s="32" t="s">
        <v>1</v>
      </c>
      <c r="E97" s="32" t="s">
        <v>1</v>
      </c>
      <c r="F97" s="32" t="s">
        <v>1</v>
      </c>
      <c r="G97" s="32" t="s">
        <v>1</v>
      </c>
      <c r="H97" s="32" t="s">
        <v>1</v>
      </c>
      <c r="I97" s="32" t="s">
        <v>1</v>
      </c>
      <c r="J97" s="32" t="s">
        <v>1</v>
      </c>
    </row>
    <row r="98" ht="20" customHeight="1" spans="1:10">
      <c r="A98" s="35" t="s">
        <v>99</v>
      </c>
      <c r="B98" s="32" t="s">
        <v>1</v>
      </c>
      <c r="C98" s="32" t="s">
        <v>1</v>
      </c>
      <c r="D98" s="32" t="s">
        <v>1</v>
      </c>
      <c r="E98" s="32" t="s">
        <v>1</v>
      </c>
      <c r="F98" s="32" t="s">
        <v>1</v>
      </c>
      <c r="G98" s="32" t="s">
        <v>1</v>
      </c>
      <c r="H98" s="32" t="s">
        <v>1</v>
      </c>
      <c r="I98" s="32" t="s">
        <v>1</v>
      </c>
      <c r="J98" s="32" t="s">
        <v>1</v>
      </c>
    </row>
    <row r="99" spans="1:10">
      <c r="A99" s="33" t="s">
        <v>1</v>
      </c>
      <c r="B99" s="32" t="s">
        <v>1</v>
      </c>
      <c r="C99" s="32" t="s">
        <v>1</v>
      </c>
      <c r="D99" s="32" t="s">
        <v>1</v>
      </c>
      <c r="E99" s="32" t="s">
        <v>1</v>
      </c>
      <c r="F99" s="32" t="s">
        <v>1</v>
      </c>
      <c r="G99" s="32" t="s">
        <v>1</v>
      </c>
      <c r="H99" s="32" t="s">
        <v>1</v>
      </c>
      <c r="I99" s="32" t="s">
        <v>1</v>
      </c>
      <c r="J99" s="32" t="s">
        <v>1</v>
      </c>
    </row>
    <row r="100" ht="18" customHeight="1" spans="1:10">
      <c r="A100" s="38" t="s">
        <v>100</v>
      </c>
      <c r="B100" s="39" t="s">
        <v>101</v>
      </c>
      <c r="C100" s="39" t="s">
        <v>102</v>
      </c>
      <c r="D100" s="32" t="s">
        <v>1</v>
      </c>
      <c r="E100" s="32" t="s">
        <v>1</v>
      </c>
      <c r="F100" s="32" t="s">
        <v>1</v>
      </c>
      <c r="G100" s="32" t="s">
        <v>1</v>
      </c>
      <c r="H100" s="32" t="s">
        <v>1</v>
      </c>
      <c r="I100" s="32" t="s">
        <v>1</v>
      </c>
      <c r="J100" s="32" t="s">
        <v>1</v>
      </c>
    </row>
    <row r="101" ht="16.5" spans="1:10">
      <c r="A101" s="40" t="s">
        <v>103</v>
      </c>
      <c r="B101" s="41" t="s">
        <v>104</v>
      </c>
      <c r="C101" s="41" t="s">
        <v>105</v>
      </c>
      <c r="D101" s="32" t="s">
        <v>1</v>
      </c>
      <c r="E101" s="32" t="s">
        <v>1</v>
      </c>
      <c r="F101" s="32" t="s">
        <v>1</v>
      </c>
      <c r="G101" s="32" t="s">
        <v>1</v>
      </c>
      <c r="H101" s="32" t="s">
        <v>1</v>
      </c>
      <c r="I101" s="32" t="s">
        <v>1</v>
      </c>
      <c r="J101" s="32" t="s">
        <v>1</v>
      </c>
    </row>
    <row r="102" ht="16.5" spans="1:10">
      <c r="A102" s="40" t="s">
        <v>106</v>
      </c>
      <c r="B102" s="41" t="s">
        <v>107</v>
      </c>
      <c r="C102" s="41" t="s">
        <v>108</v>
      </c>
      <c r="D102" s="32" t="s">
        <v>1</v>
      </c>
      <c r="E102" s="32" t="s">
        <v>1</v>
      </c>
      <c r="F102" s="32" t="s">
        <v>1</v>
      </c>
      <c r="G102" s="32" t="s">
        <v>1</v>
      </c>
      <c r="H102" s="32" t="s">
        <v>1</v>
      </c>
      <c r="I102" s="32" t="s">
        <v>1</v>
      </c>
      <c r="J102" s="32" t="s">
        <v>1</v>
      </c>
    </row>
    <row r="103" ht="16.5" spans="1:10">
      <c r="A103" s="40" t="s">
        <v>109</v>
      </c>
      <c r="B103" s="41" t="s">
        <v>110</v>
      </c>
      <c r="C103" s="41" t="s">
        <v>111</v>
      </c>
      <c r="D103" s="32" t="s">
        <v>1</v>
      </c>
      <c r="E103" s="32" t="s">
        <v>1</v>
      </c>
      <c r="F103" s="32" t="s">
        <v>1</v>
      </c>
      <c r="G103" s="32" t="s">
        <v>1</v>
      </c>
      <c r="H103" s="32" t="s">
        <v>1</v>
      </c>
      <c r="I103" s="32" t="s">
        <v>1</v>
      </c>
      <c r="J103" s="32" t="s">
        <v>1</v>
      </c>
    </row>
    <row r="104" ht="16.5" spans="1:10">
      <c r="A104" s="40" t="s">
        <v>112</v>
      </c>
      <c r="B104" s="41" t="s">
        <v>113</v>
      </c>
      <c r="C104" s="41" t="s">
        <v>114</v>
      </c>
      <c r="D104" s="32" t="s">
        <v>1</v>
      </c>
      <c r="E104" s="32" t="s">
        <v>1</v>
      </c>
      <c r="F104" s="32" t="s">
        <v>1</v>
      </c>
      <c r="G104" s="32" t="s">
        <v>1</v>
      </c>
      <c r="H104" s="32" t="s">
        <v>1</v>
      </c>
      <c r="I104" s="32" t="s">
        <v>1</v>
      </c>
      <c r="J104" s="32" t="s">
        <v>1</v>
      </c>
    </row>
    <row r="105" ht="16.5" spans="1:10">
      <c r="A105" s="40" t="s">
        <v>115</v>
      </c>
      <c r="B105" s="41" t="s">
        <v>116</v>
      </c>
      <c r="C105" s="41" t="s">
        <v>117</v>
      </c>
      <c r="D105" s="32" t="s">
        <v>1</v>
      </c>
      <c r="E105" s="32" t="s">
        <v>1</v>
      </c>
      <c r="F105" s="32" t="s">
        <v>1</v>
      </c>
      <c r="G105" s="32" t="s">
        <v>1</v>
      </c>
      <c r="H105" s="32" t="s">
        <v>1</v>
      </c>
      <c r="I105" s="32" t="s">
        <v>1</v>
      </c>
      <c r="J105" s="32" t="s">
        <v>1</v>
      </c>
    </row>
    <row r="106" spans="1:10">
      <c r="A106" s="33" t="s">
        <v>1</v>
      </c>
      <c r="B106" s="32" t="s">
        <v>1</v>
      </c>
      <c r="C106" s="32" t="s">
        <v>1</v>
      </c>
      <c r="D106" s="32" t="s">
        <v>1</v>
      </c>
      <c r="E106" s="32" t="s">
        <v>1</v>
      </c>
      <c r="F106" s="32" t="s">
        <v>1</v>
      </c>
      <c r="G106" s="32" t="s">
        <v>1</v>
      </c>
      <c r="H106" s="32" t="s">
        <v>1</v>
      </c>
      <c r="I106" s="32" t="s">
        <v>1</v>
      </c>
      <c r="J106" s="32" t="s">
        <v>1</v>
      </c>
    </row>
    <row r="107" ht="20" customHeight="1" spans="1:10">
      <c r="A107" s="35" t="s">
        <v>118</v>
      </c>
      <c r="B107" s="32" t="s">
        <v>1</v>
      </c>
      <c r="C107" s="32" t="s">
        <v>1</v>
      </c>
      <c r="D107" s="32" t="s">
        <v>1</v>
      </c>
      <c r="E107" s="32" t="s">
        <v>1</v>
      </c>
      <c r="F107" s="32" t="s">
        <v>1</v>
      </c>
      <c r="G107" s="32" t="s">
        <v>1</v>
      </c>
      <c r="H107" s="32" t="s">
        <v>1</v>
      </c>
      <c r="I107" s="32" t="s">
        <v>1</v>
      </c>
      <c r="J107" s="32" t="s">
        <v>1</v>
      </c>
    </row>
    <row r="108" spans="1:10">
      <c r="A108" s="33" t="s">
        <v>1</v>
      </c>
      <c r="B108" s="32" t="s">
        <v>1</v>
      </c>
      <c r="C108" s="32" t="s">
        <v>1</v>
      </c>
      <c r="D108" s="32" t="s">
        <v>1</v>
      </c>
      <c r="E108" s="32" t="s">
        <v>1</v>
      </c>
      <c r="F108" s="32" t="s">
        <v>1</v>
      </c>
      <c r="G108" s="32" t="s">
        <v>1</v>
      </c>
      <c r="H108" s="32" t="s">
        <v>1</v>
      </c>
      <c r="I108" s="32" t="s">
        <v>1</v>
      </c>
      <c r="J108" s="32" t="s">
        <v>1</v>
      </c>
    </row>
    <row r="109" ht="16.5" spans="1:10">
      <c r="A109" s="36" t="s">
        <v>119</v>
      </c>
      <c r="B109" s="32" t="s">
        <v>1</v>
      </c>
      <c r="C109" s="32" t="s">
        <v>1</v>
      </c>
      <c r="D109" s="32" t="s">
        <v>1</v>
      </c>
      <c r="E109" s="32" t="s">
        <v>1</v>
      </c>
      <c r="F109" s="32" t="s">
        <v>1</v>
      </c>
      <c r="G109" s="32" t="s">
        <v>1</v>
      </c>
      <c r="H109" s="32" t="s">
        <v>1</v>
      </c>
      <c r="I109" s="32" t="s">
        <v>1</v>
      </c>
      <c r="J109" s="32" t="s">
        <v>1</v>
      </c>
    </row>
    <row r="110" ht="16.5" spans="1:10">
      <c r="A110" s="36" t="s">
        <v>120</v>
      </c>
      <c r="B110" s="32" t="s">
        <v>1</v>
      </c>
      <c r="C110" s="32" t="s">
        <v>1</v>
      </c>
      <c r="D110" s="32" t="s">
        <v>1</v>
      </c>
      <c r="E110" s="32" t="s">
        <v>1</v>
      </c>
      <c r="F110" s="32" t="s">
        <v>1</v>
      </c>
      <c r="G110" s="32" t="s">
        <v>1</v>
      </c>
      <c r="H110" s="32" t="s">
        <v>1</v>
      </c>
      <c r="I110" s="32" t="s">
        <v>1</v>
      </c>
      <c r="J110" s="32" t="s">
        <v>1</v>
      </c>
    </row>
  </sheetData>
  <mergeCells count="30">
    <mergeCell ref="A1:F1"/>
    <mergeCell ref="A5:D5"/>
    <mergeCell ref="A7:D7"/>
    <mergeCell ref="A11:C11"/>
    <mergeCell ref="A13:G13"/>
    <mergeCell ref="A15:F15"/>
    <mergeCell ref="A20:C20"/>
    <mergeCell ref="A25:D25"/>
    <mergeCell ref="A29:H29"/>
    <mergeCell ref="A33:E33"/>
    <mergeCell ref="A58:C58"/>
    <mergeCell ref="A60:G60"/>
    <mergeCell ref="A61:F61"/>
    <mergeCell ref="A71:F71"/>
    <mergeCell ref="A73:I73"/>
    <mergeCell ref="A79:H79"/>
    <mergeCell ref="A82:C82"/>
    <mergeCell ref="B88:G88"/>
    <mergeCell ref="B89:G89"/>
    <mergeCell ref="B90:G90"/>
    <mergeCell ref="B91:H91"/>
    <mergeCell ref="B92:E92"/>
    <mergeCell ref="B93:E93"/>
    <mergeCell ref="A97:Y97"/>
    <mergeCell ref="C101:G101"/>
    <mergeCell ref="C102:F102"/>
    <mergeCell ref="C103:E103"/>
    <mergeCell ref="C104:E104"/>
    <mergeCell ref="C105:F105"/>
    <mergeCell ref="A110:E110"/>
  </mergeCells>
  <pageMargins left="0.75" right="0.75" top="1" bottom="1" header="0.5" footer="0.5"/>
  <headerFooter/>
  <ignoredErrors>
    <ignoredError sqref="A1:AD130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0"/>
  <sheetViews>
    <sheetView tabSelected="1" topLeftCell="A50" workbookViewId="0">
      <selection activeCell="K113" sqref="K113:K125"/>
    </sheetView>
  </sheetViews>
  <sheetFormatPr defaultColWidth="8.725" defaultRowHeight="13.5"/>
  <cols>
    <col min="1" max="4" width="14" customWidth="1"/>
    <col min="5" max="6" width="8" customWidth="1"/>
    <col min="7" max="7" width="7" customWidth="1"/>
    <col min="8" max="8" width="9" customWidth="1"/>
    <col min="9" max="9" width="12" customWidth="1"/>
    <col min="10" max="10" width="10" customWidth="1"/>
    <col min="11" max="11" width="9" customWidth="1"/>
    <col min="12" max="12" width="10" customWidth="1"/>
  </cols>
  <sheetData>
    <row r="1" ht="14" customHeight="1" spans="1:12">
      <c r="A1" s="1" t="s">
        <v>121</v>
      </c>
      <c r="B1" s="2" t="s">
        <v>1</v>
      </c>
      <c r="C1" s="2" t="s">
        <v>1</v>
      </c>
      <c r="D1" s="2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</row>
    <row r="2" ht="14" customHeight="1" spans="1:12">
      <c r="A2" s="4" t="s">
        <v>28</v>
      </c>
      <c r="B2" s="4">
        <v>3</v>
      </c>
      <c r="C2" s="4">
        <v>4</v>
      </c>
      <c r="D2" s="4">
        <v>5</v>
      </c>
      <c r="E2" s="5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</row>
    <row r="3" ht="16.5" spans="1:12">
      <c r="A3" s="6" t="s">
        <v>35</v>
      </c>
      <c r="B3" s="6">
        <v>5</v>
      </c>
      <c r="C3" s="6">
        <v>30</v>
      </c>
      <c r="D3" s="6">
        <v>100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</row>
    <row r="4" ht="16.5" spans="1:12">
      <c r="A4" s="6" t="s">
        <v>36</v>
      </c>
      <c r="B4" s="6">
        <v>5</v>
      </c>
      <c r="C4" s="6">
        <v>25</v>
      </c>
      <c r="D4" s="6">
        <v>100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1</v>
      </c>
      <c r="L4" s="3" t="s">
        <v>1</v>
      </c>
    </row>
    <row r="5" ht="16.5" spans="1:12">
      <c r="A5" s="6" t="s">
        <v>37</v>
      </c>
      <c r="B5" s="6">
        <v>5</v>
      </c>
      <c r="C5" s="6">
        <v>20</v>
      </c>
      <c r="D5" s="6">
        <v>75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</row>
    <row r="6" ht="16.5" spans="1:12">
      <c r="A6" s="6">
        <v>10</v>
      </c>
      <c r="B6" s="6">
        <v>5</v>
      </c>
      <c r="C6" s="6">
        <v>20</v>
      </c>
      <c r="D6" s="6">
        <v>75</v>
      </c>
      <c r="E6" s="3" t="s">
        <v>1</v>
      </c>
      <c r="F6" s="3" t="s">
        <v>1</v>
      </c>
      <c r="G6" s="3" t="s">
        <v>1</v>
      </c>
      <c r="H6" s="3" t="s">
        <v>1</v>
      </c>
      <c r="I6" s="3" t="s">
        <v>1</v>
      </c>
      <c r="J6" s="3" t="s">
        <v>1</v>
      </c>
      <c r="K6" s="3" t="s">
        <v>1</v>
      </c>
      <c r="L6" s="3" t="s">
        <v>1</v>
      </c>
    </row>
    <row r="7" ht="16.5" spans="1:12">
      <c r="A7" s="6">
        <v>9</v>
      </c>
      <c r="B7" s="6">
        <v>5</v>
      </c>
      <c r="C7" s="6">
        <v>10</v>
      </c>
      <c r="D7" s="6">
        <v>50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1</v>
      </c>
      <c r="L7" s="3" t="s">
        <v>1</v>
      </c>
    </row>
    <row r="8" ht="16.5" spans="1:12">
      <c r="A8" s="7" t="s">
        <v>34</v>
      </c>
      <c r="B8" s="6">
        <v>150</v>
      </c>
      <c r="C8" s="6">
        <v>300</v>
      </c>
      <c r="D8" s="6">
        <v>1000</v>
      </c>
      <c r="E8" s="3" t="s">
        <v>1</v>
      </c>
      <c r="F8" s="3" t="s">
        <v>1</v>
      </c>
      <c r="G8" s="3" t="s">
        <v>1</v>
      </c>
      <c r="H8" s="3" t="s">
        <v>1</v>
      </c>
      <c r="I8" s="3" t="s">
        <v>1</v>
      </c>
      <c r="J8" s="3" t="s">
        <v>1</v>
      </c>
      <c r="K8" s="3" t="s">
        <v>1</v>
      </c>
      <c r="L8" s="3" t="s">
        <v>1</v>
      </c>
    </row>
    <row r="9" ht="16.5" spans="1:12">
      <c r="A9" s="8" t="s">
        <v>1</v>
      </c>
      <c r="B9" s="8" t="s">
        <v>1</v>
      </c>
      <c r="C9" s="8" t="s">
        <v>1</v>
      </c>
      <c r="D9" s="8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</row>
    <row r="10" ht="16.5" spans="1:12">
      <c r="A10" s="9" t="s">
        <v>122</v>
      </c>
      <c r="B10" s="8" t="s">
        <v>1</v>
      </c>
      <c r="C10" s="8" t="s">
        <v>1</v>
      </c>
      <c r="D10" s="10">
        <v>0</v>
      </c>
      <c r="E10" s="3" t="s">
        <v>1</v>
      </c>
      <c r="F10" s="3" t="s">
        <v>1</v>
      </c>
      <c r="G10" s="3" t="s">
        <v>1</v>
      </c>
      <c r="H10" s="3" t="s">
        <v>1</v>
      </c>
      <c r="I10" s="3" t="s">
        <v>1</v>
      </c>
      <c r="J10" s="3" t="s">
        <v>1</v>
      </c>
      <c r="K10" s="3" t="s">
        <v>1</v>
      </c>
      <c r="L10" s="3" t="s">
        <v>1</v>
      </c>
    </row>
    <row r="11" ht="16.5" spans="1:12">
      <c r="A11" s="11" t="s">
        <v>123</v>
      </c>
      <c r="B11" s="8" t="s">
        <v>1</v>
      </c>
      <c r="C11" s="8" t="s">
        <v>1</v>
      </c>
      <c r="D11" s="8" t="s">
        <v>1</v>
      </c>
      <c r="E11" s="3" t="s">
        <v>1</v>
      </c>
      <c r="F11" s="3" t="s">
        <v>1</v>
      </c>
      <c r="G11" s="3" t="s">
        <v>1</v>
      </c>
      <c r="H11" s="3" t="s">
        <v>1</v>
      </c>
      <c r="I11" s="3" t="s">
        <v>1</v>
      </c>
      <c r="J11" s="3" t="s">
        <v>1</v>
      </c>
      <c r="K11" s="3" t="s">
        <v>1</v>
      </c>
      <c r="L11" s="3" t="s">
        <v>1</v>
      </c>
    </row>
    <row r="12" ht="16.5" spans="1:12">
      <c r="A12" s="3" t="s">
        <v>1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1</v>
      </c>
      <c r="L12" s="3" t="s">
        <v>1</v>
      </c>
    </row>
    <row r="13" ht="14" customHeight="1" spans="1:12">
      <c r="A13" s="2" t="s">
        <v>124</v>
      </c>
      <c r="B13" s="2" t="s">
        <v>1</v>
      </c>
      <c r="C13" s="2" t="s">
        <v>1</v>
      </c>
      <c r="D13" s="2" t="s">
        <v>1</v>
      </c>
      <c r="E13" s="2" t="s">
        <v>1</v>
      </c>
      <c r="F13" s="2" t="s">
        <v>1</v>
      </c>
      <c r="G13" s="3" t="s">
        <v>1</v>
      </c>
      <c r="H13" s="3" t="s">
        <v>1</v>
      </c>
      <c r="I13" s="3" t="s">
        <v>1</v>
      </c>
      <c r="J13" s="3" t="s">
        <v>1</v>
      </c>
      <c r="K13" s="3" t="s">
        <v>1</v>
      </c>
      <c r="L13" s="3" t="s">
        <v>1</v>
      </c>
    </row>
    <row r="14" ht="14" customHeight="1" spans="1:12">
      <c r="A14" s="4" t="s">
        <v>125</v>
      </c>
      <c r="B14" s="4" t="s">
        <v>29</v>
      </c>
      <c r="C14" s="4" t="s">
        <v>30</v>
      </c>
      <c r="D14" s="4" t="s">
        <v>31</v>
      </c>
      <c r="E14" s="4" t="s">
        <v>32</v>
      </c>
      <c r="F14" s="4" t="s">
        <v>33</v>
      </c>
      <c r="G14" s="5" t="s">
        <v>1</v>
      </c>
      <c r="H14" s="3" t="s">
        <v>1</v>
      </c>
      <c r="I14" s="3" t="s">
        <v>1</v>
      </c>
      <c r="J14" s="3" t="s">
        <v>1</v>
      </c>
      <c r="K14" s="3" t="s">
        <v>1</v>
      </c>
      <c r="L14" s="3" t="s">
        <v>1</v>
      </c>
    </row>
    <row r="15" ht="16.5" spans="1:12">
      <c r="A15" s="12">
        <v>1</v>
      </c>
      <c r="B15" s="6" t="s">
        <v>35</v>
      </c>
      <c r="C15" s="6" t="s">
        <v>35</v>
      </c>
      <c r="D15" s="6" t="s">
        <v>35</v>
      </c>
      <c r="E15" s="6" t="s">
        <v>35</v>
      </c>
      <c r="F15" s="6" t="s">
        <v>35</v>
      </c>
      <c r="G15" s="3" t="s">
        <v>1</v>
      </c>
      <c r="H15" s="3" t="s">
        <v>1</v>
      </c>
      <c r="I15" s="3" t="s">
        <v>1</v>
      </c>
      <c r="J15" s="3" t="s">
        <v>1</v>
      </c>
      <c r="K15" s="3" t="s">
        <v>1</v>
      </c>
      <c r="L15" s="3" t="s">
        <v>1</v>
      </c>
    </row>
    <row r="16" ht="16.5" spans="1:12">
      <c r="A16" s="12">
        <v>2</v>
      </c>
      <c r="B16" s="7" t="s">
        <v>34</v>
      </c>
      <c r="C16" s="6" t="s">
        <v>35</v>
      </c>
      <c r="D16" s="6" t="s">
        <v>35</v>
      </c>
      <c r="E16" s="6" t="s">
        <v>35</v>
      </c>
      <c r="F16" s="6" t="s">
        <v>35</v>
      </c>
      <c r="G16" s="3" t="s">
        <v>1</v>
      </c>
      <c r="H16" s="3" t="s">
        <v>1</v>
      </c>
      <c r="I16" s="3" t="s">
        <v>1</v>
      </c>
      <c r="J16" s="3" t="s">
        <v>1</v>
      </c>
      <c r="K16" s="3" t="s">
        <v>1</v>
      </c>
      <c r="L16" s="3" t="s">
        <v>1</v>
      </c>
    </row>
    <row r="17" ht="16.5" spans="1:12">
      <c r="A17" s="12">
        <v>3</v>
      </c>
      <c r="B17" s="7" t="s">
        <v>34</v>
      </c>
      <c r="C17" s="6" t="s">
        <v>35</v>
      </c>
      <c r="D17" s="6" t="s">
        <v>35</v>
      </c>
      <c r="E17" s="6" t="s">
        <v>35</v>
      </c>
      <c r="F17" s="6" t="s">
        <v>35</v>
      </c>
      <c r="G17" s="3" t="s">
        <v>1</v>
      </c>
      <c r="H17" s="3" t="s">
        <v>1</v>
      </c>
      <c r="I17" s="3" t="s">
        <v>1</v>
      </c>
      <c r="J17" s="3" t="s">
        <v>1</v>
      </c>
      <c r="K17" s="3" t="s">
        <v>1</v>
      </c>
      <c r="L17" s="3" t="s">
        <v>1</v>
      </c>
    </row>
    <row r="18" ht="16.5" spans="1:12">
      <c r="A18" s="12">
        <v>4</v>
      </c>
      <c r="B18" s="6" t="s">
        <v>36</v>
      </c>
      <c r="C18" s="7" t="s">
        <v>34</v>
      </c>
      <c r="D18" s="7" t="s">
        <v>34</v>
      </c>
      <c r="E18" s="7" t="s">
        <v>34</v>
      </c>
      <c r="F18" s="7" t="s">
        <v>34</v>
      </c>
      <c r="G18" s="3" t="s">
        <v>1</v>
      </c>
      <c r="H18" s="3" t="s">
        <v>1</v>
      </c>
      <c r="I18" s="3" t="s">
        <v>1</v>
      </c>
      <c r="J18" s="3" t="s">
        <v>1</v>
      </c>
      <c r="K18" s="3" t="s">
        <v>1</v>
      </c>
      <c r="L18" s="3" t="s">
        <v>1</v>
      </c>
    </row>
    <row r="19" ht="16.5" spans="1:12">
      <c r="A19" s="12">
        <v>5</v>
      </c>
      <c r="B19" s="6" t="s">
        <v>36</v>
      </c>
      <c r="C19" s="7" t="s">
        <v>34</v>
      </c>
      <c r="D19" s="7" t="s">
        <v>34</v>
      </c>
      <c r="E19" s="7" t="s">
        <v>34</v>
      </c>
      <c r="F19" s="7" t="s">
        <v>34</v>
      </c>
      <c r="G19" s="3" t="s">
        <v>1</v>
      </c>
      <c r="H19" s="3" t="s">
        <v>1</v>
      </c>
      <c r="I19" s="3" t="s">
        <v>1</v>
      </c>
      <c r="J19" s="3" t="s">
        <v>1</v>
      </c>
      <c r="K19" s="3" t="s">
        <v>1</v>
      </c>
      <c r="L19" s="3" t="s">
        <v>1</v>
      </c>
    </row>
    <row r="20" ht="16.5" spans="1:12">
      <c r="A20" s="12">
        <v>6</v>
      </c>
      <c r="B20" s="6" t="s">
        <v>37</v>
      </c>
      <c r="C20" s="6" t="s">
        <v>36</v>
      </c>
      <c r="D20" s="6" t="s">
        <v>36</v>
      </c>
      <c r="E20" s="6" t="s">
        <v>36</v>
      </c>
      <c r="F20" s="6" t="s">
        <v>36</v>
      </c>
      <c r="G20" s="3" t="s">
        <v>1</v>
      </c>
      <c r="H20" s="3" t="s">
        <v>1</v>
      </c>
      <c r="I20" s="3" t="s">
        <v>1</v>
      </c>
      <c r="J20" s="3" t="s">
        <v>1</v>
      </c>
      <c r="K20" s="3" t="s">
        <v>1</v>
      </c>
      <c r="L20" s="3" t="s">
        <v>1</v>
      </c>
    </row>
    <row r="21" ht="16.5" spans="1:12">
      <c r="A21" s="12">
        <v>7</v>
      </c>
      <c r="B21" s="6" t="s">
        <v>37</v>
      </c>
      <c r="C21" s="6" t="s">
        <v>36</v>
      </c>
      <c r="D21" s="6" t="s">
        <v>36</v>
      </c>
      <c r="E21" s="6" t="s">
        <v>36</v>
      </c>
      <c r="F21" s="6" t="s">
        <v>36</v>
      </c>
      <c r="G21" s="3" t="s">
        <v>1</v>
      </c>
      <c r="H21" s="3" t="s">
        <v>1</v>
      </c>
      <c r="I21" s="3" t="s">
        <v>1</v>
      </c>
      <c r="J21" s="3" t="s">
        <v>1</v>
      </c>
      <c r="K21" s="3" t="s">
        <v>1</v>
      </c>
      <c r="L21" s="3" t="s">
        <v>1</v>
      </c>
    </row>
    <row r="22" ht="16.5" spans="1:12">
      <c r="A22" s="12">
        <v>8</v>
      </c>
      <c r="B22" s="6" t="s">
        <v>37</v>
      </c>
      <c r="C22" s="6" t="s">
        <v>36</v>
      </c>
      <c r="D22" s="6" t="s">
        <v>36</v>
      </c>
      <c r="E22" s="6" t="s">
        <v>36</v>
      </c>
      <c r="F22" s="6" t="s">
        <v>36</v>
      </c>
      <c r="G22" s="3" t="s">
        <v>1</v>
      </c>
      <c r="H22" s="3" t="s">
        <v>1</v>
      </c>
      <c r="I22" s="3" t="s">
        <v>1</v>
      </c>
      <c r="J22" s="3" t="s">
        <v>1</v>
      </c>
      <c r="K22" s="3" t="s">
        <v>1</v>
      </c>
      <c r="L22" s="3" t="s">
        <v>1</v>
      </c>
    </row>
    <row r="23" ht="16.5" spans="1:12">
      <c r="A23" s="12">
        <v>9</v>
      </c>
      <c r="B23" s="6" t="s">
        <v>37</v>
      </c>
      <c r="C23" s="6" t="s">
        <v>37</v>
      </c>
      <c r="D23" s="6" t="s">
        <v>37</v>
      </c>
      <c r="E23" s="6" t="s">
        <v>37</v>
      </c>
      <c r="F23" s="6" t="s">
        <v>37</v>
      </c>
      <c r="G23" s="3" t="s">
        <v>1</v>
      </c>
      <c r="H23" s="3" t="s">
        <v>1</v>
      </c>
      <c r="I23" s="3" t="s">
        <v>1</v>
      </c>
      <c r="J23" s="3" t="s">
        <v>1</v>
      </c>
      <c r="K23" s="3" t="s">
        <v>1</v>
      </c>
      <c r="L23" s="3" t="s">
        <v>1</v>
      </c>
    </row>
    <row r="24" ht="16.5" spans="1:12">
      <c r="A24" s="12">
        <v>10</v>
      </c>
      <c r="B24" s="6">
        <v>10</v>
      </c>
      <c r="C24" s="6" t="s">
        <v>37</v>
      </c>
      <c r="D24" s="6" t="s">
        <v>37</v>
      </c>
      <c r="E24" s="6" t="s">
        <v>37</v>
      </c>
      <c r="F24" s="6" t="s">
        <v>37</v>
      </c>
      <c r="G24" s="3" t="s">
        <v>1</v>
      </c>
      <c r="H24" s="3" t="s">
        <v>1</v>
      </c>
      <c r="I24" s="3" t="s">
        <v>1</v>
      </c>
      <c r="J24" s="3" t="s">
        <v>1</v>
      </c>
      <c r="K24" s="3" t="s">
        <v>1</v>
      </c>
      <c r="L24" s="3" t="s">
        <v>1</v>
      </c>
    </row>
    <row r="25" ht="16.5" spans="1:12">
      <c r="A25" s="12">
        <v>11</v>
      </c>
      <c r="B25" s="6">
        <v>10</v>
      </c>
      <c r="C25" s="6" t="s">
        <v>37</v>
      </c>
      <c r="D25" s="6" t="s">
        <v>37</v>
      </c>
      <c r="E25" s="6" t="s">
        <v>37</v>
      </c>
      <c r="F25" s="6" t="s">
        <v>37</v>
      </c>
      <c r="G25" s="3" t="s">
        <v>1</v>
      </c>
      <c r="H25" s="3" t="s">
        <v>1</v>
      </c>
      <c r="I25" s="3" t="s">
        <v>1</v>
      </c>
      <c r="J25" s="3" t="s">
        <v>1</v>
      </c>
      <c r="K25" s="3" t="s">
        <v>1</v>
      </c>
      <c r="L25" s="3" t="s">
        <v>1</v>
      </c>
    </row>
    <row r="26" ht="16.5" spans="1:12">
      <c r="A26" s="12">
        <v>12</v>
      </c>
      <c r="B26" s="6">
        <v>10</v>
      </c>
      <c r="C26" s="6" t="s">
        <v>37</v>
      </c>
      <c r="D26" s="6" t="s">
        <v>37</v>
      </c>
      <c r="E26" s="6" t="s">
        <v>37</v>
      </c>
      <c r="F26" s="6" t="s">
        <v>37</v>
      </c>
      <c r="G26" s="3" t="s">
        <v>1</v>
      </c>
      <c r="H26" s="3" t="s">
        <v>1</v>
      </c>
      <c r="I26" s="3" t="s">
        <v>1</v>
      </c>
      <c r="J26" s="3" t="s">
        <v>1</v>
      </c>
      <c r="K26" s="3" t="s">
        <v>1</v>
      </c>
      <c r="L26" s="3" t="s">
        <v>1</v>
      </c>
    </row>
    <row r="27" ht="16.5" spans="1:12">
      <c r="A27" s="12">
        <v>13</v>
      </c>
      <c r="B27" s="6">
        <v>10</v>
      </c>
      <c r="C27" s="6" t="s">
        <v>37</v>
      </c>
      <c r="D27" s="6">
        <v>10</v>
      </c>
      <c r="E27" s="6">
        <v>10</v>
      </c>
      <c r="F27" s="6">
        <v>10</v>
      </c>
      <c r="G27" s="3" t="s">
        <v>1</v>
      </c>
      <c r="H27" s="3" t="s">
        <v>1</v>
      </c>
      <c r="I27" s="3" t="s">
        <v>1</v>
      </c>
      <c r="J27" s="3" t="s">
        <v>1</v>
      </c>
      <c r="K27" s="3" t="s">
        <v>1</v>
      </c>
      <c r="L27" s="3" t="s">
        <v>1</v>
      </c>
    </row>
    <row r="28" ht="16.5" spans="1:12">
      <c r="A28" s="12">
        <v>14</v>
      </c>
      <c r="B28" s="6">
        <v>10</v>
      </c>
      <c r="C28" s="6">
        <v>10</v>
      </c>
      <c r="D28" s="6">
        <v>10</v>
      </c>
      <c r="E28" s="6">
        <v>10</v>
      </c>
      <c r="F28" s="6">
        <v>10</v>
      </c>
      <c r="G28" s="3" t="s">
        <v>1</v>
      </c>
      <c r="H28" s="3" t="s">
        <v>1</v>
      </c>
      <c r="I28" s="3" t="s">
        <v>1</v>
      </c>
      <c r="J28" s="3" t="s">
        <v>1</v>
      </c>
      <c r="K28" s="3" t="s">
        <v>1</v>
      </c>
      <c r="L28" s="3" t="s">
        <v>1</v>
      </c>
    </row>
    <row r="29" ht="16.5" spans="1:12">
      <c r="A29" s="12">
        <v>15</v>
      </c>
      <c r="B29" s="6">
        <v>9</v>
      </c>
      <c r="C29" s="6">
        <v>10</v>
      </c>
      <c r="D29" s="6">
        <v>10</v>
      </c>
      <c r="E29" s="6">
        <v>10</v>
      </c>
      <c r="F29" s="6">
        <v>10</v>
      </c>
      <c r="G29" s="3" t="s">
        <v>1</v>
      </c>
      <c r="H29" s="3" t="s">
        <v>1</v>
      </c>
      <c r="I29" s="3" t="s">
        <v>1</v>
      </c>
      <c r="J29" s="3" t="s">
        <v>1</v>
      </c>
      <c r="K29" s="3" t="s">
        <v>1</v>
      </c>
      <c r="L29" s="3" t="s">
        <v>1</v>
      </c>
    </row>
    <row r="30" ht="16.5" spans="1:12">
      <c r="A30" s="12">
        <v>16</v>
      </c>
      <c r="B30" s="6">
        <v>9</v>
      </c>
      <c r="C30" s="6">
        <v>10</v>
      </c>
      <c r="D30" s="6">
        <v>10</v>
      </c>
      <c r="E30" s="6">
        <v>10</v>
      </c>
      <c r="F30" s="6">
        <v>10</v>
      </c>
      <c r="G30" s="3" t="s">
        <v>1</v>
      </c>
      <c r="H30" s="3" t="s">
        <v>1</v>
      </c>
      <c r="I30" s="3" t="s">
        <v>1</v>
      </c>
      <c r="J30" s="3" t="s">
        <v>1</v>
      </c>
      <c r="K30" s="3" t="s">
        <v>1</v>
      </c>
      <c r="L30" s="3" t="s">
        <v>1</v>
      </c>
    </row>
    <row r="31" ht="16.5" spans="1:12">
      <c r="A31" s="12">
        <v>17</v>
      </c>
      <c r="B31" s="6">
        <v>9</v>
      </c>
      <c r="C31" s="6">
        <v>9</v>
      </c>
      <c r="D31" s="6">
        <v>9</v>
      </c>
      <c r="E31" s="6">
        <v>9</v>
      </c>
      <c r="F31" s="6">
        <v>9</v>
      </c>
      <c r="G31" s="3" t="s">
        <v>1</v>
      </c>
      <c r="H31" s="3" t="s">
        <v>1</v>
      </c>
      <c r="I31" s="3" t="s">
        <v>1</v>
      </c>
      <c r="J31" s="3" t="s">
        <v>1</v>
      </c>
      <c r="K31" s="3" t="s">
        <v>1</v>
      </c>
      <c r="L31" s="3" t="s">
        <v>1</v>
      </c>
    </row>
    <row r="32" ht="16.5" spans="1:12">
      <c r="A32" s="12">
        <v>18</v>
      </c>
      <c r="B32" s="6">
        <v>9</v>
      </c>
      <c r="C32" s="6">
        <v>9</v>
      </c>
      <c r="D32" s="6">
        <v>9</v>
      </c>
      <c r="E32" s="6">
        <v>9</v>
      </c>
      <c r="F32" s="6">
        <v>9</v>
      </c>
      <c r="G32" s="3" t="s">
        <v>1</v>
      </c>
      <c r="H32" s="3" t="s">
        <v>1</v>
      </c>
      <c r="I32" s="3" t="s">
        <v>1</v>
      </c>
      <c r="J32" s="3" t="s">
        <v>1</v>
      </c>
      <c r="K32" s="3" t="s">
        <v>1</v>
      </c>
      <c r="L32" s="3" t="s">
        <v>1</v>
      </c>
    </row>
    <row r="33" ht="16.5" spans="1:12">
      <c r="A33" s="12">
        <v>19</v>
      </c>
      <c r="B33" s="6">
        <v>9</v>
      </c>
      <c r="C33" s="6">
        <v>9</v>
      </c>
      <c r="D33" s="6">
        <v>9</v>
      </c>
      <c r="E33" s="6">
        <v>9</v>
      </c>
      <c r="F33" s="6">
        <v>9</v>
      </c>
      <c r="G33" s="3" t="s">
        <v>1</v>
      </c>
      <c r="H33" s="3" t="s">
        <v>1</v>
      </c>
      <c r="I33" s="3" t="s">
        <v>1</v>
      </c>
      <c r="J33" s="3" t="s">
        <v>1</v>
      </c>
      <c r="K33" s="3" t="s">
        <v>1</v>
      </c>
      <c r="L33" s="3" t="s">
        <v>1</v>
      </c>
    </row>
    <row r="34" ht="16.5" spans="1:12">
      <c r="A34" s="12">
        <v>20</v>
      </c>
      <c r="B34" s="6">
        <v>9</v>
      </c>
      <c r="C34" s="6">
        <v>9</v>
      </c>
      <c r="D34" s="6">
        <v>9</v>
      </c>
      <c r="E34" s="6">
        <v>9</v>
      </c>
      <c r="F34" s="6">
        <v>9</v>
      </c>
      <c r="G34" s="3" t="s">
        <v>1</v>
      </c>
      <c r="H34" s="3" t="s">
        <v>1</v>
      </c>
      <c r="I34" s="3" t="s">
        <v>1</v>
      </c>
      <c r="J34" s="3" t="s">
        <v>1</v>
      </c>
      <c r="K34" s="3" t="s">
        <v>1</v>
      </c>
      <c r="L34" s="3" t="s">
        <v>1</v>
      </c>
    </row>
    <row r="35" ht="16.5" spans="1:12">
      <c r="A35" s="3" t="s">
        <v>1</v>
      </c>
      <c r="B35" s="3" t="s">
        <v>1</v>
      </c>
      <c r="C35" s="3" t="s">
        <v>1</v>
      </c>
      <c r="D35" s="3" t="s">
        <v>1</v>
      </c>
      <c r="E35" s="3" t="s">
        <v>1</v>
      </c>
      <c r="F35" s="3" t="s">
        <v>1</v>
      </c>
      <c r="G35" s="3" t="s">
        <v>1</v>
      </c>
      <c r="H35" s="3" t="s">
        <v>1</v>
      </c>
      <c r="I35" s="3" t="s">
        <v>1</v>
      </c>
      <c r="J35" s="3" t="s">
        <v>1</v>
      </c>
      <c r="K35" s="3" t="s">
        <v>1</v>
      </c>
      <c r="L35" s="3" t="s">
        <v>1</v>
      </c>
    </row>
    <row r="36" ht="14" customHeight="1" spans="1:12">
      <c r="A36" s="2" t="s">
        <v>126</v>
      </c>
      <c r="B36" s="2" t="s">
        <v>1</v>
      </c>
      <c r="C36" s="2" t="s">
        <v>1</v>
      </c>
      <c r="D36" s="2" t="s">
        <v>1</v>
      </c>
      <c r="E36" s="2" t="s">
        <v>1</v>
      </c>
      <c r="F36" s="2" t="s">
        <v>1</v>
      </c>
      <c r="G36" s="3" t="s">
        <v>1</v>
      </c>
      <c r="H36" s="3" t="s">
        <v>1</v>
      </c>
      <c r="I36" s="3" t="s">
        <v>1</v>
      </c>
      <c r="J36" s="3" t="s">
        <v>1</v>
      </c>
      <c r="K36" s="3" t="s">
        <v>1</v>
      </c>
      <c r="L36" s="3" t="s">
        <v>1</v>
      </c>
    </row>
    <row r="37" ht="14" customHeight="1" spans="1:12">
      <c r="A37" s="4" t="s">
        <v>28</v>
      </c>
      <c r="B37" s="4" t="s">
        <v>29</v>
      </c>
      <c r="C37" s="4" t="s">
        <v>30</v>
      </c>
      <c r="D37" s="4" t="s">
        <v>31</v>
      </c>
      <c r="E37" s="4" t="s">
        <v>32</v>
      </c>
      <c r="F37" s="4" t="s">
        <v>33</v>
      </c>
      <c r="G37" s="5" t="s">
        <v>1</v>
      </c>
      <c r="H37" s="3" t="s">
        <v>1</v>
      </c>
      <c r="I37" s="3" t="s">
        <v>1</v>
      </c>
      <c r="J37" s="3" t="s">
        <v>1</v>
      </c>
      <c r="K37" s="3" t="s">
        <v>1</v>
      </c>
      <c r="L37" s="3" t="s">
        <v>1</v>
      </c>
    </row>
    <row r="38" ht="16.5" spans="1:12">
      <c r="A38" s="7" t="s">
        <v>34</v>
      </c>
      <c r="B38" s="12">
        <f t="shared" ref="B38:B44" si="0">COUNTIF(B$15:B$34,$A38)</f>
        <v>2</v>
      </c>
      <c r="C38" s="12">
        <f t="shared" ref="C38:C44" si="1">COUNTIF(C$15:C$34,$A38)</f>
        <v>2</v>
      </c>
      <c r="D38" s="12">
        <f t="shared" ref="D38:D44" si="2">COUNTIF(D$15:D$34,$A38)</f>
        <v>2</v>
      </c>
      <c r="E38" s="12">
        <f t="shared" ref="E38:E44" si="3">COUNTIF(E$15:E$34,$A38)</f>
        <v>2</v>
      </c>
      <c r="F38" s="12">
        <f t="shared" ref="F38:F44" si="4">COUNTIF(F$15:F$34,$A38)</f>
        <v>2</v>
      </c>
      <c r="G38" s="3" t="s">
        <v>1</v>
      </c>
      <c r="H38" s="3" t="s">
        <v>1</v>
      </c>
      <c r="I38" s="3" t="s">
        <v>1</v>
      </c>
      <c r="J38" s="3" t="s">
        <v>1</v>
      </c>
      <c r="K38" s="3" t="s">
        <v>1</v>
      </c>
      <c r="L38" s="3" t="s">
        <v>1</v>
      </c>
    </row>
    <row r="39" ht="16.5" spans="1:12">
      <c r="A39" s="6" t="s">
        <v>35</v>
      </c>
      <c r="B39" s="12">
        <f t="shared" si="0"/>
        <v>1</v>
      </c>
      <c r="C39" s="12">
        <f t="shared" si="1"/>
        <v>3</v>
      </c>
      <c r="D39" s="12">
        <f t="shared" si="2"/>
        <v>3</v>
      </c>
      <c r="E39" s="12">
        <f t="shared" si="3"/>
        <v>3</v>
      </c>
      <c r="F39" s="12">
        <f t="shared" si="4"/>
        <v>3</v>
      </c>
      <c r="G39" s="3" t="s">
        <v>1</v>
      </c>
      <c r="H39" s="3" t="s">
        <v>1</v>
      </c>
      <c r="I39" s="3" t="s">
        <v>1</v>
      </c>
      <c r="J39" s="3" t="s">
        <v>1</v>
      </c>
      <c r="K39" s="3" t="s">
        <v>1</v>
      </c>
      <c r="L39" s="3" t="s">
        <v>1</v>
      </c>
    </row>
    <row r="40" ht="16.5" spans="1:12">
      <c r="A40" s="6" t="s">
        <v>36</v>
      </c>
      <c r="B40" s="12">
        <f t="shared" si="0"/>
        <v>2</v>
      </c>
      <c r="C40" s="12">
        <f t="shared" si="1"/>
        <v>3</v>
      </c>
      <c r="D40" s="12">
        <f t="shared" si="2"/>
        <v>3</v>
      </c>
      <c r="E40" s="12">
        <f t="shared" si="3"/>
        <v>3</v>
      </c>
      <c r="F40" s="12">
        <f t="shared" si="4"/>
        <v>3</v>
      </c>
      <c r="G40" s="3" t="s">
        <v>1</v>
      </c>
      <c r="H40" s="3" t="s">
        <v>1</v>
      </c>
      <c r="I40" s="3" t="s">
        <v>1</v>
      </c>
      <c r="J40" s="3" t="s">
        <v>1</v>
      </c>
      <c r="K40" s="3" t="s">
        <v>1</v>
      </c>
      <c r="L40" s="3" t="s">
        <v>1</v>
      </c>
    </row>
    <row r="41" ht="16.5" spans="1:12">
      <c r="A41" s="6" t="s">
        <v>37</v>
      </c>
      <c r="B41" s="12">
        <f t="shared" si="0"/>
        <v>4</v>
      </c>
      <c r="C41" s="12">
        <f t="shared" si="1"/>
        <v>5</v>
      </c>
      <c r="D41" s="12">
        <f t="shared" si="2"/>
        <v>4</v>
      </c>
      <c r="E41" s="12">
        <f t="shared" si="3"/>
        <v>4</v>
      </c>
      <c r="F41" s="12">
        <f t="shared" si="4"/>
        <v>4</v>
      </c>
      <c r="G41" s="3" t="s">
        <v>1</v>
      </c>
      <c r="H41" s="3" t="s">
        <v>1</v>
      </c>
      <c r="I41" s="3" t="s">
        <v>1</v>
      </c>
      <c r="J41" s="3" t="s">
        <v>1</v>
      </c>
      <c r="K41" s="3" t="s">
        <v>1</v>
      </c>
      <c r="L41" s="3" t="s">
        <v>1</v>
      </c>
    </row>
    <row r="42" ht="16.5" spans="1:12">
      <c r="A42" s="6">
        <v>10</v>
      </c>
      <c r="B42" s="12">
        <f t="shared" si="0"/>
        <v>5</v>
      </c>
      <c r="C42" s="12">
        <f t="shared" si="1"/>
        <v>3</v>
      </c>
      <c r="D42" s="12">
        <f t="shared" si="2"/>
        <v>4</v>
      </c>
      <c r="E42" s="12">
        <f t="shared" si="3"/>
        <v>4</v>
      </c>
      <c r="F42" s="12">
        <f t="shared" si="4"/>
        <v>4</v>
      </c>
      <c r="G42" s="3" t="s">
        <v>1</v>
      </c>
      <c r="H42" s="3" t="s">
        <v>1</v>
      </c>
      <c r="I42" s="3" t="s">
        <v>1</v>
      </c>
      <c r="J42" s="3" t="s">
        <v>1</v>
      </c>
      <c r="K42" s="3" t="s">
        <v>1</v>
      </c>
      <c r="L42" s="3" t="s">
        <v>1</v>
      </c>
    </row>
    <row r="43" ht="16.5" spans="1:12">
      <c r="A43" s="6">
        <v>9</v>
      </c>
      <c r="B43" s="12">
        <f t="shared" si="0"/>
        <v>6</v>
      </c>
      <c r="C43" s="12">
        <f t="shared" si="1"/>
        <v>4</v>
      </c>
      <c r="D43" s="12">
        <f t="shared" si="2"/>
        <v>4</v>
      </c>
      <c r="E43" s="12">
        <f t="shared" si="3"/>
        <v>4</v>
      </c>
      <c r="F43" s="12">
        <f t="shared" si="4"/>
        <v>4</v>
      </c>
      <c r="G43" s="3" t="s">
        <v>1</v>
      </c>
      <c r="H43" s="3" t="s">
        <v>1</v>
      </c>
      <c r="I43" s="3" t="s">
        <v>1</v>
      </c>
      <c r="J43" s="3" t="s">
        <v>1</v>
      </c>
      <c r="K43" s="3" t="s">
        <v>1</v>
      </c>
      <c r="L43" s="3" t="s">
        <v>1</v>
      </c>
    </row>
    <row r="44" ht="16.5" spans="1:12">
      <c r="A44" s="6" t="s">
        <v>127</v>
      </c>
      <c r="B44" s="12">
        <f t="shared" si="0"/>
        <v>0</v>
      </c>
      <c r="C44" s="12">
        <f t="shared" si="1"/>
        <v>0</v>
      </c>
      <c r="D44" s="12">
        <f t="shared" si="2"/>
        <v>0</v>
      </c>
      <c r="E44" s="12">
        <f t="shared" si="3"/>
        <v>0</v>
      </c>
      <c r="F44" s="12">
        <f t="shared" si="4"/>
        <v>0</v>
      </c>
      <c r="G44" s="3" t="s">
        <v>1</v>
      </c>
      <c r="H44" s="3" t="s">
        <v>1</v>
      </c>
      <c r="I44" s="3" t="s">
        <v>1</v>
      </c>
      <c r="J44" s="3" t="s">
        <v>1</v>
      </c>
      <c r="K44" s="3" t="s">
        <v>1</v>
      </c>
      <c r="L44" s="3" t="s">
        <v>1</v>
      </c>
    </row>
    <row r="45" ht="16.5" spans="1:12">
      <c r="A45" s="13" t="s">
        <v>38</v>
      </c>
      <c r="B45" s="12">
        <f>SUM(B38:B44)</f>
        <v>20</v>
      </c>
      <c r="C45" s="12">
        <f>SUM(C38:C44)</f>
        <v>20</v>
      </c>
      <c r="D45" s="12">
        <f>SUM(D38:D44)</f>
        <v>20</v>
      </c>
      <c r="E45" s="12">
        <f>SUM(E38:E44)</f>
        <v>20</v>
      </c>
      <c r="F45" s="12">
        <f>SUM(F38:F44)</f>
        <v>20</v>
      </c>
      <c r="G45" s="3" t="s">
        <v>1</v>
      </c>
      <c r="H45" s="3" t="s">
        <v>1</v>
      </c>
      <c r="I45" s="3" t="s">
        <v>1</v>
      </c>
      <c r="J45" s="3" t="s">
        <v>1</v>
      </c>
      <c r="K45" s="3" t="s">
        <v>1</v>
      </c>
      <c r="L45" s="3" t="s">
        <v>1</v>
      </c>
    </row>
    <row r="46" ht="16.5" spans="1:12">
      <c r="A46" s="3" t="s">
        <v>1</v>
      </c>
      <c r="B46" s="3" t="s">
        <v>1</v>
      </c>
      <c r="C46" s="3" t="s">
        <v>1</v>
      </c>
      <c r="D46" s="3" t="s">
        <v>1</v>
      </c>
      <c r="E46" s="3" t="s">
        <v>1</v>
      </c>
      <c r="F46" s="3" t="s">
        <v>1</v>
      </c>
      <c r="G46" s="3" t="s">
        <v>1</v>
      </c>
      <c r="H46" s="3" t="s">
        <v>1</v>
      </c>
      <c r="I46" s="3" t="s">
        <v>1</v>
      </c>
      <c r="J46" s="3" t="s">
        <v>1</v>
      </c>
      <c r="K46" s="3" t="s">
        <v>1</v>
      </c>
      <c r="L46" s="3" t="s">
        <v>1</v>
      </c>
    </row>
    <row r="47" ht="14" customHeight="1" spans="1:12">
      <c r="A47" s="2" t="s">
        <v>128</v>
      </c>
      <c r="B47" s="2" t="s">
        <v>1</v>
      </c>
      <c r="C47" s="2" t="s">
        <v>1</v>
      </c>
      <c r="D47" s="2" t="s">
        <v>1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  <c r="L47" s="2" t="s">
        <v>1</v>
      </c>
    </row>
    <row r="48" ht="14" customHeight="1" spans="1:12">
      <c r="A48" s="4" t="s">
        <v>129</v>
      </c>
      <c r="B48" s="14">
        <f>PRODUCT($B$45:$F$45)</f>
        <v>3200000</v>
      </c>
      <c r="C48" s="4" t="s">
        <v>1</v>
      </c>
      <c r="D48" s="15" t="s">
        <v>1</v>
      </c>
      <c r="E48" s="15" t="s">
        <v>1</v>
      </c>
      <c r="F48" s="15" t="s">
        <v>1</v>
      </c>
      <c r="G48" s="15" t="s">
        <v>1</v>
      </c>
      <c r="H48" s="15" t="s">
        <v>1</v>
      </c>
      <c r="I48" s="15" t="s">
        <v>1</v>
      </c>
      <c r="J48" s="15" t="s">
        <v>1</v>
      </c>
      <c r="K48" s="15" t="s">
        <v>1</v>
      </c>
      <c r="L48" s="15" t="s">
        <v>1</v>
      </c>
    </row>
    <row r="49" ht="30" customHeight="1" spans="1:12">
      <c r="A49" s="9" t="s">
        <v>130</v>
      </c>
      <c r="B49" s="44">
        <f>SUM(L52:L299)</f>
        <v>1.630853125</v>
      </c>
      <c r="C49" s="8" t="s">
        <v>1</v>
      </c>
      <c r="D49" s="8" t="s">
        <v>1</v>
      </c>
      <c r="E49" s="8" t="s">
        <v>1</v>
      </c>
      <c r="F49" s="8" t="s">
        <v>1</v>
      </c>
      <c r="G49" s="8" t="s">
        <v>1</v>
      </c>
      <c r="H49" s="8" t="s">
        <v>1</v>
      </c>
      <c r="I49" s="8" t="s">
        <v>1</v>
      </c>
      <c r="J49" s="8" t="s">
        <v>1</v>
      </c>
      <c r="K49" s="8" t="s">
        <v>1</v>
      </c>
      <c r="L49" s="8" t="s">
        <v>1</v>
      </c>
    </row>
    <row r="50" ht="16.5" spans="1:12">
      <c r="A50" s="8" t="s">
        <v>1</v>
      </c>
      <c r="B50" s="8" t="s">
        <v>1</v>
      </c>
      <c r="C50" s="8" t="s">
        <v>1</v>
      </c>
      <c r="D50" s="8" t="s">
        <v>1</v>
      </c>
      <c r="E50" s="8" t="s">
        <v>1</v>
      </c>
      <c r="F50" s="8" t="s">
        <v>1</v>
      </c>
      <c r="G50" s="8" t="s">
        <v>1</v>
      </c>
      <c r="H50" s="8" t="s">
        <v>1</v>
      </c>
      <c r="I50" s="8" t="s">
        <v>1</v>
      </c>
      <c r="J50" s="8" t="s">
        <v>1</v>
      </c>
      <c r="K50" s="8" t="s">
        <v>1</v>
      </c>
      <c r="L50" s="8" t="s">
        <v>1</v>
      </c>
    </row>
    <row r="51" ht="15" spans="1:12">
      <c r="A51" s="17" t="s">
        <v>131</v>
      </c>
      <c r="B51" s="17" t="s">
        <v>28</v>
      </c>
      <c r="C51" s="17" t="s">
        <v>132</v>
      </c>
      <c r="D51" s="17" t="s">
        <v>133</v>
      </c>
      <c r="E51" s="17" t="s">
        <v>134</v>
      </c>
      <c r="F51" s="17" t="s">
        <v>135</v>
      </c>
      <c r="G51" s="17" t="s">
        <v>136</v>
      </c>
      <c r="H51" s="17" t="s">
        <v>137</v>
      </c>
      <c r="I51" s="17" t="s">
        <v>66</v>
      </c>
      <c r="J51" s="17" t="s">
        <v>138</v>
      </c>
      <c r="K51" s="17" t="s">
        <v>139</v>
      </c>
      <c r="L51" s="17" t="s">
        <v>140</v>
      </c>
    </row>
    <row r="52" ht="16.5" spans="1:12">
      <c r="A52" s="11" t="s">
        <v>141</v>
      </c>
      <c r="B52" s="10" t="s">
        <v>35</v>
      </c>
      <c r="C52" s="10">
        <v>5</v>
      </c>
      <c r="D52" s="6" t="s">
        <v>35</v>
      </c>
      <c r="E52" s="6" t="s">
        <v>35</v>
      </c>
      <c r="F52" s="6" t="s">
        <v>35</v>
      </c>
      <c r="G52" s="6" t="s">
        <v>35</v>
      </c>
      <c r="H52" s="6" t="s">
        <v>35</v>
      </c>
      <c r="I52" s="18">
        <f>PRODUCT($B$39,$C$39,$D$39,$E$39,$F$39)</f>
        <v>81</v>
      </c>
      <c r="J52" s="45">
        <f t="shared" ref="J52:J66" si="5">I52/$B$48</f>
        <v>2.53125e-5</v>
      </c>
      <c r="K52" s="11">
        <f t="shared" ref="K52:K66" si="6">INDEX($B$3:$D$7,MATCH($B52,$A$3:$A$7,0),MATCH($C52,$B$2:$D$2,0))</f>
        <v>100</v>
      </c>
      <c r="L52" s="45">
        <f t="shared" ref="L52:L66" si="7">J52*K52</f>
        <v>0.00253125</v>
      </c>
    </row>
    <row r="53" ht="16.5" spans="1:12">
      <c r="A53" s="11" t="s">
        <v>141</v>
      </c>
      <c r="B53" s="10" t="s">
        <v>35</v>
      </c>
      <c r="C53" s="10">
        <v>4</v>
      </c>
      <c r="D53" s="6" t="s">
        <v>35</v>
      </c>
      <c r="E53" s="6" t="s">
        <v>35</v>
      </c>
      <c r="F53" s="6" t="s">
        <v>35</v>
      </c>
      <c r="G53" s="6" t="s">
        <v>35</v>
      </c>
      <c r="H53" s="7" t="s">
        <v>142</v>
      </c>
      <c r="I53" s="18">
        <f>PRODUCT($B$39,$C$39,$D$39,$E$39,($F$45-$F$38-$F$39))</f>
        <v>405</v>
      </c>
      <c r="J53" s="45">
        <f t="shared" si="5"/>
        <v>0.0001265625</v>
      </c>
      <c r="K53" s="11">
        <f t="shared" si="6"/>
        <v>30</v>
      </c>
      <c r="L53" s="45">
        <f t="shared" si="7"/>
        <v>0.003796875</v>
      </c>
    </row>
    <row r="54" ht="16.5" spans="1:12">
      <c r="A54" s="11" t="s">
        <v>141</v>
      </c>
      <c r="B54" s="10" t="s">
        <v>35</v>
      </c>
      <c r="C54" s="10">
        <v>3</v>
      </c>
      <c r="D54" s="6" t="s">
        <v>35</v>
      </c>
      <c r="E54" s="6" t="s">
        <v>35</v>
      </c>
      <c r="F54" s="6" t="s">
        <v>35</v>
      </c>
      <c r="G54" s="7" t="s">
        <v>142</v>
      </c>
      <c r="H54" s="6" t="s">
        <v>143</v>
      </c>
      <c r="I54" s="18">
        <f>PRODUCT($B$39,$C$39,$D$39,($E$45-$E$38-$E$39),$F$45)</f>
        <v>2700</v>
      </c>
      <c r="J54" s="45">
        <f t="shared" si="5"/>
        <v>0.00084375</v>
      </c>
      <c r="K54" s="11">
        <f t="shared" si="6"/>
        <v>5</v>
      </c>
      <c r="L54" s="45">
        <f t="shared" si="7"/>
        <v>0.00421875</v>
      </c>
    </row>
    <row r="55" ht="16.5" spans="1:12">
      <c r="A55" s="11" t="s">
        <v>141</v>
      </c>
      <c r="B55" s="10" t="s">
        <v>36</v>
      </c>
      <c r="C55" s="10">
        <v>5</v>
      </c>
      <c r="D55" s="6" t="s">
        <v>36</v>
      </c>
      <c r="E55" s="6" t="s">
        <v>36</v>
      </c>
      <c r="F55" s="6" t="s">
        <v>36</v>
      </c>
      <c r="G55" s="6" t="s">
        <v>36</v>
      </c>
      <c r="H55" s="6" t="s">
        <v>36</v>
      </c>
      <c r="I55" s="18">
        <f>PRODUCT($B$40,$C$40,$D$40,$E$40,$F$40)</f>
        <v>162</v>
      </c>
      <c r="J55" s="45">
        <f t="shared" si="5"/>
        <v>5.0625e-5</v>
      </c>
      <c r="K55" s="11">
        <f t="shared" si="6"/>
        <v>100</v>
      </c>
      <c r="L55" s="45">
        <f t="shared" si="7"/>
        <v>0.0050625</v>
      </c>
    </row>
    <row r="56" ht="16.5" spans="1:12">
      <c r="A56" s="11" t="s">
        <v>141</v>
      </c>
      <c r="B56" s="10" t="s">
        <v>36</v>
      </c>
      <c r="C56" s="10">
        <v>4</v>
      </c>
      <c r="D56" s="6" t="s">
        <v>36</v>
      </c>
      <c r="E56" s="6" t="s">
        <v>36</v>
      </c>
      <c r="F56" s="6" t="s">
        <v>36</v>
      </c>
      <c r="G56" s="6" t="s">
        <v>36</v>
      </c>
      <c r="H56" s="7" t="s">
        <v>144</v>
      </c>
      <c r="I56" s="18">
        <f>PRODUCT($B$40,$C$40,$D$40,$E$40,($F$45-$F$38-$F$40))</f>
        <v>810</v>
      </c>
      <c r="J56" s="45">
        <f t="shared" si="5"/>
        <v>0.000253125</v>
      </c>
      <c r="K56" s="11">
        <f t="shared" si="6"/>
        <v>25</v>
      </c>
      <c r="L56" s="45">
        <f t="shared" si="7"/>
        <v>0.006328125</v>
      </c>
    </row>
    <row r="57" ht="16.5" spans="1:12">
      <c r="A57" s="11" t="s">
        <v>141</v>
      </c>
      <c r="B57" s="10" t="s">
        <v>36</v>
      </c>
      <c r="C57" s="10">
        <v>3</v>
      </c>
      <c r="D57" s="6" t="s">
        <v>36</v>
      </c>
      <c r="E57" s="6" t="s">
        <v>36</v>
      </c>
      <c r="F57" s="6" t="s">
        <v>36</v>
      </c>
      <c r="G57" s="7" t="s">
        <v>144</v>
      </c>
      <c r="H57" s="6" t="s">
        <v>143</v>
      </c>
      <c r="I57" s="18">
        <f>PRODUCT($B$40,$C$40,$D$40,($E$45-$E$38-$E$40),$F$45)</f>
        <v>5400</v>
      </c>
      <c r="J57" s="45">
        <f t="shared" si="5"/>
        <v>0.0016875</v>
      </c>
      <c r="K57" s="11">
        <f t="shared" si="6"/>
        <v>5</v>
      </c>
      <c r="L57" s="45">
        <f t="shared" si="7"/>
        <v>0.0084375</v>
      </c>
    </row>
    <row r="58" ht="16.5" spans="1:12">
      <c r="A58" s="11" t="s">
        <v>141</v>
      </c>
      <c r="B58" s="10" t="s">
        <v>37</v>
      </c>
      <c r="C58" s="10">
        <v>5</v>
      </c>
      <c r="D58" s="6" t="s">
        <v>37</v>
      </c>
      <c r="E58" s="6" t="s">
        <v>37</v>
      </c>
      <c r="F58" s="6" t="s">
        <v>37</v>
      </c>
      <c r="G58" s="6" t="s">
        <v>37</v>
      </c>
      <c r="H58" s="6" t="s">
        <v>37</v>
      </c>
      <c r="I58" s="18">
        <f>PRODUCT($B$41,$C$41,$D$41,$E$41,$F$41)</f>
        <v>1280</v>
      </c>
      <c r="J58" s="45">
        <f t="shared" si="5"/>
        <v>0.0004</v>
      </c>
      <c r="K58" s="11">
        <f t="shared" si="6"/>
        <v>75</v>
      </c>
      <c r="L58" s="45">
        <f t="shared" si="7"/>
        <v>0.03</v>
      </c>
    </row>
    <row r="59" ht="16.5" spans="1:12">
      <c r="A59" s="11" t="s">
        <v>141</v>
      </c>
      <c r="B59" s="10" t="s">
        <v>37</v>
      </c>
      <c r="C59" s="10">
        <v>4</v>
      </c>
      <c r="D59" s="6" t="s">
        <v>37</v>
      </c>
      <c r="E59" s="6" t="s">
        <v>37</v>
      </c>
      <c r="F59" s="6" t="s">
        <v>37</v>
      </c>
      <c r="G59" s="6" t="s">
        <v>37</v>
      </c>
      <c r="H59" s="7" t="s">
        <v>145</v>
      </c>
      <c r="I59" s="18">
        <f>PRODUCT($B$41,$C$41,$D$41,$E$41,($F$45-$F$38-$F$41))</f>
        <v>4480</v>
      </c>
      <c r="J59" s="45">
        <f t="shared" si="5"/>
        <v>0.0014</v>
      </c>
      <c r="K59" s="11">
        <f t="shared" si="6"/>
        <v>20</v>
      </c>
      <c r="L59" s="45">
        <f t="shared" si="7"/>
        <v>0.028</v>
      </c>
    </row>
    <row r="60" ht="16.5" spans="1:12">
      <c r="A60" s="11" t="s">
        <v>141</v>
      </c>
      <c r="B60" s="10" t="s">
        <v>37</v>
      </c>
      <c r="C60" s="10">
        <v>3</v>
      </c>
      <c r="D60" s="6" t="s">
        <v>37</v>
      </c>
      <c r="E60" s="6" t="s">
        <v>37</v>
      </c>
      <c r="F60" s="6" t="s">
        <v>37</v>
      </c>
      <c r="G60" s="7" t="s">
        <v>145</v>
      </c>
      <c r="H60" s="6" t="s">
        <v>143</v>
      </c>
      <c r="I60" s="18">
        <f>PRODUCT($B$41,$C$41,$D$41,($E$45-$E$38-$E$41),$F$45)</f>
        <v>22400</v>
      </c>
      <c r="J60" s="45">
        <f t="shared" si="5"/>
        <v>0.007</v>
      </c>
      <c r="K60" s="11">
        <f t="shared" si="6"/>
        <v>5</v>
      </c>
      <c r="L60" s="45">
        <f t="shared" si="7"/>
        <v>0.035</v>
      </c>
    </row>
    <row r="61" ht="16.5" spans="1:12">
      <c r="A61" s="11" t="s">
        <v>141</v>
      </c>
      <c r="B61" s="10">
        <v>10</v>
      </c>
      <c r="C61" s="10">
        <v>5</v>
      </c>
      <c r="D61" s="6">
        <v>10</v>
      </c>
      <c r="E61" s="6">
        <v>10</v>
      </c>
      <c r="F61" s="6">
        <v>10</v>
      </c>
      <c r="G61" s="6">
        <v>10</v>
      </c>
      <c r="H61" s="6">
        <v>10</v>
      </c>
      <c r="I61" s="18">
        <f>PRODUCT($B$42,$C$42,$D$42,$E$42,$F$42)</f>
        <v>960</v>
      </c>
      <c r="J61" s="45">
        <f t="shared" si="5"/>
        <v>0.0003</v>
      </c>
      <c r="K61" s="11">
        <f t="shared" si="6"/>
        <v>75</v>
      </c>
      <c r="L61" s="45">
        <f t="shared" si="7"/>
        <v>0.0225</v>
      </c>
    </row>
    <row r="62" ht="16.5" spans="1:12">
      <c r="A62" s="11" t="s">
        <v>141</v>
      </c>
      <c r="B62" s="10">
        <v>10</v>
      </c>
      <c r="C62" s="10">
        <v>4</v>
      </c>
      <c r="D62" s="6">
        <v>10</v>
      </c>
      <c r="E62" s="6">
        <v>10</v>
      </c>
      <c r="F62" s="6">
        <v>10</v>
      </c>
      <c r="G62" s="6">
        <v>10</v>
      </c>
      <c r="H62" s="7" t="s">
        <v>146</v>
      </c>
      <c r="I62" s="18">
        <f>PRODUCT($B$42,$C$42,$D$42,$E$42,($F$45-$F$38-$F$42))</f>
        <v>3360</v>
      </c>
      <c r="J62" s="45">
        <f t="shared" si="5"/>
        <v>0.00105</v>
      </c>
      <c r="K62" s="11">
        <f t="shared" si="6"/>
        <v>20</v>
      </c>
      <c r="L62" s="45">
        <f t="shared" si="7"/>
        <v>0.021</v>
      </c>
    </row>
    <row r="63" ht="16.5" spans="1:12">
      <c r="A63" s="11" t="s">
        <v>141</v>
      </c>
      <c r="B63" s="10">
        <v>10</v>
      </c>
      <c r="C63" s="10">
        <v>3</v>
      </c>
      <c r="D63" s="6">
        <v>10</v>
      </c>
      <c r="E63" s="6">
        <v>10</v>
      </c>
      <c r="F63" s="6">
        <v>10</v>
      </c>
      <c r="G63" s="7" t="s">
        <v>146</v>
      </c>
      <c r="H63" s="6" t="s">
        <v>143</v>
      </c>
      <c r="I63" s="18">
        <f>PRODUCT($B$42,$C$42,$D$42,($E$45-$E$38-$E$42),$F$45)</f>
        <v>16800</v>
      </c>
      <c r="J63" s="45">
        <f t="shared" si="5"/>
        <v>0.00525</v>
      </c>
      <c r="K63" s="11">
        <f t="shared" si="6"/>
        <v>5</v>
      </c>
      <c r="L63" s="45">
        <f t="shared" si="7"/>
        <v>0.02625</v>
      </c>
    </row>
    <row r="64" ht="16.5" spans="1:12">
      <c r="A64" s="11" t="s">
        <v>141</v>
      </c>
      <c r="B64" s="10">
        <v>9</v>
      </c>
      <c r="C64" s="10">
        <v>5</v>
      </c>
      <c r="D64" s="6">
        <v>9</v>
      </c>
      <c r="E64" s="6">
        <v>9</v>
      </c>
      <c r="F64" s="6">
        <v>9</v>
      </c>
      <c r="G64" s="6">
        <v>9</v>
      </c>
      <c r="H64" s="6">
        <v>9</v>
      </c>
      <c r="I64" s="18">
        <f>PRODUCT($B$43,$C$43,$D$43,$E$43,$F$43)</f>
        <v>1536</v>
      </c>
      <c r="J64" s="45">
        <f t="shared" si="5"/>
        <v>0.00048</v>
      </c>
      <c r="K64" s="11">
        <f t="shared" si="6"/>
        <v>50</v>
      </c>
      <c r="L64" s="45">
        <f t="shared" si="7"/>
        <v>0.024</v>
      </c>
    </row>
    <row r="65" ht="16.5" spans="1:12">
      <c r="A65" s="11" t="s">
        <v>141</v>
      </c>
      <c r="B65" s="10">
        <v>9</v>
      </c>
      <c r="C65" s="10">
        <v>4</v>
      </c>
      <c r="D65" s="6">
        <v>9</v>
      </c>
      <c r="E65" s="6">
        <v>9</v>
      </c>
      <c r="F65" s="6">
        <v>9</v>
      </c>
      <c r="G65" s="6">
        <v>9</v>
      </c>
      <c r="H65" s="7" t="s">
        <v>147</v>
      </c>
      <c r="I65" s="18">
        <f>PRODUCT($B$43,$C$43,$D$43,$E$43,($F$45-$F$38-$F$43))</f>
        <v>5376</v>
      </c>
      <c r="J65" s="45">
        <f t="shared" si="5"/>
        <v>0.00168</v>
      </c>
      <c r="K65" s="11">
        <f t="shared" si="6"/>
        <v>10</v>
      </c>
      <c r="L65" s="45">
        <f t="shared" si="7"/>
        <v>0.0168</v>
      </c>
    </row>
    <row r="66" ht="16.5" spans="1:12">
      <c r="A66" s="11" t="s">
        <v>141</v>
      </c>
      <c r="B66" s="10">
        <v>9</v>
      </c>
      <c r="C66" s="10">
        <v>3</v>
      </c>
      <c r="D66" s="6">
        <v>9</v>
      </c>
      <c r="E66" s="6">
        <v>9</v>
      </c>
      <c r="F66" s="6">
        <v>9</v>
      </c>
      <c r="G66" s="7" t="s">
        <v>147</v>
      </c>
      <c r="H66" s="6" t="s">
        <v>143</v>
      </c>
      <c r="I66" s="18">
        <f>PRODUCT($B$43,$C$43,$D$43,($E$45-$E$38-$E$43),$F$45)</f>
        <v>26880</v>
      </c>
      <c r="J66" s="45">
        <f t="shared" si="5"/>
        <v>0.0084</v>
      </c>
      <c r="K66" s="11">
        <f t="shared" si="6"/>
        <v>5</v>
      </c>
      <c r="L66" s="45">
        <f t="shared" si="7"/>
        <v>0.042</v>
      </c>
    </row>
    <row r="67" ht="16.5" spans="1:12">
      <c r="A67" s="11" t="s">
        <v>148</v>
      </c>
      <c r="B67" s="10" t="s">
        <v>35</v>
      </c>
      <c r="C67" s="10">
        <v>5</v>
      </c>
      <c r="D67" s="7" t="s">
        <v>34</v>
      </c>
      <c r="E67" s="7" t="s">
        <v>34</v>
      </c>
      <c r="F67" s="6" t="s">
        <v>35</v>
      </c>
      <c r="G67" s="7" t="s">
        <v>34</v>
      </c>
      <c r="H67" s="7" t="s">
        <v>34</v>
      </c>
      <c r="I67" s="18">
        <f>PRODUCT($B$38,$C$38,$D$39,$E$38,$F$38)</f>
        <v>48</v>
      </c>
      <c r="J67" s="45">
        <f t="shared" ref="J67:J112" si="8">I67/$B$48</f>
        <v>1.5e-5</v>
      </c>
      <c r="K67" s="11">
        <f t="shared" ref="K67:K93" si="9">MAX(0,INDEX($B$3:$D$7,MATCH($B67,$A$3:$A$7,0),MATCH($C67,$B$2:$D$2,0)))</f>
        <v>100</v>
      </c>
      <c r="L67" s="45">
        <f t="shared" ref="L67:L112" si="10">J67*K67</f>
        <v>0.0015</v>
      </c>
    </row>
    <row r="68" ht="16.5" spans="1:12">
      <c r="A68" s="11" t="s">
        <v>148</v>
      </c>
      <c r="B68" s="10" t="s">
        <v>35</v>
      </c>
      <c r="C68" s="10">
        <v>5</v>
      </c>
      <c r="D68" s="7" t="s">
        <v>34</v>
      </c>
      <c r="E68" s="7" t="s">
        <v>34</v>
      </c>
      <c r="F68" s="6" t="s">
        <v>35</v>
      </c>
      <c r="G68" s="7" t="s">
        <v>34</v>
      </c>
      <c r="H68" s="6" t="s">
        <v>35</v>
      </c>
      <c r="I68" s="18">
        <f>PRODUCT($B$38,$C$38,$D$39,$E$38,$F$39)</f>
        <v>72</v>
      </c>
      <c r="J68" s="45">
        <f t="shared" si="8"/>
        <v>2.25e-5</v>
      </c>
      <c r="K68" s="11">
        <f t="shared" si="9"/>
        <v>100</v>
      </c>
      <c r="L68" s="45">
        <f t="shared" si="10"/>
        <v>0.00225</v>
      </c>
    </row>
    <row r="69" ht="16.5" spans="1:12">
      <c r="A69" s="11" t="s">
        <v>148</v>
      </c>
      <c r="B69" s="10" t="s">
        <v>35</v>
      </c>
      <c r="C69" s="10">
        <v>5</v>
      </c>
      <c r="D69" s="7" t="s">
        <v>34</v>
      </c>
      <c r="E69" s="7" t="s">
        <v>34</v>
      </c>
      <c r="F69" s="6" t="s">
        <v>35</v>
      </c>
      <c r="G69" s="6" t="s">
        <v>35</v>
      </c>
      <c r="H69" s="7" t="s">
        <v>34</v>
      </c>
      <c r="I69" s="18">
        <f>PRODUCT($B$38,$C$38,$D$39,$E$39,$F$38)</f>
        <v>72</v>
      </c>
      <c r="J69" s="45">
        <f t="shared" si="8"/>
        <v>2.25e-5</v>
      </c>
      <c r="K69" s="11">
        <f t="shared" si="9"/>
        <v>100</v>
      </c>
      <c r="L69" s="45">
        <f t="shared" si="10"/>
        <v>0.00225</v>
      </c>
    </row>
    <row r="70" ht="16.5" spans="1:12">
      <c r="A70" s="11" t="s">
        <v>148</v>
      </c>
      <c r="B70" s="10" t="s">
        <v>35</v>
      </c>
      <c r="C70" s="10">
        <v>5</v>
      </c>
      <c r="D70" s="7" t="s">
        <v>34</v>
      </c>
      <c r="E70" s="7" t="s">
        <v>34</v>
      </c>
      <c r="F70" s="6" t="s">
        <v>35</v>
      </c>
      <c r="G70" s="6" t="s">
        <v>35</v>
      </c>
      <c r="H70" s="6" t="s">
        <v>35</v>
      </c>
      <c r="I70" s="18">
        <f>PRODUCT($B$38,$C$38,$D$39,$E$39,$F$39)</f>
        <v>108</v>
      </c>
      <c r="J70" s="45">
        <f t="shared" si="8"/>
        <v>3.375e-5</v>
      </c>
      <c r="K70" s="11">
        <f t="shared" si="9"/>
        <v>100</v>
      </c>
      <c r="L70" s="45">
        <f t="shared" si="10"/>
        <v>0.003375</v>
      </c>
    </row>
    <row r="71" ht="16.5" spans="1:12">
      <c r="A71" s="11" t="s">
        <v>148</v>
      </c>
      <c r="B71" s="10" t="s">
        <v>35</v>
      </c>
      <c r="C71" s="10">
        <v>5</v>
      </c>
      <c r="D71" s="7" t="s">
        <v>34</v>
      </c>
      <c r="E71" s="6" t="s">
        <v>35</v>
      </c>
      <c r="F71" s="7" t="s">
        <v>34</v>
      </c>
      <c r="G71" s="7" t="s">
        <v>34</v>
      </c>
      <c r="H71" s="7" t="s">
        <v>34</v>
      </c>
      <c r="I71" s="18">
        <f>PRODUCT($B$38,$C$39,$D$38,$E$38,$F$38)</f>
        <v>48</v>
      </c>
      <c r="J71" s="45">
        <f t="shared" si="8"/>
        <v>1.5e-5</v>
      </c>
      <c r="K71" s="11">
        <f t="shared" si="9"/>
        <v>100</v>
      </c>
      <c r="L71" s="45">
        <f t="shared" si="10"/>
        <v>0.0015</v>
      </c>
    </row>
    <row r="72" ht="16.5" spans="1:12">
      <c r="A72" s="11" t="s">
        <v>148</v>
      </c>
      <c r="B72" s="10" t="s">
        <v>35</v>
      </c>
      <c r="C72" s="10">
        <v>5</v>
      </c>
      <c r="D72" s="7" t="s">
        <v>34</v>
      </c>
      <c r="E72" s="6" t="s">
        <v>35</v>
      </c>
      <c r="F72" s="7" t="s">
        <v>34</v>
      </c>
      <c r="G72" s="7" t="s">
        <v>34</v>
      </c>
      <c r="H72" s="6" t="s">
        <v>35</v>
      </c>
      <c r="I72" s="18">
        <f>PRODUCT($B$38,$C$39,$D$38,$E$38,$F$39)</f>
        <v>72</v>
      </c>
      <c r="J72" s="45">
        <f t="shared" si="8"/>
        <v>2.25e-5</v>
      </c>
      <c r="K72" s="11">
        <f t="shared" si="9"/>
        <v>100</v>
      </c>
      <c r="L72" s="45">
        <f t="shared" si="10"/>
        <v>0.00225</v>
      </c>
    </row>
    <row r="73" ht="16.5" spans="1:12">
      <c r="A73" s="11" t="s">
        <v>148</v>
      </c>
      <c r="B73" s="10" t="s">
        <v>35</v>
      </c>
      <c r="C73" s="10">
        <v>5</v>
      </c>
      <c r="D73" s="7" t="s">
        <v>34</v>
      </c>
      <c r="E73" s="6" t="s">
        <v>35</v>
      </c>
      <c r="F73" s="7" t="s">
        <v>34</v>
      </c>
      <c r="G73" s="6" t="s">
        <v>35</v>
      </c>
      <c r="H73" s="7" t="s">
        <v>34</v>
      </c>
      <c r="I73" s="18">
        <f>PRODUCT($B$38,$C$39,$D$38,$E$39,$F$38)</f>
        <v>72</v>
      </c>
      <c r="J73" s="45">
        <f t="shared" si="8"/>
        <v>2.25e-5</v>
      </c>
      <c r="K73" s="11">
        <f t="shared" si="9"/>
        <v>100</v>
      </c>
      <c r="L73" s="45">
        <f t="shared" si="10"/>
        <v>0.00225</v>
      </c>
    </row>
    <row r="74" ht="16.5" spans="1:12">
      <c r="A74" s="11" t="s">
        <v>148</v>
      </c>
      <c r="B74" s="10" t="s">
        <v>35</v>
      </c>
      <c r="C74" s="10">
        <v>5</v>
      </c>
      <c r="D74" s="7" t="s">
        <v>34</v>
      </c>
      <c r="E74" s="6" t="s">
        <v>35</v>
      </c>
      <c r="F74" s="7" t="s">
        <v>34</v>
      </c>
      <c r="G74" s="6" t="s">
        <v>35</v>
      </c>
      <c r="H74" s="6" t="s">
        <v>35</v>
      </c>
      <c r="I74" s="18">
        <f>PRODUCT($B$38,$C$39,$D$38,$E$39,$F$39)</f>
        <v>108</v>
      </c>
      <c r="J74" s="45">
        <f t="shared" si="8"/>
        <v>3.375e-5</v>
      </c>
      <c r="K74" s="11">
        <f t="shared" si="9"/>
        <v>100</v>
      </c>
      <c r="L74" s="45">
        <f t="shared" si="10"/>
        <v>0.003375</v>
      </c>
    </row>
    <row r="75" ht="16.5" spans="1:12">
      <c r="A75" s="11" t="s">
        <v>148</v>
      </c>
      <c r="B75" s="10" t="s">
        <v>35</v>
      </c>
      <c r="C75" s="10">
        <v>5</v>
      </c>
      <c r="D75" s="7" t="s">
        <v>34</v>
      </c>
      <c r="E75" s="6" t="s">
        <v>35</v>
      </c>
      <c r="F75" s="6" t="s">
        <v>35</v>
      </c>
      <c r="G75" s="7" t="s">
        <v>34</v>
      </c>
      <c r="H75" s="7" t="s">
        <v>34</v>
      </c>
      <c r="I75" s="18">
        <f>PRODUCT($B$38,$C$39,$D$39,$E$38,$F$38)</f>
        <v>72</v>
      </c>
      <c r="J75" s="45">
        <f t="shared" si="8"/>
        <v>2.25e-5</v>
      </c>
      <c r="K75" s="11">
        <f t="shared" si="9"/>
        <v>100</v>
      </c>
      <c r="L75" s="45">
        <f t="shared" si="10"/>
        <v>0.00225</v>
      </c>
    </row>
    <row r="76" ht="16.5" spans="1:12">
      <c r="A76" s="11" t="s">
        <v>148</v>
      </c>
      <c r="B76" s="10" t="s">
        <v>35</v>
      </c>
      <c r="C76" s="10">
        <v>5</v>
      </c>
      <c r="D76" s="7" t="s">
        <v>34</v>
      </c>
      <c r="E76" s="6" t="s">
        <v>35</v>
      </c>
      <c r="F76" s="6" t="s">
        <v>35</v>
      </c>
      <c r="G76" s="7" t="s">
        <v>34</v>
      </c>
      <c r="H76" s="6" t="s">
        <v>35</v>
      </c>
      <c r="I76" s="18">
        <f>PRODUCT($B$38,$C$39,$D$39,$E$38,$F$39)</f>
        <v>108</v>
      </c>
      <c r="J76" s="45">
        <f t="shared" si="8"/>
        <v>3.375e-5</v>
      </c>
      <c r="K76" s="11">
        <f t="shared" si="9"/>
        <v>100</v>
      </c>
      <c r="L76" s="45">
        <f t="shared" si="10"/>
        <v>0.003375</v>
      </c>
    </row>
    <row r="77" ht="16.5" spans="1:12">
      <c r="A77" s="11" t="s">
        <v>148</v>
      </c>
      <c r="B77" s="10" t="s">
        <v>35</v>
      </c>
      <c r="C77" s="10">
        <v>5</v>
      </c>
      <c r="D77" s="7" t="s">
        <v>34</v>
      </c>
      <c r="E77" s="6" t="s">
        <v>35</v>
      </c>
      <c r="F77" s="6" t="s">
        <v>35</v>
      </c>
      <c r="G77" s="6" t="s">
        <v>35</v>
      </c>
      <c r="H77" s="7" t="s">
        <v>34</v>
      </c>
      <c r="I77" s="18">
        <f>PRODUCT($B$38,$C$39,$D$39,$E$39,$F$38)</f>
        <v>108</v>
      </c>
      <c r="J77" s="45">
        <f t="shared" si="8"/>
        <v>3.375e-5</v>
      </c>
      <c r="K77" s="11">
        <f t="shared" si="9"/>
        <v>100</v>
      </c>
      <c r="L77" s="45">
        <f t="shared" si="10"/>
        <v>0.003375</v>
      </c>
    </row>
    <row r="78" ht="16.5" spans="1:12">
      <c r="A78" s="11" t="s">
        <v>148</v>
      </c>
      <c r="B78" s="10" t="s">
        <v>35</v>
      </c>
      <c r="C78" s="10">
        <v>5</v>
      </c>
      <c r="D78" s="7" t="s">
        <v>34</v>
      </c>
      <c r="E78" s="6" t="s">
        <v>35</v>
      </c>
      <c r="F78" s="6" t="s">
        <v>35</v>
      </c>
      <c r="G78" s="6" t="s">
        <v>35</v>
      </c>
      <c r="H78" s="6" t="s">
        <v>35</v>
      </c>
      <c r="I78" s="18">
        <f>PRODUCT($B$38,$C$39,$D$39,$E$39,$F$39)</f>
        <v>162</v>
      </c>
      <c r="J78" s="45">
        <f t="shared" si="8"/>
        <v>5.0625e-5</v>
      </c>
      <c r="K78" s="11">
        <f t="shared" si="9"/>
        <v>100</v>
      </c>
      <c r="L78" s="45">
        <f t="shared" si="10"/>
        <v>0.0050625</v>
      </c>
    </row>
    <row r="79" ht="16.5" spans="1:12">
      <c r="A79" s="11" t="s">
        <v>148</v>
      </c>
      <c r="B79" s="10" t="s">
        <v>35</v>
      </c>
      <c r="C79" s="10">
        <v>5</v>
      </c>
      <c r="D79" s="6" t="s">
        <v>35</v>
      </c>
      <c r="E79" s="7" t="s">
        <v>34</v>
      </c>
      <c r="F79" s="7" t="s">
        <v>34</v>
      </c>
      <c r="G79" s="7" t="s">
        <v>34</v>
      </c>
      <c r="H79" s="7" t="s">
        <v>34</v>
      </c>
      <c r="I79" s="18">
        <f>PRODUCT($B$39,$C$38,$D$38,$E$38,$F$38)</f>
        <v>16</v>
      </c>
      <c r="J79" s="45">
        <f t="shared" si="8"/>
        <v>5e-6</v>
      </c>
      <c r="K79" s="11">
        <f t="shared" si="9"/>
        <v>100</v>
      </c>
      <c r="L79" s="45">
        <f t="shared" si="10"/>
        <v>0.0005</v>
      </c>
    </row>
    <row r="80" ht="16.5" spans="1:12">
      <c r="A80" s="11" t="s">
        <v>148</v>
      </c>
      <c r="B80" s="10" t="s">
        <v>35</v>
      </c>
      <c r="C80" s="10">
        <v>5</v>
      </c>
      <c r="D80" s="6" t="s">
        <v>35</v>
      </c>
      <c r="E80" s="7" t="s">
        <v>34</v>
      </c>
      <c r="F80" s="7" t="s">
        <v>34</v>
      </c>
      <c r="G80" s="7" t="s">
        <v>34</v>
      </c>
      <c r="H80" s="6" t="s">
        <v>35</v>
      </c>
      <c r="I80" s="18">
        <f>PRODUCT($B$39,$C$38,$D$38,$E$38,$F$39)</f>
        <v>24</v>
      </c>
      <c r="J80" s="45">
        <f t="shared" si="8"/>
        <v>7.5e-6</v>
      </c>
      <c r="K80" s="11">
        <f t="shared" si="9"/>
        <v>100</v>
      </c>
      <c r="L80" s="45">
        <f t="shared" si="10"/>
        <v>0.00075</v>
      </c>
    </row>
    <row r="81" ht="16.5" spans="1:12">
      <c r="A81" s="11" t="s">
        <v>148</v>
      </c>
      <c r="B81" s="10" t="s">
        <v>35</v>
      </c>
      <c r="C81" s="10">
        <v>5</v>
      </c>
      <c r="D81" s="6" t="s">
        <v>35</v>
      </c>
      <c r="E81" s="7" t="s">
        <v>34</v>
      </c>
      <c r="F81" s="7" t="s">
        <v>34</v>
      </c>
      <c r="G81" s="6" t="s">
        <v>35</v>
      </c>
      <c r="H81" s="7" t="s">
        <v>34</v>
      </c>
      <c r="I81" s="18">
        <f>PRODUCT($B$39,$C$38,$D$38,$E$39,$F$38)</f>
        <v>24</v>
      </c>
      <c r="J81" s="45">
        <f t="shared" si="8"/>
        <v>7.5e-6</v>
      </c>
      <c r="K81" s="11">
        <f t="shared" si="9"/>
        <v>100</v>
      </c>
      <c r="L81" s="45">
        <f t="shared" si="10"/>
        <v>0.00075</v>
      </c>
    </row>
    <row r="82" ht="16.5" spans="1:12">
      <c r="A82" s="11" t="s">
        <v>148</v>
      </c>
      <c r="B82" s="10" t="s">
        <v>35</v>
      </c>
      <c r="C82" s="10">
        <v>5</v>
      </c>
      <c r="D82" s="6" t="s">
        <v>35</v>
      </c>
      <c r="E82" s="7" t="s">
        <v>34</v>
      </c>
      <c r="F82" s="7" t="s">
        <v>34</v>
      </c>
      <c r="G82" s="6" t="s">
        <v>35</v>
      </c>
      <c r="H82" s="6" t="s">
        <v>35</v>
      </c>
      <c r="I82" s="18">
        <f>PRODUCT($B$39,$C$38,$D$38,$E$39,$F$39)</f>
        <v>36</v>
      </c>
      <c r="J82" s="45">
        <f t="shared" si="8"/>
        <v>1.125e-5</v>
      </c>
      <c r="K82" s="11">
        <f t="shared" si="9"/>
        <v>100</v>
      </c>
      <c r="L82" s="45">
        <f t="shared" si="10"/>
        <v>0.001125</v>
      </c>
    </row>
    <row r="83" ht="16.5" spans="1:12">
      <c r="A83" s="11" t="s">
        <v>148</v>
      </c>
      <c r="B83" s="10" t="s">
        <v>35</v>
      </c>
      <c r="C83" s="10">
        <v>5</v>
      </c>
      <c r="D83" s="6" t="s">
        <v>35</v>
      </c>
      <c r="E83" s="7" t="s">
        <v>34</v>
      </c>
      <c r="F83" s="6" t="s">
        <v>35</v>
      </c>
      <c r="G83" s="7" t="s">
        <v>34</v>
      </c>
      <c r="H83" s="7" t="s">
        <v>34</v>
      </c>
      <c r="I83" s="18">
        <f>PRODUCT($B$39,$C$38,$D$39,$E$38,$F$38)</f>
        <v>24</v>
      </c>
      <c r="J83" s="45">
        <f t="shared" si="8"/>
        <v>7.5e-6</v>
      </c>
      <c r="K83" s="11">
        <f t="shared" si="9"/>
        <v>100</v>
      </c>
      <c r="L83" s="45">
        <f t="shared" si="10"/>
        <v>0.00075</v>
      </c>
    </row>
    <row r="84" ht="16.5" spans="1:12">
      <c r="A84" s="11" t="s">
        <v>148</v>
      </c>
      <c r="B84" s="10" t="s">
        <v>35</v>
      </c>
      <c r="C84" s="10">
        <v>5</v>
      </c>
      <c r="D84" s="6" t="s">
        <v>35</v>
      </c>
      <c r="E84" s="7" t="s">
        <v>34</v>
      </c>
      <c r="F84" s="6" t="s">
        <v>35</v>
      </c>
      <c r="G84" s="7" t="s">
        <v>34</v>
      </c>
      <c r="H84" s="6" t="s">
        <v>35</v>
      </c>
      <c r="I84" s="18">
        <f>PRODUCT($B$39,$C$38,$D$39,$E$38,$F$39)</f>
        <v>36</v>
      </c>
      <c r="J84" s="45">
        <f t="shared" si="8"/>
        <v>1.125e-5</v>
      </c>
      <c r="K84" s="11">
        <f t="shared" si="9"/>
        <v>100</v>
      </c>
      <c r="L84" s="45">
        <f t="shared" si="10"/>
        <v>0.001125</v>
      </c>
    </row>
    <row r="85" ht="16.5" spans="1:12">
      <c r="A85" s="11" t="s">
        <v>148</v>
      </c>
      <c r="B85" s="10" t="s">
        <v>35</v>
      </c>
      <c r="C85" s="10">
        <v>5</v>
      </c>
      <c r="D85" s="6" t="s">
        <v>35</v>
      </c>
      <c r="E85" s="7" t="s">
        <v>34</v>
      </c>
      <c r="F85" s="6" t="s">
        <v>35</v>
      </c>
      <c r="G85" s="6" t="s">
        <v>35</v>
      </c>
      <c r="H85" s="7" t="s">
        <v>34</v>
      </c>
      <c r="I85" s="18">
        <f>PRODUCT($B$39,$C$38,$D$39,$E$39,$F$38)</f>
        <v>36</v>
      </c>
      <c r="J85" s="45">
        <f t="shared" si="8"/>
        <v>1.125e-5</v>
      </c>
      <c r="K85" s="11">
        <f t="shared" si="9"/>
        <v>100</v>
      </c>
      <c r="L85" s="45">
        <f t="shared" si="10"/>
        <v>0.001125</v>
      </c>
    </row>
    <row r="86" ht="16.5" spans="1:12">
      <c r="A86" s="11" t="s">
        <v>148</v>
      </c>
      <c r="B86" s="10" t="s">
        <v>35</v>
      </c>
      <c r="C86" s="10">
        <v>5</v>
      </c>
      <c r="D86" s="6" t="s">
        <v>35</v>
      </c>
      <c r="E86" s="7" t="s">
        <v>34</v>
      </c>
      <c r="F86" s="6" t="s">
        <v>35</v>
      </c>
      <c r="G86" s="6" t="s">
        <v>35</v>
      </c>
      <c r="H86" s="6" t="s">
        <v>35</v>
      </c>
      <c r="I86" s="18">
        <f>PRODUCT($B$39,$C$38,$D$39,$E$39,$F$39)</f>
        <v>54</v>
      </c>
      <c r="J86" s="45">
        <f t="shared" si="8"/>
        <v>1.6875e-5</v>
      </c>
      <c r="K86" s="11">
        <f t="shared" si="9"/>
        <v>100</v>
      </c>
      <c r="L86" s="45">
        <f t="shared" si="10"/>
        <v>0.0016875</v>
      </c>
    </row>
    <row r="87" ht="16.5" spans="1:12">
      <c r="A87" s="11" t="s">
        <v>148</v>
      </c>
      <c r="B87" s="10" t="s">
        <v>35</v>
      </c>
      <c r="C87" s="10">
        <v>5</v>
      </c>
      <c r="D87" s="6" t="s">
        <v>35</v>
      </c>
      <c r="E87" s="6" t="s">
        <v>35</v>
      </c>
      <c r="F87" s="7" t="s">
        <v>34</v>
      </c>
      <c r="G87" s="7" t="s">
        <v>34</v>
      </c>
      <c r="H87" s="7" t="s">
        <v>34</v>
      </c>
      <c r="I87" s="18">
        <f>PRODUCT($B$39,$C$39,$D$38,$E$38,$F$38)</f>
        <v>24</v>
      </c>
      <c r="J87" s="45">
        <f t="shared" si="8"/>
        <v>7.5e-6</v>
      </c>
      <c r="K87" s="11">
        <f t="shared" si="9"/>
        <v>100</v>
      </c>
      <c r="L87" s="45">
        <f t="shared" si="10"/>
        <v>0.00075</v>
      </c>
    </row>
    <row r="88" ht="16.5" spans="1:12">
      <c r="A88" s="11" t="s">
        <v>148</v>
      </c>
      <c r="B88" s="10" t="s">
        <v>35</v>
      </c>
      <c r="C88" s="10">
        <v>5</v>
      </c>
      <c r="D88" s="6" t="s">
        <v>35</v>
      </c>
      <c r="E88" s="6" t="s">
        <v>35</v>
      </c>
      <c r="F88" s="7" t="s">
        <v>34</v>
      </c>
      <c r="G88" s="7" t="s">
        <v>34</v>
      </c>
      <c r="H88" s="6" t="s">
        <v>35</v>
      </c>
      <c r="I88" s="18">
        <f>PRODUCT($B$39,$C$39,$D$38,$E$38,$F$39)</f>
        <v>36</v>
      </c>
      <c r="J88" s="45">
        <f t="shared" si="8"/>
        <v>1.125e-5</v>
      </c>
      <c r="K88" s="11">
        <f t="shared" si="9"/>
        <v>100</v>
      </c>
      <c r="L88" s="45">
        <f t="shared" si="10"/>
        <v>0.001125</v>
      </c>
    </row>
    <row r="89" ht="16.5" spans="1:12">
      <c r="A89" s="11" t="s">
        <v>148</v>
      </c>
      <c r="B89" s="10" t="s">
        <v>35</v>
      </c>
      <c r="C89" s="10">
        <v>5</v>
      </c>
      <c r="D89" s="6" t="s">
        <v>35</v>
      </c>
      <c r="E89" s="6" t="s">
        <v>35</v>
      </c>
      <c r="F89" s="7" t="s">
        <v>34</v>
      </c>
      <c r="G89" s="6" t="s">
        <v>35</v>
      </c>
      <c r="H89" s="7" t="s">
        <v>34</v>
      </c>
      <c r="I89" s="18">
        <f>PRODUCT($B$39,$C$39,$D$38,$E$39,$F$38)</f>
        <v>36</v>
      </c>
      <c r="J89" s="45">
        <f t="shared" si="8"/>
        <v>1.125e-5</v>
      </c>
      <c r="K89" s="11">
        <f t="shared" si="9"/>
        <v>100</v>
      </c>
      <c r="L89" s="45">
        <f t="shared" si="10"/>
        <v>0.001125</v>
      </c>
    </row>
    <row r="90" ht="16.5" spans="1:12">
      <c r="A90" s="11" t="s">
        <v>148</v>
      </c>
      <c r="B90" s="10" t="s">
        <v>35</v>
      </c>
      <c r="C90" s="10">
        <v>5</v>
      </c>
      <c r="D90" s="6" t="s">
        <v>35</v>
      </c>
      <c r="E90" s="6" t="s">
        <v>35</v>
      </c>
      <c r="F90" s="7" t="s">
        <v>34</v>
      </c>
      <c r="G90" s="6" t="s">
        <v>35</v>
      </c>
      <c r="H90" s="6" t="s">
        <v>35</v>
      </c>
      <c r="I90" s="18">
        <f>PRODUCT($B$39,$C$39,$D$38,$E$39,$F$39)</f>
        <v>54</v>
      </c>
      <c r="J90" s="45">
        <f t="shared" si="8"/>
        <v>1.6875e-5</v>
      </c>
      <c r="K90" s="11">
        <f t="shared" si="9"/>
        <v>100</v>
      </c>
      <c r="L90" s="45">
        <f t="shared" si="10"/>
        <v>0.0016875</v>
      </c>
    </row>
    <row r="91" ht="16.5" spans="1:12">
      <c r="A91" s="11" t="s">
        <v>148</v>
      </c>
      <c r="B91" s="10" t="s">
        <v>35</v>
      </c>
      <c r="C91" s="10">
        <v>5</v>
      </c>
      <c r="D91" s="6" t="s">
        <v>35</v>
      </c>
      <c r="E91" s="6" t="s">
        <v>35</v>
      </c>
      <c r="F91" s="6" t="s">
        <v>35</v>
      </c>
      <c r="G91" s="7" t="s">
        <v>34</v>
      </c>
      <c r="H91" s="7" t="s">
        <v>34</v>
      </c>
      <c r="I91" s="18">
        <f>PRODUCT($B$39,$C$39,$D$39,$E$38,$F$38)</f>
        <v>36</v>
      </c>
      <c r="J91" s="45">
        <f t="shared" si="8"/>
        <v>1.125e-5</v>
      </c>
      <c r="K91" s="11">
        <f t="shared" si="9"/>
        <v>100</v>
      </c>
      <c r="L91" s="45">
        <f t="shared" si="10"/>
        <v>0.001125</v>
      </c>
    </row>
    <row r="92" ht="16.5" spans="1:12">
      <c r="A92" s="11" t="s">
        <v>148</v>
      </c>
      <c r="B92" s="10" t="s">
        <v>35</v>
      </c>
      <c r="C92" s="10">
        <v>5</v>
      </c>
      <c r="D92" s="6" t="s">
        <v>35</v>
      </c>
      <c r="E92" s="6" t="s">
        <v>35</v>
      </c>
      <c r="F92" s="6" t="s">
        <v>35</v>
      </c>
      <c r="G92" s="7" t="s">
        <v>34</v>
      </c>
      <c r="H92" s="6" t="s">
        <v>35</v>
      </c>
      <c r="I92" s="18">
        <f>PRODUCT($B$39,$C$39,$D$39,$E$38,$F$39)</f>
        <v>54</v>
      </c>
      <c r="J92" s="45">
        <f t="shared" si="8"/>
        <v>1.6875e-5</v>
      </c>
      <c r="K92" s="11">
        <f t="shared" si="9"/>
        <v>100</v>
      </c>
      <c r="L92" s="45">
        <f t="shared" si="10"/>
        <v>0.0016875</v>
      </c>
    </row>
    <row r="93" ht="16.5" spans="1:12">
      <c r="A93" s="11" t="s">
        <v>148</v>
      </c>
      <c r="B93" s="10" t="s">
        <v>35</v>
      </c>
      <c r="C93" s="10">
        <v>5</v>
      </c>
      <c r="D93" s="6" t="s">
        <v>35</v>
      </c>
      <c r="E93" s="6" t="s">
        <v>35</v>
      </c>
      <c r="F93" s="6" t="s">
        <v>35</v>
      </c>
      <c r="G93" s="6" t="s">
        <v>35</v>
      </c>
      <c r="H93" s="7" t="s">
        <v>34</v>
      </c>
      <c r="I93" s="18">
        <f>PRODUCT($B$39,$C$39,$D$39,$E$39,$F$38)</f>
        <v>54</v>
      </c>
      <c r="J93" s="45">
        <f t="shared" si="8"/>
        <v>1.6875e-5</v>
      </c>
      <c r="K93" s="11">
        <f t="shared" si="9"/>
        <v>100</v>
      </c>
      <c r="L93" s="45">
        <f t="shared" si="10"/>
        <v>0.0016875</v>
      </c>
    </row>
    <row r="94" ht="16.5" spans="1:12">
      <c r="A94" s="11" t="s">
        <v>148</v>
      </c>
      <c r="B94" s="10" t="s">
        <v>35</v>
      </c>
      <c r="C94" s="10">
        <v>4</v>
      </c>
      <c r="D94" s="7" t="s">
        <v>34</v>
      </c>
      <c r="E94" s="7" t="s">
        <v>34</v>
      </c>
      <c r="F94" s="6" t="s">
        <v>35</v>
      </c>
      <c r="G94" s="7" t="s">
        <v>34</v>
      </c>
      <c r="H94" s="7" t="s">
        <v>142</v>
      </c>
      <c r="I94" s="18">
        <f>PRODUCT($B$38,$C$38,$D$39,$E$38,($F$45-$F$38-$F$39))</f>
        <v>360</v>
      </c>
      <c r="J94" s="45">
        <f t="shared" si="8"/>
        <v>0.0001125</v>
      </c>
      <c r="K94" s="11">
        <f t="shared" ref="K94:K106" si="11">MAX(0,INDEX($B$3:$D$7,MATCH($B94,$A$3:$A$7,0),MATCH($C94,$B$2:$D$2,0)))</f>
        <v>30</v>
      </c>
      <c r="L94" s="45">
        <f t="shared" si="10"/>
        <v>0.003375</v>
      </c>
    </row>
    <row r="95" ht="16.5" spans="1:12">
      <c r="A95" s="11" t="s">
        <v>148</v>
      </c>
      <c r="B95" s="10" t="s">
        <v>35</v>
      </c>
      <c r="C95" s="10">
        <v>4</v>
      </c>
      <c r="D95" s="7" t="s">
        <v>34</v>
      </c>
      <c r="E95" s="7" t="s">
        <v>34</v>
      </c>
      <c r="F95" s="6" t="s">
        <v>35</v>
      </c>
      <c r="G95" s="6" t="s">
        <v>35</v>
      </c>
      <c r="H95" s="7" t="s">
        <v>142</v>
      </c>
      <c r="I95" s="18">
        <f>PRODUCT($B$38,$C$38,$D$39,$E$39,($F$45-$F$38-$F$39))</f>
        <v>540</v>
      </c>
      <c r="J95" s="45">
        <f t="shared" si="8"/>
        <v>0.00016875</v>
      </c>
      <c r="K95" s="11">
        <f t="shared" si="11"/>
        <v>30</v>
      </c>
      <c r="L95" s="45">
        <f t="shared" si="10"/>
        <v>0.0050625</v>
      </c>
    </row>
    <row r="96" ht="16.5" spans="1:12">
      <c r="A96" s="11" t="s">
        <v>148</v>
      </c>
      <c r="B96" s="10" t="s">
        <v>35</v>
      </c>
      <c r="C96" s="10">
        <v>4</v>
      </c>
      <c r="D96" s="7" t="s">
        <v>34</v>
      </c>
      <c r="E96" s="6" t="s">
        <v>35</v>
      </c>
      <c r="F96" s="7" t="s">
        <v>34</v>
      </c>
      <c r="G96" s="7" t="s">
        <v>34</v>
      </c>
      <c r="H96" s="7" t="s">
        <v>142</v>
      </c>
      <c r="I96" s="18">
        <f>PRODUCT($B$38,$C$39,$D$38,$E$38,($F$45-$F$38-$F$39))</f>
        <v>360</v>
      </c>
      <c r="J96" s="45">
        <f t="shared" si="8"/>
        <v>0.0001125</v>
      </c>
      <c r="K96" s="11">
        <f t="shared" si="11"/>
        <v>30</v>
      </c>
      <c r="L96" s="45">
        <f t="shared" si="10"/>
        <v>0.003375</v>
      </c>
    </row>
    <row r="97" ht="16.5" spans="1:12">
      <c r="A97" s="11" t="s">
        <v>148</v>
      </c>
      <c r="B97" s="10" t="s">
        <v>35</v>
      </c>
      <c r="C97" s="10">
        <v>4</v>
      </c>
      <c r="D97" s="7" t="s">
        <v>34</v>
      </c>
      <c r="E97" s="6" t="s">
        <v>35</v>
      </c>
      <c r="F97" s="7" t="s">
        <v>34</v>
      </c>
      <c r="G97" s="6" t="s">
        <v>35</v>
      </c>
      <c r="H97" s="7" t="s">
        <v>142</v>
      </c>
      <c r="I97" s="18">
        <f>PRODUCT($B$38,$C$39,$D$38,$E$39,($F$45-$F$38-$F$39))</f>
        <v>540</v>
      </c>
      <c r="J97" s="45">
        <f t="shared" si="8"/>
        <v>0.00016875</v>
      </c>
      <c r="K97" s="11">
        <f t="shared" si="11"/>
        <v>30</v>
      </c>
      <c r="L97" s="45">
        <f t="shared" si="10"/>
        <v>0.0050625</v>
      </c>
    </row>
    <row r="98" ht="16.5" spans="1:12">
      <c r="A98" s="11" t="s">
        <v>148</v>
      </c>
      <c r="B98" s="10" t="s">
        <v>35</v>
      </c>
      <c r="C98" s="10">
        <v>4</v>
      </c>
      <c r="D98" s="7" t="s">
        <v>34</v>
      </c>
      <c r="E98" s="6" t="s">
        <v>35</v>
      </c>
      <c r="F98" s="6" t="s">
        <v>35</v>
      </c>
      <c r="G98" s="7" t="s">
        <v>34</v>
      </c>
      <c r="H98" s="7" t="s">
        <v>142</v>
      </c>
      <c r="I98" s="18">
        <f>PRODUCT($B$38,$C$39,$D$39,$E$38,($F$45-$F$38-$F$39))</f>
        <v>540</v>
      </c>
      <c r="J98" s="45">
        <f t="shared" si="8"/>
        <v>0.00016875</v>
      </c>
      <c r="K98" s="11">
        <f t="shared" si="11"/>
        <v>30</v>
      </c>
      <c r="L98" s="45">
        <f t="shared" si="10"/>
        <v>0.0050625</v>
      </c>
    </row>
    <row r="99" ht="16.5" spans="1:12">
      <c r="A99" s="11" t="s">
        <v>148</v>
      </c>
      <c r="B99" s="10" t="s">
        <v>35</v>
      </c>
      <c r="C99" s="10">
        <v>4</v>
      </c>
      <c r="D99" s="7" t="s">
        <v>34</v>
      </c>
      <c r="E99" s="6" t="s">
        <v>35</v>
      </c>
      <c r="F99" s="6" t="s">
        <v>35</v>
      </c>
      <c r="G99" s="6" t="s">
        <v>35</v>
      </c>
      <c r="H99" s="7" t="s">
        <v>142</v>
      </c>
      <c r="I99" s="18">
        <f>PRODUCT($B$38,$C$39,$D$39,$E$39,($F$45-$F$38-$F$39))</f>
        <v>810</v>
      </c>
      <c r="J99" s="45">
        <f t="shared" si="8"/>
        <v>0.000253125</v>
      </c>
      <c r="K99" s="11">
        <f t="shared" si="11"/>
        <v>30</v>
      </c>
      <c r="L99" s="45">
        <f t="shared" si="10"/>
        <v>0.00759375</v>
      </c>
    </row>
    <row r="100" ht="16.5" spans="1:12">
      <c r="A100" s="11" t="s">
        <v>148</v>
      </c>
      <c r="B100" s="10" t="s">
        <v>35</v>
      </c>
      <c r="C100" s="10">
        <v>4</v>
      </c>
      <c r="D100" s="6" t="s">
        <v>35</v>
      </c>
      <c r="E100" s="7" t="s">
        <v>34</v>
      </c>
      <c r="F100" s="7" t="s">
        <v>34</v>
      </c>
      <c r="G100" s="7" t="s">
        <v>34</v>
      </c>
      <c r="H100" s="7" t="s">
        <v>142</v>
      </c>
      <c r="I100" s="18">
        <f>PRODUCT($B$39,$C$38,$D$38,$E$38,($F$45-$F$38-$F$39))</f>
        <v>120</v>
      </c>
      <c r="J100" s="45">
        <f t="shared" si="8"/>
        <v>3.75e-5</v>
      </c>
      <c r="K100" s="11">
        <f t="shared" si="11"/>
        <v>30</v>
      </c>
      <c r="L100" s="45">
        <f t="shared" si="10"/>
        <v>0.001125</v>
      </c>
    </row>
    <row r="101" ht="16.5" spans="1:12">
      <c r="A101" s="11" t="s">
        <v>148</v>
      </c>
      <c r="B101" s="10" t="s">
        <v>35</v>
      </c>
      <c r="C101" s="10">
        <v>4</v>
      </c>
      <c r="D101" s="6" t="s">
        <v>35</v>
      </c>
      <c r="E101" s="7" t="s">
        <v>34</v>
      </c>
      <c r="F101" s="7" t="s">
        <v>34</v>
      </c>
      <c r="G101" s="6" t="s">
        <v>35</v>
      </c>
      <c r="H101" s="7" t="s">
        <v>142</v>
      </c>
      <c r="I101" s="18">
        <f>PRODUCT($B$39,$C$38,$D$38,$E$39,($F$45-$F$38-$F$39))</f>
        <v>180</v>
      </c>
      <c r="J101" s="45">
        <f t="shared" si="8"/>
        <v>5.625e-5</v>
      </c>
      <c r="K101" s="11">
        <f t="shared" si="11"/>
        <v>30</v>
      </c>
      <c r="L101" s="45">
        <f t="shared" si="10"/>
        <v>0.0016875</v>
      </c>
    </row>
    <row r="102" ht="16.5" spans="1:12">
      <c r="A102" s="11" t="s">
        <v>148</v>
      </c>
      <c r="B102" s="10" t="s">
        <v>35</v>
      </c>
      <c r="C102" s="10">
        <v>4</v>
      </c>
      <c r="D102" s="6" t="s">
        <v>35</v>
      </c>
      <c r="E102" s="7" t="s">
        <v>34</v>
      </c>
      <c r="F102" s="6" t="s">
        <v>35</v>
      </c>
      <c r="G102" s="7" t="s">
        <v>34</v>
      </c>
      <c r="H102" s="7" t="s">
        <v>142</v>
      </c>
      <c r="I102" s="18">
        <f>PRODUCT($B$39,$C$38,$D$39,$E$38,($F$45-$F$38-$F$39))</f>
        <v>180</v>
      </c>
      <c r="J102" s="45">
        <f t="shared" si="8"/>
        <v>5.625e-5</v>
      </c>
      <c r="K102" s="11">
        <f t="shared" si="11"/>
        <v>30</v>
      </c>
      <c r="L102" s="45">
        <f t="shared" si="10"/>
        <v>0.0016875</v>
      </c>
    </row>
    <row r="103" ht="16.5" spans="1:12">
      <c r="A103" s="11" t="s">
        <v>148</v>
      </c>
      <c r="B103" s="10" t="s">
        <v>35</v>
      </c>
      <c r="C103" s="10">
        <v>4</v>
      </c>
      <c r="D103" s="6" t="s">
        <v>35</v>
      </c>
      <c r="E103" s="7" t="s">
        <v>34</v>
      </c>
      <c r="F103" s="6" t="s">
        <v>35</v>
      </c>
      <c r="G103" s="6" t="s">
        <v>35</v>
      </c>
      <c r="H103" s="7" t="s">
        <v>142</v>
      </c>
      <c r="I103" s="18">
        <f>PRODUCT($B$39,$C$38,$D$39,$E$39,($F$45-$F$38-$F$39))</f>
        <v>270</v>
      </c>
      <c r="J103" s="45">
        <f t="shared" si="8"/>
        <v>8.4375e-5</v>
      </c>
      <c r="K103" s="11">
        <f t="shared" si="11"/>
        <v>30</v>
      </c>
      <c r="L103" s="45">
        <f t="shared" si="10"/>
        <v>0.00253125</v>
      </c>
    </row>
    <row r="104" ht="16.5" spans="1:12">
      <c r="A104" s="11" t="s">
        <v>148</v>
      </c>
      <c r="B104" s="10" t="s">
        <v>35</v>
      </c>
      <c r="C104" s="10">
        <v>4</v>
      </c>
      <c r="D104" s="6" t="s">
        <v>35</v>
      </c>
      <c r="E104" s="6" t="s">
        <v>35</v>
      </c>
      <c r="F104" s="7" t="s">
        <v>34</v>
      </c>
      <c r="G104" s="7" t="s">
        <v>34</v>
      </c>
      <c r="H104" s="7" t="s">
        <v>142</v>
      </c>
      <c r="I104" s="18">
        <f>PRODUCT($B$39,$C$39,$D$38,$E$38,($F$45-$F$38-$F$39))</f>
        <v>180</v>
      </c>
      <c r="J104" s="45">
        <f t="shared" si="8"/>
        <v>5.625e-5</v>
      </c>
      <c r="K104" s="11">
        <f t="shared" si="11"/>
        <v>30</v>
      </c>
      <c r="L104" s="45">
        <f t="shared" si="10"/>
        <v>0.0016875</v>
      </c>
    </row>
    <row r="105" ht="16.5" spans="1:12">
      <c r="A105" s="11" t="s">
        <v>148</v>
      </c>
      <c r="B105" s="10" t="s">
        <v>35</v>
      </c>
      <c r="C105" s="10">
        <v>4</v>
      </c>
      <c r="D105" s="6" t="s">
        <v>35</v>
      </c>
      <c r="E105" s="6" t="s">
        <v>35</v>
      </c>
      <c r="F105" s="7" t="s">
        <v>34</v>
      </c>
      <c r="G105" s="6" t="s">
        <v>35</v>
      </c>
      <c r="H105" s="7" t="s">
        <v>142</v>
      </c>
      <c r="I105" s="18">
        <f>PRODUCT($B$39,$C$39,$D$38,$E$39,($F$45-$F$38-$F$39))</f>
        <v>270</v>
      </c>
      <c r="J105" s="45">
        <f t="shared" si="8"/>
        <v>8.4375e-5</v>
      </c>
      <c r="K105" s="11">
        <f t="shared" si="11"/>
        <v>30</v>
      </c>
      <c r="L105" s="45">
        <f t="shared" si="10"/>
        <v>0.00253125</v>
      </c>
    </row>
    <row r="106" ht="16.5" spans="1:12">
      <c r="A106" s="11" t="s">
        <v>148</v>
      </c>
      <c r="B106" s="10" t="s">
        <v>35</v>
      </c>
      <c r="C106" s="10">
        <v>4</v>
      </c>
      <c r="D106" s="6" t="s">
        <v>35</v>
      </c>
      <c r="E106" s="6" t="s">
        <v>35</v>
      </c>
      <c r="F106" s="6" t="s">
        <v>35</v>
      </c>
      <c r="G106" s="7" t="s">
        <v>34</v>
      </c>
      <c r="H106" s="7" t="s">
        <v>142</v>
      </c>
      <c r="I106" s="18">
        <f>PRODUCT($B$39,$C$39,$D$39,$E$38,($F$45-$F$38-$F$39))</f>
        <v>270</v>
      </c>
      <c r="J106" s="45">
        <f t="shared" si="8"/>
        <v>8.4375e-5</v>
      </c>
      <c r="K106" s="11">
        <f t="shared" si="11"/>
        <v>30</v>
      </c>
      <c r="L106" s="45">
        <f t="shared" si="10"/>
        <v>0.00253125</v>
      </c>
    </row>
    <row r="107" ht="16.5" spans="1:12">
      <c r="A107" s="11" t="s">
        <v>148</v>
      </c>
      <c r="B107" s="10" t="s">
        <v>35</v>
      </c>
      <c r="C107" s="10">
        <v>3</v>
      </c>
      <c r="D107" s="7" t="s">
        <v>34</v>
      </c>
      <c r="E107" s="7" t="s">
        <v>34</v>
      </c>
      <c r="F107" s="6" t="s">
        <v>35</v>
      </c>
      <c r="G107" s="7" t="s">
        <v>142</v>
      </c>
      <c r="H107" s="6" t="s">
        <v>143</v>
      </c>
      <c r="I107" s="18">
        <f>PRODUCT($B$38,$C$38,$D$39,($E$45-$E$38-$E$39),$F$45)</f>
        <v>3600</v>
      </c>
      <c r="J107" s="45">
        <f t="shared" si="8"/>
        <v>0.001125</v>
      </c>
      <c r="K107" s="11">
        <f t="shared" ref="K107:K112" si="12">MAX(0,INDEX($B$3:$D$7,MATCH($B107,$A$3:$A$7,0),MATCH($C107,$B$2:$D$2,0)))</f>
        <v>5</v>
      </c>
      <c r="L107" s="45">
        <f t="shared" si="10"/>
        <v>0.005625</v>
      </c>
    </row>
    <row r="108" ht="16.5" spans="1:12">
      <c r="A108" s="11" t="s">
        <v>148</v>
      </c>
      <c r="B108" s="10" t="s">
        <v>35</v>
      </c>
      <c r="C108" s="10">
        <v>3</v>
      </c>
      <c r="D108" s="7" t="s">
        <v>34</v>
      </c>
      <c r="E108" s="6" t="s">
        <v>35</v>
      </c>
      <c r="F108" s="7" t="s">
        <v>34</v>
      </c>
      <c r="G108" s="7" t="s">
        <v>142</v>
      </c>
      <c r="H108" s="6" t="s">
        <v>143</v>
      </c>
      <c r="I108" s="18">
        <f>PRODUCT($B$38,$C$39,$D$38,($E$45-$E$38-$E$39),$F$45)</f>
        <v>3600</v>
      </c>
      <c r="J108" s="45">
        <f t="shared" si="8"/>
        <v>0.001125</v>
      </c>
      <c r="K108" s="11">
        <f t="shared" si="12"/>
        <v>5</v>
      </c>
      <c r="L108" s="45">
        <f t="shared" si="10"/>
        <v>0.005625</v>
      </c>
    </row>
    <row r="109" ht="16.5" spans="1:12">
      <c r="A109" s="11" t="s">
        <v>148</v>
      </c>
      <c r="B109" s="10" t="s">
        <v>35</v>
      </c>
      <c r="C109" s="10">
        <v>3</v>
      </c>
      <c r="D109" s="7" t="s">
        <v>34</v>
      </c>
      <c r="E109" s="6" t="s">
        <v>35</v>
      </c>
      <c r="F109" s="6" t="s">
        <v>35</v>
      </c>
      <c r="G109" s="7" t="s">
        <v>142</v>
      </c>
      <c r="H109" s="6" t="s">
        <v>143</v>
      </c>
      <c r="I109" s="18">
        <f>PRODUCT($B$38,$C$39,$D$39,($E$45-$E$38-$E$39),$F$45)</f>
        <v>5400</v>
      </c>
      <c r="J109" s="45">
        <f t="shared" si="8"/>
        <v>0.0016875</v>
      </c>
      <c r="K109" s="11">
        <f t="shared" si="12"/>
        <v>5</v>
      </c>
      <c r="L109" s="45">
        <f t="shared" si="10"/>
        <v>0.0084375</v>
      </c>
    </row>
    <row r="110" ht="16.5" spans="1:12">
      <c r="A110" s="11" t="s">
        <v>148</v>
      </c>
      <c r="B110" s="10" t="s">
        <v>35</v>
      </c>
      <c r="C110" s="10">
        <v>3</v>
      </c>
      <c r="D110" s="6" t="s">
        <v>35</v>
      </c>
      <c r="E110" s="7" t="s">
        <v>34</v>
      </c>
      <c r="F110" s="7" t="s">
        <v>34</v>
      </c>
      <c r="G110" s="7" t="s">
        <v>142</v>
      </c>
      <c r="H110" s="6" t="s">
        <v>143</v>
      </c>
      <c r="I110" s="18">
        <f>PRODUCT($B$39,$C$38,$D$38,($E$45-$E$38-$E$39),$F$45)</f>
        <v>1200</v>
      </c>
      <c r="J110" s="45">
        <f t="shared" si="8"/>
        <v>0.000375</v>
      </c>
      <c r="K110" s="11">
        <f t="shared" si="12"/>
        <v>5</v>
      </c>
      <c r="L110" s="45">
        <f t="shared" si="10"/>
        <v>0.001875</v>
      </c>
    </row>
    <row r="111" ht="16.5" spans="1:12">
      <c r="A111" s="11" t="s">
        <v>148</v>
      </c>
      <c r="B111" s="10" t="s">
        <v>35</v>
      </c>
      <c r="C111" s="10">
        <v>3</v>
      </c>
      <c r="D111" s="6" t="s">
        <v>35</v>
      </c>
      <c r="E111" s="7" t="s">
        <v>34</v>
      </c>
      <c r="F111" s="6" t="s">
        <v>35</v>
      </c>
      <c r="G111" s="7" t="s">
        <v>142</v>
      </c>
      <c r="H111" s="6" t="s">
        <v>143</v>
      </c>
      <c r="I111" s="18">
        <f>PRODUCT($B$39,$C$38,$D$39,($E$45-$E$38-$E$39),$F$45)</f>
        <v>1800</v>
      </c>
      <c r="J111" s="45">
        <f t="shared" si="8"/>
        <v>0.0005625</v>
      </c>
      <c r="K111" s="11">
        <f t="shared" si="12"/>
        <v>5</v>
      </c>
      <c r="L111" s="45">
        <f t="shared" si="10"/>
        <v>0.0028125</v>
      </c>
    </row>
    <row r="112" ht="16.5" spans="1:12">
      <c r="A112" s="11" t="s">
        <v>148</v>
      </c>
      <c r="B112" s="10" t="s">
        <v>35</v>
      </c>
      <c r="C112" s="10">
        <v>3</v>
      </c>
      <c r="D112" s="6" t="s">
        <v>35</v>
      </c>
      <c r="E112" s="6" t="s">
        <v>35</v>
      </c>
      <c r="F112" s="7" t="s">
        <v>34</v>
      </c>
      <c r="G112" s="7" t="s">
        <v>142</v>
      </c>
      <c r="H112" s="6" t="s">
        <v>143</v>
      </c>
      <c r="I112" s="18">
        <f>PRODUCT($B$39,$C$39,$D$38,($E$45-$E$38-$E$39),$F$45)</f>
        <v>1800</v>
      </c>
      <c r="J112" s="45">
        <f t="shared" si="8"/>
        <v>0.0005625</v>
      </c>
      <c r="K112" s="11">
        <f t="shared" si="12"/>
        <v>5</v>
      </c>
      <c r="L112" s="45">
        <f t="shared" si="10"/>
        <v>0.0028125</v>
      </c>
    </row>
    <row r="113" ht="16.5" spans="1:12">
      <c r="A113" s="11" t="s">
        <v>148</v>
      </c>
      <c r="B113" s="10" t="s">
        <v>36</v>
      </c>
      <c r="C113" s="10">
        <v>5</v>
      </c>
      <c r="D113" s="7" t="s">
        <v>34</v>
      </c>
      <c r="E113" s="7" t="s">
        <v>34</v>
      </c>
      <c r="F113" s="6" t="s">
        <v>36</v>
      </c>
      <c r="G113" s="7" t="s">
        <v>34</v>
      </c>
      <c r="H113" s="7" t="s">
        <v>34</v>
      </c>
      <c r="I113" s="18">
        <f>PRODUCT($B$38,$C$38,$D$40,$E$38,$F$38)</f>
        <v>48</v>
      </c>
      <c r="J113" s="45">
        <f t="shared" ref="J113:J176" si="13">I113/$B$48</f>
        <v>1.5e-5</v>
      </c>
      <c r="K113" s="11">
        <f t="shared" ref="K113:K139" si="14">MAX(0,INDEX($B$3:$D$7,MATCH($B113,$A$3:$A$7,0),MATCH($C113,$B$2:$D$2,0)))</f>
        <v>100</v>
      </c>
      <c r="L113" s="45">
        <f t="shared" ref="L113:L176" si="15">J113*K113</f>
        <v>0.0015</v>
      </c>
    </row>
    <row r="114" ht="16.5" spans="1:12">
      <c r="A114" s="11" t="s">
        <v>148</v>
      </c>
      <c r="B114" s="10" t="s">
        <v>36</v>
      </c>
      <c r="C114" s="10">
        <v>5</v>
      </c>
      <c r="D114" s="7" t="s">
        <v>34</v>
      </c>
      <c r="E114" s="7" t="s">
        <v>34</v>
      </c>
      <c r="F114" s="6" t="s">
        <v>36</v>
      </c>
      <c r="G114" s="7" t="s">
        <v>34</v>
      </c>
      <c r="H114" s="6" t="s">
        <v>36</v>
      </c>
      <c r="I114" s="18">
        <f>PRODUCT($B$38,$C$38,$D$40,$E$38,$F$40)</f>
        <v>72</v>
      </c>
      <c r="J114" s="45">
        <f t="shared" si="13"/>
        <v>2.25e-5</v>
      </c>
      <c r="K114" s="11">
        <f t="shared" si="14"/>
        <v>100</v>
      </c>
      <c r="L114" s="45">
        <f t="shared" si="15"/>
        <v>0.00225</v>
      </c>
    </row>
    <row r="115" ht="16.5" spans="1:12">
      <c r="A115" s="11" t="s">
        <v>148</v>
      </c>
      <c r="B115" s="10" t="s">
        <v>36</v>
      </c>
      <c r="C115" s="10">
        <v>5</v>
      </c>
      <c r="D115" s="7" t="s">
        <v>34</v>
      </c>
      <c r="E115" s="7" t="s">
        <v>34</v>
      </c>
      <c r="F115" s="6" t="s">
        <v>36</v>
      </c>
      <c r="G115" s="6" t="s">
        <v>36</v>
      </c>
      <c r="H115" s="7" t="s">
        <v>34</v>
      </c>
      <c r="I115" s="18">
        <f>PRODUCT($B$38,$C$38,$D$40,$E$40,$F$38)</f>
        <v>72</v>
      </c>
      <c r="J115" s="45">
        <f t="shared" si="13"/>
        <v>2.25e-5</v>
      </c>
      <c r="K115" s="11">
        <f t="shared" si="14"/>
        <v>100</v>
      </c>
      <c r="L115" s="45">
        <f t="shared" si="15"/>
        <v>0.00225</v>
      </c>
    </row>
    <row r="116" ht="16.5" spans="1:12">
      <c r="A116" s="11" t="s">
        <v>148</v>
      </c>
      <c r="B116" s="10" t="s">
        <v>36</v>
      </c>
      <c r="C116" s="10">
        <v>5</v>
      </c>
      <c r="D116" s="7" t="s">
        <v>34</v>
      </c>
      <c r="E116" s="7" t="s">
        <v>34</v>
      </c>
      <c r="F116" s="6" t="s">
        <v>36</v>
      </c>
      <c r="G116" s="6" t="s">
        <v>36</v>
      </c>
      <c r="H116" s="6" t="s">
        <v>36</v>
      </c>
      <c r="I116" s="18">
        <f>PRODUCT($B$38,$C$38,$D$40,$E$40,$F$40)</f>
        <v>108</v>
      </c>
      <c r="J116" s="45">
        <f t="shared" si="13"/>
        <v>3.375e-5</v>
      </c>
      <c r="K116" s="11">
        <f t="shared" si="14"/>
        <v>100</v>
      </c>
      <c r="L116" s="45">
        <f t="shared" si="15"/>
        <v>0.003375</v>
      </c>
    </row>
    <row r="117" ht="16.5" spans="1:12">
      <c r="A117" s="11" t="s">
        <v>148</v>
      </c>
      <c r="B117" s="10" t="s">
        <v>36</v>
      </c>
      <c r="C117" s="10">
        <v>5</v>
      </c>
      <c r="D117" s="7" t="s">
        <v>34</v>
      </c>
      <c r="E117" s="6" t="s">
        <v>36</v>
      </c>
      <c r="F117" s="7" t="s">
        <v>34</v>
      </c>
      <c r="G117" s="7" t="s">
        <v>34</v>
      </c>
      <c r="H117" s="7" t="s">
        <v>34</v>
      </c>
      <c r="I117" s="18">
        <f>PRODUCT($B$38,$C$40,$D$38,$E$38,$F$38)</f>
        <v>48</v>
      </c>
      <c r="J117" s="45">
        <f t="shared" si="13"/>
        <v>1.5e-5</v>
      </c>
      <c r="K117" s="11">
        <f t="shared" si="14"/>
        <v>100</v>
      </c>
      <c r="L117" s="45">
        <f t="shared" si="15"/>
        <v>0.0015</v>
      </c>
    </row>
    <row r="118" ht="16.5" spans="1:12">
      <c r="A118" s="11" t="s">
        <v>148</v>
      </c>
      <c r="B118" s="10" t="s">
        <v>36</v>
      </c>
      <c r="C118" s="10">
        <v>5</v>
      </c>
      <c r="D118" s="7" t="s">
        <v>34</v>
      </c>
      <c r="E118" s="6" t="s">
        <v>36</v>
      </c>
      <c r="F118" s="7" t="s">
        <v>34</v>
      </c>
      <c r="G118" s="7" t="s">
        <v>34</v>
      </c>
      <c r="H118" s="6" t="s">
        <v>36</v>
      </c>
      <c r="I118" s="18">
        <f>PRODUCT($B$38,$C$40,$D$38,$E$38,$F$40)</f>
        <v>72</v>
      </c>
      <c r="J118" s="45">
        <f t="shared" si="13"/>
        <v>2.25e-5</v>
      </c>
      <c r="K118" s="11">
        <f t="shared" si="14"/>
        <v>100</v>
      </c>
      <c r="L118" s="45">
        <f t="shared" si="15"/>
        <v>0.00225</v>
      </c>
    </row>
    <row r="119" ht="16.5" spans="1:12">
      <c r="A119" s="11" t="s">
        <v>148</v>
      </c>
      <c r="B119" s="10" t="s">
        <v>36</v>
      </c>
      <c r="C119" s="10">
        <v>5</v>
      </c>
      <c r="D119" s="7" t="s">
        <v>34</v>
      </c>
      <c r="E119" s="6" t="s">
        <v>36</v>
      </c>
      <c r="F119" s="7" t="s">
        <v>34</v>
      </c>
      <c r="G119" s="6" t="s">
        <v>36</v>
      </c>
      <c r="H119" s="7" t="s">
        <v>34</v>
      </c>
      <c r="I119" s="18">
        <f>PRODUCT($B$38,$C$40,$D$38,$E$40,$F$38)</f>
        <v>72</v>
      </c>
      <c r="J119" s="45">
        <f t="shared" si="13"/>
        <v>2.25e-5</v>
      </c>
      <c r="K119" s="11">
        <f t="shared" si="14"/>
        <v>100</v>
      </c>
      <c r="L119" s="45">
        <f t="shared" si="15"/>
        <v>0.00225</v>
      </c>
    </row>
    <row r="120" ht="16.5" spans="1:12">
      <c r="A120" s="11" t="s">
        <v>148</v>
      </c>
      <c r="B120" s="10" t="s">
        <v>36</v>
      </c>
      <c r="C120" s="10">
        <v>5</v>
      </c>
      <c r="D120" s="7" t="s">
        <v>34</v>
      </c>
      <c r="E120" s="6" t="s">
        <v>36</v>
      </c>
      <c r="F120" s="7" t="s">
        <v>34</v>
      </c>
      <c r="G120" s="6" t="s">
        <v>36</v>
      </c>
      <c r="H120" s="6" t="s">
        <v>36</v>
      </c>
      <c r="I120" s="18">
        <f>PRODUCT($B$38,$C$40,$D$38,$E$40,$F$40)</f>
        <v>108</v>
      </c>
      <c r="J120" s="45">
        <f t="shared" si="13"/>
        <v>3.375e-5</v>
      </c>
      <c r="K120" s="11">
        <f t="shared" si="14"/>
        <v>100</v>
      </c>
      <c r="L120" s="45">
        <f t="shared" si="15"/>
        <v>0.003375</v>
      </c>
    </row>
    <row r="121" ht="16.5" spans="1:12">
      <c r="A121" s="11" t="s">
        <v>148</v>
      </c>
      <c r="B121" s="10" t="s">
        <v>36</v>
      </c>
      <c r="C121" s="10">
        <v>5</v>
      </c>
      <c r="D121" s="7" t="s">
        <v>34</v>
      </c>
      <c r="E121" s="6" t="s">
        <v>36</v>
      </c>
      <c r="F121" s="6" t="s">
        <v>36</v>
      </c>
      <c r="G121" s="7" t="s">
        <v>34</v>
      </c>
      <c r="H121" s="7" t="s">
        <v>34</v>
      </c>
      <c r="I121" s="18">
        <f>PRODUCT($B$38,$C$40,$D$40,$E$38,$F$38)</f>
        <v>72</v>
      </c>
      <c r="J121" s="45">
        <f t="shared" si="13"/>
        <v>2.25e-5</v>
      </c>
      <c r="K121" s="11">
        <f t="shared" si="14"/>
        <v>100</v>
      </c>
      <c r="L121" s="45">
        <f t="shared" si="15"/>
        <v>0.00225</v>
      </c>
    </row>
    <row r="122" ht="16.5" spans="1:12">
      <c r="A122" s="11" t="s">
        <v>148</v>
      </c>
      <c r="B122" s="10" t="s">
        <v>36</v>
      </c>
      <c r="C122" s="10">
        <v>5</v>
      </c>
      <c r="D122" s="7" t="s">
        <v>34</v>
      </c>
      <c r="E122" s="6" t="s">
        <v>36</v>
      </c>
      <c r="F122" s="6" t="s">
        <v>36</v>
      </c>
      <c r="G122" s="7" t="s">
        <v>34</v>
      </c>
      <c r="H122" s="6" t="s">
        <v>36</v>
      </c>
      <c r="I122" s="18">
        <f>PRODUCT($B$38,$C$40,$D$40,$E$38,$F$40)</f>
        <v>108</v>
      </c>
      <c r="J122" s="45">
        <f t="shared" si="13"/>
        <v>3.375e-5</v>
      </c>
      <c r="K122" s="11">
        <f t="shared" si="14"/>
        <v>100</v>
      </c>
      <c r="L122" s="45">
        <f t="shared" si="15"/>
        <v>0.003375</v>
      </c>
    </row>
    <row r="123" ht="16.5" spans="1:12">
      <c r="A123" s="11" t="s">
        <v>148</v>
      </c>
      <c r="B123" s="10" t="s">
        <v>36</v>
      </c>
      <c r="C123" s="10">
        <v>5</v>
      </c>
      <c r="D123" s="7" t="s">
        <v>34</v>
      </c>
      <c r="E123" s="6" t="s">
        <v>36</v>
      </c>
      <c r="F123" s="6" t="s">
        <v>36</v>
      </c>
      <c r="G123" s="6" t="s">
        <v>36</v>
      </c>
      <c r="H123" s="7" t="s">
        <v>34</v>
      </c>
      <c r="I123" s="18">
        <f>PRODUCT($B$38,$C$40,$D$40,$E$40,$F$38)</f>
        <v>108</v>
      </c>
      <c r="J123" s="45">
        <f t="shared" si="13"/>
        <v>3.375e-5</v>
      </c>
      <c r="K123" s="11">
        <f t="shared" si="14"/>
        <v>100</v>
      </c>
      <c r="L123" s="45">
        <f t="shared" si="15"/>
        <v>0.003375</v>
      </c>
    </row>
    <row r="124" ht="16.5" spans="1:12">
      <c r="A124" s="11" t="s">
        <v>148</v>
      </c>
      <c r="B124" s="10" t="s">
        <v>36</v>
      </c>
      <c r="C124" s="10">
        <v>5</v>
      </c>
      <c r="D124" s="7" t="s">
        <v>34</v>
      </c>
      <c r="E124" s="6" t="s">
        <v>36</v>
      </c>
      <c r="F124" s="6" t="s">
        <v>36</v>
      </c>
      <c r="G124" s="6" t="s">
        <v>36</v>
      </c>
      <c r="H124" s="6" t="s">
        <v>36</v>
      </c>
      <c r="I124" s="18">
        <f>PRODUCT($B$38,$C$40,$D$40,$E$40,$F$40)</f>
        <v>162</v>
      </c>
      <c r="J124" s="45">
        <f t="shared" si="13"/>
        <v>5.0625e-5</v>
      </c>
      <c r="K124" s="11">
        <f t="shared" si="14"/>
        <v>100</v>
      </c>
      <c r="L124" s="45">
        <f t="shared" si="15"/>
        <v>0.0050625</v>
      </c>
    </row>
    <row r="125" ht="16.5" spans="1:12">
      <c r="A125" s="11" t="s">
        <v>148</v>
      </c>
      <c r="B125" s="10" t="s">
        <v>36</v>
      </c>
      <c r="C125" s="10">
        <v>5</v>
      </c>
      <c r="D125" s="6" t="s">
        <v>36</v>
      </c>
      <c r="E125" s="7" t="s">
        <v>34</v>
      </c>
      <c r="F125" s="7" t="s">
        <v>34</v>
      </c>
      <c r="G125" s="7" t="s">
        <v>34</v>
      </c>
      <c r="H125" s="7" t="s">
        <v>34</v>
      </c>
      <c r="I125" s="18">
        <f>PRODUCT($B$40,$C$38,$D$38,$E$38,$F$38)</f>
        <v>32</v>
      </c>
      <c r="J125" s="45">
        <f t="shared" si="13"/>
        <v>1e-5</v>
      </c>
      <c r="K125" s="11">
        <f t="shared" si="14"/>
        <v>100</v>
      </c>
      <c r="L125" s="45">
        <f t="shared" si="15"/>
        <v>0.001</v>
      </c>
    </row>
    <row r="126" ht="16.5" spans="1:12">
      <c r="A126" s="11" t="s">
        <v>148</v>
      </c>
      <c r="B126" s="10" t="s">
        <v>36</v>
      </c>
      <c r="C126" s="10">
        <v>5</v>
      </c>
      <c r="D126" s="6" t="s">
        <v>36</v>
      </c>
      <c r="E126" s="7" t="s">
        <v>34</v>
      </c>
      <c r="F126" s="7" t="s">
        <v>34</v>
      </c>
      <c r="G126" s="7" t="s">
        <v>34</v>
      </c>
      <c r="H126" s="6" t="s">
        <v>36</v>
      </c>
      <c r="I126" s="18">
        <f>PRODUCT($B$40,$C$38,$D$38,$E$38,$F$40)</f>
        <v>48</v>
      </c>
      <c r="J126" s="45">
        <f t="shared" si="13"/>
        <v>1.5e-5</v>
      </c>
      <c r="K126" s="11">
        <f t="shared" si="14"/>
        <v>100</v>
      </c>
      <c r="L126" s="45">
        <f t="shared" si="15"/>
        <v>0.0015</v>
      </c>
    </row>
    <row r="127" ht="16.5" spans="1:12">
      <c r="A127" s="11" t="s">
        <v>148</v>
      </c>
      <c r="B127" s="10" t="s">
        <v>36</v>
      </c>
      <c r="C127" s="10">
        <v>5</v>
      </c>
      <c r="D127" s="6" t="s">
        <v>36</v>
      </c>
      <c r="E127" s="7" t="s">
        <v>34</v>
      </c>
      <c r="F127" s="7" t="s">
        <v>34</v>
      </c>
      <c r="G127" s="6" t="s">
        <v>36</v>
      </c>
      <c r="H127" s="7" t="s">
        <v>34</v>
      </c>
      <c r="I127" s="18">
        <f>PRODUCT($B$40,$C$38,$D$38,$E$40,$F$38)</f>
        <v>48</v>
      </c>
      <c r="J127" s="45">
        <f t="shared" si="13"/>
        <v>1.5e-5</v>
      </c>
      <c r="K127" s="11">
        <f t="shared" si="14"/>
        <v>100</v>
      </c>
      <c r="L127" s="45">
        <f t="shared" si="15"/>
        <v>0.0015</v>
      </c>
    </row>
    <row r="128" ht="16.5" spans="1:12">
      <c r="A128" s="11" t="s">
        <v>148</v>
      </c>
      <c r="B128" s="10" t="s">
        <v>36</v>
      </c>
      <c r="C128" s="10">
        <v>5</v>
      </c>
      <c r="D128" s="6" t="s">
        <v>36</v>
      </c>
      <c r="E128" s="7" t="s">
        <v>34</v>
      </c>
      <c r="F128" s="7" t="s">
        <v>34</v>
      </c>
      <c r="G128" s="6" t="s">
        <v>36</v>
      </c>
      <c r="H128" s="6" t="s">
        <v>36</v>
      </c>
      <c r="I128" s="18">
        <f>PRODUCT($B$40,$C$38,$D$38,$E$40,$F$40)</f>
        <v>72</v>
      </c>
      <c r="J128" s="45">
        <f t="shared" si="13"/>
        <v>2.25e-5</v>
      </c>
      <c r="K128" s="11">
        <f t="shared" si="14"/>
        <v>100</v>
      </c>
      <c r="L128" s="45">
        <f t="shared" si="15"/>
        <v>0.00225</v>
      </c>
    </row>
    <row r="129" ht="16.5" spans="1:12">
      <c r="A129" s="11" t="s">
        <v>148</v>
      </c>
      <c r="B129" s="10" t="s">
        <v>36</v>
      </c>
      <c r="C129" s="10">
        <v>5</v>
      </c>
      <c r="D129" s="6" t="s">
        <v>36</v>
      </c>
      <c r="E129" s="7" t="s">
        <v>34</v>
      </c>
      <c r="F129" s="6" t="s">
        <v>36</v>
      </c>
      <c r="G129" s="7" t="s">
        <v>34</v>
      </c>
      <c r="H129" s="7" t="s">
        <v>34</v>
      </c>
      <c r="I129" s="18">
        <f>PRODUCT($B$40,$C$38,$D$40,$E$38,$F$38)</f>
        <v>48</v>
      </c>
      <c r="J129" s="45">
        <f t="shared" si="13"/>
        <v>1.5e-5</v>
      </c>
      <c r="K129" s="11">
        <f t="shared" si="14"/>
        <v>100</v>
      </c>
      <c r="L129" s="45">
        <f t="shared" si="15"/>
        <v>0.0015</v>
      </c>
    </row>
    <row r="130" ht="16.5" spans="1:12">
      <c r="A130" s="11" t="s">
        <v>148</v>
      </c>
      <c r="B130" s="10" t="s">
        <v>36</v>
      </c>
      <c r="C130" s="10">
        <v>5</v>
      </c>
      <c r="D130" s="6" t="s">
        <v>36</v>
      </c>
      <c r="E130" s="7" t="s">
        <v>34</v>
      </c>
      <c r="F130" s="6" t="s">
        <v>36</v>
      </c>
      <c r="G130" s="7" t="s">
        <v>34</v>
      </c>
      <c r="H130" s="6" t="s">
        <v>36</v>
      </c>
      <c r="I130" s="18">
        <f>PRODUCT($B$40,$C$38,$D$40,$E$38,$F$40)</f>
        <v>72</v>
      </c>
      <c r="J130" s="45">
        <f t="shared" si="13"/>
        <v>2.25e-5</v>
      </c>
      <c r="K130" s="11">
        <f t="shared" si="14"/>
        <v>100</v>
      </c>
      <c r="L130" s="45">
        <f t="shared" si="15"/>
        <v>0.00225</v>
      </c>
    </row>
    <row r="131" ht="16.5" spans="1:12">
      <c r="A131" s="11" t="s">
        <v>148</v>
      </c>
      <c r="B131" s="10" t="s">
        <v>36</v>
      </c>
      <c r="C131" s="10">
        <v>5</v>
      </c>
      <c r="D131" s="6" t="s">
        <v>36</v>
      </c>
      <c r="E131" s="7" t="s">
        <v>34</v>
      </c>
      <c r="F131" s="6" t="s">
        <v>36</v>
      </c>
      <c r="G131" s="6" t="s">
        <v>36</v>
      </c>
      <c r="H131" s="7" t="s">
        <v>34</v>
      </c>
      <c r="I131" s="18">
        <f>PRODUCT($B$40,$C$38,$D$40,$E$40,$F$38)</f>
        <v>72</v>
      </c>
      <c r="J131" s="45">
        <f t="shared" si="13"/>
        <v>2.25e-5</v>
      </c>
      <c r="K131" s="11">
        <f t="shared" si="14"/>
        <v>100</v>
      </c>
      <c r="L131" s="45">
        <f t="shared" si="15"/>
        <v>0.00225</v>
      </c>
    </row>
    <row r="132" ht="16.5" spans="1:12">
      <c r="A132" s="11" t="s">
        <v>148</v>
      </c>
      <c r="B132" s="10" t="s">
        <v>36</v>
      </c>
      <c r="C132" s="10">
        <v>5</v>
      </c>
      <c r="D132" s="6" t="s">
        <v>36</v>
      </c>
      <c r="E132" s="7" t="s">
        <v>34</v>
      </c>
      <c r="F132" s="6" t="s">
        <v>36</v>
      </c>
      <c r="G132" s="6" t="s">
        <v>36</v>
      </c>
      <c r="H132" s="6" t="s">
        <v>36</v>
      </c>
      <c r="I132" s="18">
        <f>PRODUCT($B$40,$C$38,$D$40,$E$40,$F$40)</f>
        <v>108</v>
      </c>
      <c r="J132" s="45">
        <f t="shared" si="13"/>
        <v>3.375e-5</v>
      </c>
      <c r="K132" s="11">
        <f t="shared" si="14"/>
        <v>100</v>
      </c>
      <c r="L132" s="45">
        <f t="shared" si="15"/>
        <v>0.003375</v>
      </c>
    </row>
    <row r="133" ht="16.5" spans="1:12">
      <c r="A133" s="11" t="s">
        <v>148</v>
      </c>
      <c r="B133" s="10" t="s">
        <v>36</v>
      </c>
      <c r="C133" s="10">
        <v>5</v>
      </c>
      <c r="D133" s="6" t="s">
        <v>36</v>
      </c>
      <c r="E133" s="6" t="s">
        <v>36</v>
      </c>
      <c r="F133" s="7" t="s">
        <v>34</v>
      </c>
      <c r="G133" s="7" t="s">
        <v>34</v>
      </c>
      <c r="H133" s="7" t="s">
        <v>34</v>
      </c>
      <c r="I133" s="18">
        <f>PRODUCT($B$40,$C$40,$D$38,$E$38,$F$38)</f>
        <v>48</v>
      </c>
      <c r="J133" s="45">
        <f t="shared" si="13"/>
        <v>1.5e-5</v>
      </c>
      <c r="K133" s="11">
        <f t="shared" si="14"/>
        <v>100</v>
      </c>
      <c r="L133" s="45">
        <f t="shared" si="15"/>
        <v>0.0015</v>
      </c>
    </row>
    <row r="134" ht="16.5" spans="1:12">
      <c r="A134" s="11" t="s">
        <v>148</v>
      </c>
      <c r="B134" s="10" t="s">
        <v>36</v>
      </c>
      <c r="C134" s="10">
        <v>5</v>
      </c>
      <c r="D134" s="6" t="s">
        <v>36</v>
      </c>
      <c r="E134" s="6" t="s">
        <v>36</v>
      </c>
      <c r="F134" s="7" t="s">
        <v>34</v>
      </c>
      <c r="G134" s="7" t="s">
        <v>34</v>
      </c>
      <c r="H134" s="6" t="s">
        <v>36</v>
      </c>
      <c r="I134" s="18">
        <f>PRODUCT($B$40,$C$40,$D$38,$E$38,$F$40)</f>
        <v>72</v>
      </c>
      <c r="J134" s="45">
        <f t="shared" si="13"/>
        <v>2.25e-5</v>
      </c>
      <c r="K134" s="11">
        <f t="shared" si="14"/>
        <v>100</v>
      </c>
      <c r="L134" s="45">
        <f t="shared" si="15"/>
        <v>0.00225</v>
      </c>
    </row>
    <row r="135" ht="16.5" spans="1:12">
      <c r="A135" s="11" t="s">
        <v>148</v>
      </c>
      <c r="B135" s="10" t="s">
        <v>36</v>
      </c>
      <c r="C135" s="10">
        <v>5</v>
      </c>
      <c r="D135" s="6" t="s">
        <v>36</v>
      </c>
      <c r="E135" s="6" t="s">
        <v>36</v>
      </c>
      <c r="F135" s="7" t="s">
        <v>34</v>
      </c>
      <c r="G135" s="6" t="s">
        <v>36</v>
      </c>
      <c r="H135" s="7" t="s">
        <v>34</v>
      </c>
      <c r="I135" s="18">
        <f>PRODUCT($B$40,$C$40,$D$38,$E$40,$F$38)</f>
        <v>72</v>
      </c>
      <c r="J135" s="45">
        <f t="shared" si="13"/>
        <v>2.25e-5</v>
      </c>
      <c r="K135" s="11">
        <f t="shared" si="14"/>
        <v>100</v>
      </c>
      <c r="L135" s="45">
        <f t="shared" si="15"/>
        <v>0.00225</v>
      </c>
    </row>
    <row r="136" ht="16.5" spans="1:12">
      <c r="A136" s="11" t="s">
        <v>148</v>
      </c>
      <c r="B136" s="10" t="s">
        <v>36</v>
      </c>
      <c r="C136" s="10">
        <v>5</v>
      </c>
      <c r="D136" s="6" t="s">
        <v>36</v>
      </c>
      <c r="E136" s="6" t="s">
        <v>36</v>
      </c>
      <c r="F136" s="7" t="s">
        <v>34</v>
      </c>
      <c r="G136" s="6" t="s">
        <v>36</v>
      </c>
      <c r="H136" s="6" t="s">
        <v>36</v>
      </c>
      <c r="I136" s="18">
        <f>PRODUCT($B$40,$C$40,$D$38,$E$40,$F$40)</f>
        <v>108</v>
      </c>
      <c r="J136" s="45">
        <f t="shared" si="13"/>
        <v>3.375e-5</v>
      </c>
      <c r="K136" s="11">
        <f t="shared" si="14"/>
        <v>100</v>
      </c>
      <c r="L136" s="45">
        <f t="shared" si="15"/>
        <v>0.003375</v>
      </c>
    </row>
    <row r="137" ht="16.5" spans="1:12">
      <c r="A137" s="11" t="s">
        <v>148</v>
      </c>
      <c r="B137" s="10" t="s">
        <v>36</v>
      </c>
      <c r="C137" s="10">
        <v>5</v>
      </c>
      <c r="D137" s="6" t="s">
        <v>36</v>
      </c>
      <c r="E137" s="6" t="s">
        <v>36</v>
      </c>
      <c r="F137" s="6" t="s">
        <v>36</v>
      </c>
      <c r="G137" s="7" t="s">
        <v>34</v>
      </c>
      <c r="H137" s="7" t="s">
        <v>34</v>
      </c>
      <c r="I137" s="18">
        <f>PRODUCT($B$40,$C$40,$D$40,$E$38,$F$38)</f>
        <v>72</v>
      </c>
      <c r="J137" s="45">
        <f t="shared" si="13"/>
        <v>2.25e-5</v>
      </c>
      <c r="K137" s="11">
        <f t="shared" si="14"/>
        <v>100</v>
      </c>
      <c r="L137" s="45">
        <f t="shared" si="15"/>
        <v>0.00225</v>
      </c>
    </row>
    <row r="138" ht="16.5" spans="1:12">
      <c r="A138" s="11" t="s">
        <v>148</v>
      </c>
      <c r="B138" s="10" t="s">
        <v>36</v>
      </c>
      <c r="C138" s="10">
        <v>5</v>
      </c>
      <c r="D138" s="6" t="s">
        <v>36</v>
      </c>
      <c r="E138" s="6" t="s">
        <v>36</v>
      </c>
      <c r="F138" s="6" t="s">
        <v>36</v>
      </c>
      <c r="G138" s="7" t="s">
        <v>34</v>
      </c>
      <c r="H138" s="6" t="s">
        <v>36</v>
      </c>
      <c r="I138" s="18">
        <f>PRODUCT($B$40,$C$40,$D$40,$E$38,$F$40)</f>
        <v>108</v>
      </c>
      <c r="J138" s="45">
        <f t="shared" si="13"/>
        <v>3.375e-5</v>
      </c>
      <c r="K138" s="11">
        <f t="shared" si="14"/>
        <v>100</v>
      </c>
      <c r="L138" s="45">
        <f t="shared" si="15"/>
        <v>0.003375</v>
      </c>
    </row>
    <row r="139" ht="16.5" spans="1:12">
      <c r="A139" s="11" t="s">
        <v>148</v>
      </c>
      <c r="B139" s="10" t="s">
        <v>36</v>
      </c>
      <c r="C139" s="10">
        <v>5</v>
      </c>
      <c r="D139" s="6" t="s">
        <v>36</v>
      </c>
      <c r="E139" s="6" t="s">
        <v>36</v>
      </c>
      <c r="F139" s="6" t="s">
        <v>36</v>
      </c>
      <c r="G139" s="6" t="s">
        <v>36</v>
      </c>
      <c r="H139" s="7" t="s">
        <v>34</v>
      </c>
      <c r="I139" s="18">
        <f>PRODUCT($B$40,$C$40,$D$40,$E$40,$F$38)</f>
        <v>108</v>
      </c>
      <c r="J139" s="45">
        <f t="shared" si="13"/>
        <v>3.375e-5</v>
      </c>
      <c r="K139" s="11">
        <f t="shared" si="14"/>
        <v>100</v>
      </c>
      <c r="L139" s="45">
        <f t="shared" si="15"/>
        <v>0.003375</v>
      </c>
    </row>
    <row r="140" ht="16.5" spans="1:12">
      <c r="A140" s="11" t="s">
        <v>148</v>
      </c>
      <c r="B140" s="10" t="s">
        <v>36</v>
      </c>
      <c r="C140" s="10">
        <v>4</v>
      </c>
      <c r="D140" s="7" t="s">
        <v>34</v>
      </c>
      <c r="E140" s="7" t="s">
        <v>34</v>
      </c>
      <c r="F140" s="6" t="s">
        <v>36</v>
      </c>
      <c r="G140" s="7" t="s">
        <v>34</v>
      </c>
      <c r="H140" s="7" t="s">
        <v>144</v>
      </c>
      <c r="I140" s="18">
        <f>PRODUCT($B$38,$C$38,$D$40,$E$38,($F$45-$F$38-$F$40))</f>
        <v>360</v>
      </c>
      <c r="J140" s="45">
        <f t="shared" si="13"/>
        <v>0.0001125</v>
      </c>
      <c r="K140" s="11">
        <f t="shared" ref="K140:K152" si="16">MAX(0,INDEX($B$3:$D$7,MATCH($B140,$A$3:$A$7,0),MATCH($C140,$B$2:$D$2,0)))</f>
        <v>25</v>
      </c>
      <c r="L140" s="45">
        <f t="shared" si="15"/>
        <v>0.0028125</v>
      </c>
    </row>
    <row r="141" ht="16.5" spans="1:12">
      <c r="A141" s="11" t="s">
        <v>148</v>
      </c>
      <c r="B141" s="10" t="s">
        <v>36</v>
      </c>
      <c r="C141" s="10">
        <v>4</v>
      </c>
      <c r="D141" s="7" t="s">
        <v>34</v>
      </c>
      <c r="E141" s="7" t="s">
        <v>34</v>
      </c>
      <c r="F141" s="6" t="s">
        <v>36</v>
      </c>
      <c r="G141" s="6" t="s">
        <v>36</v>
      </c>
      <c r="H141" s="7" t="s">
        <v>144</v>
      </c>
      <c r="I141" s="18">
        <f>PRODUCT($B$38,$C$38,$D$40,$E$40,($F$45-$F$38-$F$40))</f>
        <v>540</v>
      </c>
      <c r="J141" s="45">
        <f t="shared" si="13"/>
        <v>0.00016875</v>
      </c>
      <c r="K141" s="11">
        <f t="shared" si="16"/>
        <v>25</v>
      </c>
      <c r="L141" s="45">
        <f t="shared" si="15"/>
        <v>0.00421875</v>
      </c>
    </row>
    <row r="142" ht="16.5" spans="1:12">
      <c r="A142" s="11" t="s">
        <v>148</v>
      </c>
      <c r="B142" s="10" t="s">
        <v>36</v>
      </c>
      <c r="C142" s="10">
        <v>4</v>
      </c>
      <c r="D142" s="7" t="s">
        <v>34</v>
      </c>
      <c r="E142" s="6" t="s">
        <v>36</v>
      </c>
      <c r="F142" s="7" t="s">
        <v>34</v>
      </c>
      <c r="G142" s="7" t="s">
        <v>34</v>
      </c>
      <c r="H142" s="7" t="s">
        <v>144</v>
      </c>
      <c r="I142" s="18">
        <f>PRODUCT($B$38,$C$40,$D$38,$E$38,($F$45-$F$38-$F$40))</f>
        <v>360</v>
      </c>
      <c r="J142" s="45">
        <f t="shared" si="13"/>
        <v>0.0001125</v>
      </c>
      <c r="K142" s="11">
        <f t="shared" si="16"/>
        <v>25</v>
      </c>
      <c r="L142" s="45">
        <f t="shared" si="15"/>
        <v>0.0028125</v>
      </c>
    </row>
    <row r="143" ht="16.5" spans="1:12">
      <c r="A143" s="11" t="s">
        <v>148</v>
      </c>
      <c r="B143" s="10" t="s">
        <v>36</v>
      </c>
      <c r="C143" s="10">
        <v>4</v>
      </c>
      <c r="D143" s="7" t="s">
        <v>34</v>
      </c>
      <c r="E143" s="6" t="s">
        <v>36</v>
      </c>
      <c r="F143" s="7" t="s">
        <v>34</v>
      </c>
      <c r="G143" s="6" t="s">
        <v>36</v>
      </c>
      <c r="H143" s="7" t="s">
        <v>144</v>
      </c>
      <c r="I143" s="18">
        <f>PRODUCT($B$38,$C$40,$D$38,$E$40,($F$45-$F$38-$F$40))</f>
        <v>540</v>
      </c>
      <c r="J143" s="45">
        <f t="shared" si="13"/>
        <v>0.00016875</v>
      </c>
      <c r="K143" s="11">
        <f t="shared" si="16"/>
        <v>25</v>
      </c>
      <c r="L143" s="45">
        <f t="shared" si="15"/>
        <v>0.00421875</v>
      </c>
    </row>
    <row r="144" ht="16.5" spans="1:12">
      <c r="A144" s="11" t="s">
        <v>148</v>
      </c>
      <c r="B144" s="10" t="s">
        <v>36</v>
      </c>
      <c r="C144" s="10">
        <v>4</v>
      </c>
      <c r="D144" s="7" t="s">
        <v>34</v>
      </c>
      <c r="E144" s="6" t="s">
        <v>36</v>
      </c>
      <c r="F144" s="6" t="s">
        <v>36</v>
      </c>
      <c r="G144" s="7" t="s">
        <v>34</v>
      </c>
      <c r="H144" s="7" t="s">
        <v>144</v>
      </c>
      <c r="I144" s="18">
        <f>PRODUCT($B$38,$C$40,$D$40,$E$38,($F$45-$F$38-$F$40))</f>
        <v>540</v>
      </c>
      <c r="J144" s="45">
        <f t="shared" si="13"/>
        <v>0.00016875</v>
      </c>
      <c r="K144" s="11">
        <f t="shared" si="16"/>
        <v>25</v>
      </c>
      <c r="L144" s="45">
        <f t="shared" si="15"/>
        <v>0.00421875</v>
      </c>
    </row>
    <row r="145" ht="16.5" spans="1:12">
      <c r="A145" s="11" t="s">
        <v>148</v>
      </c>
      <c r="B145" s="10" t="s">
        <v>36</v>
      </c>
      <c r="C145" s="10">
        <v>4</v>
      </c>
      <c r="D145" s="7" t="s">
        <v>34</v>
      </c>
      <c r="E145" s="6" t="s">
        <v>36</v>
      </c>
      <c r="F145" s="6" t="s">
        <v>36</v>
      </c>
      <c r="G145" s="6" t="s">
        <v>36</v>
      </c>
      <c r="H145" s="7" t="s">
        <v>144</v>
      </c>
      <c r="I145" s="18">
        <f>PRODUCT($B$38,$C$40,$D$40,$E$40,($F$45-$F$38-$F$40))</f>
        <v>810</v>
      </c>
      <c r="J145" s="45">
        <f t="shared" si="13"/>
        <v>0.000253125</v>
      </c>
      <c r="K145" s="11">
        <f t="shared" si="16"/>
        <v>25</v>
      </c>
      <c r="L145" s="45">
        <f t="shared" si="15"/>
        <v>0.006328125</v>
      </c>
    </row>
    <row r="146" ht="16.5" spans="1:12">
      <c r="A146" s="11" t="s">
        <v>148</v>
      </c>
      <c r="B146" s="10" t="s">
        <v>36</v>
      </c>
      <c r="C146" s="10">
        <v>4</v>
      </c>
      <c r="D146" s="6" t="s">
        <v>36</v>
      </c>
      <c r="E146" s="7" t="s">
        <v>34</v>
      </c>
      <c r="F146" s="7" t="s">
        <v>34</v>
      </c>
      <c r="G146" s="7" t="s">
        <v>34</v>
      </c>
      <c r="H146" s="7" t="s">
        <v>144</v>
      </c>
      <c r="I146" s="18">
        <f>PRODUCT($B$40,$C$38,$D$38,$E$38,($F$45-$F$38-$F$40))</f>
        <v>240</v>
      </c>
      <c r="J146" s="45">
        <f t="shared" si="13"/>
        <v>7.5e-5</v>
      </c>
      <c r="K146" s="11">
        <f t="shared" si="16"/>
        <v>25</v>
      </c>
      <c r="L146" s="45">
        <f t="shared" si="15"/>
        <v>0.001875</v>
      </c>
    </row>
    <row r="147" ht="16.5" spans="1:12">
      <c r="A147" s="11" t="s">
        <v>148</v>
      </c>
      <c r="B147" s="10" t="s">
        <v>36</v>
      </c>
      <c r="C147" s="10">
        <v>4</v>
      </c>
      <c r="D147" s="6" t="s">
        <v>36</v>
      </c>
      <c r="E147" s="7" t="s">
        <v>34</v>
      </c>
      <c r="F147" s="7" t="s">
        <v>34</v>
      </c>
      <c r="G147" s="6" t="s">
        <v>36</v>
      </c>
      <c r="H147" s="7" t="s">
        <v>144</v>
      </c>
      <c r="I147" s="18">
        <f>PRODUCT($B$40,$C$38,$D$38,$E$40,($F$45-$F$38-$F$40))</f>
        <v>360</v>
      </c>
      <c r="J147" s="45">
        <f t="shared" si="13"/>
        <v>0.0001125</v>
      </c>
      <c r="K147" s="11">
        <f t="shared" si="16"/>
        <v>25</v>
      </c>
      <c r="L147" s="45">
        <f t="shared" si="15"/>
        <v>0.0028125</v>
      </c>
    </row>
    <row r="148" ht="16.5" spans="1:12">
      <c r="A148" s="11" t="s">
        <v>148</v>
      </c>
      <c r="B148" s="10" t="s">
        <v>36</v>
      </c>
      <c r="C148" s="10">
        <v>4</v>
      </c>
      <c r="D148" s="6" t="s">
        <v>36</v>
      </c>
      <c r="E148" s="7" t="s">
        <v>34</v>
      </c>
      <c r="F148" s="6" t="s">
        <v>36</v>
      </c>
      <c r="G148" s="7" t="s">
        <v>34</v>
      </c>
      <c r="H148" s="7" t="s">
        <v>144</v>
      </c>
      <c r="I148" s="18">
        <f>PRODUCT($B$40,$C$38,$D$40,$E$38,($F$45-$F$38-$F$40))</f>
        <v>360</v>
      </c>
      <c r="J148" s="45">
        <f t="shared" si="13"/>
        <v>0.0001125</v>
      </c>
      <c r="K148" s="11">
        <f t="shared" si="16"/>
        <v>25</v>
      </c>
      <c r="L148" s="45">
        <f t="shared" si="15"/>
        <v>0.0028125</v>
      </c>
    </row>
    <row r="149" ht="16.5" spans="1:12">
      <c r="A149" s="11" t="s">
        <v>148</v>
      </c>
      <c r="B149" s="10" t="s">
        <v>36</v>
      </c>
      <c r="C149" s="10">
        <v>4</v>
      </c>
      <c r="D149" s="6" t="s">
        <v>36</v>
      </c>
      <c r="E149" s="7" t="s">
        <v>34</v>
      </c>
      <c r="F149" s="6" t="s">
        <v>36</v>
      </c>
      <c r="G149" s="6" t="s">
        <v>36</v>
      </c>
      <c r="H149" s="7" t="s">
        <v>144</v>
      </c>
      <c r="I149" s="18">
        <f>PRODUCT($B$40,$C$38,$D$40,$E$40,($F$45-$F$38-$F$40))</f>
        <v>540</v>
      </c>
      <c r="J149" s="45">
        <f t="shared" si="13"/>
        <v>0.00016875</v>
      </c>
      <c r="K149" s="11">
        <f t="shared" si="16"/>
        <v>25</v>
      </c>
      <c r="L149" s="45">
        <f t="shared" si="15"/>
        <v>0.00421875</v>
      </c>
    </row>
    <row r="150" ht="16.5" spans="1:12">
      <c r="A150" s="11" t="s">
        <v>148</v>
      </c>
      <c r="B150" s="10" t="s">
        <v>36</v>
      </c>
      <c r="C150" s="10">
        <v>4</v>
      </c>
      <c r="D150" s="6" t="s">
        <v>36</v>
      </c>
      <c r="E150" s="6" t="s">
        <v>36</v>
      </c>
      <c r="F150" s="7" t="s">
        <v>34</v>
      </c>
      <c r="G150" s="7" t="s">
        <v>34</v>
      </c>
      <c r="H150" s="7" t="s">
        <v>144</v>
      </c>
      <c r="I150" s="18">
        <f>PRODUCT($B$40,$C$40,$D$38,$E$38,($F$45-$F$38-$F$40))</f>
        <v>360</v>
      </c>
      <c r="J150" s="45">
        <f t="shared" si="13"/>
        <v>0.0001125</v>
      </c>
      <c r="K150" s="11">
        <f t="shared" si="16"/>
        <v>25</v>
      </c>
      <c r="L150" s="45">
        <f t="shared" si="15"/>
        <v>0.0028125</v>
      </c>
    </row>
    <row r="151" ht="16.5" spans="1:12">
      <c r="A151" s="11" t="s">
        <v>148</v>
      </c>
      <c r="B151" s="10" t="s">
        <v>36</v>
      </c>
      <c r="C151" s="10">
        <v>4</v>
      </c>
      <c r="D151" s="6" t="s">
        <v>36</v>
      </c>
      <c r="E151" s="6" t="s">
        <v>36</v>
      </c>
      <c r="F151" s="7" t="s">
        <v>34</v>
      </c>
      <c r="G151" s="6" t="s">
        <v>36</v>
      </c>
      <c r="H151" s="7" t="s">
        <v>144</v>
      </c>
      <c r="I151" s="18">
        <f>PRODUCT($B$40,$C$40,$D$38,$E$40,($F$45-$F$38-$F$40))</f>
        <v>540</v>
      </c>
      <c r="J151" s="45">
        <f t="shared" si="13"/>
        <v>0.00016875</v>
      </c>
      <c r="K151" s="11">
        <f t="shared" si="16"/>
        <v>25</v>
      </c>
      <c r="L151" s="45">
        <f t="shared" si="15"/>
        <v>0.00421875</v>
      </c>
    </row>
    <row r="152" ht="16.5" spans="1:12">
      <c r="A152" s="11" t="s">
        <v>148</v>
      </c>
      <c r="B152" s="10" t="s">
        <v>36</v>
      </c>
      <c r="C152" s="10">
        <v>4</v>
      </c>
      <c r="D152" s="6" t="s">
        <v>36</v>
      </c>
      <c r="E152" s="6" t="s">
        <v>36</v>
      </c>
      <c r="F152" s="6" t="s">
        <v>36</v>
      </c>
      <c r="G152" s="7" t="s">
        <v>34</v>
      </c>
      <c r="H152" s="7" t="s">
        <v>144</v>
      </c>
      <c r="I152" s="18">
        <f>PRODUCT($B$40,$C$40,$D$40,$E$38,($F$45-$F$38-$F$40))</f>
        <v>540</v>
      </c>
      <c r="J152" s="45">
        <f t="shared" si="13"/>
        <v>0.00016875</v>
      </c>
      <c r="K152" s="11">
        <f t="shared" si="16"/>
        <v>25</v>
      </c>
      <c r="L152" s="45">
        <f t="shared" si="15"/>
        <v>0.00421875</v>
      </c>
    </row>
    <row r="153" ht="16.5" spans="1:12">
      <c r="A153" s="11" t="s">
        <v>148</v>
      </c>
      <c r="B153" s="10" t="s">
        <v>36</v>
      </c>
      <c r="C153" s="10">
        <v>3</v>
      </c>
      <c r="D153" s="7" t="s">
        <v>34</v>
      </c>
      <c r="E153" s="7" t="s">
        <v>34</v>
      </c>
      <c r="F153" s="6" t="s">
        <v>36</v>
      </c>
      <c r="G153" s="7" t="s">
        <v>144</v>
      </c>
      <c r="H153" s="6" t="s">
        <v>143</v>
      </c>
      <c r="I153" s="18">
        <f>PRODUCT($B$38,$C$38,$D$40,($E$45-$E$38-$E$40),$F$45)</f>
        <v>3600</v>
      </c>
      <c r="J153" s="45">
        <f t="shared" si="13"/>
        <v>0.001125</v>
      </c>
      <c r="K153" s="11">
        <f t="shared" ref="K153:K158" si="17">MAX(0,INDEX($B$3:$D$7,MATCH($B153,$A$3:$A$7,0),MATCH($C153,$B$2:$D$2,0)))</f>
        <v>5</v>
      </c>
      <c r="L153" s="45">
        <f t="shared" si="15"/>
        <v>0.005625</v>
      </c>
    </row>
    <row r="154" ht="16.5" spans="1:12">
      <c r="A154" s="11" t="s">
        <v>148</v>
      </c>
      <c r="B154" s="10" t="s">
        <v>36</v>
      </c>
      <c r="C154" s="10">
        <v>3</v>
      </c>
      <c r="D154" s="7" t="s">
        <v>34</v>
      </c>
      <c r="E154" s="6" t="s">
        <v>36</v>
      </c>
      <c r="F154" s="7" t="s">
        <v>34</v>
      </c>
      <c r="G154" s="7" t="s">
        <v>144</v>
      </c>
      <c r="H154" s="6" t="s">
        <v>143</v>
      </c>
      <c r="I154" s="18">
        <f>PRODUCT($B$38,$C$40,$D$38,($E$45-$E$38-$E$40),$F$45)</f>
        <v>3600</v>
      </c>
      <c r="J154" s="45">
        <f t="shared" si="13"/>
        <v>0.001125</v>
      </c>
      <c r="K154" s="11">
        <f t="shared" si="17"/>
        <v>5</v>
      </c>
      <c r="L154" s="45">
        <f t="shared" si="15"/>
        <v>0.005625</v>
      </c>
    </row>
    <row r="155" ht="16.5" spans="1:12">
      <c r="A155" s="11" t="s">
        <v>148</v>
      </c>
      <c r="B155" s="10" t="s">
        <v>36</v>
      </c>
      <c r="C155" s="10">
        <v>3</v>
      </c>
      <c r="D155" s="7" t="s">
        <v>34</v>
      </c>
      <c r="E155" s="6" t="s">
        <v>36</v>
      </c>
      <c r="F155" s="6" t="s">
        <v>36</v>
      </c>
      <c r="G155" s="7" t="s">
        <v>144</v>
      </c>
      <c r="H155" s="6" t="s">
        <v>143</v>
      </c>
      <c r="I155" s="18">
        <f>PRODUCT($B$38,$C$40,$D$40,($E$45-$E$38-$E$40),$F$45)</f>
        <v>5400</v>
      </c>
      <c r="J155" s="45">
        <f t="shared" si="13"/>
        <v>0.0016875</v>
      </c>
      <c r="K155" s="11">
        <f t="shared" si="17"/>
        <v>5</v>
      </c>
      <c r="L155" s="45">
        <f t="shared" si="15"/>
        <v>0.0084375</v>
      </c>
    </row>
    <row r="156" ht="16.5" spans="1:12">
      <c r="A156" s="11" t="s">
        <v>148</v>
      </c>
      <c r="B156" s="10" t="s">
        <v>36</v>
      </c>
      <c r="C156" s="10">
        <v>3</v>
      </c>
      <c r="D156" s="6" t="s">
        <v>36</v>
      </c>
      <c r="E156" s="7" t="s">
        <v>34</v>
      </c>
      <c r="F156" s="7" t="s">
        <v>34</v>
      </c>
      <c r="G156" s="7" t="s">
        <v>144</v>
      </c>
      <c r="H156" s="6" t="s">
        <v>143</v>
      </c>
      <c r="I156" s="18">
        <f>PRODUCT($B$40,$C$38,$D$38,($E$45-$E$38-$E$40),$F$45)</f>
        <v>2400</v>
      </c>
      <c r="J156" s="45">
        <f t="shared" si="13"/>
        <v>0.00075</v>
      </c>
      <c r="K156" s="11">
        <f t="shared" si="17"/>
        <v>5</v>
      </c>
      <c r="L156" s="45">
        <f t="shared" si="15"/>
        <v>0.00375</v>
      </c>
    </row>
    <row r="157" ht="16.5" spans="1:12">
      <c r="A157" s="11" t="s">
        <v>148</v>
      </c>
      <c r="B157" s="10" t="s">
        <v>36</v>
      </c>
      <c r="C157" s="10">
        <v>3</v>
      </c>
      <c r="D157" s="6" t="s">
        <v>36</v>
      </c>
      <c r="E157" s="7" t="s">
        <v>34</v>
      </c>
      <c r="F157" s="6" t="s">
        <v>36</v>
      </c>
      <c r="G157" s="7" t="s">
        <v>144</v>
      </c>
      <c r="H157" s="6" t="s">
        <v>143</v>
      </c>
      <c r="I157" s="18">
        <f>PRODUCT($B$40,$C$38,$D$40,($E$45-$E$38-$E$40),$F$45)</f>
        <v>3600</v>
      </c>
      <c r="J157" s="45">
        <f t="shared" si="13"/>
        <v>0.001125</v>
      </c>
      <c r="K157" s="11">
        <f t="shared" si="17"/>
        <v>5</v>
      </c>
      <c r="L157" s="45">
        <f t="shared" si="15"/>
        <v>0.005625</v>
      </c>
    </row>
    <row r="158" ht="16.5" spans="1:12">
      <c r="A158" s="11" t="s">
        <v>148</v>
      </c>
      <c r="B158" s="10" t="s">
        <v>36</v>
      </c>
      <c r="C158" s="10">
        <v>3</v>
      </c>
      <c r="D158" s="6" t="s">
        <v>36</v>
      </c>
      <c r="E158" s="6" t="s">
        <v>36</v>
      </c>
      <c r="F158" s="7" t="s">
        <v>34</v>
      </c>
      <c r="G158" s="7" t="s">
        <v>144</v>
      </c>
      <c r="H158" s="6" t="s">
        <v>143</v>
      </c>
      <c r="I158" s="18">
        <f>PRODUCT($B$40,$C$40,$D$38,($E$45-$E$38-$E$40),$F$45)</f>
        <v>3600</v>
      </c>
      <c r="J158" s="45">
        <f t="shared" si="13"/>
        <v>0.001125</v>
      </c>
      <c r="K158" s="11">
        <f t="shared" si="17"/>
        <v>5</v>
      </c>
      <c r="L158" s="45">
        <f t="shared" si="15"/>
        <v>0.005625</v>
      </c>
    </row>
    <row r="159" ht="16.5" spans="1:12">
      <c r="A159" s="11" t="s">
        <v>148</v>
      </c>
      <c r="B159" s="10" t="s">
        <v>37</v>
      </c>
      <c r="C159" s="10">
        <v>5</v>
      </c>
      <c r="D159" s="7" t="s">
        <v>34</v>
      </c>
      <c r="E159" s="7" t="s">
        <v>34</v>
      </c>
      <c r="F159" s="6" t="s">
        <v>37</v>
      </c>
      <c r="G159" s="7" t="s">
        <v>34</v>
      </c>
      <c r="H159" s="7" t="s">
        <v>34</v>
      </c>
      <c r="I159" s="18">
        <f>PRODUCT($B$38,$C$38,$D$41,$E$38,$F$38)</f>
        <v>64</v>
      </c>
      <c r="J159" s="45">
        <f t="shared" si="13"/>
        <v>2e-5</v>
      </c>
      <c r="K159" s="11">
        <f t="shared" ref="K159:K185" si="18">MAX(0,INDEX($B$3:$D$7,MATCH($B159,$A$3:$A$7,0),MATCH($C159,$B$2:$D$2,0)))</f>
        <v>75</v>
      </c>
      <c r="L159" s="45">
        <f t="shared" si="15"/>
        <v>0.0015</v>
      </c>
    </row>
    <row r="160" ht="16.5" spans="1:12">
      <c r="A160" s="11" t="s">
        <v>148</v>
      </c>
      <c r="B160" s="10" t="s">
        <v>37</v>
      </c>
      <c r="C160" s="10">
        <v>5</v>
      </c>
      <c r="D160" s="7" t="s">
        <v>34</v>
      </c>
      <c r="E160" s="7" t="s">
        <v>34</v>
      </c>
      <c r="F160" s="6" t="s">
        <v>37</v>
      </c>
      <c r="G160" s="7" t="s">
        <v>34</v>
      </c>
      <c r="H160" s="6" t="s">
        <v>37</v>
      </c>
      <c r="I160" s="18">
        <f>PRODUCT($B$38,$C$38,$D$41,$E$38,$F$41)</f>
        <v>128</v>
      </c>
      <c r="J160" s="45">
        <f t="shared" si="13"/>
        <v>4e-5</v>
      </c>
      <c r="K160" s="11">
        <f t="shared" si="18"/>
        <v>75</v>
      </c>
      <c r="L160" s="45">
        <f t="shared" si="15"/>
        <v>0.003</v>
      </c>
    </row>
    <row r="161" ht="16.5" spans="1:12">
      <c r="A161" s="11" t="s">
        <v>148</v>
      </c>
      <c r="B161" s="10" t="s">
        <v>37</v>
      </c>
      <c r="C161" s="10">
        <v>5</v>
      </c>
      <c r="D161" s="7" t="s">
        <v>34</v>
      </c>
      <c r="E161" s="7" t="s">
        <v>34</v>
      </c>
      <c r="F161" s="6" t="s">
        <v>37</v>
      </c>
      <c r="G161" s="6" t="s">
        <v>37</v>
      </c>
      <c r="H161" s="7" t="s">
        <v>34</v>
      </c>
      <c r="I161" s="18">
        <f>PRODUCT($B$38,$C$38,$D$41,$E$41,$F$38)</f>
        <v>128</v>
      </c>
      <c r="J161" s="45">
        <f t="shared" si="13"/>
        <v>4e-5</v>
      </c>
      <c r="K161" s="11">
        <f t="shared" si="18"/>
        <v>75</v>
      </c>
      <c r="L161" s="45">
        <f t="shared" si="15"/>
        <v>0.003</v>
      </c>
    </row>
    <row r="162" ht="16.5" spans="1:12">
      <c r="A162" s="11" t="s">
        <v>148</v>
      </c>
      <c r="B162" s="10" t="s">
        <v>37</v>
      </c>
      <c r="C162" s="10">
        <v>5</v>
      </c>
      <c r="D162" s="7" t="s">
        <v>34</v>
      </c>
      <c r="E162" s="7" t="s">
        <v>34</v>
      </c>
      <c r="F162" s="6" t="s">
        <v>37</v>
      </c>
      <c r="G162" s="6" t="s">
        <v>37</v>
      </c>
      <c r="H162" s="6" t="s">
        <v>37</v>
      </c>
      <c r="I162" s="18">
        <f>PRODUCT($B$38,$C$38,$D$41,$E$41,$F$41)</f>
        <v>256</v>
      </c>
      <c r="J162" s="45">
        <f t="shared" si="13"/>
        <v>8e-5</v>
      </c>
      <c r="K162" s="11">
        <f t="shared" si="18"/>
        <v>75</v>
      </c>
      <c r="L162" s="45">
        <f t="shared" si="15"/>
        <v>0.006</v>
      </c>
    </row>
    <row r="163" ht="16.5" spans="1:12">
      <c r="A163" s="11" t="s">
        <v>148</v>
      </c>
      <c r="B163" s="10" t="s">
        <v>37</v>
      </c>
      <c r="C163" s="10">
        <v>5</v>
      </c>
      <c r="D163" s="7" t="s">
        <v>34</v>
      </c>
      <c r="E163" s="6" t="s">
        <v>37</v>
      </c>
      <c r="F163" s="7" t="s">
        <v>34</v>
      </c>
      <c r="G163" s="7" t="s">
        <v>34</v>
      </c>
      <c r="H163" s="7" t="s">
        <v>34</v>
      </c>
      <c r="I163" s="18">
        <f>PRODUCT($B$38,$C$41,$D$38,$E$38,$F$38)</f>
        <v>80</v>
      </c>
      <c r="J163" s="45">
        <f t="shared" si="13"/>
        <v>2.5e-5</v>
      </c>
      <c r="K163" s="11">
        <f t="shared" si="18"/>
        <v>75</v>
      </c>
      <c r="L163" s="45">
        <f t="shared" si="15"/>
        <v>0.001875</v>
      </c>
    </row>
    <row r="164" ht="16.5" spans="1:12">
      <c r="A164" s="11" t="s">
        <v>148</v>
      </c>
      <c r="B164" s="10" t="s">
        <v>37</v>
      </c>
      <c r="C164" s="10">
        <v>5</v>
      </c>
      <c r="D164" s="7" t="s">
        <v>34</v>
      </c>
      <c r="E164" s="6" t="s">
        <v>37</v>
      </c>
      <c r="F164" s="7" t="s">
        <v>34</v>
      </c>
      <c r="G164" s="7" t="s">
        <v>34</v>
      </c>
      <c r="H164" s="6" t="s">
        <v>37</v>
      </c>
      <c r="I164" s="18">
        <f>PRODUCT($B$38,$C$41,$D$38,$E$38,$F$41)</f>
        <v>160</v>
      </c>
      <c r="J164" s="45">
        <f t="shared" si="13"/>
        <v>5e-5</v>
      </c>
      <c r="K164" s="11">
        <f t="shared" si="18"/>
        <v>75</v>
      </c>
      <c r="L164" s="45">
        <f t="shared" si="15"/>
        <v>0.00375</v>
      </c>
    </row>
    <row r="165" ht="16.5" spans="1:12">
      <c r="A165" s="11" t="s">
        <v>148</v>
      </c>
      <c r="B165" s="10" t="s">
        <v>37</v>
      </c>
      <c r="C165" s="10">
        <v>5</v>
      </c>
      <c r="D165" s="7" t="s">
        <v>34</v>
      </c>
      <c r="E165" s="6" t="s">
        <v>37</v>
      </c>
      <c r="F165" s="7" t="s">
        <v>34</v>
      </c>
      <c r="G165" s="6" t="s">
        <v>37</v>
      </c>
      <c r="H165" s="7" t="s">
        <v>34</v>
      </c>
      <c r="I165" s="18">
        <f>PRODUCT($B$38,$C$41,$D$38,$E$41,$F$38)</f>
        <v>160</v>
      </c>
      <c r="J165" s="45">
        <f t="shared" si="13"/>
        <v>5e-5</v>
      </c>
      <c r="K165" s="11">
        <f t="shared" si="18"/>
        <v>75</v>
      </c>
      <c r="L165" s="45">
        <f t="shared" si="15"/>
        <v>0.00375</v>
      </c>
    </row>
    <row r="166" ht="16.5" spans="1:12">
      <c r="A166" s="11" t="s">
        <v>148</v>
      </c>
      <c r="B166" s="10" t="s">
        <v>37</v>
      </c>
      <c r="C166" s="10">
        <v>5</v>
      </c>
      <c r="D166" s="7" t="s">
        <v>34</v>
      </c>
      <c r="E166" s="6" t="s">
        <v>37</v>
      </c>
      <c r="F166" s="7" t="s">
        <v>34</v>
      </c>
      <c r="G166" s="6" t="s">
        <v>37</v>
      </c>
      <c r="H166" s="6" t="s">
        <v>37</v>
      </c>
      <c r="I166" s="18">
        <f>PRODUCT($B$38,$C$41,$D$38,$E$41,$F$41)</f>
        <v>320</v>
      </c>
      <c r="J166" s="45">
        <f t="shared" si="13"/>
        <v>0.0001</v>
      </c>
      <c r="K166" s="11">
        <f t="shared" si="18"/>
        <v>75</v>
      </c>
      <c r="L166" s="45">
        <f t="shared" si="15"/>
        <v>0.0075</v>
      </c>
    </row>
    <row r="167" ht="16.5" spans="1:12">
      <c r="A167" s="11" t="s">
        <v>148</v>
      </c>
      <c r="B167" s="10" t="s">
        <v>37</v>
      </c>
      <c r="C167" s="10">
        <v>5</v>
      </c>
      <c r="D167" s="7" t="s">
        <v>34</v>
      </c>
      <c r="E167" s="6" t="s">
        <v>37</v>
      </c>
      <c r="F167" s="6" t="s">
        <v>37</v>
      </c>
      <c r="G167" s="7" t="s">
        <v>34</v>
      </c>
      <c r="H167" s="7" t="s">
        <v>34</v>
      </c>
      <c r="I167" s="18">
        <f>PRODUCT($B$38,$C$41,$D$41,$E$38,$F$38)</f>
        <v>160</v>
      </c>
      <c r="J167" s="45">
        <f t="shared" si="13"/>
        <v>5e-5</v>
      </c>
      <c r="K167" s="11">
        <f t="shared" si="18"/>
        <v>75</v>
      </c>
      <c r="L167" s="45">
        <f t="shared" si="15"/>
        <v>0.00375</v>
      </c>
    </row>
    <row r="168" ht="16.5" spans="1:12">
      <c r="A168" s="11" t="s">
        <v>148</v>
      </c>
      <c r="B168" s="10" t="s">
        <v>37</v>
      </c>
      <c r="C168" s="10">
        <v>5</v>
      </c>
      <c r="D168" s="7" t="s">
        <v>34</v>
      </c>
      <c r="E168" s="6" t="s">
        <v>37</v>
      </c>
      <c r="F168" s="6" t="s">
        <v>37</v>
      </c>
      <c r="G168" s="7" t="s">
        <v>34</v>
      </c>
      <c r="H168" s="6" t="s">
        <v>37</v>
      </c>
      <c r="I168" s="18">
        <f>PRODUCT($B$38,$C$41,$D$41,$E$38,$F$41)</f>
        <v>320</v>
      </c>
      <c r="J168" s="45">
        <f t="shared" si="13"/>
        <v>0.0001</v>
      </c>
      <c r="K168" s="11">
        <f t="shared" si="18"/>
        <v>75</v>
      </c>
      <c r="L168" s="45">
        <f t="shared" si="15"/>
        <v>0.0075</v>
      </c>
    </row>
    <row r="169" ht="16.5" spans="1:12">
      <c r="A169" s="11" t="s">
        <v>148</v>
      </c>
      <c r="B169" s="10" t="s">
        <v>37</v>
      </c>
      <c r="C169" s="10">
        <v>5</v>
      </c>
      <c r="D169" s="7" t="s">
        <v>34</v>
      </c>
      <c r="E169" s="6" t="s">
        <v>37</v>
      </c>
      <c r="F169" s="6" t="s">
        <v>37</v>
      </c>
      <c r="G169" s="6" t="s">
        <v>37</v>
      </c>
      <c r="H169" s="7" t="s">
        <v>34</v>
      </c>
      <c r="I169" s="18">
        <f>PRODUCT($B$38,$C$41,$D$41,$E$41,$F$38)</f>
        <v>320</v>
      </c>
      <c r="J169" s="45">
        <f t="shared" si="13"/>
        <v>0.0001</v>
      </c>
      <c r="K169" s="11">
        <f t="shared" si="18"/>
        <v>75</v>
      </c>
      <c r="L169" s="45">
        <f t="shared" si="15"/>
        <v>0.0075</v>
      </c>
    </row>
    <row r="170" ht="16.5" spans="1:12">
      <c r="A170" s="11" t="s">
        <v>148</v>
      </c>
      <c r="B170" s="10" t="s">
        <v>37</v>
      </c>
      <c r="C170" s="10">
        <v>5</v>
      </c>
      <c r="D170" s="7" t="s">
        <v>34</v>
      </c>
      <c r="E170" s="6" t="s">
        <v>37</v>
      </c>
      <c r="F170" s="6" t="s">
        <v>37</v>
      </c>
      <c r="G170" s="6" t="s">
        <v>37</v>
      </c>
      <c r="H170" s="6" t="s">
        <v>37</v>
      </c>
      <c r="I170" s="18">
        <f>PRODUCT($B$38,$C$41,$D$41,$E$41,$F$41)</f>
        <v>640</v>
      </c>
      <c r="J170" s="45">
        <f t="shared" si="13"/>
        <v>0.0002</v>
      </c>
      <c r="K170" s="11">
        <f t="shared" si="18"/>
        <v>75</v>
      </c>
      <c r="L170" s="45">
        <f t="shared" si="15"/>
        <v>0.015</v>
      </c>
    </row>
    <row r="171" ht="16.5" spans="1:12">
      <c r="A171" s="11" t="s">
        <v>148</v>
      </c>
      <c r="B171" s="10" t="s">
        <v>37</v>
      </c>
      <c r="C171" s="10">
        <v>5</v>
      </c>
      <c r="D171" s="6" t="s">
        <v>37</v>
      </c>
      <c r="E171" s="7" t="s">
        <v>34</v>
      </c>
      <c r="F171" s="7" t="s">
        <v>34</v>
      </c>
      <c r="G171" s="7" t="s">
        <v>34</v>
      </c>
      <c r="H171" s="7" t="s">
        <v>34</v>
      </c>
      <c r="I171" s="18">
        <f>PRODUCT($B$41,$C$38,$D$38,$E$38,$F$38)</f>
        <v>64</v>
      </c>
      <c r="J171" s="45">
        <f t="shared" si="13"/>
        <v>2e-5</v>
      </c>
      <c r="K171" s="11">
        <f t="shared" si="18"/>
        <v>75</v>
      </c>
      <c r="L171" s="45">
        <f t="shared" si="15"/>
        <v>0.0015</v>
      </c>
    </row>
    <row r="172" ht="16.5" spans="1:12">
      <c r="A172" s="11" t="s">
        <v>148</v>
      </c>
      <c r="B172" s="10" t="s">
        <v>37</v>
      </c>
      <c r="C172" s="10">
        <v>5</v>
      </c>
      <c r="D172" s="6" t="s">
        <v>37</v>
      </c>
      <c r="E172" s="7" t="s">
        <v>34</v>
      </c>
      <c r="F172" s="7" t="s">
        <v>34</v>
      </c>
      <c r="G172" s="7" t="s">
        <v>34</v>
      </c>
      <c r="H172" s="6" t="s">
        <v>37</v>
      </c>
      <c r="I172" s="18">
        <f>PRODUCT($B$41,$C$38,$D$38,$E$38,$F$41)</f>
        <v>128</v>
      </c>
      <c r="J172" s="45">
        <f t="shared" si="13"/>
        <v>4e-5</v>
      </c>
      <c r="K172" s="11">
        <f t="shared" si="18"/>
        <v>75</v>
      </c>
      <c r="L172" s="45">
        <f t="shared" si="15"/>
        <v>0.003</v>
      </c>
    </row>
    <row r="173" ht="16.5" spans="1:12">
      <c r="A173" s="11" t="s">
        <v>148</v>
      </c>
      <c r="B173" s="10" t="s">
        <v>37</v>
      </c>
      <c r="C173" s="10">
        <v>5</v>
      </c>
      <c r="D173" s="6" t="s">
        <v>37</v>
      </c>
      <c r="E173" s="7" t="s">
        <v>34</v>
      </c>
      <c r="F173" s="7" t="s">
        <v>34</v>
      </c>
      <c r="G173" s="6" t="s">
        <v>37</v>
      </c>
      <c r="H173" s="7" t="s">
        <v>34</v>
      </c>
      <c r="I173" s="18">
        <f>PRODUCT($B$41,$C$38,$D$38,$E$41,$F$38)</f>
        <v>128</v>
      </c>
      <c r="J173" s="45">
        <f t="shared" si="13"/>
        <v>4e-5</v>
      </c>
      <c r="K173" s="11">
        <f t="shared" si="18"/>
        <v>75</v>
      </c>
      <c r="L173" s="45">
        <f t="shared" si="15"/>
        <v>0.003</v>
      </c>
    </row>
    <row r="174" ht="16.5" spans="1:12">
      <c r="A174" s="11" t="s">
        <v>148</v>
      </c>
      <c r="B174" s="10" t="s">
        <v>37</v>
      </c>
      <c r="C174" s="10">
        <v>5</v>
      </c>
      <c r="D174" s="6" t="s">
        <v>37</v>
      </c>
      <c r="E174" s="7" t="s">
        <v>34</v>
      </c>
      <c r="F174" s="7" t="s">
        <v>34</v>
      </c>
      <c r="G174" s="6" t="s">
        <v>37</v>
      </c>
      <c r="H174" s="6" t="s">
        <v>37</v>
      </c>
      <c r="I174" s="18">
        <f>PRODUCT($B$41,$C$38,$D$38,$E$41,$F$41)</f>
        <v>256</v>
      </c>
      <c r="J174" s="45">
        <f t="shared" si="13"/>
        <v>8e-5</v>
      </c>
      <c r="K174" s="11">
        <f t="shared" si="18"/>
        <v>75</v>
      </c>
      <c r="L174" s="45">
        <f t="shared" si="15"/>
        <v>0.006</v>
      </c>
    </row>
    <row r="175" ht="16.5" spans="1:12">
      <c r="A175" s="11" t="s">
        <v>148</v>
      </c>
      <c r="B175" s="10" t="s">
        <v>37</v>
      </c>
      <c r="C175" s="10">
        <v>5</v>
      </c>
      <c r="D175" s="6" t="s">
        <v>37</v>
      </c>
      <c r="E175" s="7" t="s">
        <v>34</v>
      </c>
      <c r="F175" s="6" t="s">
        <v>37</v>
      </c>
      <c r="G175" s="7" t="s">
        <v>34</v>
      </c>
      <c r="H175" s="7" t="s">
        <v>34</v>
      </c>
      <c r="I175" s="18">
        <f>PRODUCT($B$41,$C$38,$D$41,$E$38,$F$38)</f>
        <v>128</v>
      </c>
      <c r="J175" s="45">
        <f t="shared" si="13"/>
        <v>4e-5</v>
      </c>
      <c r="K175" s="11">
        <f t="shared" si="18"/>
        <v>75</v>
      </c>
      <c r="L175" s="45">
        <f t="shared" si="15"/>
        <v>0.003</v>
      </c>
    </row>
    <row r="176" ht="16.5" spans="1:12">
      <c r="A176" s="11" t="s">
        <v>148</v>
      </c>
      <c r="B176" s="10" t="s">
        <v>37</v>
      </c>
      <c r="C176" s="10">
        <v>5</v>
      </c>
      <c r="D176" s="6" t="s">
        <v>37</v>
      </c>
      <c r="E176" s="7" t="s">
        <v>34</v>
      </c>
      <c r="F176" s="6" t="s">
        <v>37</v>
      </c>
      <c r="G176" s="7" t="s">
        <v>34</v>
      </c>
      <c r="H176" s="6" t="s">
        <v>37</v>
      </c>
      <c r="I176" s="18">
        <f>PRODUCT($B$41,$C$38,$D$41,$E$38,$F$41)</f>
        <v>256</v>
      </c>
      <c r="J176" s="45">
        <f t="shared" si="13"/>
        <v>8e-5</v>
      </c>
      <c r="K176" s="11">
        <f t="shared" si="18"/>
        <v>75</v>
      </c>
      <c r="L176" s="45">
        <f t="shared" si="15"/>
        <v>0.006</v>
      </c>
    </row>
    <row r="177" ht="16.5" spans="1:12">
      <c r="A177" s="11" t="s">
        <v>148</v>
      </c>
      <c r="B177" s="10" t="s">
        <v>37</v>
      </c>
      <c r="C177" s="10">
        <v>5</v>
      </c>
      <c r="D177" s="6" t="s">
        <v>37</v>
      </c>
      <c r="E177" s="7" t="s">
        <v>34</v>
      </c>
      <c r="F177" s="6" t="s">
        <v>37</v>
      </c>
      <c r="G177" s="6" t="s">
        <v>37</v>
      </c>
      <c r="H177" s="7" t="s">
        <v>34</v>
      </c>
      <c r="I177" s="18">
        <f>PRODUCT($B$41,$C$38,$D$41,$E$41,$F$38)</f>
        <v>256</v>
      </c>
      <c r="J177" s="45">
        <f t="shared" ref="J177:J185" si="19">I177/$B$48</f>
        <v>8e-5</v>
      </c>
      <c r="K177" s="11">
        <f t="shared" si="18"/>
        <v>75</v>
      </c>
      <c r="L177" s="45">
        <f t="shared" ref="L177:L185" si="20">J177*K177</f>
        <v>0.006</v>
      </c>
    </row>
    <row r="178" ht="16.5" spans="1:12">
      <c r="A178" s="11" t="s">
        <v>148</v>
      </c>
      <c r="B178" s="10" t="s">
        <v>37</v>
      </c>
      <c r="C178" s="10">
        <v>5</v>
      </c>
      <c r="D178" s="6" t="s">
        <v>37</v>
      </c>
      <c r="E178" s="7" t="s">
        <v>34</v>
      </c>
      <c r="F178" s="6" t="s">
        <v>37</v>
      </c>
      <c r="G178" s="6" t="s">
        <v>37</v>
      </c>
      <c r="H178" s="6" t="s">
        <v>37</v>
      </c>
      <c r="I178" s="18">
        <f>PRODUCT($B$41,$C$38,$D$41,$E$41,$F$41)</f>
        <v>512</v>
      </c>
      <c r="J178" s="45">
        <f t="shared" si="19"/>
        <v>0.00016</v>
      </c>
      <c r="K178" s="11">
        <f t="shared" si="18"/>
        <v>75</v>
      </c>
      <c r="L178" s="45">
        <f t="shared" si="20"/>
        <v>0.012</v>
      </c>
    </row>
    <row r="179" ht="16.5" spans="1:12">
      <c r="A179" s="11" t="s">
        <v>148</v>
      </c>
      <c r="B179" s="10" t="s">
        <v>37</v>
      </c>
      <c r="C179" s="10">
        <v>5</v>
      </c>
      <c r="D179" s="6" t="s">
        <v>37</v>
      </c>
      <c r="E179" s="6" t="s">
        <v>37</v>
      </c>
      <c r="F179" s="7" t="s">
        <v>34</v>
      </c>
      <c r="G179" s="7" t="s">
        <v>34</v>
      </c>
      <c r="H179" s="7" t="s">
        <v>34</v>
      </c>
      <c r="I179" s="18">
        <f>PRODUCT($B$41,$C$41,$D$38,$E$38,$F$38)</f>
        <v>160</v>
      </c>
      <c r="J179" s="45">
        <f t="shared" si="19"/>
        <v>5e-5</v>
      </c>
      <c r="K179" s="11">
        <f t="shared" si="18"/>
        <v>75</v>
      </c>
      <c r="L179" s="45">
        <f t="shared" si="20"/>
        <v>0.00375</v>
      </c>
    </row>
    <row r="180" ht="16.5" spans="1:12">
      <c r="A180" s="11" t="s">
        <v>148</v>
      </c>
      <c r="B180" s="10" t="s">
        <v>37</v>
      </c>
      <c r="C180" s="10">
        <v>5</v>
      </c>
      <c r="D180" s="6" t="s">
        <v>37</v>
      </c>
      <c r="E180" s="6" t="s">
        <v>37</v>
      </c>
      <c r="F180" s="7" t="s">
        <v>34</v>
      </c>
      <c r="G180" s="7" t="s">
        <v>34</v>
      </c>
      <c r="H180" s="6" t="s">
        <v>37</v>
      </c>
      <c r="I180" s="18">
        <f>PRODUCT($B$41,$C$41,$D$38,$E$38,$F$41)</f>
        <v>320</v>
      </c>
      <c r="J180" s="45">
        <f t="shared" si="19"/>
        <v>0.0001</v>
      </c>
      <c r="K180" s="11">
        <f t="shared" si="18"/>
        <v>75</v>
      </c>
      <c r="L180" s="45">
        <f t="shared" si="20"/>
        <v>0.0075</v>
      </c>
    </row>
    <row r="181" ht="16.5" spans="1:12">
      <c r="A181" s="11" t="s">
        <v>148</v>
      </c>
      <c r="B181" s="10" t="s">
        <v>37</v>
      </c>
      <c r="C181" s="10">
        <v>5</v>
      </c>
      <c r="D181" s="6" t="s">
        <v>37</v>
      </c>
      <c r="E181" s="6" t="s">
        <v>37</v>
      </c>
      <c r="F181" s="7" t="s">
        <v>34</v>
      </c>
      <c r="G181" s="6" t="s">
        <v>37</v>
      </c>
      <c r="H181" s="7" t="s">
        <v>34</v>
      </c>
      <c r="I181" s="18">
        <f>PRODUCT($B$41,$C$41,$D$38,$E$41,$F$38)</f>
        <v>320</v>
      </c>
      <c r="J181" s="45">
        <f t="shared" si="19"/>
        <v>0.0001</v>
      </c>
      <c r="K181" s="11">
        <f t="shared" si="18"/>
        <v>75</v>
      </c>
      <c r="L181" s="45">
        <f t="shared" si="20"/>
        <v>0.0075</v>
      </c>
    </row>
    <row r="182" ht="16.5" spans="1:12">
      <c r="A182" s="11" t="s">
        <v>148</v>
      </c>
      <c r="B182" s="10" t="s">
        <v>37</v>
      </c>
      <c r="C182" s="10">
        <v>5</v>
      </c>
      <c r="D182" s="6" t="s">
        <v>37</v>
      </c>
      <c r="E182" s="6" t="s">
        <v>37</v>
      </c>
      <c r="F182" s="7" t="s">
        <v>34</v>
      </c>
      <c r="G182" s="6" t="s">
        <v>37</v>
      </c>
      <c r="H182" s="6" t="s">
        <v>37</v>
      </c>
      <c r="I182" s="18">
        <f>PRODUCT($B$41,$C$41,$D$38,$E$41,$F$41)</f>
        <v>640</v>
      </c>
      <c r="J182" s="45">
        <f t="shared" si="19"/>
        <v>0.0002</v>
      </c>
      <c r="K182" s="11">
        <f t="shared" si="18"/>
        <v>75</v>
      </c>
      <c r="L182" s="45">
        <f t="shared" si="20"/>
        <v>0.015</v>
      </c>
    </row>
    <row r="183" ht="16.5" spans="1:12">
      <c r="A183" s="11" t="s">
        <v>148</v>
      </c>
      <c r="B183" s="10" t="s">
        <v>37</v>
      </c>
      <c r="C183" s="10">
        <v>5</v>
      </c>
      <c r="D183" s="6" t="s">
        <v>37</v>
      </c>
      <c r="E183" s="6" t="s">
        <v>37</v>
      </c>
      <c r="F183" s="6" t="s">
        <v>37</v>
      </c>
      <c r="G183" s="7" t="s">
        <v>34</v>
      </c>
      <c r="H183" s="7" t="s">
        <v>34</v>
      </c>
      <c r="I183" s="18">
        <f>PRODUCT($B$41,$C$41,$D$41,$E$38,$F$38)</f>
        <v>320</v>
      </c>
      <c r="J183" s="45">
        <f t="shared" si="19"/>
        <v>0.0001</v>
      </c>
      <c r="K183" s="11">
        <f t="shared" si="18"/>
        <v>75</v>
      </c>
      <c r="L183" s="45">
        <f t="shared" si="20"/>
        <v>0.0075</v>
      </c>
    </row>
    <row r="184" ht="16.5" spans="1:12">
      <c r="A184" s="11" t="s">
        <v>148</v>
      </c>
      <c r="B184" s="10" t="s">
        <v>37</v>
      </c>
      <c r="C184" s="10">
        <v>5</v>
      </c>
      <c r="D184" s="6" t="s">
        <v>37</v>
      </c>
      <c r="E184" s="6" t="s">
        <v>37</v>
      </c>
      <c r="F184" s="6" t="s">
        <v>37</v>
      </c>
      <c r="G184" s="7" t="s">
        <v>34</v>
      </c>
      <c r="H184" s="6" t="s">
        <v>37</v>
      </c>
      <c r="I184" s="18">
        <f>PRODUCT($B$41,$C$41,$D$41,$E$38,$F$41)</f>
        <v>640</v>
      </c>
      <c r="J184" s="45">
        <f t="shared" si="19"/>
        <v>0.0002</v>
      </c>
      <c r="K184" s="11">
        <f t="shared" si="18"/>
        <v>75</v>
      </c>
      <c r="L184" s="45">
        <f t="shared" si="20"/>
        <v>0.015</v>
      </c>
    </row>
    <row r="185" ht="16.5" spans="1:12">
      <c r="A185" s="11" t="s">
        <v>148</v>
      </c>
      <c r="B185" s="10" t="s">
        <v>37</v>
      </c>
      <c r="C185" s="10">
        <v>5</v>
      </c>
      <c r="D185" s="6" t="s">
        <v>37</v>
      </c>
      <c r="E185" s="6" t="s">
        <v>37</v>
      </c>
      <c r="F185" s="6" t="s">
        <v>37</v>
      </c>
      <c r="G185" s="6" t="s">
        <v>37</v>
      </c>
      <c r="H185" s="7" t="s">
        <v>34</v>
      </c>
      <c r="I185" s="18">
        <f>PRODUCT($B$41,$C$41,$D$41,$E$41,$F$38)</f>
        <v>640</v>
      </c>
      <c r="J185" s="45">
        <f t="shared" si="19"/>
        <v>0.0002</v>
      </c>
      <c r="K185" s="11">
        <f t="shared" si="18"/>
        <v>75</v>
      </c>
      <c r="L185" s="45">
        <f t="shared" si="20"/>
        <v>0.015</v>
      </c>
    </row>
    <row r="186" ht="16.5" spans="1:12">
      <c r="A186" s="11" t="s">
        <v>148</v>
      </c>
      <c r="B186" s="10" t="s">
        <v>37</v>
      </c>
      <c r="C186" s="10">
        <v>4</v>
      </c>
      <c r="D186" s="7" t="s">
        <v>34</v>
      </c>
      <c r="E186" s="7" t="s">
        <v>34</v>
      </c>
      <c r="F186" s="6" t="s">
        <v>37</v>
      </c>
      <c r="G186" s="7" t="s">
        <v>34</v>
      </c>
      <c r="H186" s="7" t="s">
        <v>145</v>
      </c>
      <c r="I186" s="18">
        <f>PRODUCT($B$38,$C$38,$D$41,$E$38,($F$45-$F$38-$F$41))</f>
        <v>448</v>
      </c>
      <c r="J186" s="45">
        <f t="shared" ref="J186:J244" si="21">I186/$B$48</f>
        <v>0.00014</v>
      </c>
      <c r="K186" s="11">
        <f t="shared" ref="K186:K198" si="22">MAX(0,INDEX($B$3:$D$7,MATCH($B186,$A$3:$A$7,0),MATCH($C186,$B$2:$D$2,0)))</f>
        <v>20</v>
      </c>
      <c r="L186" s="45">
        <f t="shared" ref="L186:L244" si="23">J186*K186</f>
        <v>0.0028</v>
      </c>
    </row>
    <row r="187" ht="16.5" spans="1:12">
      <c r="A187" s="11" t="s">
        <v>148</v>
      </c>
      <c r="B187" s="10" t="s">
        <v>37</v>
      </c>
      <c r="C187" s="10">
        <v>4</v>
      </c>
      <c r="D187" s="7" t="s">
        <v>34</v>
      </c>
      <c r="E187" s="7" t="s">
        <v>34</v>
      </c>
      <c r="F187" s="6" t="s">
        <v>37</v>
      </c>
      <c r="G187" s="6" t="s">
        <v>37</v>
      </c>
      <c r="H187" s="7" t="s">
        <v>145</v>
      </c>
      <c r="I187" s="18">
        <f>PRODUCT($B$38,$C$38,$D$41,$E$41,($F$45-$F$38-$F$41))</f>
        <v>896</v>
      </c>
      <c r="J187" s="45">
        <f t="shared" si="21"/>
        <v>0.00028</v>
      </c>
      <c r="K187" s="11">
        <f t="shared" si="22"/>
        <v>20</v>
      </c>
      <c r="L187" s="45">
        <f t="shared" si="23"/>
        <v>0.0056</v>
      </c>
    </row>
    <row r="188" ht="16.5" spans="1:12">
      <c r="A188" s="11" t="s">
        <v>148</v>
      </c>
      <c r="B188" s="10" t="s">
        <v>37</v>
      </c>
      <c r="C188" s="10">
        <v>4</v>
      </c>
      <c r="D188" s="7" t="s">
        <v>34</v>
      </c>
      <c r="E188" s="6" t="s">
        <v>37</v>
      </c>
      <c r="F188" s="7" t="s">
        <v>34</v>
      </c>
      <c r="G188" s="7" t="s">
        <v>34</v>
      </c>
      <c r="H188" s="7" t="s">
        <v>145</v>
      </c>
      <c r="I188" s="18">
        <f>PRODUCT($B$38,$C$41,$D$38,$E$38,($F$45-$F$38-$F$41))</f>
        <v>560</v>
      </c>
      <c r="J188" s="45">
        <f t="shared" si="21"/>
        <v>0.000175</v>
      </c>
      <c r="K188" s="11">
        <f t="shared" si="22"/>
        <v>20</v>
      </c>
      <c r="L188" s="45">
        <f t="shared" si="23"/>
        <v>0.0035</v>
      </c>
    </row>
    <row r="189" ht="16.5" spans="1:12">
      <c r="A189" s="11" t="s">
        <v>148</v>
      </c>
      <c r="B189" s="10" t="s">
        <v>37</v>
      </c>
      <c r="C189" s="10">
        <v>4</v>
      </c>
      <c r="D189" s="7" t="s">
        <v>34</v>
      </c>
      <c r="E189" s="6" t="s">
        <v>37</v>
      </c>
      <c r="F189" s="7" t="s">
        <v>34</v>
      </c>
      <c r="G189" s="6" t="s">
        <v>37</v>
      </c>
      <c r="H189" s="7" t="s">
        <v>145</v>
      </c>
      <c r="I189" s="18">
        <f>PRODUCT($B$38,$C$41,$D$38,$E$41,($F$45-$F$38-$F$41))</f>
        <v>1120</v>
      </c>
      <c r="J189" s="45">
        <f t="shared" si="21"/>
        <v>0.00035</v>
      </c>
      <c r="K189" s="11">
        <f t="shared" si="22"/>
        <v>20</v>
      </c>
      <c r="L189" s="45">
        <f t="shared" si="23"/>
        <v>0.007</v>
      </c>
    </row>
    <row r="190" ht="16.5" spans="1:12">
      <c r="A190" s="11" t="s">
        <v>148</v>
      </c>
      <c r="B190" s="10" t="s">
        <v>37</v>
      </c>
      <c r="C190" s="10">
        <v>4</v>
      </c>
      <c r="D190" s="7" t="s">
        <v>34</v>
      </c>
      <c r="E190" s="6" t="s">
        <v>37</v>
      </c>
      <c r="F190" s="6" t="s">
        <v>37</v>
      </c>
      <c r="G190" s="7" t="s">
        <v>34</v>
      </c>
      <c r="H190" s="7" t="s">
        <v>145</v>
      </c>
      <c r="I190" s="18">
        <f>PRODUCT($B$38,$C$41,$D$41,$E$38,($F$45-$F$38-$F$41))</f>
        <v>1120</v>
      </c>
      <c r="J190" s="45">
        <f t="shared" si="21"/>
        <v>0.00035</v>
      </c>
      <c r="K190" s="11">
        <f t="shared" si="22"/>
        <v>20</v>
      </c>
      <c r="L190" s="45">
        <f t="shared" si="23"/>
        <v>0.007</v>
      </c>
    </row>
    <row r="191" ht="16.5" spans="1:12">
      <c r="A191" s="11" t="s">
        <v>148</v>
      </c>
      <c r="B191" s="10" t="s">
        <v>37</v>
      </c>
      <c r="C191" s="10">
        <v>4</v>
      </c>
      <c r="D191" s="7" t="s">
        <v>34</v>
      </c>
      <c r="E191" s="6" t="s">
        <v>37</v>
      </c>
      <c r="F191" s="6" t="s">
        <v>37</v>
      </c>
      <c r="G191" s="6" t="s">
        <v>37</v>
      </c>
      <c r="H191" s="7" t="s">
        <v>145</v>
      </c>
      <c r="I191" s="18">
        <f>PRODUCT($B$38,$C$41,$D$41,$E$41,($F$45-$F$38-$F$41))</f>
        <v>2240</v>
      </c>
      <c r="J191" s="45">
        <f t="shared" si="21"/>
        <v>0.0007</v>
      </c>
      <c r="K191" s="11">
        <f t="shared" si="22"/>
        <v>20</v>
      </c>
      <c r="L191" s="45">
        <f t="shared" si="23"/>
        <v>0.014</v>
      </c>
    </row>
    <row r="192" ht="16.5" spans="1:12">
      <c r="A192" s="11" t="s">
        <v>148</v>
      </c>
      <c r="B192" s="10" t="s">
        <v>37</v>
      </c>
      <c r="C192" s="10">
        <v>4</v>
      </c>
      <c r="D192" s="6" t="s">
        <v>37</v>
      </c>
      <c r="E192" s="7" t="s">
        <v>34</v>
      </c>
      <c r="F192" s="7" t="s">
        <v>34</v>
      </c>
      <c r="G192" s="7" t="s">
        <v>34</v>
      </c>
      <c r="H192" s="7" t="s">
        <v>145</v>
      </c>
      <c r="I192" s="18">
        <f>PRODUCT($B$41,$C$38,$D$38,$E$38,($F$45-$F$38-$F$41))</f>
        <v>448</v>
      </c>
      <c r="J192" s="45">
        <f t="shared" si="21"/>
        <v>0.00014</v>
      </c>
      <c r="K192" s="11">
        <f t="shared" si="22"/>
        <v>20</v>
      </c>
      <c r="L192" s="45">
        <f t="shared" si="23"/>
        <v>0.0028</v>
      </c>
    </row>
    <row r="193" ht="16.5" spans="1:12">
      <c r="A193" s="11" t="s">
        <v>148</v>
      </c>
      <c r="B193" s="10" t="s">
        <v>37</v>
      </c>
      <c r="C193" s="10">
        <v>4</v>
      </c>
      <c r="D193" s="6" t="s">
        <v>37</v>
      </c>
      <c r="E193" s="7" t="s">
        <v>34</v>
      </c>
      <c r="F193" s="7" t="s">
        <v>34</v>
      </c>
      <c r="G193" s="6" t="s">
        <v>37</v>
      </c>
      <c r="H193" s="7" t="s">
        <v>145</v>
      </c>
      <c r="I193" s="18">
        <f>PRODUCT($B$41,$C$38,$D$38,$E$41,($F$45-$F$38-$F$41))</f>
        <v>896</v>
      </c>
      <c r="J193" s="45">
        <f t="shared" si="21"/>
        <v>0.00028</v>
      </c>
      <c r="K193" s="11">
        <f t="shared" si="22"/>
        <v>20</v>
      </c>
      <c r="L193" s="45">
        <f t="shared" si="23"/>
        <v>0.0056</v>
      </c>
    </row>
    <row r="194" ht="16.5" spans="1:12">
      <c r="A194" s="11" t="s">
        <v>148</v>
      </c>
      <c r="B194" s="10" t="s">
        <v>37</v>
      </c>
      <c r="C194" s="10">
        <v>4</v>
      </c>
      <c r="D194" s="6" t="s">
        <v>37</v>
      </c>
      <c r="E194" s="7" t="s">
        <v>34</v>
      </c>
      <c r="F194" s="6" t="s">
        <v>37</v>
      </c>
      <c r="G194" s="7" t="s">
        <v>34</v>
      </c>
      <c r="H194" s="7" t="s">
        <v>145</v>
      </c>
      <c r="I194" s="18">
        <f>PRODUCT($B$41,$C$38,$D$41,$E$38,($F$45-$F$38-$F$41))</f>
        <v>896</v>
      </c>
      <c r="J194" s="45">
        <f t="shared" si="21"/>
        <v>0.00028</v>
      </c>
      <c r="K194" s="11">
        <f t="shared" si="22"/>
        <v>20</v>
      </c>
      <c r="L194" s="45">
        <f t="shared" si="23"/>
        <v>0.0056</v>
      </c>
    </row>
    <row r="195" ht="16.5" spans="1:12">
      <c r="A195" s="11" t="s">
        <v>148</v>
      </c>
      <c r="B195" s="10" t="s">
        <v>37</v>
      </c>
      <c r="C195" s="10">
        <v>4</v>
      </c>
      <c r="D195" s="6" t="s">
        <v>37</v>
      </c>
      <c r="E195" s="7" t="s">
        <v>34</v>
      </c>
      <c r="F195" s="6" t="s">
        <v>37</v>
      </c>
      <c r="G195" s="6" t="s">
        <v>37</v>
      </c>
      <c r="H195" s="7" t="s">
        <v>145</v>
      </c>
      <c r="I195" s="18">
        <f>PRODUCT($B$41,$C$38,$D$41,$E$41,($F$45-$F$38-$F$41))</f>
        <v>1792</v>
      </c>
      <c r="J195" s="45">
        <f t="shared" si="21"/>
        <v>0.00056</v>
      </c>
      <c r="K195" s="11">
        <f t="shared" si="22"/>
        <v>20</v>
      </c>
      <c r="L195" s="45">
        <f t="shared" si="23"/>
        <v>0.0112</v>
      </c>
    </row>
    <row r="196" ht="16.5" spans="1:12">
      <c r="A196" s="11" t="s">
        <v>148</v>
      </c>
      <c r="B196" s="10" t="s">
        <v>37</v>
      </c>
      <c r="C196" s="10">
        <v>4</v>
      </c>
      <c r="D196" s="6" t="s">
        <v>37</v>
      </c>
      <c r="E196" s="6" t="s">
        <v>37</v>
      </c>
      <c r="F196" s="7" t="s">
        <v>34</v>
      </c>
      <c r="G196" s="7" t="s">
        <v>34</v>
      </c>
      <c r="H196" s="7" t="s">
        <v>145</v>
      </c>
      <c r="I196" s="18">
        <f>PRODUCT($B$41,$C$41,$D$38,$E$38,($F$45-$F$38-$F$41))</f>
        <v>1120</v>
      </c>
      <c r="J196" s="45">
        <f t="shared" si="21"/>
        <v>0.00035</v>
      </c>
      <c r="K196" s="11">
        <f t="shared" si="22"/>
        <v>20</v>
      </c>
      <c r="L196" s="45">
        <f t="shared" si="23"/>
        <v>0.007</v>
      </c>
    </row>
    <row r="197" ht="16.5" spans="1:12">
      <c r="A197" s="11" t="s">
        <v>148</v>
      </c>
      <c r="B197" s="10" t="s">
        <v>37</v>
      </c>
      <c r="C197" s="10">
        <v>4</v>
      </c>
      <c r="D197" s="6" t="s">
        <v>37</v>
      </c>
      <c r="E197" s="6" t="s">
        <v>37</v>
      </c>
      <c r="F197" s="7" t="s">
        <v>34</v>
      </c>
      <c r="G197" s="6" t="s">
        <v>37</v>
      </c>
      <c r="H197" s="7" t="s">
        <v>145</v>
      </c>
      <c r="I197" s="18">
        <f>PRODUCT($B$41,$C$41,$D$38,$E$41,($F$45-$F$38-$F$41))</f>
        <v>2240</v>
      </c>
      <c r="J197" s="45">
        <f t="shared" si="21"/>
        <v>0.0007</v>
      </c>
      <c r="K197" s="11">
        <f t="shared" si="22"/>
        <v>20</v>
      </c>
      <c r="L197" s="45">
        <f t="shared" si="23"/>
        <v>0.014</v>
      </c>
    </row>
    <row r="198" ht="16.5" spans="1:12">
      <c r="A198" s="11" t="s">
        <v>148</v>
      </c>
      <c r="B198" s="10" t="s">
        <v>37</v>
      </c>
      <c r="C198" s="10">
        <v>4</v>
      </c>
      <c r="D198" s="6" t="s">
        <v>37</v>
      </c>
      <c r="E198" s="6" t="s">
        <v>37</v>
      </c>
      <c r="F198" s="6" t="s">
        <v>37</v>
      </c>
      <c r="G198" s="7" t="s">
        <v>34</v>
      </c>
      <c r="H198" s="7" t="s">
        <v>145</v>
      </c>
      <c r="I198" s="18">
        <f>PRODUCT($B$41,$C$41,$D$41,$E$38,($F$45-$F$38-$F$41))</f>
        <v>2240</v>
      </c>
      <c r="J198" s="45">
        <f t="shared" si="21"/>
        <v>0.0007</v>
      </c>
      <c r="K198" s="11">
        <f t="shared" si="22"/>
        <v>20</v>
      </c>
      <c r="L198" s="45">
        <f t="shared" si="23"/>
        <v>0.014</v>
      </c>
    </row>
    <row r="199" ht="16.5" spans="1:12">
      <c r="A199" s="11" t="s">
        <v>148</v>
      </c>
      <c r="B199" s="10" t="s">
        <v>37</v>
      </c>
      <c r="C199" s="10">
        <v>3</v>
      </c>
      <c r="D199" s="7" t="s">
        <v>34</v>
      </c>
      <c r="E199" s="7" t="s">
        <v>34</v>
      </c>
      <c r="F199" s="6" t="s">
        <v>37</v>
      </c>
      <c r="G199" s="7" t="s">
        <v>145</v>
      </c>
      <c r="H199" s="6" t="s">
        <v>143</v>
      </c>
      <c r="I199" s="18">
        <f>PRODUCT($B$38,$C$38,$D$41,($E$45-$E$38-$E$41),$F$45)</f>
        <v>4480</v>
      </c>
      <c r="J199" s="45">
        <f t="shared" si="21"/>
        <v>0.0014</v>
      </c>
      <c r="K199" s="11">
        <f t="shared" ref="K199:K204" si="24">MAX(0,INDEX($B$3:$D$7,MATCH($B199,$A$3:$A$7,0),MATCH($C199,$B$2:$D$2,0)))</f>
        <v>5</v>
      </c>
      <c r="L199" s="45">
        <f t="shared" si="23"/>
        <v>0.007</v>
      </c>
    </row>
    <row r="200" ht="16.5" spans="1:12">
      <c r="A200" s="11" t="s">
        <v>148</v>
      </c>
      <c r="B200" s="10" t="s">
        <v>37</v>
      </c>
      <c r="C200" s="10">
        <v>3</v>
      </c>
      <c r="D200" s="7" t="s">
        <v>34</v>
      </c>
      <c r="E200" s="6" t="s">
        <v>37</v>
      </c>
      <c r="F200" s="7" t="s">
        <v>34</v>
      </c>
      <c r="G200" s="7" t="s">
        <v>145</v>
      </c>
      <c r="H200" s="6" t="s">
        <v>143</v>
      </c>
      <c r="I200" s="18">
        <f>PRODUCT($B$38,$C$41,$D$38,($E$45-$E$38-$E$41),$F$45)</f>
        <v>5600</v>
      </c>
      <c r="J200" s="45">
        <f t="shared" si="21"/>
        <v>0.00175</v>
      </c>
      <c r="K200" s="11">
        <f t="shared" si="24"/>
        <v>5</v>
      </c>
      <c r="L200" s="45">
        <f t="shared" si="23"/>
        <v>0.00875</v>
      </c>
    </row>
    <row r="201" ht="16.5" spans="1:12">
      <c r="A201" s="11" t="s">
        <v>148</v>
      </c>
      <c r="B201" s="10" t="s">
        <v>37</v>
      </c>
      <c r="C201" s="10">
        <v>3</v>
      </c>
      <c r="D201" s="7" t="s">
        <v>34</v>
      </c>
      <c r="E201" s="6" t="s">
        <v>37</v>
      </c>
      <c r="F201" s="6" t="s">
        <v>37</v>
      </c>
      <c r="G201" s="7" t="s">
        <v>145</v>
      </c>
      <c r="H201" s="6" t="s">
        <v>143</v>
      </c>
      <c r="I201" s="18">
        <f>PRODUCT($B$38,$C$41,$D$41,($E$45-$E$38-$E$41),$F$45)</f>
        <v>11200</v>
      </c>
      <c r="J201" s="45">
        <f t="shared" si="21"/>
        <v>0.0035</v>
      </c>
      <c r="K201" s="11">
        <f t="shared" si="24"/>
        <v>5</v>
      </c>
      <c r="L201" s="45">
        <f t="shared" si="23"/>
        <v>0.0175</v>
      </c>
    </row>
    <row r="202" ht="16.5" spans="1:12">
      <c r="A202" s="11" t="s">
        <v>148</v>
      </c>
      <c r="B202" s="10" t="s">
        <v>37</v>
      </c>
      <c r="C202" s="10">
        <v>3</v>
      </c>
      <c r="D202" s="6" t="s">
        <v>37</v>
      </c>
      <c r="E202" s="7" t="s">
        <v>34</v>
      </c>
      <c r="F202" s="7" t="s">
        <v>34</v>
      </c>
      <c r="G202" s="7" t="s">
        <v>145</v>
      </c>
      <c r="H202" s="6" t="s">
        <v>143</v>
      </c>
      <c r="I202" s="18">
        <f>PRODUCT($B$41,$C$38,$D$38,($E$45-$E$38-$E$41),$F$45)</f>
        <v>4480</v>
      </c>
      <c r="J202" s="45">
        <f t="shared" si="21"/>
        <v>0.0014</v>
      </c>
      <c r="K202" s="11">
        <f t="shared" si="24"/>
        <v>5</v>
      </c>
      <c r="L202" s="45">
        <f t="shared" si="23"/>
        <v>0.007</v>
      </c>
    </row>
    <row r="203" ht="16.5" spans="1:12">
      <c r="A203" s="11" t="s">
        <v>148</v>
      </c>
      <c r="B203" s="10" t="s">
        <v>37</v>
      </c>
      <c r="C203" s="10">
        <v>3</v>
      </c>
      <c r="D203" s="6" t="s">
        <v>37</v>
      </c>
      <c r="E203" s="7" t="s">
        <v>34</v>
      </c>
      <c r="F203" s="6" t="s">
        <v>37</v>
      </c>
      <c r="G203" s="7" t="s">
        <v>145</v>
      </c>
      <c r="H203" s="6" t="s">
        <v>143</v>
      </c>
      <c r="I203" s="18">
        <f>PRODUCT($B$41,$C$38,$D$41,($E$45-$E$38-$E$41),$F$45)</f>
        <v>8960</v>
      </c>
      <c r="J203" s="45">
        <f t="shared" si="21"/>
        <v>0.0028</v>
      </c>
      <c r="K203" s="11">
        <f t="shared" si="24"/>
        <v>5</v>
      </c>
      <c r="L203" s="45">
        <f t="shared" si="23"/>
        <v>0.014</v>
      </c>
    </row>
    <row r="204" ht="16.5" spans="1:12">
      <c r="A204" s="11" t="s">
        <v>148</v>
      </c>
      <c r="B204" s="10" t="s">
        <v>37</v>
      </c>
      <c r="C204" s="10">
        <v>3</v>
      </c>
      <c r="D204" s="6" t="s">
        <v>37</v>
      </c>
      <c r="E204" s="6" t="s">
        <v>37</v>
      </c>
      <c r="F204" s="7" t="s">
        <v>34</v>
      </c>
      <c r="G204" s="7" t="s">
        <v>145</v>
      </c>
      <c r="H204" s="6" t="s">
        <v>143</v>
      </c>
      <c r="I204" s="18">
        <f>PRODUCT($B$41,$C$41,$D$38,($E$45-$E$38-$E$41),$F$45)</f>
        <v>11200</v>
      </c>
      <c r="J204" s="45">
        <f t="shared" si="21"/>
        <v>0.0035</v>
      </c>
      <c r="K204" s="11">
        <f t="shared" si="24"/>
        <v>5</v>
      </c>
      <c r="L204" s="45">
        <f t="shared" si="23"/>
        <v>0.0175</v>
      </c>
    </row>
    <row r="205" ht="16.5" spans="1:12">
      <c r="A205" s="11" t="s">
        <v>148</v>
      </c>
      <c r="B205" s="10">
        <v>10</v>
      </c>
      <c r="C205" s="10">
        <v>5</v>
      </c>
      <c r="D205" s="7" t="s">
        <v>34</v>
      </c>
      <c r="E205" s="7" t="s">
        <v>34</v>
      </c>
      <c r="F205" s="6">
        <v>10</v>
      </c>
      <c r="G205" s="7" t="s">
        <v>34</v>
      </c>
      <c r="H205" s="7" t="s">
        <v>34</v>
      </c>
      <c r="I205" s="18">
        <f>PRODUCT($B$38,$C$38,$D$42,$E$38,$F$38)</f>
        <v>64</v>
      </c>
      <c r="J205" s="45">
        <f t="shared" si="21"/>
        <v>2e-5</v>
      </c>
      <c r="K205" s="11">
        <f t="shared" ref="K205:K231" si="25">MAX(0,INDEX($B$3:$D$7,MATCH($B205,$A$3:$A$7,0),MATCH($C205,$B$2:$D$2,0)))</f>
        <v>75</v>
      </c>
      <c r="L205" s="45">
        <f t="shared" si="23"/>
        <v>0.0015</v>
      </c>
    </row>
    <row r="206" ht="16.5" spans="1:12">
      <c r="A206" s="11" t="s">
        <v>148</v>
      </c>
      <c r="B206" s="10">
        <v>10</v>
      </c>
      <c r="C206" s="10">
        <v>5</v>
      </c>
      <c r="D206" s="7" t="s">
        <v>34</v>
      </c>
      <c r="E206" s="7" t="s">
        <v>34</v>
      </c>
      <c r="F206" s="6">
        <v>10</v>
      </c>
      <c r="G206" s="7" t="s">
        <v>34</v>
      </c>
      <c r="H206" s="6">
        <v>10</v>
      </c>
      <c r="I206" s="18">
        <f>PRODUCT($B$38,$C$38,$D$42,$E$38,$F$42)</f>
        <v>128</v>
      </c>
      <c r="J206" s="45">
        <f t="shared" si="21"/>
        <v>4e-5</v>
      </c>
      <c r="K206" s="11">
        <f t="shared" si="25"/>
        <v>75</v>
      </c>
      <c r="L206" s="45">
        <f t="shared" si="23"/>
        <v>0.003</v>
      </c>
    </row>
    <row r="207" ht="16.5" spans="1:12">
      <c r="A207" s="11" t="s">
        <v>148</v>
      </c>
      <c r="B207" s="10">
        <v>10</v>
      </c>
      <c r="C207" s="10">
        <v>5</v>
      </c>
      <c r="D207" s="7" t="s">
        <v>34</v>
      </c>
      <c r="E207" s="7" t="s">
        <v>34</v>
      </c>
      <c r="F207" s="6">
        <v>10</v>
      </c>
      <c r="G207" s="6">
        <v>10</v>
      </c>
      <c r="H207" s="7" t="s">
        <v>34</v>
      </c>
      <c r="I207" s="18">
        <f>PRODUCT($B$38,$C$38,$D$42,$E$42,$F$38)</f>
        <v>128</v>
      </c>
      <c r="J207" s="45">
        <f t="shared" si="21"/>
        <v>4e-5</v>
      </c>
      <c r="K207" s="11">
        <f t="shared" si="25"/>
        <v>75</v>
      </c>
      <c r="L207" s="45">
        <f t="shared" si="23"/>
        <v>0.003</v>
      </c>
    </row>
    <row r="208" ht="16.5" spans="1:12">
      <c r="A208" s="11" t="s">
        <v>148</v>
      </c>
      <c r="B208" s="10">
        <v>10</v>
      </c>
      <c r="C208" s="10">
        <v>5</v>
      </c>
      <c r="D208" s="7" t="s">
        <v>34</v>
      </c>
      <c r="E208" s="7" t="s">
        <v>34</v>
      </c>
      <c r="F208" s="6">
        <v>10</v>
      </c>
      <c r="G208" s="6">
        <v>10</v>
      </c>
      <c r="H208" s="6">
        <v>10</v>
      </c>
      <c r="I208" s="18">
        <f>PRODUCT($B$38,$C$38,$D$42,$E$42,$F$42)</f>
        <v>256</v>
      </c>
      <c r="J208" s="45">
        <f t="shared" si="21"/>
        <v>8e-5</v>
      </c>
      <c r="K208" s="11">
        <f t="shared" si="25"/>
        <v>75</v>
      </c>
      <c r="L208" s="45">
        <f t="shared" si="23"/>
        <v>0.006</v>
      </c>
    </row>
    <row r="209" ht="16.5" spans="1:12">
      <c r="A209" s="11" t="s">
        <v>148</v>
      </c>
      <c r="B209" s="10">
        <v>10</v>
      </c>
      <c r="C209" s="10">
        <v>5</v>
      </c>
      <c r="D209" s="7" t="s">
        <v>34</v>
      </c>
      <c r="E209" s="6">
        <v>10</v>
      </c>
      <c r="F209" s="7" t="s">
        <v>34</v>
      </c>
      <c r="G209" s="7" t="s">
        <v>34</v>
      </c>
      <c r="H209" s="7" t="s">
        <v>34</v>
      </c>
      <c r="I209" s="18">
        <f>PRODUCT($B$38,$C$42,$D$38,$E$38,$F$38)</f>
        <v>48</v>
      </c>
      <c r="J209" s="45">
        <f t="shared" si="21"/>
        <v>1.5e-5</v>
      </c>
      <c r="K209" s="11">
        <f t="shared" si="25"/>
        <v>75</v>
      </c>
      <c r="L209" s="45">
        <f t="shared" si="23"/>
        <v>0.001125</v>
      </c>
    </row>
    <row r="210" ht="16.5" spans="1:12">
      <c r="A210" s="11" t="s">
        <v>148</v>
      </c>
      <c r="B210" s="10">
        <v>10</v>
      </c>
      <c r="C210" s="10">
        <v>5</v>
      </c>
      <c r="D210" s="7" t="s">
        <v>34</v>
      </c>
      <c r="E210" s="6">
        <v>10</v>
      </c>
      <c r="F210" s="7" t="s">
        <v>34</v>
      </c>
      <c r="G210" s="7" t="s">
        <v>34</v>
      </c>
      <c r="H210" s="6">
        <v>10</v>
      </c>
      <c r="I210" s="18">
        <f>PRODUCT($B$38,$C$42,$D$38,$E$38,$F$42)</f>
        <v>96</v>
      </c>
      <c r="J210" s="45">
        <f t="shared" si="21"/>
        <v>3e-5</v>
      </c>
      <c r="K210" s="11">
        <f t="shared" si="25"/>
        <v>75</v>
      </c>
      <c r="L210" s="45">
        <f t="shared" si="23"/>
        <v>0.00225</v>
      </c>
    </row>
    <row r="211" ht="16.5" spans="1:12">
      <c r="A211" s="11" t="s">
        <v>148</v>
      </c>
      <c r="B211" s="10">
        <v>10</v>
      </c>
      <c r="C211" s="10">
        <v>5</v>
      </c>
      <c r="D211" s="7" t="s">
        <v>34</v>
      </c>
      <c r="E211" s="6">
        <v>10</v>
      </c>
      <c r="F211" s="7" t="s">
        <v>34</v>
      </c>
      <c r="G211" s="6">
        <v>10</v>
      </c>
      <c r="H211" s="7" t="s">
        <v>34</v>
      </c>
      <c r="I211" s="18">
        <f>PRODUCT($B$38,$C$42,$D$38,$E$42,$F$38)</f>
        <v>96</v>
      </c>
      <c r="J211" s="45">
        <f t="shared" si="21"/>
        <v>3e-5</v>
      </c>
      <c r="K211" s="11">
        <f t="shared" si="25"/>
        <v>75</v>
      </c>
      <c r="L211" s="45">
        <f t="shared" si="23"/>
        <v>0.00225</v>
      </c>
    </row>
    <row r="212" ht="16.5" spans="1:12">
      <c r="A212" s="11" t="s">
        <v>148</v>
      </c>
      <c r="B212" s="10">
        <v>10</v>
      </c>
      <c r="C212" s="10">
        <v>5</v>
      </c>
      <c r="D212" s="7" t="s">
        <v>34</v>
      </c>
      <c r="E212" s="6">
        <v>10</v>
      </c>
      <c r="F212" s="7" t="s">
        <v>34</v>
      </c>
      <c r="G212" s="6">
        <v>10</v>
      </c>
      <c r="H212" s="6">
        <v>10</v>
      </c>
      <c r="I212" s="18">
        <f>PRODUCT($B$38,$C$42,$D$38,$E$42,$F$42)</f>
        <v>192</v>
      </c>
      <c r="J212" s="45">
        <f t="shared" si="21"/>
        <v>6e-5</v>
      </c>
      <c r="K212" s="11">
        <f t="shared" si="25"/>
        <v>75</v>
      </c>
      <c r="L212" s="45">
        <f t="shared" si="23"/>
        <v>0.0045</v>
      </c>
    </row>
    <row r="213" ht="16.5" spans="1:12">
      <c r="A213" s="11" t="s">
        <v>148</v>
      </c>
      <c r="B213" s="10">
        <v>10</v>
      </c>
      <c r="C213" s="10">
        <v>5</v>
      </c>
      <c r="D213" s="7" t="s">
        <v>34</v>
      </c>
      <c r="E213" s="6">
        <v>10</v>
      </c>
      <c r="F213" s="6">
        <v>10</v>
      </c>
      <c r="G213" s="7" t="s">
        <v>34</v>
      </c>
      <c r="H213" s="7" t="s">
        <v>34</v>
      </c>
      <c r="I213" s="18">
        <f>PRODUCT($B$38,$C$42,$D$42,$E$38,$F$38)</f>
        <v>96</v>
      </c>
      <c r="J213" s="45">
        <f t="shared" si="21"/>
        <v>3e-5</v>
      </c>
      <c r="K213" s="11">
        <f t="shared" si="25"/>
        <v>75</v>
      </c>
      <c r="L213" s="45">
        <f t="shared" si="23"/>
        <v>0.00225</v>
      </c>
    </row>
    <row r="214" ht="16.5" spans="1:12">
      <c r="A214" s="11" t="s">
        <v>148</v>
      </c>
      <c r="B214" s="10">
        <v>10</v>
      </c>
      <c r="C214" s="10">
        <v>5</v>
      </c>
      <c r="D214" s="7" t="s">
        <v>34</v>
      </c>
      <c r="E214" s="6">
        <v>10</v>
      </c>
      <c r="F214" s="6">
        <v>10</v>
      </c>
      <c r="G214" s="7" t="s">
        <v>34</v>
      </c>
      <c r="H214" s="6">
        <v>10</v>
      </c>
      <c r="I214" s="18">
        <f>PRODUCT($B$38,$C$42,$D$42,$E$38,$F$42)</f>
        <v>192</v>
      </c>
      <c r="J214" s="45">
        <f t="shared" si="21"/>
        <v>6e-5</v>
      </c>
      <c r="K214" s="11">
        <f t="shared" si="25"/>
        <v>75</v>
      </c>
      <c r="L214" s="45">
        <f t="shared" si="23"/>
        <v>0.0045</v>
      </c>
    </row>
    <row r="215" ht="16.5" spans="1:12">
      <c r="A215" s="11" t="s">
        <v>148</v>
      </c>
      <c r="B215" s="10">
        <v>10</v>
      </c>
      <c r="C215" s="10">
        <v>5</v>
      </c>
      <c r="D215" s="7" t="s">
        <v>34</v>
      </c>
      <c r="E215" s="6">
        <v>10</v>
      </c>
      <c r="F215" s="6">
        <v>10</v>
      </c>
      <c r="G215" s="6">
        <v>10</v>
      </c>
      <c r="H215" s="7" t="s">
        <v>34</v>
      </c>
      <c r="I215" s="18">
        <f>PRODUCT($B$38,$C$42,$D$42,$E$42,$F$38)</f>
        <v>192</v>
      </c>
      <c r="J215" s="45">
        <f t="shared" si="21"/>
        <v>6e-5</v>
      </c>
      <c r="K215" s="11">
        <f t="shared" si="25"/>
        <v>75</v>
      </c>
      <c r="L215" s="45">
        <f t="shared" si="23"/>
        <v>0.0045</v>
      </c>
    </row>
    <row r="216" ht="16.5" spans="1:12">
      <c r="A216" s="11" t="s">
        <v>148</v>
      </c>
      <c r="B216" s="10">
        <v>10</v>
      </c>
      <c r="C216" s="10">
        <v>5</v>
      </c>
      <c r="D216" s="7" t="s">
        <v>34</v>
      </c>
      <c r="E216" s="6">
        <v>10</v>
      </c>
      <c r="F216" s="6">
        <v>10</v>
      </c>
      <c r="G216" s="6">
        <v>10</v>
      </c>
      <c r="H216" s="6">
        <v>10</v>
      </c>
      <c r="I216" s="18">
        <f>PRODUCT($B$38,$C$42,$D$42,$E$42,$F$42)</f>
        <v>384</v>
      </c>
      <c r="J216" s="45">
        <f t="shared" si="21"/>
        <v>0.00012</v>
      </c>
      <c r="K216" s="11">
        <f t="shared" si="25"/>
        <v>75</v>
      </c>
      <c r="L216" s="45">
        <f t="shared" si="23"/>
        <v>0.009</v>
      </c>
    </row>
    <row r="217" ht="16.5" spans="1:12">
      <c r="A217" s="11" t="s">
        <v>148</v>
      </c>
      <c r="B217" s="10">
        <v>10</v>
      </c>
      <c r="C217" s="10">
        <v>5</v>
      </c>
      <c r="D217" s="6">
        <v>10</v>
      </c>
      <c r="E217" s="7" t="s">
        <v>34</v>
      </c>
      <c r="F217" s="7" t="s">
        <v>34</v>
      </c>
      <c r="G217" s="7" t="s">
        <v>34</v>
      </c>
      <c r="H217" s="7" t="s">
        <v>34</v>
      </c>
      <c r="I217" s="18">
        <f>PRODUCT($B$42,$C$38,$D$38,$E$38,$F$38)</f>
        <v>80</v>
      </c>
      <c r="J217" s="45">
        <f t="shared" si="21"/>
        <v>2.5e-5</v>
      </c>
      <c r="K217" s="11">
        <f t="shared" si="25"/>
        <v>75</v>
      </c>
      <c r="L217" s="45">
        <f t="shared" si="23"/>
        <v>0.001875</v>
      </c>
    </row>
    <row r="218" ht="16.5" spans="1:12">
      <c r="A218" s="11" t="s">
        <v>148</v>
      </c>
      <c r="B218" s="10">
        <v>10</v>
      </c>
      <c r="C218" s="10">
        <v>5</v>
      </c>
      <c r="D218" s="6">
        <v>10</v>
      </c>
      <c r="E218" s="7" t="s">
        <v>34</v>
      </c>
      <c r="F218" s="7" t="s">
        <v>34</v>
      </c>
      <c r="G218" s="7" t="s">
        <v>34</v>
      </c>
      <c r="H218" s="6">
        <v>10</v>
      </c>
      <c r="I218" s="18">
        <f>PRODUCT($B$42,$C$38,$D$38,$E$38,$F$42)</f>
        <v>160</v>
      </c>
      <c r="J218" s="45">
        <f t="shared" si="21"/>
        <v>5e-5</v>
      </c>
      <c r="K218" s="11">
        <f t="shared" si="25"/>
        <v>75</v>
      </c>
      <c r="L218" s="45">
        <f t="shared" si="23"/>
        <v>0.00375</v>
      </c>
    </row>
    <row r="219" ht="16.5" spans="1:12">
      <c r="A219" s="11" t="s">
        <v>148</v>
      </c>
      <c r="B219" s="10">
        <v>10</v>
      </c>
      <c r="C219" s="10">
        <v>5</v>
      </c>
      <c r="D219" s="6">
        <v>10</v>
      </c>
      <c r="E219" s="7" t="s">
        <v>34</v>
      </c>
      <c r="F219" s="7" t="s">
        <v>34</v>
      </c>
      <c r="G219" s="6">
        <v>10</v>
      </c>
      <c r="H219" s="7" t="s">
        <v>34</v>
      </c>
      <c r="I219" s="18">
        <f>PRODUCT($B$42,$C$38,$D$38,$E$42,$F$38)</f>
        <v>160</v>
      </c>
      <c r="J219" s="45">
        <f t="shared" si="21"/>
        <v>5e-5</v>
      </c>
      <c r="K219" s="11">
        <f t="shared" si="25"/>
        <v>75</v>
      </c>
      <c r="L219" s="45">
        <f t="shared" si="23"/>
        <v>0.00375</v>
      </c>
    </row>
    <row r="220" ht="16.5" spans="1:12">
      <c r="A220" s="11" t="s">
        <v>148</v>
      </c>
      <c r="B220" s="10">
        <v>10</v>
      </c>
      <c r="C220" s="10">
        <v>5</v>
      </c>
      <c r="D220" s="6">
        <v>10</v>
      </c>
      <c r="E220" s="7" t="s">
        <v>34</v>
      </c>
      <c r="F220" s="7" t="s">
        <v>34</v>
      </c>
      <c r="G220" s="6">
        <v>10</v>
      </c>
      <c r="H220" s="6">
        <v>10</v>
      </c>
      <c r="I220" s="18">
        <f>PRODUCT($B$42,$C$38,$D$38,$E$42,$F$42)</f>
        <v>320</v>
      </c>
      <c r="J220" s="45">
        <f t="shared" si="21"/>
        <v>0.0001</v>
      </c>
      <c r="K220" s="11">
        <f t="shared" si="25"/>
        <v>75</v>
      </c>
      <c r="L220" s="45">
        <f t="shared" si="23"/>
        <v>0.0075</v>
      </c>
    </row>
    <row r="221" ht="16.5" spans="1:12">
      <c r="A221" s="11" t="s">
        <v>148</v>
      </c>
      <c r="B221" s="10">
        <v>10</v>
      </c>
      <c r="C221" s="10">
        <v>5</v>
      </c>
      <c r="D221" s="6">
        <v>10</v>
      </c>
      <c r="E221" s="7" t="s">
        <v>34</v>
      </c>
      <c r="F221" s="6">
        <v>10</v>
      </c>
      <c r="G221" s="7" t="s">
        <v>34</v>
      </c>
      <c r="H221" s="7" t="s">
        <v>34</v>
      </c>
      <c r="I221" s="18">
        <f>PRODUCT($B$42,$C$38,$D$42,$E$38,$F$38)</f>
        <v>160</v>
      </c>
      <c r="J221" s="45">
        <f t="shared" si="21"/>
        <v>5e-5</v>
      </c>
      <c r="K221" s="11">
        <f t="shared" si="25"/>
        <v>75</v>
      </c>
      <c r="L221" s="45">
        <f t="shared" si="23"/>
        <v>0.00375</v>
      </c>
    </row>
    <row r="222" ht="16.5" spans="1:12">
      <c r="A222" s="11" t="s">
        <v>148</v>
      </c>
      <c r="B222" s="10">
        <v>10</v>
      </c>
      <c r="C222" s="10">
        <v>5</v>
      </c>
      <c r="D222" s="6">
        <v>10</v>
      </c>
      <c r="E222" s="7" t="s">
        <v>34</v>
      </c>
      <c r="F222" s="6">
        <v>10</v>
      </c>
      <c r="G222" s="7" t="s">
        <v>34</v>
      </c>
      <c r="H222" s="6">
        <v>10</v>
      </c>
      <c r="I222" s="18">
        <f>PRODUCT($B$42,$C$38,$D$42,$E$38,$F$42)</f>
        <v>320</v>
      </c>
      <c r="J222" s="45">
        <f t="shared" si="21"/>
        <v>0.0001</v>
      </c>
      <c r="K222" s="11">
        <f t="shared" si="25"/>
        <v>75</v>
      </c>
      <c r="L222" s="45">
        <f t="shared" si="23"/>
        <v>0.0075</v>
      </c>
    </row>
    <row r="223" ht="16.5" spans="1:12">
      <c r="A223" s="11" t="s">
        <v>148</v>
      </c>
      <c r="B223" s="10">
        <v>10</v>
      </c>
      <c r="C223" s="10">
        <v>5</v>
      </c>
      <c r="D223" s="6">
        <v>10</v>
      </c>
      <c r="E223" s="7" t="s">
        <v>34</v>
      </c>
      <c r="F223" s="6">
        <v>10</v>
      </c>
      <c r="G223" s="6">
        <v>10</v>
      </c>
      <c r="H223" s="7" t="s">
        <v>34</v>
      </c>
      <c r="I223" s="18">
        <f>PRODUCT($B$42,$C$38,$D$42,$E$42,$F$38)</f>
        <v>320</v>
      </c>
      <c r="J223" s="45">
        <f t="shared" si="21"/>
        <v>0.0001</v>
      </c>
      <c r="K223" s="11">
        <f t="shared" si="25"/>
        <v>75</v>
      </c>
      <c r="L223" s="45">
        <f t="shared" si="23"/>
        <v>0.0075</v>
      </c>
    </row>
    <row r="224" ht="16.5" spans="1:12">
      <c r="A224" s="11" t="s">
        <v>148</v>
      </c>
      <c r="B224" s="10">
        <v>10</v>
      </c>
      <c r="C224" s="10">
        <v>5</v>
      </c>
      <c r="D224" s="6">
        <v>10</v>
      </c>
      <c r="E224" s="7" t="s">
        <v>34</v>
      </c>
      <c r="F224" s="6">
        <v>10</v>
      </c>
      <c r="G224" s="6">
        <v>10</v>
      </c>
      <c r="H224" s="6">
        <v>10</v>
      </c>
      <c r="I224" s="18">
        <f>PRODUCT($B$42,$C$38,$D$42,$E$42,$F$42)</f>
        <v>640</v>
      </c>
      <c r="J224" s="45">
        <f t="shared" si="21"/>
        <v>0.0002</v>
      </c>
      <c r="K224" s="11">
        <f t="shared" si="25"/>
        <v>75</v>
      </c>
      <c r="L224" s="45">
        <f t="shared" si="23"/>
        <v>0.015</v>
      </c>
    </row>
    <row r="225" ht="16.5" spans="1:12">
      <c r="A225" s="11" t="s">
        <v>148</v>
      </c>
      <c r="B225" s="10">
        <v>10</v>
      </c>
      <c r="C225" s="10">
        <v>5</v>
      </c>
      <c r="D225" s="6">
        <v>10</v>
      </c>
      <c r="E225" s="6">
        <v>10</v>
      </c>
      <c r="F225" s="7" t="s">
        <v>34</v>
      </c>
      <c r="G225" s="7" t="s">
        <v>34</v>
      </c>
      <c r="H225" s="7" t="s">
        <v>34</v>
      </c>
      <c r="I225" s="18">
        <f>PRODUCT($B$42,$C$42,$D$38,$E$38,$F$38)</f>
        <v>120</v>
      </c>
      <c r="J225" s="45">
        <f t="shared" si="21"/>
        <v>3.75e-5</v>
      </c>
      <c r="K225" s="11">
        <f t="shared" si="25"/>
        <v>75</v>
      </c>
      <c r="L225" s="45">
        <f t="shared" si="23"/>
        <v>0.0028125</v>
      </c>
    </row>
    <row r="226" ht="16.5" spans="1:12">
      <c r="A226" s="11" t="s">
        <v>148</v>
      </c>
      <c r="B226" s="10">
        <v>10</v>
      </c>
      <c r="C226" s="10">
        <v>5</v>
      </c>
      <c r="D226" s="6">
        <v>10</v>
      </c>
      <c r="E226" s="6">
        <v>10</v>
      </c>
      <c r="F226" s="7" t="s">
        <v>34</v>
      </c>
      <c r="G226" s="7" t="s">
        <v>34</v>
      </c>
      <c r="H226" s="6">
        <v>10</v>
      </c>
      <c r="I226" s="18">
        <f>PRODUCT($B$42,$C$42,$D$38,$E$38,$F$42)</f>
        <v>240</v>
      </c>
      <c r="J226" s="45">
        <f t="shared" si="21"/>
        <v>7.5e-5</v>
      </c>
      <c r="K226" s="11">
        <f t="shared" si="25"/>
        <v>75</v>
      </c>
      <c r="L226" s="45">
        <f t="shared" si="23"/>
        <v>0.005625</v>
      </c>
    </row>
    <row r="227" ht="16.5" spans="1:12">
      <c r="A227" s="11" t="s">
        <v>148</v>
      </c>
      <c r="B227" s="10">
        <v>10</v>
      </c>
      <c r="C227" s="10">
        <v>5</v>
      </c>
      <c r="D227" s="6">
        <v>10</v>
      </c>
      <c r="E227" s="6">
        <v>10</v>
      </c>
      <c r="F227" s="7" t="s">
        <v>34</v>
      </c>
      <c r="G227" s="6">
        <v>10</v>
      </c>
      <c r="H227" s="7" t="s">
        <v>34</v>
      </c>
      <c r="I227" s="18">
        <f>PRODUCT($B$42,$C$42,$D$38,$E$42,$F$38)</f>
        <v>240</v>
      </c>
      <c r="J227" s="45">
        <f t="shared" si="21"/>
        <v>7.5e-5</v>
      </c>
      <c r="K227" s="11">
        <f t="shared" si="25"/>
        <v>75</v>
      </c>
      <c r="L227" s="45">
        <f t="shared" si="23"/>
        <v>0.005625</v>
      </c>
    </row>
    <row r="228" ht="16.5" spans="1:12">
      <c r="A228" s="11" t="s">
        <v>148</v>
      </c>
      <c r="B228" s="10">
        <v>10</v>
      </c>
      <c r="C228" s="10">
        <v>5</v>
      </c>
      <c r="D228" s="6">
        <v>10</v>
      </c>
      <c r="E228" s="6">
        <v>10</v>
      </c>
      <c r="F228" s="7" t="s">
        <v>34</v>
      </c>
      <c r="G228" s="6">
        <v>10</v>
      </c>
      <c r="H228" s="6">
        <v>10</v>
      </c>
      <c r="I228" s="18">
        <f>PRODUCT($B$42,$C$42,$D$38,$E$42,$F$42)</f>
        <v>480</v>
      </c>
      <c r="J228" s="45">
        <f t="shared" si="21"/>
        <v>0.00015</v>
      </c>
      <c r="K228" s="11">
        <f t="shared" si="25"/>
        <v>75</v>
      </c>
      <c r="L228" s="45">
        <f t="shared" si="23"/>
        <v>0.01125</v>
      </c>
    </row>
    <row r="229" ht="16.5" spans="1:12">
      <c r="A229" s="11" t="s">
        <v>148</v>
      </c>
      <c r="B229" s="10">
        <v>10</v>
      </c>
      <c r="C229" s="10">
        <v>5</v>
      </c>
      <c r="D229" s="6">
        <v>10</v>
      </c>
      <c r="E229" s="6">
        <v>10</v>
      </c>
      <c r="F229" s="6">
        <v>10</v>
      </c>
      <c r="G229" s="7" t="s">
        <v>34</v>
      </c>
      <c r="H229" s="7" t="s">
        <v>34</v>
      </c>
      <c r="I229" s="18">
        <f>PRODUCT($B$42,$C$42,$D$42,$E$38,$F$38)</f>
        <v>240</v>
      </c>
      <c r="J229" s="45">
        <f t="shared" si="21"/>
        <v>7.5e-5</v>
      </c>
      <c r="K229" s="11">
        <f t="shared" si="25"/>
        <v>75</v>
      </c>
      <c r="L229" s="45">
        <f t="shared" si="23"/>
        <v>0.005625</v>
      </c>
    </row>
    <row r="230" ht="16.5" spans="1:12">
      <c r="A230" s="11" t="s">
        <v>148</v>
      </c>
      <c r="B230" s="10">
        <v>10</v>
      </c>
      <c r="C230" s="10">
        <v>5</v>
      </c>
      <c r="D230" s="6">
        <v>10</v>
      </c>
      <c r="E230" s="6">
        <v>10</v>
      </c>
      <c r="F230" s="6">
        <v>10</v>
      </c>
      <c r="G230" s="7" t="s">
        <v>34</v>
      </c>
      <c r="H230" s="6">
        <v>10</v>
      </c>
      <c r="I230" s="18">
        <f>PRODUCT($B$42,$C$42,$D$42,$E$38,$F$42)</f>
        <v>480</v>
      </c>
      <c r="J230" s="45">
        <f t="shared" si="21"/>
        <v>0.00015</v>
      </c>
      <c r="K230" s="11">
        <f t="shared" si="25"/>
        <v>75</v>
      </c>
      <c r="L230" s="45">
        <f t="shared" si="23"/>
        <v>0.01125</v>
      </c>
    </row>
    <row r="231" ht="16.5" spans="1:12">
      <c r="A231" s="11" t="s">
        <v>148</v>
      </c>
      <c r="B231" s="10">
        <v>10</v>
      </c>
      <c r="C231" s="10">
        <v>5</v>
      </c>
      <c r="D231" s="6">
        <v>10</v>
      </c>
      <c r="E231" s="6">
        <v>10</v>
      </c>
      <c r="F231" s="6">
        <v>10</v>
      </c>
      <c r="G231" s="6">
        <v>10</v>
      </c>
      <c r="H231" s="7" t="s">
        <v>34</v>
      </c>
      <c r="I231" s="18">
        <f>PRODUCT($B$42,$C$42,$D$42,$E$42,$F$38)</f>
        <v>480</v>
      </c>
      <c r="J231" s="45">
        <f t="shared" si="21"/>
        <v>0.00015</v>
      </c>
      <c r="K231" s="11">
        <f t="shared" si="25"/>
        <v>75</v>
      </c>
      <c r="L231" s="45">
        <f t="shared" si="23"/>
        <v>0.01125</v>
      </c>
    </row>
    <row r="232" ht="16.5" spans="1:12">
      <c r="A232" s="11" t="s">
        <v>148</v>
      </c>
      <c r="B232" s="10">
        <v>10</v>
      </c>
      <c r="C232" s="10">
        <v>4</v>
      </c>
      <c r="D232" s="7" t="s">
        <v>34</v>
      </c>
      <c r="E232" s="7" t="s">
        <v>34</v>
      </c>
      <c r="F232" s="6">
        <v>10</v>
      </c>
      <c r="G232" s="7" t="s">
        <v>34</v>
      </c>
      <c r="H232" s="7" t="s">
        <v>146</v>
      </c>
      <c r="I232" s="18">
        <f>PRODUCT($B$38,$C$38,$D$42,$E$38,($F$45-$F$38-$F$42))</f>
        <v>448</v>
      </c>
      <c r="J232" s="45">
        <f t="shared" si="21"/>
        <v>0.00014</v>
      </c>
      <c r="K232" s="11">
        <f t="shared" ref="K232:K244" si="26">MAX(0,INDEX($B$3:$D$7,MATCH($B232,$A$3:$A$7,0),MATCH($C232,$B$2:$D$2,0)))</f>
        <v>20</v>
      </c>
      <c r="L232" s="45">
        <f t="shared" si="23"/>
        <v>0.0028</v>
      </c>
    </row>
    <row r="233" ht="16.5" spans="1:12">
      <c r="A233" s="11" t="s">
        <v>148</v>
      </c>
      <c r="B233" s="10">
        <v>10</v>
      </c>
      <c r="C233" s="10">
        <v>4</v>
      </c>
      <c r="D233" s="7" t="s">
        <v>34</v>
      </c>
      <c r="E233" s="7" t="s">
        <v>34</v>
      </c>
      <c r="F233" s="6">
        <v>10</v>
      </c>
      <c r="G233" s="6">
        <v>10</v>
      </c>
      <c r="H233" s="7" t="s">
        <v>146</v>
      </c>
      <c r="I233" s="18">
        <f>PRODUCT($B$38,$C$38,$D$42,$E$42,($F$45-$F$38-$F$42))</f>
        <v>896</v>
      </c>
      <c r="J233" s="45">
        <f t="shared" si="21"/>
        <v>0.00028</v>
      </c>
      <c r="K233" s="11">
        <f t="shared" si="26"/>
        <v>20</v>
      </c>
      <c r="L233" s="45">
        <f t="shared" si="23"/>
        <v>0.0056</v>
      </c>
    </row>
    <row r="234" ht="16.5" spans="1:12">
      <c r="A234" s="11" t="s">
        <v>148</v>
      </c>
      <c r="B234" s="10">
        <v>10</v>
      </c>
      <c r="C234" s="10">
        <v>4</v>
      </c>
      <c r="D234" s="7" t="s">
        <v>34</v>
      </c>
      <c r="E234" s="6">
        <v>10</v>
      </c>
      <c r="F234" s="7" t="s">
        <v>34</v>
      </c>
      <c r="G234" s="7" t="s">
        <v>34</v>
      </c>
      <c r="H234" s="7" t="s">
        <v>146</v>
      </c>
      <c r="I234" s="18">
        <f>PRODUCT($B$38,$C$42,$D$38,$E$38,($F$45-$F$38-$F$42))</f>
        <v>336</v>
      </c>
      <c r="J234" s="45">
        <f t="shared" si="21"/>
        <v>0.000105</v>
      </c>
      <c r="K234" s="11">
        <f t="shared" si="26"/>
        <v>20</v>
      </c>
      <c r="L234" s="45">
        <f t="shared" si="23"/>
        <v>0.0021</v>
      </c>
    </row>
    <row r="235" ht="16.5" spans="1:12">
      <c r="A235" s="11" t="s">
        <v>148</v>
      </c>
      <c r="B235" s="10">
        <v>10</v>
      </c>
      <c r="C235" s="10">
        <v>4</v>
      </c>
      <c r="D235" s="7" t="s">
        <v>34</v>
      </c>
      <c r="E235" s="6">
        <v>10</v>
      </c>
      <c r="F235" s="7" t="s">
        <v>34</v>
      </c>
      <c r="G235" s="6">
        <v>10</v>
      </c>
      <c r="H235" s="7" t="s">
        <v>146</v>
      </c>
      <c r="I235" s="18">
        <f>PRODUCT($B$38,$C$42,$D$38,$E$42,($F$45-$F$38-$F$42))</f>
        <v>672</v>
      </c>
      <c r="J235" s="45">
        <f t="shared" si="21"/>
        <v>0.00021</v>
      </c>
      <c r="K235" s="11">
        <f t="shared" si="26"/>
        <v>20</v>
      </c>
      <c r="L235" s="45">
        <f t="shared" si="23"/>
        <v>0.0042</v>
      </c>
    </row>
    <row r="236" ht="16.5" spans="1:12">
      <c r="A236" s="11" t="s">
        <v>148</v>
      </c>
      <c r="B236" s="10">
        <v>10</v>
      </c>
      <c r="C236" s="10">
        <v>4</v>
      </c>
      <c r="D236" s="7" t="s">
        <v>34</v>
      </c>
      <c r="E236" s="6">
        <v>10</v>
      </c>
      <c r="F236" s="6">
        <v>10</v>
      </c>
      <c r="G236" s="7" t="s">
        <v>34</v>
      </c>
      <c r="H236" s="7" t="s">
        <v>146</v>
      </c>
      <c r="I236" s="18">
        <f>PRODUCT($B$38,$C$42,$D$42,$E$38,($F$45-$F$38-$F$42))</f>
        <v>672</v>
      </c>
      <c r="J236" s="45">
        <f t="shared" si="21"/>
        <v>0.00021</v>
      </c>
      <c r="K236" s="11">
        <f t="shared" si="26"/>
        <v>20</v>
      </c>
      <c r="L236" s="45">
        <f t="shared" si="23"/>
        <v>0.0042</v>
      </c>
    </row>
    <row r="237" ht="16.5" spans="1:12">
      <c r="A237" s="11" t="s">
        <v>148</v>
      </c>
      <c r="B237" s="10">
        <v>10</v>
      </c>
      <c r="C237" s="10">
        <v>4</v>
      </c>
      <c r="D237" s="7" t="s">
        <v>34</v>
      </c>
      <c r="E237" s="6">
        <v>10</v>
      </c>
      <c r="F237" s="6">
        <v>10</v>
      </c>
      <c r="G237" s="6">
        <v>10</v>
      </c>
      <c r="H237" s="7" t="s">
        <v>146</v>
      </c>
      <c r="I237" s="18">
        <f>PRODUCT($B$38,$C$42,$D$42,$E$42,($F$45-$F$38-$F$42))</f>
        <v>1344</v>
      </c>
      <c r="J237" s="45">
        <f t="shared" si="21"/>
        <v>0.00042</v>
      </c>
      <c r="K237" s="11">
        <f t="shared" si="26"/>
        <v>20</v>
      </c>
      <c r="L237" s="45">
        <f t="shared" si="23"/>
        <v>0.0084</v>
      </c>
    </row>
    <row r="238" ht="16.5" spans="1:12">
      <c r="A238" s="11" t="s">
        <v>148</v>
      </c>
      <c r="B238" s="10">
        <v>10</v>
      </c>
      <c r="C238" s="10">
        <v>4</v>
      </c>
      <c r="D238" s="6">
        <v>10</v>
      </c>
      <c r="E238" s="7" t="s">
        <v>34</v>
      </c>
      <c r="F238" s="7" t="s">
        <v>34</v>
      </c>
      <c r="G238" s="7" t="s">
        <v>34</v>
      </c>
      <c r="H238" s="7" t="s">
        <v>146</v>
      </c>
      <c r="I238" s="18">
        <f>PRODUCT($B$42,$C$38,$D$38,$E$38,($F$45-$F$38-$F$42))</f>
        <v>560</v>
      </c>
      <c r="J238" s="45">
        <f t="shared" si="21"/>
        <v>0.000175</v>
      </c>
      <c r="K238" s="11">
        <f t="shared" si="26"/>
        <v>20</v>
      </c>
      <c r="L238" s="45">
        <f t="shared" si="23"/>
        <v>0.0035</v>
      </c>
    </row>
    <row r="239" ht="16.5" spans="1:12">
      <c r="A239" s="11" t="s">
        <v>148</v>
      </c>
      <c r="B239" s="10">
        <v>10</v>
      </c>
      <c r="C239" s="10">
        <v>4</v>
      </c>
      <c r="D239" s="6">
        <v>10</v>
      </c>
      <c r="E239" s="7" t="s">
        <v>34</v>
      </c>
      <c r="F239" s="7" t="s">
        <v>34</v>
      </c>
      <c r="G239" s="6">
        <v>10</v>
      </c>
      <c r="H239" s="7" t="s">
        <v>146</v>
      </c>
      <c r="I239" s="18">
        <f>PRODUCT($B$42,$C$38,$D$38,$E$42,($F$45-$F$38-$F$42))</f>
        <v>1120</v>
      </c>
      <c r="J239" s="45">
        <f t="shared" si="21"/>
        <v>0.00035</v>
      </c>
      <c r="K239" s="11">
        <f t="shared" si="26"/>
        <v>20</v>
      </c>
      <c r="L239" s="45">
        <f t="shared" si="23"/>
        <v>0.007</v>
      </c>
    </row>
    <row r="240" ht="16.5" spans="1:12">
      <c r="A240" s="11" t="s">
        <v>148</v>
      </c>
      <c r="B240" s="10">
        <v>10</v>
      </c>
      <c r="C240" s="10">
        <v>4</v>
      </c>
      <c r="D240" s="6">
        <v>10</v>
      </c>
      <c r="E240" s="7" t="s">
        <v>34</v>
      </c>
      <c r="F240" s="6">
        <v>10</v>
      </c>
      <c r="G240" s="7" t="s">
        <v>34</v>
      </c>
      <c r="H240" s="7" t="s">
        <v>146</v>
      </c>
      <c r="I240" s="18">
        <f>PRODUCT($B$42,$C$38,$D$42,$E$38,($F$45-$F$38-$F$42))</f>
        <v>1120</v>
      </c>
      <c r="J240" s="45">
        <f t="shared" si="21"/>
        <v>0.00035</v>
      </c>
      <c r="K240" s="11">
        <f t="shared" si="26"/>
        <v>20</v>
      </c>
      <c r="L240" s="45">
        <f t="shared" si="23"/>
        <v>0.007</v>
      </c>
    </row>
    <row r="241" ht="16.5" spans="1:12">
      <c r="A241" s="11" t="s">
        <v>148</v>
      </c>
      <c r="B241" s="10">
        <v>10</v>
      </c>
      <c r="C241" s="10">
        <v>4</v>
      </c>
      <c r="D241" s="6">
        <v>10</v>
      </c>
      <c r="E241" s="7" t="s">
        <v>34</v>
      </c>
      <c r="F241" s="6">
        <v>10</v>
      </c>
      <c r="G241" s="6">
        <v>10</v>
      </c>
      <c r="H241" s="7" t="s">
        <v>146</v>
      </c>
      <c r="I241" s="18">
        <f>PRODUCT($B$42,$C$38,$D$42,$E$42,($F$45-$F$38-$F$42))</f>
        <v>2240</v>
      </c>
      <c r="J241" s="45">
        <f t="shared" si="21"/>
        <v>0.0007</v>
      </c>
      <c r="K241" s="11">
        <f t="shared" si="26"/>
        <v>20</v>
      </c>
      <c r="L241" s="45">
        <f t="shared" si="23"/>
        <v>0.014</v>
      </c>
    </row>
    <row r="242" ht="16.5" spans="1:12">
      <c r="A242" s="11" t="s">
        <v>148</v>
      </c>
      <c r="B242" s="10">
        <v>10</v>
      </c>
      <c r="C242" s="10">
        <v>4</v>
      </c>
      <c r="D242" s="6">
        <v>10</v>
      </c>
      <c r="E242" s="6">
        <v>10</v>
      </c>
      <c r="F242" s="7" t="s">
        <v>34</v>
      </c>
      <c r="G242" s="7" t="s">
        <v>34</v>
      </c>
      <c r="H242" s="7" t="s">
        <v>146</v>
      </c>
      <c r="I242" s="18">
        <f>PRODUCT($B$42,$C$42,$D$38,$E$38,($F$45-$F$38-$F$42))</f>
        <v>840</v>
      </c>
      <c r="J242" s="45">
        <f t="shared" si="21"/>
        <v>0.0002625</v>
      </c>
      <c r="K242" s="11">
        <f t="shared" si="26"/>
        <v>20</v>
      </c>
      <c r="L242" s="45">
        <f t="shared" si="23"/>
        <v>0.00525</v>
      </c>
    </row>
    <row r="243" ht="16.5" spans="1:12">
      <c r="A243" s="11" t="s">
        <v>148</v>
      </c>
      <c r="B243" s="10">
        <v>10</v>
      </c>
      <c r="C243" s="10">
        <v>4</v>
      </c>
      <c r="D243" s="6">
        <v>10</v>
      </c>
      <c r="E243" s="6">
        <v>10</v>
      </c>
      <c r="F243" s="7" t="s">
        <v>34</v>
      </c>
      <c r="G243" s="6">
        <v>10</v>
      </c>
      <c r="H243" s="7" t="s">
        <v>146</v>
      </c>
      <c r="I243" s="18">
        <f>PRODUCT($B$42,$C$42,$D$38,$E$42,($F$45-$F$38-$F$42))</f>
        <v>1680</v>
      </c>
      <c r="J243" s="45">
        <f t="shared" si="21"/>
        <v>0.000525</v>
      </c>
      <c r="K243" s="11">
        <f t="shared" si="26"/>
        <v>20</v>
      </c>
      <c r="L243" s="45">
        <f t="shared" si="23"/>
        <v>0.0105</v>
      </c>
    </row>
    <row r="244" ht="16.5" spans="1:12">
      <c r="A244" s="11" t="s">
        <v>148</v>
      </c>
      <c r="B244" s="10">
        <v>10</v>
      </c>
      <c r="C244" s="10">
        <v>4</v>
      </c>
      <c r="D244" s="6">
        <v>10</v>
      </c>
      <c r="E244" s="6">
        <v>10</v>
      </c>
      <c r="F244" s="6">
        <v>10</v>
      </c>
      <c r="G244" s="7" t="s">
        <v>34</v>
      </c>
      <c r="H244" s="7" t="s">
        <v>146</v>
      </c>
      <c r="I244" s="18">
        <f>PRODUCT($B$42,$C$42,$D$42,$E$38,($F$45-$F$38-$F$42))</f>
        <v>1680</v>
      </c>
      <c r="J244" s="45">
        <f t="shared" si="21"/>
        <v>0.000525</v>
      </c>
      <c r="K244" s="11">
        <f t="shared" si="26"/>
        <v>20</v>
      </c>
      <c r="L244" s="45">
        <f t="shared" si="23"/>
        <v>0.0105</v>
      </c>
    </row>
    <row r="245" ht="16.5" spans="1:12">
      <c r="A245" s="11" t="s">
        <v>148</v>
      </c>
      <c r="B245" s="10">
        <v>10</v>
      </c>
      <c r="C245" s="10">
        <v>3</v>
      </c>
      <c r="D245" s="7" t="s">
        <v>34</v>
      </c>
      <c r="E245" s="7" t="s">
        <v>34</v>
      </c>
      <c r="F245" s="6">
        <v>10</v>
      </c>
      <c r="G245" s="7" t="s">
        <v>146</v>
      </c>
      <c r="H245" s="6" t="s">
        <v>143</v>
      </c>
      <c r="I245" s="18">
        <f>PRODUCT($B$38,$C$38,$D$42,($E$45-$E$38-$E$42),$F$45)</f>
        <v>4480</v>
      </c>
      <c r="J245" s="45">
        <f t="shared" ref="J245:J279" si="27">I245/$B$48</f>
        <v>0.0014</v>
      </c>
      <c r="K245" s="11">
        <f t="shared" ref="K245:K250" si="28">MAX(0,INDEX($B$3:$D$7,MATCH($B245,$A$3:$A$7,0),MATCH($C245,$B$2:$D$2,0)))</f>
        <v>5</v>
      </c>
      <c r="L245" s="45">
        <f t="shared" ref="L245:L279" si="29">J245*K245</f>
        <v>0.007</v>
      </c>
    </row>
    <row r="246" ht="16.5" spans="1:12">
      <c r="A246" s="11" t="s">
        <v>148</v>
      </c>
      <c r="B246" s="10">
        <v>10</v>
      </c>
      <c r="C246" s="10">
        <v>3</v>
      </c>
      <c r="D246" s="7" t="s">
        <v>34</v>
      </c>
      <c r="E246" s="6">
        <v>10</v>
      </c>
      <c r="F246" s="7" t="s">
        <v>34</v>
      </c>
      <c r="G246" s="7" t="s">
        <v>146</v>
      </c>
      <c r="H246" s="6" t="s">
        <v>143</v>
      </c>
      <c r="I246" s="18">
        <f>PRODUCT($B$38,$C$42,$D$38,($E$45-$E$38-$E$42),$F$45)</f>
        <v>3360</v>
      </c>
      <c r="J246" s="45">
        <f t="shared" si="27"/>
        <v>0.00105</v>
      </c>
      <c r="K246" s="11">
        <f t="shared" si="28"/>
        <v>5</v>
      </c>
      <c r="L246" s="45">
        <f t="shared" si="29"/>
        <v>0.00525</v>
      </c>
    </row>
    <row r="247" ht="16.5" spans="1:12">
      <c r="A247" s="11" t="s">
        <v>148</v>
      </c>
      <c r="B247" s="10">
        <v>10</v>
      </c>
      <c r="C247" s="10">
        <v>3</v>
      </c>
      <c r="D247" s="7" t="s">
        <v>34</v>
      </c>
      <c r="E247" s="6">
        <v>10</v>
      </c>
      <c r="F247" s="6">
        <v>10</v>
      </c>
      <c r="G247" s="7" t="s">
        <v>146</v>
      </c>
      <c r="H247" s="6" t="s">
        <v>143</v>
      </c>
      <c r="I247" s="18">
        <f>PRODUCT($B$38,$C$42,$D$42,($E$45-$E$38-$E$42),$F$45)</f>
        <v>6720</v>
      </c>
      <c r="J247" s="45">
        <f t="shared" si="27"/>
        <v>0.0021</v>
      </c>
      <c r="K247" s="11">
        <f t="shared" si="28"/>
        <v>5</v>
      </c>
      <c r="L247" s="45">
        <f t="shared" si="29"/>
        <v>0.0105</v>
      </c>
    </row>
    <row r="248" ht="16.5" spans="1:12">
      <c r="A248" s="11" t="s">
        <v>148</v>
      </c>
      <c r="B248" s="10">
        <v>10</v>
      </c>
      <c r="C248" s="10">
        <v>3</v>
      </c>
      <c r="D248" s="6">
        <v>10</v>
      </c>
      <c r="E248" s="7" t="s">
        <v>34</v>
      </c>
      <c r="F248" s="7" t="s">
        <v>34</v>
      </c>
      <c r="G248" s="7" t="s">
        <v>146</v>
      </c>
      <c r="H248" s="6" t="s">
        <v>143</v>
      </c>
      <c r="I248" s="18">
        <f>PRODUCT($B$42,$C$38,$D$38,($E$45-$E$38-$E$42),$F$45)</f>
        <v>5600</v>
      </c>
      <c r="J248" s="45">
        <f t="shared" si="27"/>
        <v>0.00175</v>
      </c>
      <c r="K248" s="11">
        <f t="shared" si="28"/>
        <v>5</v>
      </c>
      <c r="L248" s="45">
        <f t="shared" si="29"/>
        <v>0.00875</v>
      </c>
    </row>
    <row r="249" ht="16.5" spans="1:12">
      <c r="A249" s="11" t="s">
        <v>148</v>
      </c>
      <c r="B249" s="10">
        <v>10</v>
      </c>
      <c r="C249" s="10">
        <v>3</v>
      </c>
      <c r="D249" s="6">
        <v>10</v>
      </c>
      <c r="E249" s="7" t="s">
        <v>34</v>
      </c>
      <c r="F249" s="6">
        <v>10</v>
      </c>
      <c r="G249" s="7" t="s">
        <v>146</v>
      </c>
      <c r="H249" s="6" t="s">
        <v>143</v>
      </c>
      <c r="I249" s="18">
        <f>PRODUCT($B$42,$C$38,$D$42,($E$45-$E$38-$E$42),$F$45)</f>
        <v>11200</v>
      </c>
      <c r="J249" s="45">
        <f t="shared" si="27"/>
        <v>0.0035</v>
      </c>
      <c r="K249" s="11">
        <f t="shared" si="28"/>
        <v>5</v>
      </c>
      <c r="L249" s="45">
        <f t="shared" si="29"/>
        <v>0.0175</v>
      </c>
    </row>
    <row r="250" ht="16.5" spans="1:12">
      <c r="A250" s="11" t="s">
        <v>148</v>
      </c>
      <c r="B250" s="10">
        <v>10</v>
      </c>
      <c r="C250" s="10">
        <v>3</v>
      </c>
      <c r="D250" s="6">
        <v>10</v>
      </c>
      <c r="E250" s="6">
        <v>10</v>
      </c>
      <c r="F250" s="7" t="s">
        <v>34</v>
      </c>
      <c r="G250" s="7" t="s">
        <v>146</v>
      </c>
      <c r="H250" s="6" t="s">
        <v>143</v>
      </c>
      <c r="I250" s="18">
        <f>PRODUCT($B$42,$C$42,$D$38,($E$45-$E$38-$E$42),$F$45)</f>
        <v>8400</v>
      </c>
      <c r="J250" s="45">
        <f t="shared" si="27"/>
        <v>0.002625</v>
      </c>
      <c r="K250" s="11">
        <f t="shared" si="28"/>
        <v>5</v>
      </c>
      <c r="L250" s="45">
        <f t="shared" si="29"/>
        <v>0.013125</v>
      </c>
    </row>
    <row r="251" ht="16.5" spans="1:12">
      <c r="A251" s="11" t="s">
        <v>148</v>
      </c>
      <c r="B251" s="10">
        <v>9</v>
      </c>
      <c r="C251" s="10">
        <v>5</v>
      </c>
      <c r="D251" s="7" t="s">
        <v>34</v>
      </c>
      <c r="E251" s="7" t="s">
        <v>34</v>
      </c>
      <c r="F251" s="6">
        <v>9</v>
      </c>
      <c r="G251" s="7" t="s">
        <v>34</v>
      </c>
      <c r="H251" s="7" t="s">
        <v>34</v>
      </c>
      <c r="I251" s="18">
        <f>PRODUCT($B$38,$C$38,$D$43,$E$38,$F$38)</f>
        <v>64</v>
      </c>
      <c r="J251" s="45">
        <f t="shared" si="27"/>
        <v>2e-5</v>
      </c>
      <c r="K251" s="11">
        <f t="shared" ref="K251:K277" si="30">MAX(0,INDEX($B$3:$D$7,MATCH($B251,$A$3:$A$7,0),MATCH($C251,$B$2:$D$2,0)))</f>
        <v>50</v>
      </c>
      <c r="L251" s="45">
        <f t="shared" si="29"/>
        <v>0.001</v>
      </c>
    </row>
    <row r="252" ht="16.5" spans="1:12">
      <c r="A252" s="11" t="s">
        <v>148</v>
      </c>
      <c r="B252" s="10">
        <v>9</v>
      </c>
      <c r="C252" s="10">
        <v>5</v>
      </c>
      <c r="D252" s="7" t="s">
        <v>34</v>
      </c>
      <c r="E252" s="7" t="s">
        <v>34</v>
      </c>
      <c r="F252" s="6">
        <v>9</v>
      </c>
      <c r="G252" s="7" t="s">
        <v>34</v>
      </c>
      <c r="H252" s="6">
        <v>9</v>
      </c>
      <c r="I252" s="18">
        <f>PRODUCT($B$38,$C$38,$D$43,$E$38,$F$43)</f>
        <v>128</v>
      </c>
      <c r="J252" s="45">
        <f t="shared" si="27"/>
        <v>4e-5</v>
      </c>
      <c r="K252" s="11">
        <f t="shared" si="30"/>
        <v>50</v>
      </c>
      <c r="L252" s="45">
        <f t="shared" si="29"/>
        <v>0.002</v>
      </c>
    </row>
    <row r="253" ht="16.5" spans="1:12">
      <c r="A253" s="11" t="s">
        <v>148</v>
      </c>
      <c r="B253" s="10">
        <v>9</v>
      </c>
      <c r="C253" s="10">
        <v>5</v>
      </c>
      <c r="D253" s="7" t="s">
        <v>34</v>
      </c>
      <c r="E253" s="7" t="s">
        <v>34</v>
      </c>
      <c r="F253" s="6">
        <v>9</v>
      </c>
      <c r="G253" s="6">
        <v>9</v>
      </c>
      <c r="H253" s="7" t="s">
        <v>34</v>
      </c>
      <c r="I253" s="18">
        <f>PRODUCT($B$38,$C$38,$D$43,$E$43,$F$38)</f>
        <v>128</v>
      </c>
      <c r="J253" s="45">
        <f t="shared" si="27"/>
        <v>4e-5</v>
      </c>
      <c r="K253" s="11">
        <f t="shared" si="30"/>
        <v>50</v>
      </c>
      <c r="L253" s="45">
        <f t="shared" si="29"/>
        <v>0.002</v>
      </c>
    </row>
    <row r="254" ht="16.5" spans="1:12">
      <c r="A254" s="11" t="s">
        <v>148</v>
      </c>
      <c r="B254" s="10">
        <v>9</v>
      </c>
      <c r="C254" s="10">
        <v>5</v>
      </c>
      <c r="D254" s="7" t="s">
        <v>34</v>
      </c>
      <c r="E254" s="7" t="s">
        <v>34</v>
      </c>
      <c r="F254" s="6">
        <v>9</v>
      </c>
      <c r="G254" s="6">
        <v>9</v>
      </c>
      <c r="H254" s="6">
        <v>9</v>
      </c>
      <c r="I254" s="18">
        <f>PRODUCT($B$38,$C$38,$D$43,$E$43,$F$43)</f>
        <v>256</v>
      </c>
      <c r="J254" s="45">
        <f t="shared" si="27"/>
        <v>8e-5</v>
      </c>
      <c r="K254" s="11">
        <f t="shared" si="30"/>
        <v>50</v>
      </c>
      <c r="L254" s="45">
        <f t="shared" si="29"/>
        <v>0.004</v>
      </c>
    </row>
    <row r="255" ht="16.5" spans="1:12">
      <c r="A255" s="11" t="s">
        <v>148</v>
      </c>
      <c r="B255" s="10">
        <v>9</v>
      </c>
      <c r="C255" s="10">
        <v>5</v>
      </c>
      <c r="D255" s="7" t="s">
        <v>34</v>
      </c>
      <c r="E255" s="6">
        <v>9</v>
      </c>
      <c r="F255" s="7" t="s">
        <v>34</v>
      </c>
      <c r="G255" s="7" t="s">
        <v>34</v>
      </c>
      <c r="H255" s="7" t="s">
        <v>34</v>
      </c>
      <c r="I255" s="18">
        <f>PRODUCT($B$38,$C$43,$D$38,$E$38,$F$38)</f>
        <v>64</v>
      </c>
      <c r="J255" s="45">
        <f t="shared" si="27"/>
        <v>2e-5</v>
      </c>
      <c r="K255" s="11">
        <f t="shared" si="30"/>
        <v>50</v>
      </c>
      <c r="L255" s="45">
        <f t="shared" si="29"/>
        <v>0.001</v>
      </c>
    </row>
    <row r="256" ht="16.5" spans="1:12">
      <c r="A256" s="11" t="s">
        <v>148</v>
      </c>
      <c r="B256" s="10">
        <v>9</v>
      </c>
      <c r="C256" s="10">
        <v>5</v>
      </c>
      <c r="D256" s="7" t="s">
        <v>34</v>
      </c>
      <c r="E256" s="6">
        <v>9</v>
      </c>
      <c r="F256" s="7" t="s">
        <v>34</v>
      </c>
      <c r="G256" s="7" t="s">
        <v>34</v>
      </c>
      <c r="H256" s="6">
        <v>9</v>
      </c>
      <c r="I256" s="18">
        <f>PRODUCT($B$38,$C$43,$D$38,$E$38,$F$43)</f>
        <v>128</v>
      </c>
      <c r="J256" s="45">
        <f t="shared" si="27"/>
        <v>4e-5</v>
      </c>
      <c r="K256" s="11">
        <f t="shared" si="30"/>
        <v>50</v>
      </c>
      <c r="L256" s="45">
        <f t="shared" si="29"/>
        <v>0.002</v>
      </c>
    </row>
    <row r="257" ht="16.5" spans="1:12">
      <c r="A257" s="11" t="s">
        <v>148</v>
      </c>
      <c r="B257" s="10">
        <v>9</v>
      </c>
      <c r="C257" s="10">
        <v>5</v>
      </c>
      <c r="D257" s="7" t="s">
        <v>34</v>
      </c>
      <c r="E257" s="6">
        <v>9</v>
      </c>
      <c r="F257" s="7" t="s">
        <v>34</v>
      </c>
      <c r="G257" s="6">
        <v>9</v>
      </c>
      <c r="H257" s="7" t="s">
        <v>34</v>
      </c>
      <c r="I257" s="18">
        <f>PRODUCT($B$38,$C$43,$D$38,$E$43,$F$38)</f>
        <v>128</v>
      </c>
      <c r="J257" s="45">
        <f t="shared" si="27"/>
        <v>4e-5</v>
      </c>
      <c r="K257" s="11">
        <f t="shared" si="30"/>
        <v>50</v>
      </c>
      <c r="L257" s="45">
        <f t="shared" si="29"/>
        <v>0.002</v>
      </c>
    </row>
    <row r="258" ht="16.5" spans="1:12">
      <c r="A258" s="11" t="s">
        <v>148</v>
      </c>
      <c r="B258" s="10">
        <v>9</v>
      </c>
      <c r="C258" s="10">
        <v>5</v>
      </c>
      <c r="D258" s="7" t="s">
        <v>34</v>
      </c>
      <c r="E258" s="6">
        <v>9</v>
      </c>
      <c r="F258" s="7" t="s">
        <v>34</v>
      </c>
      <c r="G258" s="6">
        <v>9</v>
      </c>
      <c r="H258" s="6">
        <v>9</v>
      </c>
      <c r="I258" s="18">
        <f>PRODUCT($B$38,$C$43,$D$38,$E$43,$F$43)</f>
        <v>256</v>
      </c>
      <c r="J258" s="45">
        <f t="shared" si="27"/>
        <v>8e-5</v>
      </c>
      <c r="K258" s="11">
        <f t="shared" si="30"/>
        <v>50</v>
      </c>
      <c r="L258" s="45">
        <f t="shared" si="29"/>
        <v>0.004</v>
      </c>
    </row>
    <row r="259" ht="16.5" spans="1:12">
      <c r="A259" s="11" t="s">
        <v>148</v>
      </c>
      <c r="B259" s="10">
        <v>9</v>
      </c>
      <c r="C259" s="10">
        <v>5</v>
      </c>
      <c r="D259" s="7" t="s">
        <v>34</v>
      </c>
      <c r="E259" s="6">
        <v>9</v>
      </c>
      <c r="F259" s="6">
        <v>9</v>
      </c>
      <c r="G259" s="7" t="s">
        <v>34</v>
      </c>
      <c r="H259" s="7" t="s">
        <v>34</v>
      </c>
      <c r="I259" s="18">
        <f>PRODUCT($B$38,$C$43,$D$43,$E$38,$F$38)</f>
        <v>128</v>
      </c>
      <c r="J259" s="45">
        <f t="shared" si="27"/>
        <v>4e-5</v>
      </c>
      <c r="K259" s="11">
        <f t="shared" si="30"/>
        <v>50</v>
      </c>
      <c r="L259" s="45">
        <f t="shared" si="29"/>
        <v>0.002</v>
      </c>
    </row>
    <row r="260" ht="16.5" spans="1:12">
      <c r="A260" s="11" t="s">
        <v>148</v>
      </c>
      <c r="B260" s="10">
        <v>9</v>
      </c>
      <c r="C260" s="10">
        <v>5</v>
      </c>
      <c r="D260" s="7" t="s">
        <v>34</v>
      </c>
      <c r="E260" s="6">
        <v>9</v>
      </c>
      <c r="F260" s="6">
        <v>9</v>
      </c>
      <c r="G260" s="7" t="s">
        <v>34</v>
      </c>
      <c r="H260" s="6">
        <v>9</v>
      </c>
      <c r="I260" s="18">
        <f>PRODUCT($B$38,$C$43,$D$43,$E$38,$F$43)</f>
        <v>256</v>
      </c>
      <c r="J260" s="45">
        <f t="shared" si="27"/>
        <v>8e-5</v>
      </c>
      <c r="K260" s="11">
        <f t="shared" si="30"/>
        <v>50</v>
      </c>
      <c r="L260" s="45">
        <f t="shared" si="29"/>
        <v>0.004</v>
      </c>
    </row>
    <row r="261" ht="16.5" spans="1:12">
      <c r="A261" s="11" t="s">
        <v>148</v>
      </c>
      <c r="B261" s="10">
        <v>9</v>
      </c>
      <c r="C261" s="10">
        <v>5</v>
      </c>
      <c r="D261" s="7" t="s">
        <v>34</v>
      </c>
      <c r="E261" s="6">
        <v>9</v>
      </c>
      <c r="F261" s="6">
        <v>9</v>
      </c>
      <c r="G261" s="6">
        <v>9</v>
      </c>
      <c r="H261" s="7" t="s">
        <v>34</v>
      </c>
      <c r="I261" s="18">
        <f>PRODUCT($B$38,$C$43,$D$43,$E$43,$F$38)</f>
        <v>256</v>
      </c>
      <c r="J261" s="45">
        <f t="shared" si="27"/>
        <v>8e-5</v>
      </c>
      <c r="K261" s="11">
        <f t="shared" si="30"/>
        <v>50</v>
      </c>
      <c r="L261" s="45">
        <f t="shared" si="29"/>
        <v>0.004</v>
      </c>
    </row>
    <row r="262" ht="16.5" spans="1:12">
      <c r="A262" s="11" t="s">
        <v>148</v>
      </c>
      <c r="B262" s="10">
        <v>9</v>
      </c>
      <c r="C262" s="10">
        <v>5</v>
      </c>
      <c r="D262" s="7" t="s">
        <v>34</v>
      </c>
      <c r="E262" s="6">
        <v>9</v>
      </c>
      <c r="F262" s="6">
        <v>9</v>
      </c>
      <c r="G262" s="6">
        <v>9</v>
      </c>
      <c r="H262" s="6">
        <v>9</v>
      </c>
      <c r="I262" s="18">
        <f>PRODUCT($B$38,$C$43,$D$43,$E$43,$F$43)</f>
        <v>512</v>
      </c>
      <c r="J262" s="45">
        <f t="shared" si="27"/>
        <v>0.00016</v>
      </c>
      <c r="K262" s="11">
        <f t="shared" si="30"/>
        <v>50</v>
      </c>
      <c r="L262" s="45">
        <f t="shared" si="29"/>
        <v>0.008</v>
      </c>
    </row>
    <row r="263" ht="16.5" spans="1:12">
      <c r="A263" s="11" t="s">
        <v>148</v>
      </c>
      <c r="B263" s="10">
        <v>9</v>
      </c>
      <c r="C263" s="10">
        <v>5</v>
      </c>
      <c r="D263" s="6">
        <v>9</v>
      </c>
      <c r="E263" s="7" t="s">
        <v>34</v>
      </c>
      <c r="F263" s="7" t="s">
        <v>34</v>
      </c>
      <c r="G263" s="7" t="s">
        <v>34</v>
      </c>
      <c r="H263" s="7" t="s">
        <v>34</v>
      </c>
      <c r="I263" s="18">
        <f>PRODUCT($B$43,$C$38,$D$38,$E$38,$F$38)</f>
        <v>96</v>
      </c>
      <c r="J263" s="45">
        <f t="shared" si="27"/>
        <v>3e-5</v>
      </c>
      <c r="K263" s="11">
        <f t="shared" si="30"/>
        <v>50</v>
      </c>
      <c r="L263" s="45">
        <f t="shared" si="29"/>
        <v>0.0015</v>
      </c>
    </row>
    <row r="264" ht="16.5" spans="1:12">
      <c r="A264" s="11" t="s">
        <v>148</v>
      </c>
      <c r="B264" s="10">
        <v>9</v>
      </c>
      <c r="C264" s="10">
        <v>5</v>
      </c>
      <c r="D264" s="6">
        <v>9</v>
      </c>
      <c r="E264" s="7" t="s">
        <v>34</v>
      </c>
      <c r="F264" s="7" t="s">
        <v>34</v>
      </c>
      <c r="G264" s="7" t="s">
        <v>34</v>
      </c>
      <c r="H264" s="6">
        <v>9</v>
      </c>
      <c r="I264" s="18">
        <f>PRODUCT($B$43,$C$38,$D$38,$E$38,$F$43)</f>
        <v>192</v>
      </c>
      <c r="J264" s="45">
        <f t="shared" si="27"/>
        <v>6e-5</v>
      </c>
      <c r="K264" s="11">
        <f t="shared" si="30"/>
        <v>50</v>
      </c>
      <c r="L264" s="45">
        <f t="shared" si="29"/>
        <v>0.003</v>
      </c>
    </row>
    <row r="265" ht="16.5" spans="1:12">
      <c r="A265" s="11" t="s">
        <v>148</v>
      </c>
      <c r="B265" s="10">
        <v>9</v>
      </c>
      <c r="C265" s="10">
        <v>5</v>
      </c>
      <c r="D265" s="6">
        <v>9</v>
      </c>
      <c r="E265" s="7" t="s">
        <v>34</v>
      </c>
      <c r="F265" s="7" t="s">
        <v>34</v>
      </c>
      <c r="G265" s="6">
        <v>9</v>
      </c>
      <c r="H265" s="7" t="s">
        <v>34</v>
      </c>
      <c r="I265" s="18">
        <f>PRODUCT($B$43,$C$38,$D$38,$E$43,$F$38)</f>
        <v>192</v>
      </c>
      <c r="J265" s="45">
        <f t="shared" si="27"/>
        <v>6e-5</v>
      </c>
      <c r="K265" s="11">
        <f t="shared" si="30"/>
        <v>50</v>
      </c>
      <c r="L265" s="45">
        <f t="shared" si="29"/>
        <v>0.003</v>
      </c>
    </row>
    <row r="266" ht="16.5" spans="1:12">
      <c r="A266" s="11" t="s">
        <v>148</v>
      </c>
      <c r="B266" s="10">
        <v>9</v>
      </c>
      <c r="C266" s="10">
        <v>5</v>
      </c>
      <c r="D266" s="6">
        <v>9</v>
      </c>
      <c r="E266" s="7" t="s">
        <v>34</v>
      </c>
      <c r="F266" s="7" t="s">
        <v>34</v>
      </c>
      <c r="G266" s="6">
        <v>9</v>
      </c>
      <c r="H266" s="6">
        <v>9</v>
      </c>
      <c r="I266" s="18">
        <f>PRODUCT($B$43,$C$38,$D$38,$E$43,$F$43)</f>
        <v>384</v>
      </c>
      <c r="J266" s="45">
        <f t="shared" si="27"/>
        <v>0.00012</v>
      </c>
      <c r="K266" s="11">
        <f t="shared" si="30"/>
        <v>50</v>
      </c>
      <c r="L266" s="45">
        <f t="shared" si="29"/>
        <v>0.006</v>
      </c>
    </row>
    <row r="267" ht="16.5" spans="1:12">
      <c r="A267" s="11" t="s">
        <v>148</v>
      </c>
      <c r="B267" s="10">
        <v>9</v>
      </c>
      <c r="C267" s="10">
        <v>5</v>
      </c>
      <c r="D267" s="6">
        <v>9</v>
      </c>
      <c r="E267" s="7" t="s">
        <v>34</v>
      </c>
      <c r="F267" s="6">
        <v>9</v>
      </c>
      <c r="G267" s="7" t="s">
        <v>34</v>
      </c>
      <c r="H267" s="7" t="s">
        <v>34</v>
      </c>
      <c r="I267" s="18">
        <f>PRODUCT($B$43,$C$38,$D$43,$E$38,$F$38)</f>
        <v>192</v>
      </c>
      <c r="J267" s="45">
        <f t="shared" si="27"/>
        <v>6e-5</v>
      </c>
      <c r="K267" s="11">
        <f t="shared" si="30"/>
        <v>50</v>
      </c>
      <c r="L267" s="45">
        <f t="shared" si="29"/>
        <v>0.003</v>
      </c>
    </row>
    <row r="268" ht="16.5" spans="1:12">
      <c r="A268" s="11" t="s">
        <v>148</v>
      </c>
      <c r="B268" s="10">
        <v>9</v>
      </c>
      <c r="C268" s="10">
        <v>5</v>
      </c>
      <c r="D268" s="6">
        <v>9</v>
      </c>
      <c r="E268" s="7" t="s">
        <v>34</v>
      </c>
      <c r="F268" s="6">
        <v>9</v>
      </c>
      <c r="G268" s="7" t="s">
        <v>34</v>
      </c>
      <c r="H268" s="6">
        <v>9</v>
      </c>
      <c r="I268" s="18">
        <f>PRODUCT($B$43,$C$38,$D$43,$E$38,$F$43)</f>
        <v>384</v>
      </c>
      <c r="J268" s="45">
        <f t="shared" si="27"/>
        <v>0.00012</v>
      </c>
      <c r="K268" s="11">
        <f t="shared" si="30"/>
        <v>50</v>
      </c>
      <c r="L268" s="45">
        <f t="shared" si="29"/>
        <v>0.006</v>
      </c>
    </row>
    <row r="269" ht="16.5" spans="1:12">
      <c r="A269" s="11" t="s">
        <v>148</v>
      </c>
      <c r="B269" s="10">
        <v>9</v>
      </c>
      <c r="C269" s="10">
        <v>5</v>
      </c>
      <c r="D269" s="6">
        <v>9</v>
      </c>
      <c r="E269" s="7" t="s">
        <v>34</v>
      </c>
      <c r="F269" s="6">
        <v>9</v>
      </c>
      <c r="G269" s="6">
        <v>9</v>
      </c>
      <c r="H269" s="7" t="s">
        <v>34</v>
      </c>
      <c r="I269" s="18">
        <f>PRODUCT($B$43,$C$38,$D$43,$E$43,$F$38)</f>
        <v>384</v>
      </c>
      <c r="J269" s="45">
        <f t="shared" si="27"/>
        <v>0.00012</v>
      </c>
      <c r="K269" s="11">
        <f t="shared" si="30"/>
        <v>50</v>
      </c>
      <c r="L269" s="45">
        <f t="shared" si="29"/>
        <v>0.006</v>
      </c>
    </row>
    <row r="270" ht="16.5" spans="1:12">
      <c r="A270" s="11" t="s">
        <v>148</v>
      </c>
      <c r="B270" s="10">
        <v>9</v>
      </c>
      <c r="C270" s="10">
        <v>5</v>
      </c>
      <c r="D270" s="6">
        <v>9</v>
      </c>
      <c r="E270" s="7" t="s">
        <v>34</v>
      </c>
      <c r="F270" s="6">
        <v>9</v>
      </c>
      <c r="G270" s="6">
        <v>9</v>
      </c>
      <c r="H270" s="6">
        <v>9</v>
      </c>
      <c r="I270" s="18">
        <f>PRODUCT($B$43,$C$38,$D$43,$E$43,$F$43)</f>
        <v>768</v>
      </c>
      <c r="J270" s="45">
        <f t="shared" si="27"/>
        <v>0.00024</v>
      </c>
      <c r="K270" s="11">
        <f t="shared" si="30"/>
        <v>50</v>
      </c>
      <c r="L270" s="45">
        <f t="shared" si="29"/>
        <v>0.012</v>
      </c>
    </row>
    <row r="271" ht="16.5" spans="1:12">
      <c r="A271" s="11" t="s">
        <v>148</v>
      </c>
      <c r="B271" s="10">
        <v>9</v>
      </c>
      <c r="C271" s="10">
        <v>5</v>
      </c>
      <c r="D271" s="6">
        <v>9</v>
      </c>
      <c r="E271" s="6">
        <v>9</v>
      </c>
      <c r="F271" s="7" t="s">
        <v>34</v>
      </c>
      <c r="G271" s="7" t="s">
        <v>34</v>
      </c>
      <c r="H271" s="7" t="s">
        <v>34</v>
      </c>
      <c r="I271" s="18">
        <f>PRODUCT($B$43,$C$43,$D$38,$E$38,$F$38)</f>
        <v>192</v>
      </c>
      <c r="J271" s="45">
        <f t="shared" si="27"/>
        <v>6e-5</v>
      </c>
      <c r="K271" s="11">
        <f t="shared" si="30"/>
        <v>50</v>
      </c>
      <c r="L271" s="45">
        <f t="shared" si="29"/>
        <v>0.003</v>
      </c>
    </row>
    <row r="272" ht="16.5" spans="1:12">
      <c r="A272" s="11" t="s">
        <v>148</v>
      </c>
      <c r="B272" s="10">
        <v>9</v>
      </c>
      <c r="C272" s="10">
        <v>5</v>
      </c>
      <c r="D272" s="6">
        <v>9</v>
      </c>
      <c r="E272" s="6">
        <v>9</v>
      </c>
      <c r="F272" s="7" t="s">
        <v>34</v>
      </c>
      <c r="G272" s="7" t="s">
        <v>34</v>
      </c>
      <c r="H272" s="6">
        <v>9</v>
      </c>
      <c r="I272" s="18">
        <f>PRODUCT($B$43,$C$43,$D$38,$E$38,$F$43)</f>
        <v>384</v>
      </c>
      <c r="J272" s="45">
        <f t="shared" si="27"/>
        <v>0.00012</v>
      </c>
      <c r="K272" s="11">
        <f t="shared" si="30"/>
        <v>50</v>
      </c>
      <c r="L272" s="45">
        <f t="shared" si="29"/>
        <v>0.006</v>
      </c>
    </row>
    <row r="273" ht="16.5" spans="1:12">
      <c r="A273" s="11" t="s">
        <v>148</v>
      </c>
      <c r="B273" s="10">
        <v>9</v>
      </c>
      <c r="C273" s="10">
        <v>5</v>
      </c>
      <c r="D273" s="6">
        <v>9</v>
      </c>
      <c r="E273" s="6">
        <v>9</v>
      </c>
      <c r="F273" s="7" t="s">
        <v>34</v>
      </c>
      <c r="G273" s="6">
        <v>9</v>
      </c>
      <c r="H273" s="7" t="s">
        <v>34</v>
      </c>
      <c r="I273" s="18">
        <f>PRODUCT($B$43,$C$43,$D$38,$E$43,$F$38)</f>
        <v>384</v>
      </c>
      <c r="J273" s="45">
        <f t="shared" si="27"/>
        <v>0.00012</v>
      </c>
      <c r="K273" s="11">
        <f t="shared" si="30"/>
        <v>50</v>
      </c>
      <c r="L273" s="45">
        <f t="shared" si="29"/>
        <v>0.006</v>
      </c>
    </row>
    <row r="274" ht="16.5" spans="1:12">
      <c r="A274" s="11" t="s">
        <v>148</v>
      </c>
      <c r="B274" s="10">
        <v>9</v>
      </c>
      <c r="C274" s="10">
        <v>5</v>
      </c>
      <c r="D274" s="6">
        <v>9</v>
      </c>
      <c r="E274" s="6">
        <v>9</v>
      </c>
      <c r="F274" s="7" t="s">
        <v>34</v>
      </c>
      <c r="G274" s="6">
        <v>9</v>
      </c>
      <c r="H274" s="6">
        <v>9</v>
      </c>
      <c r="I274" s="18">
        <f>PRODUCT($B$43,$C$43,$D$38,$E$43,$F$43)</f>
        <v>768</v>
      </c>
      <c r="J274" s="45">
        <f t="shared" si="27"/>
        <v>0.00024</v>
      </c>
      <c r="K274" s="11">
        <f t="shared" si="30"/>
        <v>50</v>
      </c>
      <c r="L274" s="45">
        <f t="shared" si="29"/>
        <v>0.012</v>
      </c>
    </row>
    <row r="275" ht="16.5" spans="1:12">
      <c r="A275" s="11" t="s">
        <v>148</v>
      </c>
      <c r="B275" s="10">
        <v>9</v>
      </c>
      <c r="C275" s="10">
        <v>5</v>
      </c>
      <c r="D275" s="6">
        <v>9</v>
      </c>
      <c r="E275" s="6">
        <v>9</v>
      </c>
      <c r="F275" s="6">
        <v>9</v>
      </c>
      <c r="G275" s="7" t="s">
        <v>34</v>
      </c>
      <c r="H275" s="7" t="s">
        <v>34</v>
      </c>
      <c r="I275" s="18">
        <f>PRODUCT($B$43,$C$43,$D$43,$E$38,$F$38)</f>
        <v>384</v>
      </c>
      <c r="J275" s="45">
        <f t="shared" si="27"/>
        <v>0.00012</v>
      </c>
      <c r="K275" s="11">
        <f t="shared" si="30"/>
        <v>50</v>
      </c>
      <c r="L275" s="45">
        <f t="shared" si="29"/>
        <v>0.006</v>
      </c>
    </row>
    <row r="276" ht="16.5" spans="1:12">
      <c r="A276" s="11" t="s">
        <v>148</v>
      </c>
      <c r="B276" s="10">
        <v>9</v>
      </c>
      <c r="C276" s="10">
        <v>5</v>
      </c>
      <c r="D276" s="6">
        <v>9</v>
      </c>
      <c r="E276" s="6">
        <v>9</v>
      </c>
      <c r="F276" s="6">
        <v>9</v>
      </c>
      <c r="G276" s="7" t="s">
        <v>34</v>
      </c>
      <c r="H276" s="6">
        <v>9</v>
      </c>
      <c r="I276" s="18">
        <f>PRODUCT($B$43,$C$43,$D$43,$E$38,$F$43)</f>
        <v>768</v>
      </c>
      <c r="J276" s="45">
        <f t="shared" si="27"/>
        <v>0.00024</v>
      </c>
      <c r="K276" s="11">
        <f t="shared" si="30"/>
        <v>50</v>
      </c>
      <c r="L276" s="45">
        <f t="shared" si="29"/>
        <v>0.012</v>
      </c>
    </row>
    <row r="277" ht="16.5" spans="1:12">
      <c r="A277" s="11" t="s">
        <v>148</v>
      </c>
      <c r="B277" s="10">
        <v>9</v>
      </c>
      <c r="C277" s="10">
        <v>5</v>
      </c>
      <c r="D277" s="6">
        <v>9</v>
      </c>
      <c r="E277" s="6">
        <v>9</v>
      </c>
      <c r="F277" s="6">
        <v>9</v>
      </c>
      <c r="G277" s="6">
        <v>9</v>
      </c>
      <c r="H277" s="7" t="s">
        <v>34</v>
      </c>
      <c r="I277" s="18">
        <f>PRODUCT($B$43,$C$43,$D$43,$E$43,$F$38)</f>
        <v>768</v>
      </c>
      <c r="J277" s="45">
        <f t="shared" si="27"/>
        <v>0.00024</v>
      </c>
      <c r="K277" s="11">
        <f t="shared" si="30"/>
        <v>50</v>
      </c>
      <c r="L277" s="45">
        <f t="shared" si="29"/>
        <v>0.012</v>
      </c>
    </row>
    <row r="278" ht="16.5" spans="1:12">
      <c r="A278" s="11" t="s">
        <v>148</v>
      </c>
      <c r="B278" s="10">
        <v>9</v>
      </c>
      <c r="C278" s="10">
        <v>4</v>
      </c>
      <c r="D278" s="7" t="s">
        <v>34</v>
      </c>
      <c r="E278" s="7" t="s">
        <v>34</v>
      </c>
      <c r="F278" s="6">
        <v>9</v>
      </c>
      <c r="G278" s="7" t="s">
        <v>34</v>
      </c>
      <c r="H278" s="7" t="s">
        <v>147</v>
      </c>
      <c r="I278" s="18">
        <f>PRODUCT($B$38,$C$38,$D$43,$E$38,($F$45-$F$38-$F$43))</f>
        <v>448</v>
      </c>
      <c r="J278" s="45">
        <f t="shared" ref="J278:J300" si="31">I278/$B$48</f>
        <v>0.00014</v>
      </c>
      <c r="K278" s="11">
        <f t="shared" ref="K278:K290" si="32">MAX(0,INDEX($B$3:$D$7,MATCH($B278,$A$3:$A$7,0),MATCH($C278,$B$2:$D$2,0)))</f>
        <v>10</v>
      </c>
      <c r="L278" s="45">
        <f t="shared" ref="L278:L300" si="33">J278*K278</f>
        <v>0.0014</v>
      </c>
    </row>
    <row r="279" ht="16.5" spans="1:12">
      <c r="A279" s="11" t="s">
        <v>148</v>
      </c>
      <c r="B279" s="10">
        <v>9</v>
      </c>
      <c r="C279" s="10">
        <v>4</v>
      </c>
      <c r="D279" s="7" t="s">
        <v>34</v>
      </c>
      <c r="E279" s="7" t="s">
        <v>34</v>
      </c>
      <c r="F279" s="6">
        <v>9</v>
      </c>
      <c r="G279" s="6">
        <v>9</v>
      </c>
      <c r="H279" s="7" t="s">
        <v>147</v>
      </c>
      <c r="I279" s="18">
        <f>PRODUCT($B$38,$C$38,$D$43,$E$43,($F$45-$F$38-$F$43))</f>
        <v>896</v>
      </c>
      <c r="J279" s="45">
        <f t="shared" si="31"/>
        <v>0.00028</v>
      </c>
      <c r="K279" s="11">
        <f t="shared" si="32"/>
        <v>10</v>
      </c>
      <c r="L279" s="45">
        <f t="shared" si="33"/>
        <v>0.0028</v>
      </c>
    </row>
    <row r="280" ht="16.5" spans="1:12">
      <c r="A280" s="11" t="s">
        <v>148</v>
      </c>
      <c r="B280" s="10">
        <v>9</v>
      </c>
      <c r="C280" s="10">
        <v>4</v>
      </c>
      <c r="D280" s="7" t="s">
        <v>34</v>
      </c>
      <c r="E280" s="6">
        <v>9</v>
      </c>
      <c r="F280" s="7" t="s">
        <v>34</v>
      </c>
      <c r="G280" s="7" t="s">
        <v>34</v>
      </c>
      <c r="H280" s="7" t="s">
        <v>147</v>
      </c>
      <c r="I280" s="18">
        <f>PRODUCT($B$38,$C$43,$D$38,$E$38,($F$45-$F$38-$F$43))</f>
        <v>448</v>
      </c>
      <c r="J280" s="45">
        <f t="shared" si="31"/>
        <v>0.00014</v>
      </c>
      <c r="K280" s="11">
        <f t="shared" si="32"/>
        <v>10</v>
      </c>
      <c r="L280" s="45">
        <f t="shared" si="33"/>
        <v>0.0014</v>
      </c>
    </row>
    <row r="281" ht="16.5" spans="1:12">
      <c r="A281" s="11" t="s">
        <v>148</v>
      </c>
      <c r="B281" s="10">
        <v>9</v>
      </c>
      <c r="C281" s="10">
        <v>4</v>
      </c>
      <c r="D281" s="7" t="s">
        <v>34</v>
      </c>
      <c r="E281" s="6">
        <v>9</v>
      </c>
      <c r="F281" s="7" t="s">
        <v>34</v>
      </c>
      <c r="G281" s="6">
        <v>9</v>
      </c>
      <c r="H281" s="7" t="s">
        <v>147</v>
      </c>
      <c r="I281" s="18">
        <f>PRODUCT($B$38,$C$43,$D$38,$E$43,($F$45-$F$38-$F$43))</f>
        <v>896</v>
      </c>
      <c r="J281" s="45">
        <f t="shared" si="31"/>
        <v>0.00028</v>
      </c>
      <c r="K281" s="11">
        <f t="shared" si="32"/>
        <v>10</v>
      </c>
      <c r="L281" s="45">
        <f t="shared" si="33"/>
        <v>0.0028</v>
      </c>
    </row>
    <row r="282" ht="16.5" spans="1:12">
      <c r="A282" s="11" t="s">
        <v>148</v>
      </c>
      <c r="B282" s="10">
        <v>9</v>
      </c>
      <c r="C282" s="10">
        <v>4</v>
      </c>
      <c r="D282" s="7" t="s">
        <v>34</v>
      </c>
      <c r="E282" s="6">
        <v>9</v>
      </c>
      <c r="F282" s="6">
        <v>9</v>
      </c>
      <c r="G282" s="7" t="s">
        <v>34</v>
      </c>
      <c r="H282" s="7" t="s">
        <v>147</v>
      </c>
      <c r="I282" s="18">
        <f>PRODUCT($B$38,$C$43,$D$43,$E$38,($F$45-$F$38-$F$43))</f>
        <v>896</v>
      </c>
      <c r="J282" s="45">
        <f t="shared" si="31"/>
        <v>0.00028</v>
      </c>
      <c r="K282" s="11">
        <f t="shared" si="32"/>
        <v>10</v>
      </c>
      <c r="L282" s="45">
        <f t="shared" si="33"/>
        <v>0.0028</v>
      </c>
    </row>
    <row r="283" ht="16.5" spans="1:12">
      <c r="A283" s="11" t="s">
        <v>148</v>
      </c>
      <c r="B283" s="10">
        <v>9</v>
      </c>
      <c r="C283" s="10">
        <v>4</v>
      </c>
      <c r="D283" s="7" t="s">
        <v>34</v>
      </c>
      <c r="E283" s="6">
        <v>9</v>
      </c>
      <c r="F283" s="6">
        <v>9</v>
      </c>
      <c r="G283" s="6">
        <v>9</v>
      </c>
      <c r="H283" s="7" t="s">
        <v>147</v>
      </c>
      <c r="I283" s="18">
        <f>PRODUCT($B$38,$C$43,$D$43,$E$43,($F$45-$F$38-$F$43))</f>
        <v>1792</v>
      </c>
      <c r="J283" s="45">
        <f t="shared" si="31"/>
        <v>0.00056</v>
      </c>
      <c r="K283" s="11">
        <f t="shared" si="32"/>
        <v>10</v>
      </c>
      <c r="L283" s="45">
        <f t="shared" si="33"/>
        <v>0.0056</v>
      </c>
    </row>
    <row r="284" ht="16.5" spans="1:12">
      <c r="A284" s="11" t="s">
        <v>148</v>
      </c>
      <c r="B284" s="10">
        <v>9</v>
      </c>
      <c r="C284" s="10">
        <v>4</v>
      </c>
      <c r="D284" s="6">
        <v>9</v>
      </c>
      <c r="E284" s="7" t="s">
        <v>34</v>
      </c>
      <c r="F284" s="7" t="s">
        <v>34</v>
      </c>
      <c r="G284" s="7" t="s">
        <v>34</v>
      </c>
      <c r="H284" s="7" t="s">
        <v>147</v>
      </c>
      <c r="I284" s="18">
        <f>PRODUCT($B$43,$C$38,$D$38,$E$38,($F$45-$F$38-$F$43))</f>
        <v>672</v>
      </c>
      <c r="J284" s="45">
        <f t="shared" si="31"/>
        <v>0.00021</v>
      </c>
      <c r="K284" s="11">
        <f t="shared" si="32"/>
        <v>10</v>
      </c>
      <c r="L284" s="45">
        <f t="shared" si="33"/>
        <v>0.0021</v>
      </c>
    </row>
    <row r="285" ht="16.5" spans="1:12">
      <c r="A285" s="11" t="s">
        <v>148</v>
      </c>
      <c r="B285" s="10">
        <v>9</v>
      </c>
      <c r="C285" s="10">
        <v>4</v>
      </c>
      <c r="D285" s="6">
        <v>9</v>
      </c>
      <c r="E285" s="7" t="s">
        <v>34</v>
      </c>
      <c r="F285" s="7" t="s">
        <v>34</v>
      </c>
      <c r="G285" s="6">
        <v>9</v>
      </c>
      <c r="H285" s="7" t="s">
        <v>147</v>
      </c>
      <c r="I285" s="18">
        <f>PRODUCT($B$43,$C$38,$D$38,$E$43,($F$45-$F$38-$F$43))</f>
        <v>1344</v>
      </c>
      <c r="J285" s="45">
        <f t="shared" si="31"/>
        <v>0.00042</v>
      </c>
      <c r="K285" s="11">
        <f t="shared" si="32"/>
        <v>10</v>
      </c>
      <c r="L285" s="45">
        <f t="shared" si="33"/>
        <v>0.0042</v>
      </c>
    </row>
    <row r="286" ht="16.5" spans="1:12">
      <c r="A286" s="11" t="s">
        <v>148</v>
      </c>
      <c r="B286" s="10">
        <v>9</v>
      </c>
      <c r="C286" s="10">
        <v>4</v>
      </c>
      <c r="D286" s="6">
        <v>9</v>
      </c>
      <c r="E286" s="7" t="s">
        <v>34</v>
      </c>
      <c r="F286" s="6">
        <v>9</v>
      </c>
      <c r="G286" s="7" t="s">
        <v>34</v>
      </c>
      <c r="H286" s="7" t="s">
        <v>147</v>
      </c>
      <c r="I286" s="18">
        <f>PRODUCT($B$43,$C$38,$D$43,$E$38,($F$45-$F$38-$F$43))</f>
        <v>1344</v>
      </c>
      <c r="J286" s="45">
        <f t="shared" si="31"/>
        <v>0.00042</v>
      </c>
      <c r="K286" s="11">
        <f t="shared" si="32"/>
        <v>10</v>
      </c>
      <c r="L286" s="45">
        <f t="shared" si="33"/>
        <v>0.0042</v>
      </c>
    </row>
    <row r="287" ht="16.5" spans="1:12">
      <c r="A287" s="11" t="s">
        <v>148</v>
      </c>
      <c r="B287" s="10">
        <v>9</v>
      </c>
      <c r="C287" s="10">
        <v>4</v>
      </c>
      <c r="D287" s="6">
        <v>9</v>
      </c>
      <c r="E287" s="7" t="s">
        <v>34</v>
      </c>
      <c r="F287" s="6">
        <v>9</v>
      </c>
      <c r="G287" s="6">
        <v>9</v>
      </c>
      <c r="H287" s="7" t="s">
        <v>147</v>
      </c>
      <c r="I287" s="18">
        <f>PRODUCT($B$43,$C$38,$D$43,$E$43,($F$45-$F$38-$F$43))</f>
        <v>2688</v>
      </c>
      <c r="J287" s="45">
        <f t="shared" si="31"/>
        <v>0.00084</v>
      </c>
      <c r="K287" s="11">
        <f t="shared" si="32"/>
        <v>10</v>
      </c>
      <c r="L287" s="45">
        <f t="shared" si="33"/>
        <v>0.0084</v>
      </c>
    </row>
    <row r="288" ht="16.5" spans="1:12">
      <c r="A288" s="11" t="s">
        <v>148</v>
      </c>
      <c r="B288" s="10">
        <v>9</v>
      </c>
      <c r="C288" s="10">
        <v>4</v>
      </c>
      <c r="D288" s="6">
        <v>9</v>
      </c>
      <c r="E288" s="6">
        <v>9</v>
      </c>
      <c r="F288" s="7" t="s">
        <v>34</v>
      </c>
      <c r="G288" s="7" t="s">
        <v>34</v>
      </c>
      <c r="H288" s="7" t="s">
        <v>147</v>
      </c>
      <c r="I288" s="18">
        <f>PRODUCT($B$43,$C$43,$D$38,$E$38,($F$45-$F$38-$F$43))</f>
        <v>1344</v>
      </c>
      <c r="J288" s="45">
        <f t="shared" si="31"/>
        <v>0.00042</v>
      </c>
      <c r="K288" s="11">
        <f t="shared" si="32"/>
        <v>10</v>
      </c>
      <c r="L288" s="45">
        <f t="shared" si="33"/>
        <v>0.0042</v>
      </c>
    </row>
    <row r="289" ht="16.5" spans="1:12">
      <c r="A289" s="11" t="s">
        <v>148</v>
      </c>
      <c r="B289" s="10">
        <v>9</v>
      </c>
      <c r="C289" s="10">
        <v>4</v>
      </c>
      <c r="D289" s="6">
        <v>9</v>
      </c>
      <c r="E289" s="6">
        <v>9</v>
      </c>
      <c r="F289" s="7" t="s">
        <v>34</v>
      </c>
      <c r="G289" s="6">
        <v>9</v>
      </c>
      <c r="H289" s="7" t="s">
        <v>147</v>
      </c>
      <c r="I289" s="18">
        <f>PRODUCT($B$43,$C$43,$D$38,$E$43,($F$45-$F$38-$F$43))</f>
        <v>2688</v>
      </c>
      <c r="J289" s="45">
        <f t="shared" si="31"/>
        <v>0.00084</v>
      </c>
      <c r="K289" s="11">
        <f t="shared" si="32"/>
        <v>10</v>
      </c>
      <c r="L289" s="45">
        <f t="shared" si="33"/>
        <v>0.0084</v>
      </c>
    </row>
    <row r="290" ht="16.5" spans="1:12">
      <c r="A290" s="11" t="s">
        <v>148</v>
      </c>
      <c r="B290" s="10">
        <v>9</v>
      </c>
      <c r="C290" s="10">
        <v>4</v>
      </c>
      <c r="D290" s="6">
        <v>9</v>
      </c>
      <c r="E290" s="6">
        <v>9</v>
      </c>
      <c r="F290" s="6">
        <v>9</v>
      </c>
      <c r="G290" s="7" t="s">
        <v>34</v>
      </c>
      <c r="H290" s="7" t="s">
        <v>147</v>
      </c>
      <c r="I290" s="18">
        <f>PRODUCT($B$43,$C$43,$D$43,$E$38,($F$45-$F$38-$F$43))</f>
        <v>2688</v>
      </c>
      <c r="J290" s="45">
        <f t="shared" si="31"/>
        <v>0.00084</v>
      </c>
      <c r="K290" s="11">
        <f t="shared" si="32"/>
        <v>10</v>
      </c>
      <c r="L290" s="45">
        <f t="shared" si="33"/>
        <v>0.0084</v>
      </c>
    </row>
    <row r="291" ht="16.5" spans="1:12">
      <c r="A291" s="11" t="s">
        <v>148</v>
      </c>
      <c r="B291" s="10">
        <v>9</v>
      </c>
      <c r="C291" s="10">
        <v>3</v>
      </c>
      <c r="D291" s="7" t="s">
        <v>34</v>
      </c>
      <c r="E291" s="7" t="s">
        <v>34</v>
      </c>
      <c r="F291" s="6">
        <v>9</v>
      </c>
      <c r="G291" s="7" t="s">
        <v>147</v>
      </c>
      <c r="H291" s="6" t="s">
        <v>143</v>
      </c>
      <c r="I291" s="18">
        <f>PRODUCT($B$38,$C$38,$D$43,($E$45-$E$38-$E$43),$F$45)</f>
        <v>4480</v>
      </c>
      <c r="J291" s="45">
        <f t="shared" si="31"/>
        <v>0.0014</v>
      </c>
      <c r="K291" s="11">
        <f t="shared" ref="K291:K296" si="34">MAX(0,INDEX($B$3:$D$7,MATCH($B291,$A$3:$A$7,0),MATCH($C291,$B$2:$D$2,0)))</f>
        <v>5</v>
      </c>
      <c r="L291" s="45">
        <f t="shared" si="33"/>
        <v>0.007</v>
      </c>
    </row>
    <row r="292" ht="16.5" spans="1:12">
      <c r="A292" s="11" t="s">
        <v>148</v>
      </c>
      <c r="B292" s="10">
        <v>9</v>
      </c>
      <c r="C292" s="10">
        <v>3</v>
      </c>
      <c r="D292" s="7" t="s">
        <v>34</v>
      </c>
      <c r="E292" s="6">
        <v>9</v>
      </c>
      <c r="F292" s="7" t="s">
        <v>34</v>
      </c>
      <c r="G292" s="7" t="s">
        <v>147</v>
      </c>
      <c r="H292" s="6" t="s">
        <v>143</v>
      </c>
      <c r="I292" s="18">
        <f>PRODUCT($B$38,$C$43,$D$38,($E$45-$E$38-$E$43),$F$45)</f>
        <v>4480</v>
      </c>
      <c r="J292" s="45">
        <f t="shared" si="31"/>
        <v>0.0014</v>
      </c>
      <c r="K292" s="11">
        <f t="shared" si="34"/>
        <v>5</v>
      </c>
      <c r="L292" s="45">
        <f t="shared" si="33"/>
        <v>0.007</v>
      </c>
    </row>
    <row r="293" ht="16.5" spans="1:12">
      <c r="A293" s="11" t="s">
        <v>148</v>
      </c>
      <c r="B293" s="10">
        <v>9</v>
      </c>
      <c r="C293" s="10">
        <v>3</v>
      </c>
      <c r="D293" s="7" t="s">
        <v>34</v>
      </c>
      <c r="E293" s="6">
        <v>9</v>
      </c>
      <c r="F293" s="6">
        <v>9</v>
      </c>
      <c r="G293" s="7" t="s">
        <v>147</v>
      </c>
      <c r="H293" s="6" t="s">
        <v>143</v>
      </c>
      <c r="I293" s="18">
        <f>PRODUCT($B$38,$C$43,$D$43,($E$45-$E$38-$E$43),$F$45)</f>
        <v>8960</v>
      </c>
      <c r="J293" s="45">
        <f t="shared" si="31"/>
        <v>0.0028</v>
      </c>
      <c r="K293" s="11">
        <f t="shared" si="34"/>
        <v>5</v>
      </c>
      <c r="L293" s="45">
        <f t="shared" si="33"/>
        <v>0.014</v>
      </c>
    </row>
    <row r="294" ht="16.5" spans="1:12">
      <c r="A294" s="11" t="s">
        <v>148</v>
      </c>
      <c r="B294" s="10">
        <v>9</v>
      </c>
      <c r="C294" s="10">
        <v>3</v>
      </c>
      <c r="D294" s="6">
        <v>9</v>
      </c>
      <c r="E294" s="7" t="s">
        <v>34</v>
      </c>
      <c r="F294" s="7" t="s">
        <v>34</v>
      </c>
      <c r="G294" s="7" t="s">
        <v>147</v>
      </c>
      <c r="H294" s="6" t="s">
        <v>143</v>
      </c>
      <c r="I294" s="18">
        <f>PRODUCT($B$43,$C$38,$D$38,($E$45-$E$38-$E$43),$F$45)</f>
        <v>6720</v>
      </c>
      <c r="J294" s="45">
        <f t="shared" si="31"/>
        <v>0.0021</v>
      </c>
      <c r="K294" s="11">
        <f t="shared" si="34"/>
        <v>5</v>
      </c>
      <c r="L294" s="45">
        <f t="shared" si="33"/>
        <v>0.0105</v>
      </c>
    </row>
    <row r="295" ht="16.5" spans="1:12">
      <c r="A295" s="11" t="s">
        <v>148</v>
      </c>
      <c r="B295" s="10">
        <v>9</v>
      </c>
      <c r="C295" s="10">
        <v>3</v>
      </c>
      <c r="D295" s="6">
        <v>9</v>
      </c>
      <c r="E295" s="7" t="s">
        <v>34</v>
      </c>
      <c r="F295" s="6">
        <v>9</v>
      </c>
      <c r="G295" s="7" t="s">
        <v>147</v>
      </c>
      <c r="H295" s="6" t="s">
        <v>143</v>
      </c>
      <c r="I295" s="18">
        <f>PRODUCT($B$43,$C$38,$D$43,($E$45-$E$38-$E$43),$F$45)</f>
        <v>13440</v>
      </c>
      <c r="J295" s="45">
        <f t="shared" si="31"/>
        <v>0.0042</v>
      </c>
      <c r="K295" s="11">
        <f t="shared" si="34"/>
        <v>5</v>
      </c>
      <c r="L295" s="45">
        <f t="shared" si="33"/>
        <v>0.021</v>
      </c>
    </row>
    <row r="296" ht="16.5" spans="1:12">
      <c r="A296" s="11" t="s">
        <v>148</v>
      </c>
      <c r="B296" s="10">
        <v>9</v>
      </c>
      <c r="C296" s="10">
        <v>3</v>
      </c>
      <c r="D296" s="6">
        <v>9</v>
      </c>
      <c r="E296" s="6">
        <v>9</v>
      </c>
      <c r="F296" s="7" t="s">
        <v>34</v>
      </c>
      <c r="G296" s="7" t="s">
        <v>147</v>
      </c>
      <c r="H296" s="6" t="s">
        <v>143</v>
      </c>
      <c r="I296" s="18">
        <f>PRODUCT($B$43,$C$43,$D$38,($E$45-$E$38-$E$43),$F$45)</f>
        <v>13440</v>
      </c>
      <c r="J296" s="45">
        <f t="shared" si="31"/>
        <v>0.0042</v>
      </c>
      <c r="K296" s="11">
        <f t="shared" si="34"/>
        <v>5</v>
      </c>
      <c r="L296" s="45">
        <f t="shared" si="33"/>
        <v>0.021</v>
      </c>
    </row>
    <row r="297" ht="16.5" spans="1:12">
      <c r="A297" s="11" t="s">
        <v>149</v>
      </c>
      <c r="B297" s="20" t="s">
        <v>34</v>
      </c>
      <c r="C297" s="10">
        <v>5</v>
      </c>
      <c r="D297" s="7" t="s">
        <v>34</v>
      </c>
      <c r="E297" s="7" t="s">
        <v>34</v>
      </c>
      <c r="F297" s="7" t="s">
        <v>34</v>
      </c>
      <c r="G297" s="7" t="s">
        <v>34</v>
      </c>
      <c r="H297" s="7" t="s">
        <v>34</v>
      </c>
      <c r="I297" s="18">
        <f>PRODUCT($B$38,$C$38,$D$38,$E$38,$F$38)</f>
        <v>32</v>
      </c>
      <c r="J297" s="45">
        <f t="shared" si="31"/>
        <v>1e-5</v>
      </c>
      <c r="K297" s="11">
        <f>INDEX($B$8:$D$8,1,3)</f>
        <v>1000</v>
      </c>
      <c r="L297" s="45">
        <f t="shared" si="33"/>
        <v>0.01</v>
      </c>
    </row>
    <row r="298" ht="16.5" spans="1:12">
      <c r="A298" s="11" t="s">
        <v>149</v>
      </c>
      <c r="B298" s="20" t="s">
        <v>34</v>
      </c>
      <c r="C298" s="10">
        <v>4</v>
      </c>
      <c r="D298" s="7" t="s">
        <v>34</v>
      </c>
      <c r="E298" s="7" t="s">
        <v>34</v>
      </c>
      <c r="F298" s="7" t="s">
        <v>34</v>
      </c>
      <c r="G298" s="7" t="s">
        <v>34</v>
      </c>
      <c r="H298" s="6" t="s">
        <v>150</v>
      </c>
      <c r="I298" s="18">
        <f>2*2*2*2*18</f>
        <v>288</v>
      </c>
      <c r="J298" s="45">
        <f t="shared" si="31"/>
        <v>9e-5</v>
      </c>
      <c r="K298" s="11">
        <f>INDEX($B$8:$D$8,1,2)</f>
        <v>300</v>
      </c>
      <c r="L298" s="45">
        <f t="shared" si="33"/>
        <v>0.027</v>
      </c>
    </row>
    <row r="299" ht="16.5" spans="1:12">
      <c r="A299" s="11" t="s">
        <v>149</v>
      </c>
      <c r="B299" s="20" t="s">
        <v>34</v>
      </c>
      <c r="C299" s="10">
        <v>3</v>
      </c>
      <c r="D299" s="7" t="s">
        <v>34</v>
      </c>
      <c r="E299" s="7" t="s">
        <v>34</v>
      </c>
      <c r="F299" s="7" t="s">
        <v>34</v>
      </c>
      <c r="G299" s="6" t="s">
        <v>150</v>
      </c>
      <c r="H299" s="6" t="s">
        <v>143</v>
      </c>
      <c r="I299" s="18">
        <f>2*2*2*18*20</f>
        <v>2880</v>
      </c>
      <c r="J299" s="45">
        <f t="shared" si="31"/>
        <v>0.0009</v>
      </c>
      <c r="K299" s="11">
        <f>INDEX($B$8:$D$8,1,1)</f>
        <v>150</v>
      </c>
      <c r="L299" s="45">
        <f t="shared" si="33"/>
        <v>0.135</v>
      </c>
    </row>
    <row r="300" ht="16.5" spans="1:12">
      <c r="A300" s="9" t="s">
        <v>38</v>
      </c>
      <c r="B300" s="8" t="s">
        <v>1</v>
      </c>
      <c r="C300" s="8" t="s">
        <v>1</v>
      </c>
      <c r="D300" s="8" t="s">
        <v>1</v>
      </c>
      <c r="E300" s="8" t="s">
        <v>1</v>
      </c>
      <c r="F300" s="8" t="s">
        <v>1</v>
      </c>
      <c r="G300" s="8" t="s">
        <v>1</v>
      </c>
      <c r="H300" s="8" t="s">
        <v>1</v>
      </c>
      <c r="I300" s="21">
        <f>SUM(I52:I299)</f>
        <v>357200</v>
      </c>
      <c r="J300" s="8" t="s">
        <v>1</v>
      </c>
      <c r="K300" s="8" t="s">
        <v>1</v>
      </c>
      <c r="L300" s="46">
        <f>SUM(L52:L299)</f>
        <v>1.630853125</v>
      </c>
    </row>
  </sheetData>
  <autoFilter xmlns:etc="http://www.wps.cn/officeDocument/2017/etCustomData" ref="A51:L300" etc:filterBottomFollowUsedRange="0">
    <extLst/>
  </autoFilter>
  <mergeCells count="5">
    <mergeCell ref="A1:L1"/>
    <mergeCell ref="A10:C10"/>
    <mergeCell ref="A11:D11"/>
    <mergeCell ref="A13:F13"/>
    <mergeCell ref="A47:C47"/>
  </mergeCells>
  <pageMargins left="0.75" right="0.75" top="1" bottom="1" header="0.5" footer="0.5"/>
  <headerFooter/>
  <ignoredErrors>
    <ignoredError sqref="A300:Q320 A299:F299 H299 J298:Q298 K299:Q299 A298:G298 A1:Q297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PartIII 转轮+WILD连线→RTP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。。。</cp:lastModifiedBy>
  <dcterms:created xsi:type="dcterms:W3CDTF">2026-09-27T16:06:00Z</dcterms:created>
  <dcterms:modified xsi:type="dcterms:W3CDTF">2026-10-08T07:58:50Z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EBA3E5F23F3C4CBB86823DD47687360A_12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