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IV 三个可调参数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<sst xmlns="http://schemas.openxmlformats.org/spreadsheetml/2006/main" count="219" uniqueCount="81">
  <si>
    <t>捕鱼游戏数学 PART Ⅳ —— 三个可调参数（鱼种比例／移动速度／移动路径）（复刻自 ezslotdesign.com/fishgame4/）</t>
  </si>
  <si>
    <t/>
  </si>
  <si>
    <t>用法</t>
  </si>
  <si>
    <t>1) B9:D14「鱼种分类与击杀率」：填 RTP 与大鱼分界（原文 20 倍），逐条填鱼种赔率 → 自动分类（小鱼／大鱼）并算击杀率 P = R ÷ N</t>
  </si>
  <si>
    <t>2) B18 起「两种极端画面」：全 2 倍鱼／全 100 倍鱼的击杀率（原文「约 50%」「约 1%」的对照）</t>
  </si>
  <si>
    <t>3) B23 起「三个可调参数」整理表，以及文末其他原文数字</t>
  </si>
  <si>
    <t>蓝字＝可改输入；其余为公式。</t>
  </si>
  <si>
    <t>建模要点</t>
  </si>
  <si>
    <t>· 分类（概略）：小鱼 = 20 倍以下、大鱼 = 20 倍以上、特殊鱼 = 特殊炮或随机倍数鱼种（原文强调不同设计者分类不同）</t>
  </si>
  <si>
    <t>· 参数① 鱼种数量比例：出鱼不能太单调，又要让玩家感受到金额跳动 → 大小鱼比例是重点</t>
  </si>
  <si>
    <t>· 参数② 鱼移动速度：市面鱼机通常把大鱼做得较大只 → 更容易进入射程 → 所以要「让大鱼移动得更快一点」来降低打中大鱼的机率、降低金额波动</t>
  </si>
  <si>
    <t>· 参数③ 鱼移动路径：避免鱼都往画面中央会合又四散（画面失去平衡感）；可指定某些路径（例如一定经过炮台前方）给小鱼走，提高小鱼被击中的频率；路径数学上可用贝兹曲线（Bézier curve）</t>
  </si>
  <si>
    <t>· 本文没有新公式：机率部分「并没有进化太多」，击杀率仍是 Part Ⅰ 的 P = R ÷ N</t>
  </si>
  <si>
    <t>── 原文公式与示例（照抄）──</t>
  </si>
  <si>
    <t>【分类（概略）】小鱼 = 20 倍以下的鱼种；大鱼 = 20 倍以上的鱼种；特殊鱼 = 特殊炮或随机倍数鱼种（原文强调不同设计者的分类方式有所不同）。</t>
  </si>
  <si>
    <t>【公式】本文没有新公式：机率部分「并没有进化太多」，击杀率仍用 Part Ⅰ 的 P = R ÷ N。</t>
  </si>
  <si>
    <t>【原文概略数字】2 倍鱼 → 击杀率约 50%；100 倍鱼 → 击杀率约 1%（＝把 RTP 当成 100% 的说法；RTP = 90% 时分别是 45% 与 0.9%，本表默认 90%）。</t>
  </si>
  <si>
    <t>【参数① 鱼种数量比例】两个极端画面的思想实验：</t>
  </si>
  <si>
    <t>　画面一：全部都是 2 倍鱼 → 击杀率约 50%，金额浮动很小，玩家可能「无聊到想睡着」</t>
  </si>
  <si>
    <t>　画面二：全部都是 100 倍鱼 → 击杀率约 1%，金额浮动很大，不是忽然跳上去，就是下降速度快到「心脏无法负荷」</t>
  </si>
  <si>
    <t>　→ 结论：市面鱼机不会让这么极端的画面出现；出鱼排列不能太单调，又要让玩家感受到金额跳动，因此大小鱼比例是一个重点。</t>
  </si>
  <si>
    <t>【参数② 鱼移动的速度】思想实验：画面有十只小鱼和一只大鱼，在不特别瞄准、自动射击的情况下较容易打中什么鱼？答案是较容易打中大鱼——因为市面鱼机通常把大鱼面积做得较大只、小鱼做得较小只，使大鱼有更大机率进入射程范围。</t>
  </si>
  <si>
    <t>　→ 后果：更容易打中大鱼，余额掉落速度较快（也可能忽然往上跳动）→ 调优手段：让大鱼移动得更快一些，以减少击中大鱼的机率、降低金额波动。</t>
  </si>
  <si>
    <t>【参数③ 鱼移动的路径】常见现象：鱼从画面四面八方游进来，不约而同往画面中央会合，之后又不约而同往四边游走；当每只鱼在画面中间点交叠时，画面会失去一种平衡感。</t>
  </si>
  <si>
    <t>　→ 调优手段：设计鱼的游走路线避免上述现象；也可让某些鱼走特定路径（举例：设定某些路径一定会经过炮台前方，让小鱼一定走这条路径，可提高小鱼被击中的频率）。</t>
  </si>
  <si>
    <t>　→ 数学方法：可用贝兹曲线（Bézier curve）——可将经过任意两点的曲线用多项式形式表达，运用广泛（原文未展开细节）。</t>
  </si>
  <si>
    <t>【其他原文数字】子弹发射速度一般约每秒 5 发；行业趋势：视觉特效更炫、实作从 2D 走向 3D，题材扩展到恐龙、鸟类，甚至改成战机类型。</t>
  </si>
  <si>
    <t>校验（原文数字）: 2 倍鱼击杀率约 50%、100 倍鱼约 1%（＝把 RTP 当成 100% 的概略说法；若 RTP = 90% 则为 45% 与 0.9%）。子弹发射速度约每秒 5 发。思想实验「画面十只小鱼 + 一只大鱼」→ 不特别瞄准时较容易打中大鱼。行业趋势：2D 走向 3D，题材扩展到恐龙、鸟类、战机。</t>
  </si>
  <si>
    <t>Source: ezslotdesign.com《捕魚遊戲 Part IV》（作者 奧西里斯）, 2021-09-27, https://ezslotdesign.com/fishgame4/</t>
  </si>
  <si>
    <t>配图：原文题图与示范影片皆为装饰性，没有数据图表。</t>
  </si>
  <si>
    <t>捕鱼游戏 PART Ⅳ：鱼种分类与三个可调参数　（蓝字＝可改输入）</t>
  </si>
  <si>
    <t>【1】鱼种分类与击杀率（击杀率仍用 Part Ⅰ 的 P = R ÷ N）</t>
  </si>
  <si>
    <t>项目</t>
  </si>
  <si>
    <t>值</t>
  </si>
  <si>
    <t>RTP R</t>
  </si>
  <si>
    <t>大鱼分界（倍）</t>
  </si>
  <si>
    <t>鱼种</t>
  </si>
  <si>
    <t>赔率 N</t>
  </si>
  <si>
    <t>分类</t>
  </si>
  <si>
    <t>击杀率 P = R ÷ N</t>
  </si>
  <si>
    <t>分类只是概略：小鱼 = 20 倍以下、大鱼 = 20 倍以上、特殊鱼 = 特殊炮或随机倍数鱼种（分界可改）</t>
  </si>
  <si>
    <t>小鱼例1</t>
  </si>
  <si>
    <t>小鱼例2</t>
  </si>
  <si>
    <t>赔率越低 → 击杀率越高、金额跳动越小；赔率越高 → 击杀率越低、金额波动越大</t>
  </si>
  <si>
    <t>小鱼例3</t>
  </si>
  <si>
    <t>大鱼例1</t>
  </si>
  <si>
    <t>大鱼例2</t>
  </si>
  <si>
    <t>大鱼例3</t>
  </si>
  <si>
    <t>【2】两种极端画面（原文思想实验）</t>
  </si>
  <si>
    <t>画面</t>
  </si>
  <si>
    <t>浮动感受</t>
  </si>
  <si>
    <t>画面一</t>
  </si>
  <si>
    <t>全部 2 倍鱼</t>
  </si>
  <si>
    <t>浮动极小</t>
  </si>
  <si>
    <t>原文：「全部 2 倍鱼 → 击杀率约 50%，浮动很小，玩家可能无聊到想睡着」（RTP 100% 时正好 50%；本表 RTP = 90% 时是 45%）</t>
  </si>
  <si>
    <t>画面二</t>
  </si>
  <si>
    <t>全部 100 倍鱼</t>
  </si>
  <si>
    <t>浮动极大</t>
  </si>
  <si>
    <t>原文：「全部 100 倍鱼 → 约 1%，金额不是忽然跳上去，就是下降快到心脏无法负荷」→ 市面鱼机不会让画面这么极端</t>
  </si>
  <si>
    <t>【3】三个可调参数（原文整理）</t>
  </si>
  <si>
    <t>参数</t>
  </si>
  <si>
    <t>原文做法</t>
  </si>
  <si>
    <t>影响方向</t>
  </si>
  <si>
    <t>① 鱼种数量比例</t>
  </si>
  <si>
    <t>太小鱼单调、太大鱼波动过大 → 大小鱼比例要配好</t>
  </si>
  <si>
    <t>决定整体波动与「金额跳动」的体感</t>
  </si>
  <si>
    <t>原文说这三个是「调整后相对比较有感」的参数，每位设计者感受不同</t>
  </si>
  <si>
    <t>② 鱼移动速度</t>
  </si>
  <si>
    <t>大鱼体积大、更容易进射程 → 让大鱼移动更快一点</t>
  </si>
  <si>
    <t>速度越快 → 被打中机率越低 → 波动越小</t>
  </si>
  <si>
    <t>③ 鱼移动路径</t>
  </si>
  <si>
    <t>避免鱼都往中央会合；可指定路径（如一定经过炮台前）给小鱼走</t>
  </si>
  <si>
    <t>控制各鱼种被击中的频率</t>
  </si>
  <si>
    <t>路径数学上可用贝兹曲线（Bézier curve）：经过任意两点的曲线可用多项式表达</t>
  </si>
  <si>
    <t>【4】其他原文数字</t>
  </si>
  <si>
    <t>子弹发射速度</t>
  </si>
  <si>
    <t>约每秒 5 发</t>
  </si>
  <si>
    <t>题材趋势</t>
  </si>
  <si>
    <t>2D → 3D；恐龙、鸟类，甚至改成战机类型</t>
  </si>
  <si>
    <t>机率部分</t>
  </si>
  <si>
    <t>「并没有进化太多」，仍是 Part Ⅰ 的 P = R ÷ 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</si>
</sst>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.0000000000%"/>
  </numFmts>
  <fonts count="23">
    <font>
      <sz val="11"/>
      <color theme="1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sz val="11"/>
      <color rgb="FF606060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6" borderId="9">
      <alignment vertical="center"/>
    </xf>
    <xf numFmtId="0" fontId="13" fillId="7" borderId="10">
      <alignment vertical="center"/>
    </xf>
    <xf numFmtId="0" fontId="14" fillId="7" borderId="9">
      <alignment vertical="center"/>
    </xf>
    <xf numFmtId="0" fontId="15" fillId="8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40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1" xfId="0" applyBorder="1"/>
    <xf numFmtId="0" fontId="2" fillId="0" borderId="0" xfId="0" applyFont="1"/>
    <xf numFmtId="0" fontId="1" fillId="3" borderId="3" xfId="0" applyFont="1" applyFill="1" applyBorder="1"/>
    <xf numFmtId="0" fontId="0" fillId="0" borderId="3" xfId="0" applyBorder="1"/>
    <xf numFmtId="10" fontId="3" fillId="4" borderId="3" xfId="0" applyNumberFormat="1" applyFont="1" applyFill="1" applyBorder="1"/>
    <xf numFmtId="1" fontId="3" fillId="4" borderId="3" xfId="0" applyNumberFormat="1" applyFont="1" applyFill="1" applyBorder="1"/>
    <xf numFmtId="0" fontId="1" fillId="3" borderId="3" xfId="0" applyFont="1" applyFill="1" applyBorder="1" applyAlignment="1">
      <alignment vertical="center" wrapText="1"/>
    </xf>
    <xf numFmtId="0" fontId="0" fillId="0" borderId="4" xfId="0" applyBorder="1"/>
    <xf numFmtId="0" fontId="2" fillId="0" borderId="0" xfId="0" applyFont="1" applyAlignment="1">
      <alignment vertical="center" wrapText="1"/>
    </xf>
    <xf numFmtId="176" fontId="0" fillId="0" borderId="3" xfId="0" applyNumberFormat="1" applyBorder="1"/>
    <xf numFmtId="10" fontId="0" fillId="0" borderId="3" xfId="0" applyNumberFormat="1" applyBorder="1"/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0" fillId="0" borderId="5" xfId="0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1" fillId="2" borderId="0" xfId="0" applyNumberFormat="1" applyFont="1" applyFill="1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/>
    <xf numFmtId="0" fontId="1" fillId="0" borderId="0" xfId="0" applyNumberFormat="1" applyFont="1"/>
    <xf numFmtId="0" fontId="0" fillId="0" borderId="0" xfId="0" applyNumberFormat="1"/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/>
    <xf numFmtId="0" fontId="2" fillId="0" borderId="0" xfId="0" applyNumberFormat="1" applyFont="1" applyAlignment="1">
      <alignment vertical="center" wrapText="1"/>
    </xf>
    <xf numFmtId="0" fontId="2" fillId="0" borderId="0" xfId="0" applyNumberFormat="1" applyFont="1" applyAlignment="1">
      <alignment vertical="top"/>
    </xf>
    <xf numFmtId="0" fontId="2" fillId="0" borderId="0" xfId="0" applyNumberFormat="1" applyFont="1"/>
    <xf numFmtId="177" applyNumberFormat="1" fontId="3" fillId="4" borderId="3" xfId="0" applyFont="1" applyFill="1" applyBorder="1"/>
    <xf numFmtId="177" applyNumberFormat="1" fontId="0" fillId="0" borderId="3" xfId="0" applyBorder="1"/>
    <xf numFmtId="177" applyNumberFormat="1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workbookViewId="0">
      <selection activeCell="A1" sqref="A1"/>
    </sheetView>
  </sheetViews>
  <sheetFormatPr defaultColWidth="9" defaultRowHeight="14"/>
  <cols>
    <col min="1" max="1" width="110" customWidth="1"/>
    <col min="2" max="2" width="13" customWidth="1"/>
  </cols>
  <sheetData>
    <row r="1" spans="1:1">
      <c r="A1" s="29" t="s">
        <v>0</v>
      </c>
    </row>
    <row r="2" spans="1:1">
      <c r="A2" s="30" t="s">
        <v>1</v>
      </c>
    </row>
    <row r="3" spans="1:1">
      <c r="A3" s="29" t="s">
        <v>2</v>
      </c>
    </row>
    <row r="4" spans="1:1">
      <c r="A4" s="31" t="s">
        <v>3</v>
      </c>
    </row>
    <row r="5" spans="1:1">
      <c r="A5" s="30" t="s">
        <v>4</v>
      </c>
    </row>
    <row r="6" spans="1:1">
      <c r="A6" s="30" t="s">
        <v>5</v>
      </c>
    </row>
    <row r="7" spans="1:1">
      <c r="A7" s="30" t="s">
        <v>6</v>
      </c>
    </row>
    <row r="8" spans="1:1">
      <c r="A8" s="30" t="s">
        <v>1</v>
      </c>
    </row>
    <row r="9" spans="1:1">
      <c r="A9" s="29" t="s">
        <v>7</v>
      </c>
    </row>
    <row r="10" spans="1:1">
      <c r="A10" s="31" t="s">
        <v>8</v>
      </c>
    </row>
    <row r="11" spans="1:1">
      <c r="A11" s="30" t="s">
        <v>9</v>
      </c>
    </row>
    <row r="12" spans="1:1">
      <c r="A12" s="31" t="s">
        <v>10</v>
      </c>
    </row>
    <row r="13" spans="1:1">
      <c r="A13" s="32" t="s">
        <v>11</v>
      </c>
    </row>
    <row r="14" spans="1:1">
      <c r="A14" s="30" t="s">
        <v>12</v>
      </c>
    </row>
    <row r="15" spans="1:1">
      <c r="A15" s="30" t="s">
        <v>1</v>
      </c>
    </row>
    <row r="16" spans="1:1">
      <c r="A16" s="33" t="s">
        <v>13</v>
      </c>
    </row>
    <row r="17" spans="1:1">
      <c r="A17" s="32" t="s">
        <v>14</v>
      </c>
    </row>
    <row r="18" spans="1:1">
      <c r="A18" s="31" t="s">
        <v>15</v>
      </c>
    </row>
    <row r="19" spans="1:1">
      <c r="A19" s="32" t="s">
        <v>16</v>
      </c>
    </row>
    <row r="20" spans="1:1">
      <c r="A20" s="31" t="s">
        <v>17</v>
      </c>
    </row>
    <row r="21" spans="1:1">
      <c r="A21" s="30" t="s">
        <v>18</v>
      </c>
    </row>
    <row r="22" spans="1:1">
      <c r="A22" s="30" t="s">
        <v>19</v>
      </c>
    </row>
    <row r="23" spans="1:1">
      <c r="A23" s="31" t="s">
        <v>20</v>
      </c>
    </row>
    <row r="24" spans="1:1">
      <c r="A24" s="32" t="s">
        <v>21</v>
      </c>
    </row>
    <row r="25" spans="1:1">
      <c r="A25" s="31" t="s">
        <v>22</v>
      </c>
    </row>
    <row r="26" spans="1:1">
      <c r="A26" s="32" t="s">
        <v>23</v>
      </c>
    </row>
    <row r="27" spans="1:1">
      <c r="A27" s="31" t="s">
        <v>24</v>
      </c>
    </row>
    <row r="28" spans="1:1">
      <c r="A28" s="31" t="s">
        <v>25</v>
      </c>
    </row>
    <row r="29" spans="1:1">
      <c r="A29" s="34" t="s">
        <v>26</v>
      </c>
    </row>
    <row r="30" spans="1:1">
      <c r="A30" s="30" t="s">
        <v>1</v>
      </c>
    </row>
    <row r="31" ht="15" customHeight="1" spans="1:1">
      <c r="A31" s="35" t="s">
        <v>27</v>
      </c>
    </row>
    <row r="32" spans="1:1">
      <c r="A32" s="36" t="s">
        <v>28</v>
      </c>
    </row>
    <row r="33" spans="1:1">
      <c r="A33" s="36" t="s">
        <v>29</v>
      </c>
    </row>
  </sheetData>
  <mergeCells count="16">
    <mergeCell ref="A4:C4"/>
    <mergeCell ref="A10:C10"/>
    <mergeCell ref="A12:D12"/>
    <mergeCell ref="A13:H13"/>
    <mergeCell ref="A17:D17"/>
    <mergeCell ref="A18:C18"/>
    <mergeCell ref="A19:D19"/>
    <mergeCell ref="A20:C20"/>
    <mergeCell ref="A23:C23"/>
    <mergeCell ref="A24:L24"/>
    <mergeCell ref="A25:D25"/>
    <mergeCell ref="A26:F26"/>
    <mergeCell ref="A27:F27"/>
    <mergeCell ref="A28:C28"/>
    <mergeCell ref="A29:C29"/>
    <mergeCell ref="A31:Q31"/>
  </mergeCells>
  <pageMargins left="0.75" right="0.75" top="1" bottom="1" header="0.5" footer="0.5"/>
  <headerFooter/>
  <ignoredErrors>
    <ignoredError sqref="A1:V53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workbookViewId="0">
      <selection activeCell="A1" sqref="A1:H1"/>
    </sheetView>
  </sheetViews>
  <sheetFormatPr defaultColWidth="9" defaultRowHeight="14"/>
  <cols>
    <col min="1" max="1" width="3" customWidth="1"/>
    <col min="2" max="2" width="22" customWidth="1"/>
    <col min="3" max="3" width="13" customWidth="1"/>
    <col min="4" max="4" width="17" customWidth="1"/>
    <col min="5" max="5" width="13" customWidth="1"/>
    <col min="6" max="6" width="15" customWidth="1"/>
    <col min="7" max="7" width="13" customWidth="1"/>
    <col min="8" max="8" width="74" customWidth="1"/>
  </cols>
  <sheetData>
    <row r="1" spans="1:8">
      <c r="A1" s="1" t="s">
        <v>30</v>
      </c>
    </row>
    <row r="2" spans="1:8">
      <c r="A2" s="2" t="s">
        <v>1</v>
      </c>
      <c r="B2" s="3" t="s">
        <v>31</v>
      </c>
      <c r="C2" s="4"/>
      <c r="D2" s="4"/>
      <c r="E2" s="5"/>
      <c r="F2" t="s">
        <v>1</v>
      </c>
      <c r="G2" t="s">
        <v>1</v>
      </c>
      <c r="H2" s="6" t="s">
        <v>1</v>
      </c>
    </row>
    <row r="3" spans="1:8">
      <c r="A3" s="2" t="s">
        <v>1</v>
      </c>
      <c r="B3" s="7" t="s">
        <v>32</v>
      </c>
      <c r="C3" s="7" t="s">
        <v>33</v>
      </c>
      <c r="D3" s="7" t="s">
        <v>1</v>
      </c>
      <c r="E3" s="7" t="s">
        <v>1</v>
      </c>
      <c r="F3" t="s">
        <v>1</v>
      </c>
      <c r="G3" t="s">
        <v>1</v>
      </c>
      <c r="H3" s="6" t="s">
        <v>1</v>
      </c>
    </row>
    <row r="4" spans="1:8">
      <c r="A4" s="2" t="s">
        <v>1</v>
      </c>
      <c r="B4" s="8" t="s">
        <v>34</v>
      </c>
      <c r="C4" s="9">
        <v>0.9</v>
      </c>
      <c r="D4" s="7" t="s">
        <v>1</v>
      </c>
      <c r="E4" s="7" t="s">
        <v>1</v>
      </c>
      <c r="F4" t="s">
        <v>1</v>
      </c>
      <c r="G4" t="s">
        <v>1</v>
      </c>
      <c r="H4" s="6" t="s">
        <v>1</v>
      </c>
    </row>
    <row r="5" spans="1:8">
      <c r="A5" s="2" t="s">
        <v>1</v>
      </c>
      <c r="B5" s="8" t="s">
        <v>35</v>
      </c>
      <c r="C5" s="10">
        <v>20</v>
      </c>
      <c r="D5" s="7" t="s">
        <v>1</v>
      </c>
      <c r="E5" s="7" t="s">
        <v>1</v>
      </c>
      <c r="F5" t="s">
        <v>1</v>
      </c>
      <c r="G5" t="s">
        <v>1</v>
      </c>
      <c r="H5" s="6" t="s">
        <v>1</v>
      </c>
    </row>
    <row r="6" spans="1:8">
      <c r="A6" s="2" t="s">
        <v>1</v>
      </c>
      <c r="B6" s="8" t="s">
        <v>1</v>
      </c>
      <c r="C6" s="10" t="s">
        <v>1</v>
      </c>
      <c r="D6" s="7" t="s">
        <v>1</v>
      </c>
      <c r="E6" s="7" t="s">
        <v>1</v>
      </c>
      <c r="F6" t="s">
        <v>1</v>
      </c>
      <c r="G6" t="s">
        <v>1</v>
      </c>
      <c r="H6" s="6" t="s">
        <v>1</v>
      </c>
    </row>
    <row r="7" spans="1:8">
      <c r="A7" s="2" t="s">
        <v>1</v>
      </c>
      <c r="B7" s="7" t="s">
        <v>36</v>
      </c>
      <c r="C7" s="7" t="s">
        <v>37</v>
      </c>
      <c r="D7" s="7" t="s">
        <v>38</v>
      </c>
      <c r="E7" s="11" t="s">
        <v>39</v>
      </c>
      <c r="F7" s="12"/>
      <c r="G7" t="s">
        <v>1</v>
      </c>
      <c r="H7" s="13" t="s">
        <v>40</v>
      </c>
    </row>
    <row r="8" spans="1:8">
      <c r="A8" s="2" t="s">
        <v>1</v>
      </c>
      <c r="B8" s="8" t="s">
        <v>41</v>
      </c>
      <c r="C8" s="10">
        <v>2</v>
      </c>
      <c r="D8" s="8" t="str">
        <f t="shared" ref="D8:D13" si="0">IF(OR(C8="",C8=0),"",IF(C8&lt;=$C$5,"小鱼","大鱼"))</f>
        <v>小鱼</v>
      </c>
      <c r="E8" s="38">
        <f t="shared" ref="E8:E13" si="1">IF(OR(C8="",C8=0),"",$C$4/C8)</f>
        <v>0.45</v>
      </c>
      <c r="F8" t="s">
        <v>1</v>
      </c>
      <c r="G8" t="s">
        <v>1</v>
      </c>
      <c r="H8" s="6" t="s">
        <v>1</v>
      </c>
    </row>
    <row r="9" spans="1:8">
      <c r="A9" s="2" t="s">
        <v>1</v>
      </c>
      <c r="B9" s="8" t="s">
        <v>42</v>
      </c>
      <c r="C9" s="10">
        <v>10</v>
      </c>
      <c r="D9" s="8" t="str">
        <f t="shared" si="0"/>
        <v>小鱼</v>
      </c>
      <c r="E9" s="38">
        <f t="shared" si="1"/>
        <v>0.09</v>
      </c>
      <c r="F9" t="s">
        <v>1</v>
      </c>
      <c r="G9" t="s">
        <v>1</v>
      </c>
      <c r="H9" s="6" t="s">
        <v>43</v>
      </c>
    </row>
    <row r="10" spans="1:8">
      <c r="A10" s="2" t="s">
        <v>1</v>
      </c>
      <c r="B10" s="8" t="s">
        <v>44</v>
      </c>
      <c r="C10" s="10">
        <v>20</v>
      </c>
      <c r="D10" s="8" t="str">
        <f t="shared" si="0"/>
        <v>小鱼</v>
      </c>
      <c r="E10" s="38">
        <f t="shared" si="1"/>
        <v>0.045</v>
      </c>
      <c r="F10" t="s">
        <v>1</v>
      </c>
      <c r="G10" t="s">
        <v>1</v>
      </c>
      <c r="H10" s="6" t="s">
        <v>1</v>
      </c>
    </row>
    <row r="11" spans="1:8">
      <c r="A11" s="2" t="s">
        <v>1</v>
      </c>
      <c r="B11" s="8" t="s">
        <v>45</v>
      </c>
      <c r="C11" s="10">
        <v>50</v>
      </c>
      <c r="D11" s="8" t="str">
        <f t="shared" si="0"/>
        <v>大鱼</v>
      </c>
      <c r="E11" s="38">
        <f t="shared" si="1"/>
        <v>0.018</v>
      </c>
      <c r="F11" t="s">
        <v>1</v>
      </c>
      <c r="G11" t="s">
        <v>1</v>
      </c>
      <c r="H11" s="6" t="s">
        <v>1</v>
      </c>
    </row>
    <row r="12" spans="1:8">
      <c r="A12" s="2" t="s">
        <v>1</v>
      </c>
      <c r="B12" s="8" t="s">
        <v>46</v>
      </c>
      <c r="C12" s="10">
        <v>100</v>
      </c>
      <c r="D12" s="8" t="str">
        <f t="shared" si="0"/>
        <v>大鱼</v>
      </c>
      <c r="E12" s="38">
        <f t="shared" si="1"/>
        <v>0.009</v>
      </c>
      <c r="F12" t="s">
        <v>1</v>
      </c>
      <c r="G12" t="s">
        <v>1</v>
      </c>
      <c r="H12" s="6" t="s">
        <v>1</v>
      </c>
    </row>
    <row r="13" spans="1:8">
      <c r="A13" s="2" t="s">
        <v>1</v>
      </c>
      <c r="B13" s="8" t="s">
        <v>47</v>
      </c>
      <c r="C13" s="10">
        <v>500</v>
      </c>
      <c r="D13" s="8" t="str">
        <f t="shared" si="0"/>
        <v>大鱼</v>
      </c>
      <c r="E13" s="38">
        <f t="shared" si="1"/>
        <v>0.0018</v>
      </c>
      <c r="F13" t="s">
        <v>1</v>
      </c>
      <c r="G13" t="s">
        <v>1</v>
      </c>
      <c r="H13" s="6" t="s">
        <v>1</v>
      </c>
    </row>
    <row r="14" spans="1:8">
      <c r="A14" s="2" t="s">
        <v>1</v>
      </c>
      <c r="B14" s="8" t="s">
        <v>1</v>
      </c>
      <c r="C14" s="10" t="s">
        <v>1</v>
      </c>
      <c r="D14" s="8" t="s">
        <v>1</v>
      </c>
      <c r="E14" s="14" t="s">
        <v>1</v>
      </c>
      <c r="F14" t="s">
        <v>1</v>
      </c>
      <c r="G14" t="s">
        <v>1</v>
      </c>
      <c r="H14" s="6" t="s">
        <v>1</v>
      </c>
    </row>
    <row r="15" spans="1:8">
      <c r="A15" s="2" t="s">
        <v>1</v>
      </c>
      <c r="B15" s="3" t="s">
        <v>48</v>
      </c>
      <c r="C15" s="4"/>
      <c r="D15" s="5"/>
      <c r="E15" s="14" t="s">
        <v>1</v>
      </c>
      <c r="F15" t="s">
        <v>1</v>
      </c>
      <c r="G15" t="s">
        <v>1</v>
      </c>
      <c r="H15" s="6" t="s">
        <v>1</v>
      </c>
    </row>
    <row r="16" spans="1:8">
      <c r="A16" s="2" t="s">
        <v>1</v>
      </c>
      <c r="B16" s="7" t="s">
        <v>49</v>
      </c>
      <c r="C16" s="7" t="s">
        <v>36</v>
      </c>
      <c r="D16" s="7" t="s">
        <v>39</v>
      </c>
      <c r="E16" s="7" t="s">
        <v>50</v>
      </c>
      <c r="F16" t="s">
        <v>1</v>
      </c>
      <c r="G16" t="s">
        <v>1</v>
      </c>
      <c r="H16" s="6" t="s">
        <v>1</v>
      </c>
    </row>
    <row r="17" spans="1:8">
      <c r="A17" s="2" t="s">
        <v>1</v>
      </c>
      <c r="B17" s="8" t="s">
        <v>51</v>
      </c>
      <c r="C17" s="8" t="s">
        <v>52</v>
      </c>
      <c r="D17" s="39">
        <f>IF($C$4="","",$C$4/2)</f>
        <v>0.45</v>
      </c>
      <c r="E17" s="8" t="s">
        <v>53</v>
      </c>
      <c r="F17" t="s">
        <v>1</v>
      </c>
      <c r="G17" t="s">
        <v>1</v>
      </c>
      <c r="H17" s="13" t="s">
        <v>54</v>
      </c>
    </row>
    <row r="18" spans="1:8">
      <c r="A18" s="2" t="s">
        <v>1</v>
      </c>
      <c r="B18" s="8" t="s">
        <v>55</v>
      </c>
      <c r="C18" s="8" t="s">
        <v>56</v>
      </c>
      <c r="D18" s="39">
        <f>IF($C$4="","",$C$4/100)</f>
        <v>0.009</v>
      </c>
      <c r="E18" s="8" t="s">
        <v>57</v>
      </c>
      <c r="F18" t="s">
        <v>1</v>
      </c>
      <c r="G18" t="s">
        <v>1</v>
      </c>
      <c r="H18" s="13" t="s">
        <v>58</v>
      </c>
    </row>
    <row r="19" spans="1:8">
      <c r="A19" s="2" t="s">
        <v>1</v>
      </c>
      <c r="B19" s="8" t="s">
        <v>1</v>
      </c>
      <c r="C19" s="8" t="s">
        <v>1</v>
      </c>
      <c r="D19" s="15" t="s">
        <v>1</v>
      </c>
      <c r="E19" s="8" t="s">
        <v>1</v>
      </c>
      <c r="F19" t="s">
        <v>1</v>
      </c>
      <c r="G19" t="s">
        <v>1</v>
      </c>
      <c r="H19" s="6" t="s">
        <v>1</v>
      </c>
    </row>
    <row r="20" spans="1:8">
      <c r="A20" s="2" t="s">
        <v>1</v>
      </c>
      <c r="B20" s="3" t="s">
        <v>59</v>
      </c>
      <c r="C20" s="5"/>
      <c r="D20" s="15" t="s">
        <v>1</v>
      </c>
      <c r="E20" s="8" t="s">
        <v>1</v>
      </c>
      <c r="F20" t="s">
        <v>1</v>
      </c>
      <c r="G20" t="s">
        <v>1</v>
      </c>
      <c r="H20" s="6" t="s">
        <v>1</v>
      </c>
    </row>
    <row r="21" spans="1:8">
      <c r="A21" s="2" t="s">
        <v>1</v>
      </c>
      <c r="B21" s="7" t="s">
        <v>60</v>
      </c>
      <c r="C21" s="7" t="s">
        <v>61</v>
      </c>
      <c r="D21" s="7" t="s">
        <v>62</v>
      </c>
      <c r="E21" s="8" t="s">
        <v>1</v>
      </c>
      <c r="F21" t="s">
        <v>1</v>
      </c>
      <c r="G21" t="s">
        <v>1</v>
      </c>
      <c r="H21" s="6" t="s">
        <v>1</v>
      </c>
    </row>
    <row r="22" ht="60" customHeight="1" spans="1:8">
      <c r="A22" s="2" t="s">
        <v>1</v>
      </c>
      <c r="B22" s="8" t="s">
        <v>63</v>
      </c>
      <c r="C22" s="16" t="s">
        <v>64</v>
      </c>
      <c r="D22" s="17" t="s">
        <v>65</v>
      </c>
      <c r="E22" s="18"/>
      <c r="F22" s="12"/>
      <c r="G22" t="s">
        <v>1</v>
      </c>
      <c r="H22" s="6" t="s">
        <v>66</v>
      </c>
    </row>
    <row r="23" ht="60" customHeight="1" spans="1:8">
      <c r="A23" s="2" t="s">
        <v>1</v>
      </c>
      <c r="B23" s="8" t="s">
        <v>67</v>
      </c>
      <c r="C23" s="16" t="s">
        <v>68</v>
      </c>
      <c r="D23" s="17" t="s">
        <v>69</v>
      </c>
      <c r="E23" s="18"/>
      <c r="F23" s="12"/>
      <c r="G23" t="s">
        <v>1</v>
      </c>
      <c r="H23" s="6" t="s">
        <v>1</v>
      </c>
    </row>
    <row r="24" ht="75" customHeight="1" spans="1:8">
      <c r="A24" s="2" t="s">
        <v>1</v>
      </c>
      <c r="B24" s="8" t="s">
        <v>70</v>
      </c>
      <c r="C24" s="16" t="s">
        <v>71</v>
      </c>
      <c r="D24" s="17" t="s">
        <v>72</v>
      </c>
      <c r="E24" s="12"/>
      <c r="F24" t="s">
        <v>1</v>
      </c>
      <c r="G24" t="s">
        <v>1</v>
      </c>
      <c r="H24" s="6" t="s">
        <v>73</v>
      </c>
    </row>
    <row r="25" spans="1:8">
      <c r="A25" s="2" t="s">
        <v>1</v>
      </c>
      <c r="B25" s="8" t="s">
        <v>1</v>
      </c>
      <c r="C25" s="8" t="s">
        <v>1</v>
      </c>
      <c r="D25" s="8" t="s">
        <v>1</v>
      </c>
      <c r="E25" s="8" t="s">
        <v>1</v>
      </c>
      <c r="F25" t="s">
        <v>1</v>
      </c>
      <c r="G25" t="s">
        <v>1</v>
      </c>
      <c r="H25" s="6" t="s">
        <v>1</v>
      </c>
    </row>
    <row r="26" spans="1:8">
      <c r="A26" s="2" t="s">
        <v>1</v>
      </c>
      <c r="B26" s="2" t="s">
        <v>74</v>
      </c>
      <c r="C26" s="8" t="s">
        <v>1</v>
      </c>
      <c r="D26" s="8" t="s">
        <v>1</v>
      </c>
      <c r="E26" s="8" t="s">
        <v>1</v>
      </c>
      <c r="F26" t="s">
        <v>1</v>
      </c>
      <c r="G26" t="s">
        <v>1</v>
      </c>
      <c r="H26" s="6" t="s">
        <v>1</v>
      </c>
    </row>
    <row r="27" spans="1:8">
      <c r="A27" s="2" t="s">
        <v>1</v>
      </c>
      <c r="B27" t="s">
        <v>75</v>
      </c>
      <c r="C27" t="s">
        <v>76</v>
      </c>
      <c r="D27" s="8" t="s">
        <v>1</v>
      </c>
      <c r="E27" s="8" t="s">
        <v>1</v>
      </c>
      <c r="F27" t="s">
        <v>1</v>
      </c>
      <c r="G27" t="s">
        <v>1</v>
      </c>
      <c r="H27" s="6" t="s">
        <v>1</v>
      </c>
    </row>
    <row r="28" spans="1:8">
      <c r="A28" s="2" t="s">
        <v>1</v>
      </c>
      <c r="B28" t="s">
        <v>77</v>
      </c>
      <c r="C28" s="19" t="s">
        <v>78</v>
      </c>
      <c r="D28" s="4"/>
      <c r="E28" s="5"/>
      <c r="F28" t="s">
        <v>1</v>
      </c>
      <c r="G28" t="s">
        <v>1</v>
      </c>
      <c r="H28" s="6" t="s">
        <v>1</v>
      </c>
    </row>
    <row r="29" spans="1:8">
      <c r="A29" s="2" t="s">
        <v>1</v>
      </c>
      <c r="B29" t="s">
        <v>79</v>
      </c>
      <c r="C29" s="20" t="s">
        <v>80</v>
      </c>
      <c r="G29" t="s">
        <v>1</v>
      </c>
      <c r="H29" s="6" t="s">
        <v>1</v>
      </c>
    </row>
  </sheetData>
  <mergeCells count="13">
    <mergeCell ref="A1:H1"/>
    <mergeCell ref="B2:E2"/>
    <mergeCell ref="E7:F7"/>
    <mergeCell ref="H7:K7"/>
    <mergeCell ref="B15:D15"/>
    <mergeCell ref="H17:M17"/>
    <mergeCell ref="H18:L18"/>
    <mergeCell ref="B20:C20"/>
    <mergeCell ref="D22:F22"/>
    <mergeCell ref="D23:F23"/>
    <mergeCell ref="D24:E24"/>
    <mergeCell ref="C28:E28"/>
    <mergeCell ref="C29:F29"/>
  </mergeCells>
  <pageMargins left="0.75" right="0.75" top="1" bottom="1" header="0.5" footer="0.5"/>
  <headerFooter/>
  <ignoredErrors>
    <ignoredError sqref="A1:R49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IV 三个可调参数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2026-09-29T04:47:00Z</dcterms:created>
  <dcterms:modified xsi:type="dcterms:W3CDTF">2026-09-29T16:07:33Z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1AEF91EA997C4305BFBB5BFD44A99681_12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