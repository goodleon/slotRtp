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Height="17680" firstSheet="1" activeTab="1"/>
  </bookViews>
  <sheets>
    <sheet name="说明" sheetId="1" r:id="rId1"/>
    <sheet name="消除掉落 连消机率+RTP换算" sheetId="4" r:id="rId2"/>
  </sheet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<sst xmlns="http://schemas.openxmlformats.org/spreadsheetml/2006/main" count="601" uniqueCount="62">
  <si>
    <t>消除掉落 Cascading Reels</t>
  </si>
  <si>
    <t xml:space="preserve"> </t>
  </si>
  <si>
    <t>来源：https://ezslotdesign.com/cascading/（数学老王，2018.06.13）</t>
  </si>
  <si>
    <t/>
  </si>
  <si>
    <t>机制：连线得分→中奖图案消除→上方掉落补齐→重复结算直到没有连线。</t>
  </si>
  <si>
    <t>首创：IGT Davinci Diamonds；进化1：+Progressive Wild（Big Bad Wolf）；</t>
  </si>
  <si>
    <t>进化2：Exploding Reels（3 Emperors）；融合例：Sevens High（每连消2次转1种颜色的7为百搭，</t>
  </si>
  <si>
    <t>免费游戏每2把有得分+2次并转百搭，最多+6次）。</t>
  </si>
  <si>
    <t>设计要点（原文）：更注意连消率 → 命中率要高、赔率可较低；表现上搭配连消音效动画。</t>
  </si>
  <si>
    <t>本模型按原文要点补建（原文无计算数据，蓝字可改）：</t>
  </si>
  <si>
    <t xml:space="preserve">  P(恰好连消k次) = 命中率 x 连消率^(k-1) x (1-连消率)</t>
  </si>
  <si>
    <t xml:space="preserve">  期望连消次数 = 命中率/(1-连消率)；RTP放大倍率 = 1/(1-连消率)</t>
  </si>
  <si>
    <t>（本簿已合并为 2 个页签：说明、消除掉落 连消机率+RTP换算；各区块：连消机率 第2~22行，RTP换算 第25~29行）</t>
  </si>
  <si>
    <t>── 完整文档（原 老虎机数学专题-消除掉落.md 存档）──</t>
  </si>
  <si>
    <t>老虎机数学专题 —— 消除掉落（Cascading Reels）</t>
  </si>
  <si>
    <t>来源：https://ezslotdesign.com/cascading/ （作者：数学老王，2018.06.13；机制介绍文，无计算表）</t>
  </si>
  <si>
    <t>配图：原文 1 张配图已下载到本目录 images/cascading/ 并嵌入本文。</t>
  </si>
  <si>
    <t>配套模型：老虎机数学专题-消除掉落.xlsx（按原文设计要点补建的连消机率模型）</t>
  </si>
  <si>
    <t>一、特色定义</t>
  </si>
  <si>
    <t>[图片] IGT《Davinci Diamonds》——消除掉落玩法首创  images/cascading/01-davinci-diamonds-3-opt.webp</t>
  </si>
  <si>
    <t>Cascading Reels（消除掉落，又称 Tumbling Reels / Avalanche）：连线得分后中奖图案消除、上方图案掉落补齐，重复结算直到没有连线。首创：IGT《Davinci Diamonds》。</t>
  </si>
  <si>
    <t>二、两种进化方向（原文）</t>
  </si>
  <si>
    <t>• 1. + Progressive Wild：连消时给予图案转换成百搭的奖励，增加连消机率，也让玩家有明确的连消目标与成就感（例：QuickSpin《Big Bad Wolf》）。</t>
  </si>
  <si>
    <t>• 2. Exploding Reels：连消时直接让连线的轮子重转，同样为了增加连消机率（例：Aristocrat《3 Emperors》）。</t>
  </si>
  <si>
    <t>三、重头戏：Sevens High（原文）</t>
  </si>
  <si>
    <t>主游戏：</t>
  </si>
  <si>
    <t>• 1. 任意连线得分即可重转，重转中有得分又可再次重转，直到没得分</t>
  </si>
  <si>
    <t>• 2. 每连续重转 2 次将 1 种颜色的 7 转成百搭，最多 3 种颜色的 7 都转成百搭</t>
  </si>
  <si>
    <t>免费游戏：每 2 把免费游戏（不用连续）有得分 → +2 免费游戏次数并将 1 种颜色的 7 转成百搭；最多 +6 次并将 3 种颜色的 7 都转成百搭。</t>
  </si>
  <si>
    <t>四、设计要点（原文）</t>
  </si>
  <si>
    <t>机率设计上除了原本该注意的点，必须更加注意连消率：命中率要比较高、赔率可以比较低；画面音效在连消时搭配起来，带起玩家兴奋期待的情绪更好。</t>
  </si>
  <si>
    <t>五、Excel 模型（按原文要点补建）</t>
  </si>
  <si>
    <t>原文无计算数据，模型实现连消的机率结构（示范数据，蓝字可改）：</t>
  </si>
  <si>
    <t>• 输入：单次结算的命中率 p_hit、每次消除后再连消的机率 p_cascade</t>
  </si>
  <si>
    <t>• P(恰好连消 k 次) = p_hit × p_cascade^(k−1) × (1−p_cascade)</t>
  </si>
  <si>
    <t>• 期望连消次数 = 1/(1−p_cascade)；连消 ≥4 次机率 = p_cascade³</t>
  </si>
  <si>
    <t>• RTP 放大倍率 = 1/(1−p_cascade)（总 RTP = 单次结算 RTP × 此倍率）</t>
  </si>
  <si>
    <t>工作表</t>
  </si>
  <si>
    <t>内容</t>
  </si>
  <si>
    <t>说明</t>
  </si>
  <si>
    <t>机制、两种进化、设计要点</t>
  </si>
  <si>
    <t>消除掉落 连消机率+RTP换算</t>
  </si>
  <si>
    <t>连消机率（k=1~12 次连消的机率、累计、期望连消次数）+ RTP换算（连消放大倍率与总 RTP）</t>
  </si>
  <si>
    <t>配图清单（images/cascading/）</t>
  </si>
  <si>
    <t>文件</t>
  </si>
  <si>
    <t>images/cascading/01-davinci-diamonds-3-opt.webp</t>
  </si>
  <si>
    <t>Davinci Diamonds 游戏图</t>
  </si>
  <si>
    <t>【连消机率】</t>
  </si>
  <si>
    <t>连消机率（蓝字可改）</t>
  </si>
  <si>
    <t>单次结算命中率</t>
  </si>
  <si>
    <t>每次消除后再连消率</t>
  </si>
  <si>
    <t>连消次数k</t>
  </si>
  <si>
    <t>恰好k次机率</t>
  </si>
  <si>
    <t>至少k次机率</t>
  </si>
  <si>
    <t>累计机率(恰好1~k)</t>
  </si>
  <si>
    <t>期望连消次数 = 命中率/(1-连消率)</t>
  </si>
  <si>
    <t>连消4次以上机率（原文：比进免费游戏还难）</t>
  </si>
  <si>
    <t>【RTP换算】</t>
  </si>
  <si>
    <t>RTP换算</t>
  </si>
  <si>
    <t>单次结算RTP</t>
  </si>
  <si>
    <t>连消放大倍率 = 1/(1-连消率)</t>
  </si>
  <si>
    <t>总RTP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</si>
</sst>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  <numFmt numFmtId="177" formatCode="0.0000%"/>
    <numFmt numFmtId="178" formatCode="0.0000"/>
    <numFmt numFmtId="179" formatCode="0.0000000000%"/>
  </numFmts>
  <fonts count="31">
    <font>
      <sz val="11"/>
      <color theme="1"/>
      <name val="宋体"/>
      <charset val="134"/>
      <scheme val="minor"/>
    </font>
    <font>
      <b/>
      <sz val="11"/>
      <color rgb="FF1F4E79"/>
      <name val="微软雅黑"/>
      <charset val="134"/>
    </font>
    <font>
      <b/>
      <sz val="11"/>
      <color rgb="FF000000"/>
      <name val="微软雅黑"/>
      <charset val="134"/>
    </font>
    <font>
      <sz val="11"/>
      <color theme="1"/>
      <name val="微软雅黑"/>
      <charset val="134"/>
    </font>
    <font>
      <sz val="11"/>
      <color rgb="FF0000FF"/>
      <name val="微软雅黑"/>
      <charset val="134"/>
    </font>
    <font>
      <b/>
      <sz val="11"/>
      <name val="微软雅黑"/>
      <charset val="134"/>
    </font>
    <font>
      <b/>
      <sz val="14"/>
      <color rgb="FF1F4E79"/>
      <name val="微软雅黑"/>
      <charset val="134"/>
    </font>
    <font>
      <sz val="11"/>
      <color rgb="FF000000"/>
      <name val="微软雅黑"/>
      <charset val="134"/>
    </font>
    <font>
      <b/>
      <sz val="12"/>
      <color rgb="FF1F4E79"/>
      <name val="微软雅黑"/>
      <charset val="134"/>
    </font>
    <font>
      <i/>
      <sz val="11"/>
      <color rgb="FF606060"/>
      <name val="微软雅黑"/>
      <charset val="134"/>
    </font>
    <font>
      <b/>
      <sz val="10"/>
      <color rgb="FF1F4E79"/>
      <name val="微软雅黑"/>
      <charset val="134"/>
    </font>
    <font>
      <sz val="10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B4C7E7"/>
        <bgColor indexed="64"/>
      </patternFill>
    </fill>
    <fill>
      <patternFill patternType="solid">
        <fgColor rgb="FFDEEBF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21" fillId="7" borderId="5" applyNumberFormat="0" applyAlignment="0" applyProtection="0">
      <alignment vertical="center"/>
    </xf>
    <xf numFmtId="0" fontId="22" fillId="7" borderId="4" applyNumberFormat="0" applyAlignment="0" applyProtection="0">
      <alignment vertical="center"/>
    </xf>
    <xf numFmtId="0" fontId="23" fillId="8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</cellStyleXfs>
  <cellXfs count="49">
    <xf numFmtId="0" fontId="0" fillId="0" borderId="0" xfId="0"/>
    <xf numFmtId="0" fontId="1" fillId="2" borderId="0" xfId="0" applyFont="1" applyFill="1" applyBorder="1" applyAlignment="1">
      <alignment horizontal="left"/>
    </xf>
    <xf numFmtId="0" fontId="2" fillId="0" borderId="0" xfId="0" applyFont="1" applyBorder="1"/>
    <xf numFmtId="0" fontId="3" fillId="0" borderId="0" xfId="0" applyFont="1" applyBorder="1"/>
    <xf numFmtId="0" fontId="1" fillId="3" borderId="0" xfId="0" applyFont="1" applyFill="1" applyBorder="1" applyAlignment="1">
      <alignment horizontal="center"/>
    </xf>
    <xf numFmtId="176" fontId="1" fillId="3" borderId="0" xfId="0" applyNumberFormat="1" applyFont="1" applyFill="1" applyBorder="1" applyAlignment="1">
      <alignment horizontal="center"/>
    </xf>
    <xf numFmtId="0" fontId="1" fillId="3" borderId="0" xfId="0" applyFont="1" applyFill="1" applyBorder="1" applyAlignment="1">
      <alignment horizontal="center" wrapText="1"/>
    </xf>
    <xf numFmtId="176" fontId="4" fillId="0" borderId="0" xfId="0" applyNumberFormat="1" applyFont="1" applyBorder="1"/>
    <xf numFmtId="0" fontId="5" fillId="0" borderId="0" xfId="0" applyFont="1" applyBorder="1"/>
    <xf numFmtId="177" fontId="3" fillId="0" borderId="0" xfId="0" applyNumberFormat="1" applyFont="1" applyBorder="1"/>
    <xf numFmtId="178" fontId="3" fillId="4" borderId="0" xfId="0" applyNumberFormat="1" applyFont="1" applyFill="1" applyBorder="1"/>
    <xf numFmtId="0" fontId="3" fillId="0" borderId="0" xfId="0" applyFont="1"/>
    <xf numFmtId="0" fontId="3" fillId="0" borderId="0" xfId="0" applyFont="1" applyAlignment="1"/>
    <xf numFmtId="178" fontId="3" fillId="0" borderId="0" xfId="0" applyNumberFormat="1" applyFont="1" applyBorder="1"/>
    <xf numFmtId="177" fontId="3" fillId="4" borderId="0" xfId="0" applyNumberFormat="1" applyFont="1" applyFill="1" applyBorder="1"/>
    <xf numFmtId="0" fontId="0" fillId="0" borderId="0" xfId="0" applyAlignment="1">
      <alignment wrapText="1"/>
    </xf>
    <xf numFmtId="0" fontId="6" fillId="0" borderId="0" xfId="0" applyFont="1" applyFill="1" applyBorder="1" applyAlignment="1">
      <alignment wrapText="1"/>
    </xf>
    <xf numFmtId="0" fontId="7" fillId="0" borderId="0" xfId="0" applyFont="1" applyFill="1" applyBorder="1"/>
    <xf numFmtId="0" fontId="7" fillId="0" borderId="0" xfId="0" applyFont="1" applyAlignment="1">
      <alignment wrapText="1"/>
    </xf>
    <xf numFmtId="0" fontId="7" fillId="0" borderId="0" xfId="0" applyFont="1"/>
    <xf numFmtId="0" fontId="8" fillId="0" borderId="0" xfId="0" applyFont="1" applyAlignment="1">
      <alignment wrapText="1"/>
    </xf>
    <xf numFmtId="49" fontId="6" fillId="0" borderId="0" xfId="0" applyNumberFormat="1" applyFont="1" applyAlignment="1">
      <alignment wrapText="1"/>
    </xf>
    <xf numFmtId="49" fontId="0" fillId="0" borderId="0" xfId="0" applyNumberFormat="1"/>
    <xf numFmtId="49" fontId="0" fillId="0" borderId="0" xfId="0" applyNumberFormat="1" applyAlignment="1">
      <alignment wrapText="1"/>
    </xf>
    <xf numFmtId="49" fontId="9" fillId="0" borderId="0" xfId="0" applyNumberFormat="1" applyFont="1" applyAlignment="1">
      <alignment wrapText="1"/>
    </xf>
    <xf numFmtId="49" fontId="8" fillId="0" borderId="0" xfId="0" applyNumberFormat="1" applyFont="1" applyAlignment="1">
      <alignment wrapText="1"/>
    </xf>
    <xf numFmtId="49" fontId="7" fillId="0" borderId="0" xfId="0" applyNumberFormat="1" applyFont="1" applyAlignment="1">
      <alignment wrapText="1"/>
    </xf>
    <xf numFmtId="49" fontId="7" fillId="0" borderId="0" xfId="0" applyNumberFormat="1" applyFont="1" applyAlignment="1"/>
    <xf numFmtId="49" fontId="9" fillId="0" borderId="0" xfId="0" applyNumberFormat="1" applyFont="1" applyAlignment="1"/>
    <xf numFmtId="49" fontId="10" fillId="3" borderId="0" xfId="0" applyNumberFormat="1" applyFont="1" applyFill="1" applyAlignment="1">
      <alignment wrapText="1"/>
    </xf>
    <xf numFmtId="49" fontId="10" fillId="3" borderId="0" xfId="0" applyNumberFormat="1" applyFont="1" applyFill="1"/>
    <xf numFmtId="49" fontId="11" fillId="0" borderId="0" xfId="0" applyNumberFormat="1" applyFont="1" applyAlignment="1">
      <alignment wrapText="1"/>
    </xf>
    <xf numFmtId="49" fontId="11" fillId="0" borderId="0" xfId="0" applyNumberFormat="1" applyFont="1"/>
    <xf numFmtId="0" fontId="6" fillId="0" borderId="0" xfId="0" applyNumberFormat="1" applyFont="1" applyAlignment="1">
      <alignment wrapText="1"/>
    </xf>
    <xf numFmtId="0" fontId="0" fillId="0" borderId="0" xfId="0" applyNumberFormat="1"/>
    <xf numFmtId="0" fontId="0" fillId="0" borderId="0" xfId="0" applyNumberFormat="1" applyAlignment="1">
      <alignment wrapText="1"/>
    </xf>
    <xf numFmtId="0" fontId="9" fillId="0" borderId="0" xfId="0" applyNumberFormat="1" applyFont="1" applyAlignment="1">
      <alignment wrapText="1"/>
    </xf>
    <xf numFmtId="0" fontId="8" fillId="0" borderId="0" xfId="0" applyNumberFormat="1" applyFont="1" applyAlignment="1">
      <alignment wrapText="1"/>
    </xf>
    <xf numFmtId="0" fontId="7" fillId="0" borderId="0" xfId="0" applyNumberFormat="1" applyFont="1" applyAlignment="1">
      <alignment wrapText="1"/>
    </xf>
    <xf numFmtId="0" fontId="7" fillId="0" borderId="0" xfId="0" applyNumberFormat="1" applyFont="1" applyAlignment="1"/>
    <xf numFmtId="0" fontId="9" fillId="0" borderId="0" xfId="0" applyNumberFormat="1" applyFont="1" applyAlignment="1"/>
    <xf numFmtId="0" fontId="10" fillId="3" borderId="0" xfId="0" applyNumberFormat="1" applyFont="1" applyFill="1" applyAlignment="1">
      <alignment wrapText="1"/>
    </xf>
    <xf numFmtId="0" fontId="10" fillId="3" borderId="0" xfId="0" applyNumberFormat="1" applyFont="1" applyFill="1"/>
    <xf numFmtId="0" fontId="11" fillId="0" borderId="0" xfId="0" applyNumberFormat="1" applyFont="1" applyAlignment="1">
      <alignment wrapText="1"/>
    </xf>
    <xf numFmtId="0" fontId="11" fillId="0" borderId="0" xfId="0" applyNumberFormat="1" applyFont="1"/>
    <xf numFmtId="179" applyNumberFormat="1" fontId="1" fillId="3" borderId="0" xfId="0" applyFont="1" applyFill="1" applyBorder="1" applyAlignment="1">
      <alignment horizontal="center"/>
    </xf>
    <xf numFmtId="179" applyNumberFormat="1" fontId="4" fillId="0" borderId="0" xfId="0" applyFont="1" applyBorder="1"/>
    <xf numFmtId="179" applyNumberFormat="1" fontId="3" fillId="0" borderId="0" xfId="0" applyFont="1" applyBorder="1"/>
    <xf numFmtId="179" applyNumberFormat="1" fontId="3" fillId="4" borderId="0" xfId="0" applyFont="1" applyFill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10</xdr:col>
      <xdr:colOff>25400</xdr:colOff>
      <xdr:row>23</xdr:row>
      <xdr:rowOff>107950</xdr:rowOff>
    </xdr:from>
    <xdr:to>
      <xdr:col>18</xdr:col>
      <xdr:colOff>457200</xdr:colOff>
      <xdr:row>38</xdr:row>
      <xdr:rowOff>0</xdr:rowOff>
    </xdr:to>
    <xdr:pic>
      <xdr:nvPicPr>
        <xdr:cNvPr id="2" name="图片 1" descr="01-davinci-diamonds-3-opt"/>
        <xdr:cNvPicPr/>
      </xdr:nvPicPr>
      <xdr:blipFill>
        <a:blip r:embed="rId1"/>
        <a:stretch>
          <a:fillRect/>
        </a:stretch>
      </xdr:blipFill>
      <xdr:spPr>
        <a:xfrm>
          <a:off x="11595100" y="4705350"/>
          <a:ext cx="5461000" cy="30416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4"/>
  <sheetViews>
    <sheetView topLeftCell="A2" workbookViewId="0">
      <selection activeCell="N11" sqref="N11"/>
    </sheetView>
  </sheetViews>
  <sheetFormatPr defaultColWidth="9" defaultRowHeight="14"/>
  <cols>
    <col min="1" max="1" width="84.6363636363636" style="15" customWidth="1"/>
  </cols>
  <sheetData>
    <row r="1" ht="22" customHeight="1" spans="1:10">
      <c r="A1" s="16" t="s">
        <v>0</v>
      </c>
      <c r="B1" s="17" t="s">
        <v>1</v>
      </c>
      <c r="C1" s="17" t="s">
        <v>1</v>
      </c>
      <c r="D1" s="17" t="s">
        <v>1</v>
      </c>
      <c r="E1" s="17" t="s">
        <v>1</v>
      </c>
      <c r="F1" s="17" t="s">
        <v>1</v>
      </c>
      <c r="G1" s="17" t="s">
        <v>1</v>
      </c>
      <c r="H1" s="17" t="s">
        <v>1</v>
      </c>
      <c r="I1" s="17" t="s">
        <v>1</v>
      </c>
      <c r="J1" s="17" t="s">
        <v>1</v>
      </c>
    </row>
    <row r="2" customHeight="1" spans="1:10">
      <c r="A2" s="18" t="s">
        <v>2</v>
      </c>
      <c r="B2" s="19" t="s">
        <v>1</v>
      </c>
      <c r="C2" s="19" t="s">
        <v>1</v>
      </c>
      <c r="D2" s="19" t="s">
        <v>1</v>
      </c>
      <c r="E2" s="19" t="s">
        <v>1</v>
      </c>
      <c r="F2" s="19" t="s">
        <v>1</v>
      </c>
      <c r="G2" s="19" t="s">
        <v>1</v>
      </c>
      <c r="H2" s="19" t="s">
        <v>1</v>
      </c>
      <c r="I2" s="19" t="s">
        <v>1</v>
      </c>
      <c r="J2" s="19" t="s">
        <v>1</v>
      </c>
    </row>
    <row r="3" customHeight="1" spans="1:10">
      <c r="A3" s="18" t="s">
        <v>3</v>
      </c>
      <c r="B3" s="19" t="s">
        <v>1</v>
      </c>
      <c r="C3" s="19" t="s">
        <v>1</v>
      </c>
      <c r="D3" s="19" t="s">
        <v>1</v>
      </c>
      <c r="E3" s="19" t="s">
        <v>1</v>
      </c>
      <c r="F3" s="19" t="s">
        <v>1</v>
      </c>
      <c r="G3" s="19" t="s">
        <v>1</v>
      </c>
      <c r="H3" s="19" t="s">
        <v>1</v>
      </c>
      <c r="I3" s="19" t="s">
        <v>1</v>
      </c>
      <c r="J3" s="19" t="s">
        <v>1</v>
      </c>
    </row>
    <row r="4" customHeight="1" spans="1:10">
      <c r="A4" s="18" t="s">
        <v>4</v>
      </c>
      <c r="B4" s="19" t="s">
        <v>1</v>
      </c>
      <c r="C4" s="19" t="s">
        <v>1</v>
      </c>
      <c r="D4" s="19" t="s">
        <v>1</v>
      </c>
      <c r="E4" s="19" t="s">
        <v>1</v>
      </c>
      <c r="F4" s="19" t="s">
        <v>1</v>
      </c>
      <c r="G4" s="19" t="s">
        <v>1</v>
      </c>
      <c r="H4" s="19" t="s">
        <v>1</v>
      </c>
      <c r="I4" s="19" t="s">
        <v>1</v>
      </c>
      <c r="J4" s="19" t="s">
        <v>1</v>
      </c>
    </row>
    <row r="5" customHeight="1" spans="1:10">
      <c r="A5" s="18" t="s">
        <v>5</v>
      </c>
      <c r="B5" s="19" t="s">
        <v>1</v>
      </c>
      <c r="C5" s="19" t="s">
        <v>1</v>
      </c>
      <c r="D5" s="19" t="s">
        <v>1</v>
      </c>
      <c r="E5" s="19" t="s">
        <v>1</v>
      </c>
      <c r="F5" s="19" t="s">
        <v>1</v>
      </c>
      <c r="G5" s="19" t="s">
        <v>1</v>
      </c>
      <c r="H5" s="19" t="s">
        <v>1</v>
      </c>
      <c r="I5" s="19" t="s">
        <v>1</v>
      </c>
      <c r="J5" s="19" t="s">
        <v>1</v>
      </c>
    </row>
    <row r="6" customHeight="1" spans="1:10">
      <c r="A6" s="18" t="s">
        <v>6</v>
      </c>
      <c r="B6" s="19" t="s">
        <v>1</v>
      </c>
      <c r="C6" s="19" t="s">
        <v>1</v>
      </c>
      <c r="D6" s="19" t="s">
        <v>1</v>
      </c>
      <c r="E6" s="19" t="s">
        <v>1</v>
      </c>
      <c r="F6" s="19" t="s">
        <v>1</v>
      </c>
      <c r="G6" s="19" t="s">
        <v>1</v>
      </c>
      <c r="H6" s="19" t="s">
        <v>1</v>
      </c>
      <c r="I6" s="19" t="s">
        <v>1</v>
      </c>
      <c r="J6" s="19" t="s">
        <v>1</v>
      </c>
    </row>
    <row r="7" customHeight="1" spans="1:10">
      <c r="A7" s="18" t="s">
        <v>7</v>
      </c>
      <c r="B7" s="19" t="s">
        <v>1</v>
      </c>
      <c r="C7" s="19" t="s">
        <v>1</v>
      </c>
      <c r="D7" s="19" t="s">
        <v>1</v>
      </c>
      <c r="E7" s="19" t="s">
        <v>1</v>
      </c>
      <c r="F7" s="19" t="s">
        <v>1</v>
      </c>
      <c r="G7" s="19" t="s">
        <v>1</v>
      </c>
      <c r="H7" s="19" t="s">
        <v>1</v>
      </c>
      <c r="I7" s="19" t="s">
        <v>1</v>
      </c>
      <c r="J7" s="19" t="s">
        <v>1</v>
      </c>
    </row>
    <row r="8" customHeight="1" spans="1:10">
      <c r="A8" s="18" t="s">
        <v>3</v>
      </c>
      <c r="B8" s="19" t="s">
        <v>1</v>
      </c>
      <c r="C8" s="19" t="s">
        <v>1</v>
      </c>
      <c r="D8" s="19" t="s">
        <v>1</v>
      </c>
      <c r="E8" s="19" t="s">
        <v>1</v>
      </c>
      <c r="F8" s="19" t="s">
        <v>1</v>
      </c>
      <c r="G8" s="19" t="s">
        <v>1</v>
      </c>
      <c r="H8" s="19" t="s">
        <v>1</v>
      </c>
      <c r="I8" s="19" t="s">
        <v>1</v>
      </c>
      <c r="J8" s="19" t="s">
        <v>1</v>
      </c>
    </row>
    <row r="9" customHeight="1" spans="1:10">
      <c r="A9" s="18" t="s">
        <v>8</v>
      </c>
      <c r="B9" s="19" t="s">
        <v>1</v>
      </c>
      <c r="C9" s="19" t="s">
        <v>1</v>
      </c>
      <c r="D9" s="19" t="s">
        <v>1</v>
      </c>
      <c r="E9" s="19" t="s">
        <v>1</v>
      </c>
      <c r="F9" s="19" t="s">
        <v>1</v>
      </c>
      <c r="G9" s="19" t="s">
        <v>1</v>
      </c>
      <c r="H9" s="19" t="s">
        <v>1</v>
      </c>
      <c r="I9" s="19" t="s">
        <v>1</v>
      </c>
      <c r="J9" s="19" t="s">
        <v>1</v>
      </c>
    </row>
    <row r="10" customHeight="1" spans="1:10">
      <c r="A10" s="18" t="s">
        <v>3</v>
      </c>
      <c r="B10" s="19" t="s">
        <v>1</v>
      </c>
      <c r="C10" s="19" t="s">
        <v>1</v>
      </c>
      <c r="D10" s="19" t="s">
        <v>1</v>
      </c>
      <c r="E10" s="19" t="s">
        <v>1</v>
      </c>
      <c r="F10" s="19" t="s">
        <v>1</v>
      </c>
      <c r="G10" s="19" t="s">
        <v>1</v>
      </c>
      <c r="H10" s="19" t="s">
        <v>1</v>
      </c>
      <c r="I10" s="19" t="s">
        <v>1</v>
      </c>
      <c r="J10" s="19" t="s">
        <v>1</v>
      </c>
    </row>
    <row r="11" customHeight="1" spans="1:10">
      <c r="A11" s="18" t="s">
        <v>9</v>
      </c>
      <c r="B11" s="19" t="s">
        <v>1</v>
      </c>
      <c r="C11" s="19" t="s">
        <v>1</v>
      </c>
      <c r="D11" s="19" t="s">
        <v>1</v>
      </c>
      <c r="E11" s="19" t="s">
        <v>1</v>
      </c>
      <c r="F11" s="19" t="s">
        <v>1</v>
      </c>
      <c r="G11" s="19" t="s">
        <v>1</v>
      </c>
      <c r="H11" s="19" t="s">
        <v>1</v>
      </c>
      <c r="I11" s="19" t="s">
        <v>1</v>
      </c>
      <c r="J11" s="19" t="s">
        <v>1</v>
      </c>
    </row>
    <row r="12" customHeight="1" spans="1:10">
      <c r="A12" s="18" t="s">
        <v>10</v>
      </c>
      <c r="B12" s="19" t="s">
        <v>1</v>
      </c>
      <c r="C12" s="19" t="s">
        <v>1</v>
      </c>
      <c r="D12" s="19" t="s">
        <v>1</v>
      </c>
      <c r="E12" s="19" t="s">
        <v>1</v>
      </c>
      <c r="F12" s="19" t="s">
        <v>1</v>
      </c>
      <c r="G12" s="19" t="s">
        <v>1</v>
      </c>
      <c r="H12" s="19" t="s">
        <v>1</v>
      </c>
      <c r="I12" s="19" t="s">
        <v>1</v>
      </c>
      <c r="J12" s="19" t="s">
        <v>1</v>
      </c>
    </row>
    <row r="13" customHeight="1" spans="1:10">
      <c r="A13" s="18" t="s">
        <v>11</v>
      </c>
      <c r="B13" s="19" t="s">
        <v>1</v>
      </c>
      <c r="C13" s="19" t="s">
        <v>1</v>
      </c>
      <c r="D13" s="19" t="s">
        <v>1</v>
      </c>
      <c r="E13" s="19" t="s">
        <v>1</v>
      </c>
      <c r="F13" s="19" t="s">
        <v>1</v>
      </c>
      <c r="G13" s="19" t="s">
        <v>1</v>
      </c>
      <c r="H13" s="19" t="s">
        <v>1</v>
      </c>
      <c r="I13" s="19" t="s">
        <v>1</v>
      </c>
      <c r="J13" s="19" t="s">
        <v>1</v>
      </c>
    </row>
    <row r="14" customHeight="1" spans="1:10">
      <c r="A14" s="18" t="s">
        <v>1</v>
      </c>
      <c r="B14" s="19" t="s">
        <v>1</v>
      </c>
      <c r="C14" s="19" t="s">
        <v>1</v>
      </c>
      <c r="D14" s="19" t="s">
        <v>1</v>
      </c>
      <c r="E14" s="19" t="s">
        <v>1</v>
      </c>
      <c r="F14" s="19" t="s">
        <v>1</v>
      </c>
      <c r="G14" s="19" t="s">
        <v>1</v>
      </c>
      <c r="H14" s="19" t="s">
        <v>1</v>
      </c>
      <c r="I14" s="19" t="s">
        <v>1</v>
      </c>
      <c r="J14" s="19" t="s">
        <v>1</v>
      </c>
    </row>
    <row r="15" customHeight="1" spans="1:10">
      <c r="A15" s="18" t="s">
        <v>12</v>
      </c>
      <c r="B15" s="19" t="s">
        <v>1</v>
      </c>
      <c r="C15" s="19" t="s">
        <v>1</v>
      </c>
      <c r="D15" s="19" t="s">
        <v>1</v>
      </c>
      <c r="E15" s="19" t="s">
        <v>1</v>
      </c>
      <c r="F15" s="19" t="s">
        <v>1</v>
      </c>
      <c r="G15" s="19" t="s">
        <v>1</v>
      </c>
      <c r="H15" s="19" t="s">
        <v>1</v>
      </c>
      <c r="I15" s="19" t="s">
        <v>1</v>
      </c>
      <c r="J15" s="19" t="s">
        <v>1</v>
      </c>
    </row>
    <row r="16" ht="16.5" spans="1:10">
      <c r="A16" s="18" t="s">
        <v>1</v>
      </c>
      <c r="B16" s="19" t="s">
        <v>1</v>
      </c>
      <c r="C16" s="19" t="s">
        <v>1</v>
      </c>
      <c r="D16" s="19" t="s">
        <v>1</v>
      </c>
      <c r="E16" s="19" t="s">
        <v>1</v>
      </c>
      <c r="F16" s="19" t="s">
        <v>1</v>
      </c>
      <c r="G16" s="19" t="s">
        <v>1</v>
      </c>
      <c r="H16" s="19" t="s">
        <v>1</v>
      </c>
      <c r="I16" s="19" t="s">
        <v>1</v>
      </c>
      <c r="J16" s="19" t="s">
        <v>1</v>
      </c>
    </row>
    <row r="17" ht="20" customHeight="1" spans="1:10">
      <c r="A17" s="20" t="s">
        <v>13</v>
      </c>
      <c r="B17" s="19" t="s">
        <v>1</v>
      </c>
      <c r="C17" s="19" t="s">
        <v>1</v>
      </c>
      <c r="D17" s="19" t="s">
        <v>1</v>
      </c>
      <c r="E17" s="19" t="s">
        <v>1</v>
      </c>
      <c r="F17" s="19" t="s">
        <v>1</v>
      </c>
      <c r="G17" s="19" t="s">
        <v>1</v>
      </c>
      <c r="H17" s="19" t="s">
        <v>1</v>
      </c>
      <c r="I17" s="19" t="s">
        <v>1</v>
      </c>
      <c r="J17" s="19" t="s">
        <v>1</v>
      </c>
    </row>
    <row r="18" ht="24" customHeight="1" spans="1:10">
      <c r="A18" s="33" t="s">
        <v>14</v>
      </c>
      <c r="B18" s="34" t="s">
        <v>1</v>
      </c>
      <c r="C18" s="34" t="s">
        <v>1</v>
      </c>
      <c r="D18" s="34" t="s">
        <v>1</v>
      </c>
      <c r="E18" s="34" t="s">
        <v>1</v>
      </c>
      <c r="F18" s="34" t="s">
        <v>1</v>
      </c>
      <c r="G18" s="34" t="s">
        <v>1</v>
      </c>
      <c r="H18" s="34" t="s">
        <v>1</v>
      </c>
      <c r="I18" s="34" t="s">
        <v>1</v>
      </c>
      <c r="J18" s="34" t="s">
        <v>1</v>
      </c>
    </row>
    <row r="19" spans="1:10">
      <c r="A19" s="35" t="s">
        <v>1</v>
      </c>
      <c r="B19" s="34" t="s">
        <v>1</v>
      </c>
      <c r="C19" s="34" t="s">
        <v>1</v>
      </c>
      <c r="D19" s="34" t="s">
        <v>1</v>
      </c>
      <c r="E19" s="34" t="s">
        <v>1</v>
      </c>
      <c r="F19" s="34" t="s">
        <v>1</v>
      </c>
      <c r="G19" s="34" t="s">
        <v>1</v>
      </c>
      <c r="H19" s="34" t="s">
        <v>1</v>
      </c>
      <c r="I19" s="34" t="s">
        <v>1</v>
      </c>
      <c r="J19" s="34" t="s">
        <v>1</v>
      </c>
    </row>
    <row r="20" ht="16.5" spans="1:10">
      <c r="A20" s="36" t="s">
        <v>15</v>
      </c>
      <c r="B20" s="34" t="s">
        <v>1</v>
      </c>
      <c r="C20" s="34" t="s">
        <v>1</v>
      </c>
      <c r="D20" s="34" t="s">
        <v>1</v>
      </c>
      <c r="E20" s="34" t="s">
        <v>1</v>
      </c>
      <c r="F20" s="34" t="s">
        <v>1</v>
      </c>
      <c r="G20" s="34" t="s">
        <v>1</v>
      </c>
      <c r="H20" s="34" t="s">
        <v>1</v>
      </c>
      <c r="I20" s="34" t="s">
        <v>1</v>
      </c>
      <c r="J20" s="34" t="s">
        <v>1</v>
      </c>
    </row>
    <row r="21" ht="16.5" spans="1:10">
      <c r="A21" s="36" t="s">
        <v>16</v>
      </c>
      <c r="B21" s="34" t="s">
        <v>1</v>
      </c>
      <c r="C21" s="34" t="s">
        <v>1</v>
      </c>
      <c r="D21" s="34" t="s">
        <v>1</v>
      </c>
      <c r="E21" s="34" t="s">
        <v>1</v>
      </c>
      <c r="F21" s="34" t="s">
        <v>1</v>
      </c>
      <c r="G21" s="34" t="s">
        <v>1</v>
      </c>
      <c r="H21" s="34" t="s">
        <v>1</v>
      </c>
      <c r="I21" s="34" t="s">
        <v>1</v>
      </c>
      <c r="J21" s="34" t="s">
        <v>1</v>
      </c>
    </row>
    <row r="22" ht="16.5" spans="1:10">
      <c r="A22" s="36" t="s">
        <v>17</v>
      </c>
      <c r="B22" s="34" t="s">
        <v>1</v>
      </c>
      <c r="C22" s="34" t="s">
        <v>1</v>
      </c>
      <c r="D22" s="34" t="s">
        <v>1</v>
      </c>
      <c r="E22" s="34" t="s">
        <v>1</v>
      </c>
      <c r="F22" s="34" t="s">
        <v>1</v>
      </c>
      <c r="G22" s="34" t="s">
        <v>1</v>
      </c>
      <c r="H22" s="34" t="s">
        <v>1</v>
      </c>
      <c r="I22" s="34" t="s">
        <v>1</v>
      </c>
      <c r="J22" s="34" t="s">
        <v>1</v>
      </c>
    </row>
    <row r="23" ht="20" customHeight="1" spans="1:10">
      <c r="A23" s="37" t="s">
        <v>18</v>
      </c>
      <c r="B23" s="34" t="s">
        <v>1</v>
      </c>
      <c r="C23" s="34" t="s">
        <v>1</v>
      </c>
      <c r="D23" s="34" t="s">
        <v>1</v>
      </c>
      <c r="E23" s="34" t="s">
        <v>1</v>
      </c>
      <c r="F23" s="34" t="s">
        <v>1</v>
      </c>
      <c r="G23" s="34" t="s">
        <v>1</v>
      </c>
      <c r="H23" s="34" t="s">
        <v>1</v>
      </c>
      <c r="I23" s="34" t="s">
        <v>1</v>
      </c>
      <c r="J23" s="34" t="s">
        <v>1</v>
      </c>
    </row>
    <row r="24" spans="1:10">
      <c r="A24" s="35" t="s">
        <v>1</v>
      </c>
      <c r="B24" s="34" t="s">
        <v>1</v>
      </c>
      <c r="C24" s="34" t="s">
        <v>1</v>
      </c>
      <c r="D24" s="34" t="s">
        <v>1</v>
      </c>
      <c r="E24" s="34" t="s">
        <v>1</v>
      </c>
      <c r="F24" s="34" t="s">
        <v>1</v>
      </c>
      <c r="G24" s="34" t="s">
        <v>1</v>
      </c>
      <c r="H24" s="34" t="s">
        <v>1</v>
      </c>
      <c r="I24" s="34" t="s">
        <v>1</v>
      </c>
      <c r="J24" s="34" t="s">
        <v>1</v>
      </c>
    </row>
    <row r="25" ht="16.5" spans="1:10">
      <c r="A25" s="38" t="s">
        <v>19</v>
      </c>
      <c r="B25" s="34" t="s">
        <v>1</v>
      </c>
      <c r="C25" s="34" t="s">
        <v>1</v>
      </c>
      <c r="D25" s="34" t="s">
        <v>1</v>
      </c>
      <c r="E25" s="34" t="s">
        <v>1</v>
      </c>
      <c r="F25" s="34" t="s">
        <v>1</v>
      </c>
      <c r="G25" s="34" t="s">
        <v>1</v>
      </c>
      <c r="H25" s="34" t="s">
        <v>1</v>
      </c>
      <c r="I25" s="34" t="s">
        <v>1</v>
      </c>
      <c r="J25" s="34" t="s">
        <v>1</v>
      </c>
    </row>
    <row r="26" ht="16.5" spans="1:10">
      <c r="A26" s="39" t="s">
        <v>20</v>
      </c>
      <c r="B26" s="34" t="s">
        <v>1</v>
      </c>
      <c r="C26" s="34" t="s">
        <v>1</v>
      </c>
      <c r="D26" s="34" t="s">
        <v>1</v>
      </c>
      <c r="E26" s="34" t="s">
        <v>1</v>
      </c>
      <c r="F26" s="34" t="s">
        <v>1</v>
      </c>
      <c r="G26" s="34" t="s">
        <v>1</v>
      </c>
      <c r="H26" s="34" t="s">
        <v>1</v>
      </c>
      <c r="I26" s="34" t="s">
        <v>1</v>
      </c>
      <c r="J26" s="34" t="s">
        <v>1</v>
      </c>
    </row>
    <row r="27" ht="20" customHeight="1" spans="1:10">
      <c r="A27" s="37" t="s">
        <v>21</v>
      </c>
      <c r="B27" s="34" t="s">
        <v>1</v>
      </c>
      <c r="C27" s="34" t="s">
        <v>1</v>
      </c>
      <c r="D27" s="34" t="s">
        <v>1</v>
      </c>
      <c r="E27" s="34" t="s">
        <v>1</v>
      </c>
      <c r="F27" s="34" t="s">
        <v>1</v>
      </c>
      <c r="G27" s="34" t="s">
        <v>1</v>
      </c>
      <c r="H27" s="34" t="s">
        <v>1</v>
      </c>
      <c r="I27" s="34" t="s">
        <v>1</v>
      </c>
      <c r="J27" s="34" t="s">
        <v>1</v>
      </c>
    </row>
    <row r="28" spans="1:10">
      <c r="A28" s="35" t="s">
        <v>1</v>
      </c>
      <c r="B28" s="34" t="s">
        <v>1</v>
      </c>
      <c r="C28" s="34" t="s">
        <v>1</v>
      </c>
      <c r="D28" s="34" t="s">
        <v>1</v>
      </c>
      <c r="E28" s="34" t="s">
        <v>1</v>
      </c>
      <c r="F28" s="34" t="s">
        <v>1</v>
      </c>
      <c r="G28" s="34" t="s">
        <v>1</v>
      </c>
      <c r="H28" s="34" t="s">
        <v>1</v>
      </c>
      <c r="I28" s="34" t="s">
        <v>1</v>
      </c>
      <c r="J28" s="34" t="s">
        <v>1</v>
      </c>
    </row>
    <row r="29" ht="16.5" spans="1:10">
      <c r="A29" s="39" t="s">
        <v>22</v>
      </c>
      <c r="B29" s="34" t="s">
        <v>1</v>
      </c>
      <c r="C29" s="34" t="s">
        <v>1</v>
      </c>
      <c r="D29" s="34" t="s">
        <v>1</v>
      </c>
      <c r="E29" s="34" t="s">
        <v>1</v>
      </c>
      <c r="F29" s="34" t="s">
        <v>1</v>
      </c>
      <c r="G29" s="34" t="s">
        <v>1</v>
      </c>
      <c r="H29" s="34" t="s">
        <v>1</v>
      </c>
      <c r="I29" s="34" t="s">
        <v>1</v>
      </c>
      <c r="J29" s="34" t="s">
        <v>1</v>
      </c>
    </row>
    <row r="30" ht="16.5" spans="1:10">
      <c r="A30" s="38" t="s">
        <v>23</v>
      </c>
      <c r="B30" s="34" t="s">
        <v>1</v>
      </c>
      <c r="C30" s="34" t="s">
        <v>1</v>
      </c>
      <c r="D30" s="34" t="s">
        <v>1</v>
      </c>
      <c r="E30" s="34" t="s">
        <v>1</v>
      </c>
      <c r="F30" s="34" t="s">
        <v>1</v>
      </c>
      <c r="G30" s="34" t="s">
        <v>1</v>
      </c>
      <c r="H30" s="34" t="s">
        <v>1</v>
      </c>
      <c r="I30" s="34" t="s">
        <v>1</v>
      </c>
      <c r="J30" s="34" t="s">
        <v>1</v>
      </c>
    </row>
    <row r="31" ht="20" customHeight="1" spans="1:10">
      <c r="A31" s="37" t="s">
        <v>24</v>
      </c>
      <c r="B31" s="34" t="s">
        <v>1</v>
      </c>
      <c r="C31" s="34" t="s">
        <v>1</v>
      </c>
      <c r="D31" s="34" t="s">
        <v>1</v>
      </c>
      <c r="E31" s="34" t="s">
        <v>1</v>
      </c>
      <c r="F31" s="34" t="s">
        <v>1</v>
      </c>
      <c r="G31" s="34" t="s">
        <v>1</v>
      </c>
      <c r="H31" s="34" t="s">
        <v>1</v>
      </c>
      <c r="I31" s="34" t="s">
        <v>1</v>
      </c>
      <c r="J31" s="34" t="s">
        <v>1</v>
      </c>
    </row>
    <row r="32" spans="1:10">
      <c r="A32" s="35" t="s">
        <v>1</v>
      </c>
      <c r="B32" s="34" t="s">
        <v>1</v>
      </c>
      <c r="C32" s="34" t="s">
        <v>1</v>
      </c>
      <c r="D32" s="34" t="s">
        <v>1</v>
      </c>
      <c r="E32" s="34" t="s">
        <v>1</v>
      </c>
      <c r="F32" s="34" t="s">
        <v>1</v>
      </c>
      <c r="G32" s="34" t="s">
        <v>1</v>
      </c>
      <c r="H32" s="34" t="s">
        <v>1</v>
      </c>
      <c r="I32" s="34" t="s">
        <v>1</v>
      </c>
      <c r="J32" s="34" t="s">
        <v>1</v>
      </c>
    </row>
    <row r="33" ht="16.5" spans="1:10">
      <c r="A33" s="38" t="s">
        <v>25</v>
      </c>
      <c r="B33" s="34" t="s">
        <v>1</v>
      </c>
      <c r="C33" s="34" t="s">
        <v>1</v>
      </c>
      <c r="D33" s="34" t="s">
        <v>1</v>
      </c>
      <c r="E33" s="34" t="s">
        <v>1</v>
      </c>
      <c r="F33" s="34" t="s">
        <v>1</v>
      </c>
      <c r="G33" s="34" t="s">
        <v>1</v>
      </c>
      <c r="H33" s="34" t="s">
        <v>1</v>
      </c>
      <c r="I33" s="34" t="s">
        <v>1</v>
      </c>
      <c r="J33" s="34" t="s">
        <v>1</v>
      </c>
    </row>
    <row r="34" ht="16.5" spans="1:10">
      <c r="A34" s="38" t="s">
        <v>26</v>
      </c>
      <c r="B34" s="34" t="s">
        <v>1</v>
      </c>
      <c r="C34" s="34" t="s">
        <v>1</v>
      </c>
      <c r="D34" s="34" t="s">
        <v>1</v>
      </c>
      <c r="E34" s="34" t="s">
        <v>1</v>
      </c>
      <c r="F34" s="34" t="s">
        <v>1</v>
      </c>
      <c r="G34" s="34" t="s">
        <v>1</v>
      </c>
      <c r="H34" s="34" t="s">
        <v>1</v>
      </c>
      <c r="I34" s="34" t="s">
        <v>1</v>
      </c>
      <c r="J34" s="34" t="s">
        <v>1</v>
      </c>
    </row>
    <row r="35" ht="16.5" spans="1:10">
      <c r="A35" s="38" t="s">
        <v>27</v>
      </c>
      <c r="B35" s="34" t="s">
        <v>1</v>
      </c>
      <c r="C35" s="34" t="s">
        <v>1</v>
      </c>
      <c r="D35" s="34" t="s">
        <v>1</v>
      </c>
      <c r="E35" s="34" t="s">
        <v>1</v>
      </c>
      <c r="F35" s="34" t="s">
        <v>1</v>
      </c>
      <c r="G35" s="34" t="s">
        <v>1</v>
      </c>
      <c r="H35" s="34" t="s">
        <v>1</v>
      </c>
      <c r="I35" s="34" t="s">
        <v>1</v>
      </c>
      <c r="J35" s="34" t="s">
        <v>1</v>
      </c>
    </row>
    <row r="36" ht="16.5" spans="1:10">
      <c r="A36" s="39" t="s">
        <v>28</v>
      </c>
      <c r="B36" s="34" t="s">
        <v>1</v>
      </c>
      <c r="C36" s="34" t="s">
        <v>1</v>
      </c>
      <c r="D36" s="34" t="s">
        <v>1</v>
      </c>
      <c r="E36" s="34" t="s">
        <v>1</v>
      </c>
      <c r="F36" s="34" t="s">
        <v>1</v>
      </c>
      <c r="G36" s="34" t="s">
        <v>1</v>
      </c>
      <c r="H36" s="34" t="s">
        <v>1</v>
      </c>
      <c r="I36" s="34" t="s">
        <v>1</v>
      </c>
      <c r="J36" s="34" t="s">
        <v>1</v>
      </c>
    </row>
    <row r="37" ht="20" customHeight="1" spans="1:10">
      <c r="A37" s="37" t="s">
        <v>29</v>
      </c>
      <c r="B37" s="34" t="s">
        <v>1</v>
      </c>
      <c r="C37" s="34" t="s">
        <v>1</v>
      </c>
      <c r="D37" s="34" t="s">
        <v>1</v>
      </c>
      <c r="E37" s="34" t="s">
        <v>1</v>
      </c>
      <c r="F37" s="34" t="s">
        <v>1</v>
      </c>
      <c r="G37" s="34" t="s">
        <v>1</v>
      </c>
      <c r="H37" s="34" t="s">
        <v>1</v>
      </c>
      <c r="I37" s="34" t="s">
        <v>1</v>
      </c>
      <c r="J37" s="34" t="s">
        <v>1</v>
      </c>
    </row>
    <row r="38" spans="1:10">
      <c r="A38" s="35" t="s">
        <v>1</v>
      </c>
      <c r="B38" s="34" t="s">
        <v>1</v>
      </c>
      <c r="C38" s="34" t="s">
        <v>1</v>
      </c>
      <c r="D38" s="34" t="s">
        <v>1</v>
      </c>
      <c r="E38" s="34" t="s">
        <v>1</v>
      </c>
      <c r="F38" s="34" t="s">
        <v>1</v>
      </c>
      <c r="G38" s="34" t="s">
        <v>1</v>
      </c>
      <c r="H38" s="34" t="s">
        <v>1</v>
      </c>
      <c r="I38" s="34" t="s">
        <v>1</v>
      </c>
      <c r="J38" s="34" t="s">
        <v>1</v>
      </c>
    </row>
    <row r="39" ht="16.5" spans="1:10">
      <c r="A39" s="40" t="s">
        <v>30</v>
      </c>
      <c r="B39" s="34" t="s">
        <v>1</v>
      </c>
      <c r="C39" s="34" t="s">
        <v>1</v>
      </c>
      <c r="D39" s="34" t="s">
        <v>1</v>
      </c>
      <c r="E39" s="34" t="s">
        <v>1</v>
      </c>
      <c r="F39" s="34" t="s">
        <v>1</v>
      </c>
      <c r="G39" s="34" t="s">
        <v>1</v>
      </c>
      <c r="H39" s="34" t="s">
        <v>1</v>
      </c>
      <c r="I39" s="34" t="s">
        <v>1</v>
      </c>
      <c r="J39" s="34" t="s">
        <v>1</v>
      </c>
    </row>
    <row r="40" ht="20" customHeight="1" spans="1:10">
      <c r="A40" s="37" t="s">
        <v>31</v>
      </c>
      <c r="B40" s="34" t="s">
        <v>1</v>
      </c>
      <c r="C40" s="34" t="s">
        <v>1</v>
      </c>
      <c r="D40" s="34" t="s">
        <v>1</v>
      </c>
      <c r="E40" s="34" t="s">
        <v>1</v>
      </c>
      <c r="F40" s="34" t="s">
        <v>1</v>
      </c>
      <c r="G40" s="34" t="s">
        <v>1</v>
      </c>
      <c r="H40" s="34" t="s">
        <v>1</v>
      </c>
      <c r="I40" s="34" t="s">
        <v>1</v>
      </c>
      <c r="J40" s="34" t="s">
        <v>1</v>
      </c>
    </row>
    <row r="41" spans="1:10">
      <c r="A41" s="35" t="s">
        <v>1</v>
      </c>
      <c r="B41" s="34" t="s">
        <v>1</v>
      </c>
      <c r="C41" s="34" t="s">
        <v>1</v>
      </c>
      <c r="D41" s="34" t="s">
        <v>1</v>
      </c>
      <c r="E41" s="34" t="s">
        <v>1</v>
      </c>
      <c r="F41" s="34" t="s">
        <v>1</v>
      </c>
      <c r="G41" s="34" t="s">
        <v>1</v>
      </c>
      <c r="H41" s="34" t="s">
        <v>1</v>
      </c>
      <c r="I41" s="34" t="s">
        <v>1</v>
      </c>
      <c r="J41" s="34" t="s">
        <v>1</v>
      </c>
    </row>
    <row r="42" ht="16.5" spans="1:10">
      <c r="A42" s="38" t="s">
        <v>32</v>
      </c>
      <c r="B42" s="34" t="s">
        <v>1</v>
      </c>
      <c r="C42" s="34" t="s">
        <v>1</v>
      </c>
      <c r="D42" s="34" t="s">
        <v>1</v>
      </c>
      <c r="E42" s="34" t="s">
        <v>1</v>
      </c>
      <c r="F42" s="34" t="s">
        <v>1</v>
      </c>
      <c r="G42" s="34" t="s">
        <v>1</v>
      </c>
      <c r="H42" s="34" t="s">
        <v>1</v>
      </c>
      <c r="I42" s="34" t="s">
        <v>1</v>
      </c>
      <c r="J42" s="34" t="s">
        <v>1</v>
      </c>
    </row>
    <row r="43" ht="16.5" spans="1:10">
      <c r="A43" s="38" t="s">
        <v>33</v>
      </c>
      <c r="B43" s="34" t="s">
        <v>1</v>
      </c>
      <c r="C43" s="34" t="s">
        <v>1</v>
      </c>
      <c r="D43" s="34" t="s">
        <v>1</v>
      </c>
      <c r="E43" s="34" t="s">
        <v>1</v>
      </c>
      <c r="F43" s="34" t="s">
        <v>1</v>
      </c>
      <c r="G43" s="34" t="s">
        <v>1</v>
      </c>
      <c r="H43" s="34" t="s">
        <v>1</v>
      </c>
      <c r="I43" s="34" t="s">
        <v>1</v>
      </c>
      <c r="J43" s="34" t="s">
        <v>1</v>
      </c>
    </row>
    <row r="44" ht="16.5" spans="1:10">
      <c r="A44" s="38" t="s">
        <v>34</v>
      </c>
      <c r="B44" s="34" t="s">
        <v>1</v>
      </c>
      <c r="C44" s="34" t="s">
        <v>1</v>
      </c>
      <c r="D44" s="34" t="s">
        <v>1</v>
      </c>
      <c r="E44" s="34" t="s">
        <v>1</v>
      </c>
      <c r="F44" s="34" t="s">
        <v>1</v>
      </c>
      <c r="G44" s="34" t="s">
        <v>1</v>
      </c>
      <c r="H44" s="34" t="s">
        <v>1</v>
      </c>
      <c r="I44" s="34" t="s">
        <v>1</v>
      </c>
      <c r="J44" s="34" t="s">
        <v>1</v>
      </c>
    </row>
    <row r="45" ht="16.5" spans="1:10">
      <c r="A45" s="38" t="s">
        <v>35</v>
      </c>
      <c r="B45" s="34" t="s">
        <v>1</v>
      </c>
      <c r="C45" s="34" t="s">
        <v>1</v>
      </c>
      <c r="D45" s="34" t="s">
        <v>1</v>
      </c>
      <c r="E45" s="34" t="s">
        <v>1</v>
      </c>
      <c r="F45" s="34" t="s">
        <v>1</v>
      </c>
      <c r="G45" s="34" t="s">
        <v>1</v>
      </c>
      <c r="H45" s="34" t="s">
        <v>1</v>
      </c>
      <c r="I45" s="34" t="s">
        <v>1</v>
      </c>
      <c r="J45" s="34" t="s">
        <v>1</v>
      </c>
    </row>
    <row r="46" ht="16.5" spans="1:10">
      <c r="A46" s="38" t="s">
        <v>36</v>
      </c>
      <c r="B46" s="34" t="s">
        <v>1</v>
      </c>
      <c r="C46" s="34" t="s">
        <v>1</v>
      </c>
      <c r="D46" s="34" t="s">
        <v>1</v>
      </c>
      <c r="E46" s="34" t="s">
        <v>1</v>
      </c>
      <c r="F46" s="34" t="s">
        <v>1</v>
      </c>
      <c r="G46" s="34" t="s">
        <v>1</v>
      </c>
      <c r="H46" s="34" t="s">
        <v>1</v>
      </c>
      <c r="I46" s="34" t="s">
        <v>1</v>
      </c>
      <c r="J46" s="34" t="s">
        <v>1</v>
      </c>
    </row>
    <row r="47" ht="18" customHeight="1" spans="1:10">
      <c r="A47" s="41" t="s">
        <v>37</v>
      </c>
      <c r="B47" s="42" t="s">
        <v>38</v>
      </c>
      <c r="C47" s="34" t="s">
        <v>1</v>
      </c>
      <c r="D47" s="34" t="s">
        <v>1</v>
      </c>
      <c r="E47" s="34" t="s">
        <v>1</v>
      </c>
      <c r="F47" s="34" t="s">
        <v>1</v>
      </c>
      <c r="G47" s="34" t="s">
        <v>1</v>
      </c>
      <c r="H47" s="34" t="s">
        <v>1</v>
      </c>
      <c r="I47" s="34" t="s">
        <v>1</v>
      </c>
      <c r="J47" s="34" t="s">
        <v>1</v>
      </c>
    </row>
    <row r="48" ht="14.5" spans="1:10">
      <c r="A48" s="43" t="s">
        <v>39</v>
      </c>
      <c r="B48" s="44" t="s">
        <v>40</v>
      </c>
      <c r="C48" s="34" t="s">
        <v>1</v>
      </c>
      <c r="D48" s="34" t="s">
        <v>1</v>
      </c>
      <c r="E48" s="34" t="s">
        <v>1</v>
      </c>
      <c r="F48" s="34" t="s">
        <v>1</v>
      </c>
      <c r="G48" s="34" t="s">
        <v>1</v>
      </c>
      <c r="H48" s="34" t="s">
        <v>1</v>
      </c>
      <c r="I48" s="34" t="s">
        <v>1</v>
      </c>
      <c r="J48" s="34" t="s">
        <v>1</v>
      </c>
    </row>
    <row r="49" ht="14.5" spans="1:10">
      <c r="A49" s="43" t="s">
        <v>41</v>
      </c>
      <c r="B49" s="44" t="s">
        <v>42</v>
      </c>
      <c r="C49" s="34" t="s">
        <v>1</v>
      </c>
      <c r="D49" s="34" t="s">
        <v>1</v>
      </c>
      <c r="E49" s="34" t="s">
        <v>1</v>
      </c>
      <c r="F49" s="34" t="s">
        <v>1</v>
      </c>
      <c r="G49" s="34" t="s">
        <v>1</v>
      </c>
      <c r="H49" s="34" t="s">
        <v>1</v>
      </c>
      <c r="I49" s="34" t="s">
        <v>1</v>
      </c>
      <c r="J49" s="34" t="s">
        <v>1</v>
      </c>
    </row>
    <row r="50" spans="1:10">
      <c r="A50" s="35" t="s">
        <v>1</v>
      </c>
      <c r="B50" s="34" t="s">
        <v>1</v>
      </c>
      <c r="C50" s="34" t="s">
        <v>1</v>
      </c>
      <c r="D50" s="34" t="s">
        <v>1</v>
      </c>
      <c r="E50" s="34" t="s">
        <v>1</v>
      </c>
      <c r="F50" s="34" t="s">
        <v>1</v>
      </c>
      <c r="G50" s="34" t="s">
        <v>1</v>
      </c>
      <c r="H50" s="34" t="s">
        <v>1</v>
      </c>
      <c r="I50" s="34" t="s">
        <v>1</v>
      </c>
      <c r="J50" s="34" t="s">
        <v>1</v>
      </c>
    </row>
    <row r="51" ht="20" customHeight="1" spans="1:10">
      <c r="A51" s="37" t="s">
        <v>43</v>
      </c>
      <c r="B51" s="34" t="s">
        <v>1</v>
      </c>
      <c r="C51" s="34" t="s">
        <v>1</v>
      </c>
      <c r="D51" s="34" t="s">
        <v>1</v>
      </c>
      <c r="E51" s="34" t="s">
        <v>1</v>
      </c>
      <c r="F51" s="34" t="s">
        <v>1</v>
      </c>
      <c r="G51" s="34" t="s">
        <v>1</v>
      </c>
      <c r="H51" s="34" t="s">
        <v>1</v>
      </c>
      <c r="I51" s="34" t="s">
        <v>1</v>
      </c>
      <c r="J51" s="34" t="s">
        <v>1</v>
      </c>
    </row>
    <row r="52" spans="1:10">
      <c r="A52" s="35" t="s">
        <v>1</v>
      </c>
      <c r="B52" s="34" t="s">
        <v>1</v>
      </c>
      <c r="C52" s="34" t="s">
        <v>1</v>
      </c>
      <c r="D52" s="34" t="s">
        <v>1</v>
      </c>
      <c r="E52" s="34" t="s">
        <v>1</v>
      </c>
      <c r="F52" s="34" t="s">
        <v>1</v>
      </c>
      <c r="G52" s="34" t="s">
        <v>1</v>
      </c>
      <c r="H52" s="34" t="s">
        <v>1</v>
      </c>
      <c r="I52" s="34" t="s">
        <v>1</v>
      </c>
      <c r="J52" s="34" t="s">
        <v>1</v>
      </c>
    </row>
    <row r="53" ht="18" customHeight="1" spans="1:10">
      <c r="A53" s="41" t="s">
        <v>44</v>
      </c>
      <c r="B53" s="42" t="s">
        <v>39</v>
      </c>
      <c r="C53" s="34" t="s">
        <v>1</v>
      </c>
      <c r="D53" s="34" t="s">
        <v>1</v>
      </c>
      <c r="E53" s="34" t="s">
        <v>1</v>
      </c>
      <c r="F53" s="34" t="s">
        <v>1</v>
      </c>
      <c r="G53" s="34" t="s">
        <v>1</v>
      </c>
      <c r="H53" s="34" t="s">
        <v>1</v>
      </c>
      <c r="I53" s="34" t="s">
        <v>1</v>
      </c>
      <c r="J53" s="34" t="s">
        <v>1</v>
      </c>
    </row>
    <row r="54" ht="14.5" spans="1:10">
      <c r="A54" s="43" t="s">
        <v>45</v>
      </c>
      <c r="B54" s="44" t="s">
        <v>46</v>
      </c>
      <c r="C54" s="34" t="s">
        <v>1</v>
      </c>
      <c r="D54" s="34" t="s">
        <v>1</v>
      </c>
      <c r="E54" s="34" t="s">
        <v>1</v>
      </c>
      <c r="F54" s="34" t="s">
        <v>1</v>
      </c>
      <c r="G54" s="34" t="s">
        <v>1</v>
      </c>
      <c r="H54" s="34" t="s">
        <v>1</v>
      </c>
      <c r="I54" s="34" t="s">
        <v>1</v>
      </c>
      <c r="J54" s="34" t="s">
        <v>1</v>
      </c>
    </row>
  </sheetData>
  <mergeCells count="13">
    <mergeCell ref="A1:B1"/>
    <mergeCell ref="A6:C6"/>
    <mergeCell ref="A15:D15"/>
    <mergeCell ref="A20:C20"/>
    <mergeCell ref="A25:C25"/>
    <mergeCell ref="A26:J26"/>
    <mergeCell ref="A29:G29"/>
    <mergeCell ref="A30:D30"/>
    <mergeCell ref="A36:F36"/>
    <mergeCell ref="A39:G39"/>
    <mergeCell ref="B48:D48"/>
    <mergeCell ref="B49:K49"/>
    <mergeCell ref="B54:D54"/>
  </mergeCells>
  <pageMargins left="0.75" right="0.75" top="1" bottom="1" header="0.5" footer="0.5"/>
  <headerFooter/>
  <ignoredErrors>
    <ignoredError sqref="A1:P74" evalError="1" twoDigitTextYear="1" numberStoredAsText="1" formula="1" formulaRange="1" unlockedFormula="1" emptyCellReference="1" listDataValidation="1" calculatedColumn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9"/>
  <sheetViews>
    <sheetView tabSelected="1" workbookViewId="0">
      <selection activeCell="H23" sqref="H23"/>
    </sheetView>
  </sheetViews>
  <sheetFormatPr defaultColWidth="8.72727272727273" defaultRowHeight="14" outlineLevelCol="4"/>
  <cols>
    <col min="1" max="1" width="51.5454545454545" customWidth="1"/>
    <col min="2" max="2" width="23.6363636363636" customWidth="1"/>
    <col min="3" max="4" width="13.6363636363636" customWidth="1"/>
  </cols>
  <sheetData>
    <row r="1" customHeight="1" spans="1:4">
      <c r="A1" s="1" t="s">
        <v>47</v>
      </c>
      <c r="B1" s="1" t="s">
        <v>1</v>
      </c>
      <c r="C1" s="1" t="s">
        <v>1</v>
      </c>
      <c r="D1" s="1" t="s">
        <v>1</v>
      </c>
    </row>
    <row r="2" ht="16.5" spans="1:4">
      <c r="A2" s="2" t="s">
        <v>48</v>
      </c>
      <c r="B2" s="3" t="s">
        <v>1</v>
      </c>
      <c r="C2" s="3" t="s">
        <v>1</v>
      </c>
      <c r="D2" s="3" t="s">
        <v>1</v>
      </c>
    </row>
    <row r="3" ht="16.5" spans="1:4">
      <c r="A3" s="3" t="s">
        <v>1</v>
      </c>
      <c r="B3" s="3" t="s">
        <v>1</v>
      </c>
      <c r="C3" s="3" t="s">
        <v>1</v>
      </c>
      <c r="D3" s="3" t="s">
        <v>1</v>
      </c>
    </row>
    <row r="4" ht="16.5" spans="1:4">
      <c r="A4" s="4" t="s">
        <v>49</v>
      </c>
      <c r="B4" s="5">
        <v>0.25</v>
      </c>
      <c r="C4" s="4" t="s">
        <v>1</v>
      </c>
      <c r="D4" s="6" t="s">
        <v>1</v>
      </c>
    </row>
    <row r="5" ht="30" customHeight="1" spans="1:4">
      <c r="A5" s="3" t="s">
        <v>50</v>
      </c>
      <c r="B5" s="7">
        <v>0.4</v>
      </c>
      <c r="C5" s="3" t="s">
        <v>1</v>
      </c>
      <c r="D5" s="3" t="s">
        <v>1</v>
      </c>
    </row>
    <row r="6" ht="16.5" spans="1:4">
      <c r="A6" s="3" t="s">
        <v>1</v>
      </c>
      <c r="B6" s="3" t="s">
        <v>1</v>
      </c>
      <c r="C6" s="3" t="s">
        <v>1</v>
      </c>
      <c r="D6" s="3" t="s">
        <v>1</v>
      </c>
    </row>
    <row r="7" ht="16.5" spans="1:4">
      <c r="A7" s="8" t="s">
        <v>51</v>
      </c>
      <c r="B7" s="8" t="s">
        <v>52</v>
      </c>
      <c r="C7" s="8" t="s">
        <v>53</v>
      </c>
      <c r="D7" s="8" t="s">
        <v>54</v>
      </c>
    </row>
    <row r="8" ht="16.5" spans="1:4">
      <c r="A8" s="3">
        <v>1</v>
      </c>
      <c r="B8" s="47">
        <f t="shared" ref="B8:B19" si="0">$B$4*$B$5^(A8-1)*(1-$B$5)</f>
        <v>0.15</v>
      </c>
      <c r="C8" s="47">
        <f t="shared" ref="C8:C19" si="1">$B$4*$B$5^(A8-1)</f>
        <v>0.25</v>
      </c>
      <c r="D8" s="47">
        <f>SUM($B$8:$B8)</f>
        <v>0.15</v>
      </c>
    </row>
    <row r="9" ht="16.5" spans="1:4">
      <c r="A9" s="3">
        <v>2</v>
      </c>
      <c r="B9" s="47">
        <f t="shared" si="0"/>
        <v>0.06</v>
      </c>
      <c r="C9" s="47">
        <f t="shared" si="1"/>
        <v>0.1</v>
      </c>
      <c r="D9" s="47">
        <f>SUM($B$8:$B9)</f>
        <v>0.21</v>
      </c>
    </row>
    <row r="10" ht="16.5" spans="1:4">
      <c r="A10" s="3">
        <v>3</v>
      </c>
      <c r="B10" s="47">
        <f t="shared" si="0"/>
        <v>0.024</v>
      </c>
      <c r="C10" s="47">
        <f t="shared" si="1"/>
        <v>0.04</v>
      </c>
      <c r="D10" s="47">
        <f>SUM($B$8:$B10)</f>
        <v>0.234</v>
      </c>
    </row>
    <row r="11" ht="16.5" spans="1:4">
      <c r="A11" s="3">
        <v>4</v>
      </c>
      <c r="B11" s="47">
        <f t="shared" si="0"/>
        <v>0.0096</v>
      </c>
      <c r="C11" s="47">
        <f t="shared" si="1"/>
        <v>0.016</v>
      </c>
      <c r="D11" s="47">
        <f>SUM($B$8:$B11)</f>
        <v>0.2436</v>
      </c>
    </row>
    <row r="12" ht="16.5" spans="1:4">
      <c r="A12" s="3">
        <v>5</v>
      </c>
      <c r="B12" s="47">
        <f t="shared" si="0"/>
        <v>0.00384</v>
      </c>
      <c r="C12" s="47">
        <f t="shared" si="1"/>
        <v>0.0064</v>
      </c>
      <c r="D12" s="47">
        <f>SUM($B$8:$B12)</f>
        <v>0.24744</v>
      </c>
    </row>
    <row r="13" ht="16.5" spans="1:4">
      <c r="A13" s="3">
        <v>6</v>
      </c>
      <c r="B13" s="47">
        <f t="shared" si="0"/>
        <v>0.001536</v>
      </c>
      <c r="C13" s="47">
        <f t="shared" si="1"/>
        <v>0.00256</v>
      </c>
      <c r="D13" s="47">
        <f>SUM($B$8:$B13)</f>
        <v>0.248976</v>
      </c>
    </row>
    <row r="14" ht="16.5" spans="1:4">
      <c r="A14" s="3">
        <v>7</v>
      </c>
      <c r="B14" s="47">
        <f t="shared" si="0"/>
        <v>0.0006144</v>
      </c>
      <c r="C14" s="47">
        <f t="shared" si="1"/>
        <v>0.001024</v>
      </c>
      <c r="D14" s="47">
        <f>SUM($B$8:$B14)</f>
        <v>0.2495904</v>
      </c>
    </row>
    <row r="15" ht="16.5" spans="1:4">
      <c r="A15" s="3">
        <v>8</v>
      </c>
      <c r="B15" s="47">
        <f t="shared" si="0"/>
        <v>0.00024576</v>
      </c>
      <c r="C15" s="47">
        <f t="shared" si="1"/>
        <v>0.0004096</v>
      </c>
      <c r="D15" s="47">
        <f>SUM($B$8:$B15)</f>
        <v>0.24983616</v>
      </c>
    </row>
    <row r="16" ht="16.5" spans="1:4">
      <c r="A16" s="3">
        <v>9</v>
      </c>
      <c r="B16" s="47">
        <f t="shared" si="0"/>
        <v>9.83040000000001e-5</v>
      </c>
      <c r="C16" s="47">
        <f t="shared" si="1"/>
        <v>0.00016384</v>
      </c>
      <c r="D16" s="47">
        <f>SUM($B$8:$B16)</f>
        <v>0.249934464</v>
      </c>
    </row>
    <row r="17" ht="16.5" spans="1:4">
      <c r="A17" s="3">
        <v>10</v>
      </c>
      <c r="B17" s="47">
        <f t="shared" si="0"/>
        <v>3.93216e-5</v>
      </c>
      <c r="C17" s="47">
        <f t="shared" si="1"/>
        <v>6.5536e-5</v>
      </c>
      <c r="D17" s="47">
        <f>SUM($B$8:$B17)</f>
        <v>0.2499737856</v>
      </c>
    </row>
    <row r="18" ht="16.5" spans="1:4">
      <c r="A18" s="3">
        <v>11</v>
      </c>
      <c r="B18" s="47">
        <f t="shared" si="0"/>
        <v>1.572864e-5</v>
      </c>
      <c r="C18" s="47">
        <f t="shared" si="1"/>
        <v>2.62144e-5</v>
      </c>
      <c r="D18" s="47">
        <f>SUM($B$8:$B18)</f>
        <v>0.24998951424</v>
      </c>
    </row>
    <row r="19" ht="16.5" spans="1:4">
      <c r="A19" s="3">
        <v>12</v>
      </c>
      <c r="B19" s="47">
        <f t="shared" si="0"/>
        <v>6.291456e-6</v>
      </c>
      <c r="C19" s="47">
        <f t="shared" si="1"/>
        <v>1.048576e-5</v>
      </c>
      <c r="D19" s="47">
        <f>SUM($B$8:$B19)</f>
        <v>0.249995805696</v>
      </c>
    </row>
    <row r="20" ht="16.5" spans="1:4">
      <c r="A20" s="3" t="s">
        <v>1</v>
      </c>
      <c r="B20" s="3" t="s">
        <v>1</v>
      </c>
      <c r="C20" s="3" t="s">
        <v>1</v>
      </c>
      <c r="D20" s="3" t="s">
        <v>1</v>
      </c>
    </row>
    <row r="21" ht="60" customHeight="1" spans="1:4">
      <c r="A21" s="3" t="s">
        <v>55</v>
      </c>
      <c r="B21" s="10">
        <f>B4/(1-B5)</f>
        <v>0.416666666666667</v>
      </c>
      <c r="C21" s="3" t="s">
        <v>1</v>
      </c>
      <c r="D21" s="3" t="s">
        <v>1</v>
      </c>
    </row>
    <row r="22" ht="75" customHeight="1" spans="1:4">
      <c r="A22" s="3" t="s">
        <v>56</v>
      </c>
      <c r="B22" s="47">
        <f>B4*B5^3</f>
        <v>0.016</v>
      </c>
      <c r="C22" s="3" t="s">
        <v>1</v>
      </c>
      <c r="D22" s="3" t="s">
        <v>1</v>
      </c>
    </row>
    <row r="23" ht="16.5" spans="1:4">
      <c r="A23" s="11" t="s">
        <v>1</v>
      </c>
      <c r="B23" s="11" t="s">
        <v>1</v>
      </c>
      <c r="C23" s="11" t="s">
        <v>1</v>
      </c>
      <c r="D23" s="11" t="s">
        <v>1</v>
      </c>
    </row>
    <row r="24" customHeight="1" spans="1:4">
      <c r="A24" s="1" t="s">
        <v>57</v>
      </c>
      <c r="B24" s="1" t="s">
        <v>1</v>
      </c>
      <c r="C24" s="11" t="s">
        <v>1</v>
      </c>
      <c r="D24" s="11" t="s">
        <v>1</v>
      </c>
    </row>
    <row r="25" ht="16.5" spans="1:4">
      <c r="A25" s="2" t="s">
        <v>58</v>
      </c>
      <c r="B25" s="3" t="s">
        <v>1</v>
      </c>
      <c r="C25" s="11" t="s">
        <v>1</v>
      </c>
      <c r="D25" s="11" t="s">
        <v>1</v>
      </c>
    </row>
    <row r="26" ht="16.5" spans="1:4">
      <c r="A26" s="3" t="s">
        <v>1</v>
      </c>
      <c r="B26" s="3" t="s">
        <v>1</v>
      </c>
      <c r="C26" s="11" t="s">
        <v>1</v>
      </c>
      <c r="D26" s="11" t="s">
        <v>1</v>
      </c>
    </row>
    <row r="27" ht="16.5" spans="1:4">
      <c r="A27" s="4" t="s">
        <v>59</v>
      </c>
      <c r="B27" s="5">
        <v>0.6</v>
      </c>
      <c r="C27" s="12" t="s">
        <v>1</v>
      </c>
      <c r="D27" s="11" t="s">
        <v>1</v>
      </c>
    </row>
    <row r="28" ht="45" customHeight="1" spans="1:4">
      <c r="A28" s="3" t="s">
        <v>60</v>
      </c>
      <c r="B28" s="13">
        <f>1/(1-B5)</f>
        <v>1.66666666666667</v>
      </c>
      <c r="C28" s="11" t="s">
        <v>1</v>
      </c>
      <c r="D28" s="11" t="s">
        <v>1</v>
      </c>
    </row>
    <row r="29" ht="16.5" spans="1:4">
      <c r="A29" s="8" t="s">
        <v>61</v>
      </c>
      <c r="B29" s="48">
        <f>B27*B28</f>
        <v>1</v>
      </c>
      <c r="C29" s="11" t="s">
        <v>1</v>
      </c>
      <c r="D29" s="11" t="s">
        <v>1</v>
      </c>
    </row>
  </sheetData>
  <mergeCells count="4">
    <mergeCell ref="A1:D1"/>
    <mergeCell ref="A2:B2"/>
    <mergeCell ref="D7:E7"/>
    <mergeCell ref="A24:C24"/>
  </mergeCells>
  <pageMargins left="0.75" right="0.75" top="1" bottom="1" header="0.5" footer="0.5"/>
  <headerFooter/>
  <ignoredErrors>
    <ignoredError sqref="A1:J49" evalError="1" twoDigitTextYear="1" numberStoredAsText="1" formula="1" formulaRange="1" unlockedFormula="1" emptyCellReference="1" listDataValidation="1" calculatedColumn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说明</vt:lpstr>
      <vt:lpstr>消除掉落 连消机率+RTP换算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wcx_o</cp:lastModifiedBy>
  <dcterms:created xsi:type="dcterms:W3CDTF">2026-09-27T17:16:00Z</dcterms:created>
  <dcterms:modified xsi:type="dcterms:W3CDTF">2026-09-29T15:50:21Z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D2C075D18DDD4EE0B7F1D668B1160A47_12</vt:lpwstr>
  </property>
  <property fmtid="{D5CDD505-2E9C-101B-9397-08002B2CF9AE}" pid="3" name="KSOProductBuildVer">
    <vt:lpwstr>2052-12.1.0.28485</vt:lpwstr>
  </property>
  <property fmtid="{D5CDD505-2E9C-101B-9397-08002B2CF9AE}" pid="4" name="CalculationRule">
    <vt:i4>0</vt:i4>
  </property>
</Properties>
</file>