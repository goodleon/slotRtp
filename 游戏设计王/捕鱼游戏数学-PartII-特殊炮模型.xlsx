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I 特殊炮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<sst xmlns="http://schemas.openxmlformats.org/spreadsheetml/2006/main" count="269" uniqueCount="89">
  <si>
    <t>捕鱼游戏数学 PART Ⅱ —— 特殊炮（雷射炮／免费炮／冰冻炮）与 RTP 拆分（复刻自 ezslotdesign.com/fishgame2/）</t>
  </si>
  <si>
    <t/>
  </si>
  <si>
    <t>用法</t>
  </si>
  <si>
    <t>1) B4:C11「RTP 拆分与获得率」：总 RTP 90% = 鱼本身 70% + 雷射炮 20%；自动算出鱼击杀率 P = R鱼 ÷ N、雷射炮获得率 LP = R炮 ÷ W，以及「限定鱼死才给」的条件机率 LP ÷ P</t>
  </si>
  <si>
    <t>2) B17:E23「雷射炮发射」：填威力 W、击中只数 K 与各鱼赔率 → 每只鱼 Pᵢ = W ÷ (Nᵢ × K)，并验算 Σ NᵢPᵢ 是否 = W</t>
  </si>
  <si>
    <t>3) B27:C29「免费炮」：总威力 = 单发威力 × 总发数</t>
  </si>
  <si>
    <t>4) B33 起是原文三种特殊炮、两种获取途径，以及「幼幼班做法」的三个缺点</t>
  </si>
  <si>
    <t>蓝字＝可改输入；其余为公式。</t>
  </si>
  <si>
    <t>建模要点</t>
  </si>
  <si>
    <t>· RTP 拆分：把整体 RTP 拆成「鱼本身」与「特殊炮」两块（范例 70% + 20% = 90%）</t>
  </si>
  <si>
    <t>· 获得率 LP（Laser Probability）= 配给雷射炮的那块 RTP ÷ 雷射炮威力 = 20% ÷ 200 = 0.1%</t>
  </si>
  <si>
    <t>· 小陷阱：LP = 0.1% 的前提是「鱼没死也可能获得」；一般宝物是鱼死才给 → 要用条件机率：LP ÷ P = 0.1% ÷ 0.7% = 1/7</t>
  </si>
  <si>
    <t>· 正确流程两条分支：目标鱼没死（机率 1 − P）→ 获得机率 0；目标鱼死（机率 P）→ 获得机率 1/7</t>
  </si>
  <si>
    <t>· 雷射炮发射的正规做法：Pᵢ = 威力 W ÷ (赔率 Nᵢ × 攻击只数 K)；验算 Σ NᵢPᵢ = W（每只鱼贡献 W/K）</t>
  </si>
  <si>
    <t>· 这是 Part Ⅰ「击杀率能除只数」的延伸：既然能除只数，当然也能乘威力</t>
  </si>
  <si>
    <t>· 「幼幼班做法」（把责任丢给 Server：想办法让被攻击的鱼全死、总赔率不超过 200 就好）的三个缺点：变化性少（倍率永远接近 200）、RTP 偏低、Server 要处理机率问题</t>
  </si>
  <si>
    <t>· 免费炮同理：先假设单发威力与总发数，总威力 = 单发威力 × 总发数，再套同一套算法</t>
  </si>
  <si>
    <t>── 原文公式与示例（照抄）──</t>
  </si>
  <si>
    <t>【设定】示例鱼赔率 100 倍；整体 RTP 90%；雷射炮威力 200 倍（即用雷射炮攻击时 RTP = 200）</t>
  </si>
  <si>
    <t>【公式一·RTP 拆分】RTP = 70%（鱼本身赔率）+ 20%（雷射炮）= 90%　→ 从普通子弹打一般鱼的 RTP 中挪出 20% 给雷射炮</t>
  </si>
  <si>
    <t>【公式二·击杀率（承 Part Ⅰ）】P = R ÷ N → P = 70% ÷ 100 = 0.7%</t>
  </si>
  <si>
    <t>【公式三·雷射炮获得率】LP（Laser Probability）= 20% ÷ 200 = 0.1%</t>
  </si>
  <si>
    <t>【小陷阱】LP = 0.1% 的前提是「就算鱼没死也可能获得雷射炮」；一般情形应该是鱼死掉才获得宝物。</t>
  </si>
  <si>
    <t>【公式四·条件机率修正】LP（限定鱼死）= P(获得雷射炮 | 鱼死掉) = 0.1% ÷ 0.7% = 1/7 ≈ 14.29%</t>
  </si>
  <si>
    <t>　直观算法：鱼死 0.7% × LP = 0.1%，然后获得 LP = 1/7</t>
  </si>
  <si>
    <t>【正确流程（两条分支）】Case1 目标鱼（100 倍）没死 → 获得机率为 0；Case2 目标鱼死 → 获得机率为 1/7</t>
  </si>
  <si>
    <t>【公式五·雷射炮发射的正规做法】设雷射炮击中 K 只鱼，赔率分别为 N₁、…、N_K，则击杀率修正为：Pᵢ = 雷射炮威力 ÷ (赔率 × 攻击只数) = 200 ÷ (Nᵢ × K)</t>
  </si>
  <si>
    <t>【RTP 验算】N₁P₁ + N₂P₂ + … + N_K P_K = 200/K + 200/K + … + 200/K = 200　→ 这一发雷射炮攻击出去的 RTP 等于当初假设的威力 200</t>
  </si>
  <si>
    <t>【延伸】这就是 Part Ⅰ「攻击到多只鱼」做法的延伸：击杀率能除只数，当然也能乘威力。</t>
  </si>
  <si>
    <t>【免费炮的处理】与雷射炮概念相同，只需假设单发威力与总共发数：总威力 = 单发威力 × 总发数，其余用同样算法处理。</t>
  </si>
  <si>
    <t>【幼幼班做法（原文不推荐）】把责任丢给 Server：「想办法让被攻击的鱼全部死掉，然后总赔率不要超过 200 倍就好」。</t>
  </si>
  <si>
    <t>　缺点① 游戏变化性很少，倍率永远都是很靠近 200 的数字；② RTP 会偏低；③ 把工作丢给 Server（好的机率工程师不应让 Server 处理机率问题）</t>
  </si>
  <si>
    <t>校验（原文数字）: 赔率 100 倍、整体 RTP 90%、雷射炮威力 200 倍 → 鱼本身 70% → P = 0.7%；LP = 20% ÷ 200 = 0.1%；LP（限鱼死）= 0.1% ÷ 0.7% = 1/7 ≈ 14.29%；雷射炮打 3 只 100 倍鱼 → 每只 Pᵢ = 200 ÷ (100 × 3) = 66.67%，Σ NᵢPᵢ = 200 ✓</t>
  </si>
  <si>
    <t>Source: ezslotdesign.com《捕魚遊戲 Part Ⅱ》, 2018-08-02, https://ezslotdesign.com/fishgame2/</t>
  </si>
  <si>
    <t>配图：原文配图只有装饰性照片与示范影片，没有数据图表，数字都在正文。</t>
  </si>
  <si>
    <t>捕鱼游戏 PART Ⅱ：特殊炮的 RTP 拆分与雷射炮发射计算　（蓝字＝可改输入）</t>
  </si>
  <si>
    <t>【1】RTP 拆分与特殊炮获得率</t>
  </si>
  <si>
    <t>项目</t>
  </si>
  <si>
    <t>值</t>
  </si>
  <si>
    <t>总 RTP R</t>
  </si>
  <si>
    <t>RTP 拆分＝把玩家付出的钱按区块分配：范例 90% = 70%（鱼本身赔率）+ 20%（雷射炮）</t>
  </si>
  <si>
    <t>鱼本身 RTP（R鱼）</t>
  </si>
  <si>
    <t>雷射炮 RTP（= 总 − 鱼）</t>
  </si>
  <si>
    <t>鱼赔率 N</t>
  </si>
  <si>
    <t>鱼击杀率 P = R鱼 ÷ N</t>
  </si>
  <si>
    <t>原文例：P = 70% ÷ 100 = 0.7%</t>
  </si>
  <si>
    <t>雷射炮威力 W</t>
  </si>
  <si>
    <t>获得率 LP = R炮 ÷ W</t>
  </si>
  <si>
    <t>原文例：LP = 20% ÷ 200 = 0.1%</t>
  </si>
  <si>
    <t>LP（限鱼死才给）= LP ÷ P</t>
  </si>
  <si>
    <t>原文例：0.1% ÷ 0.7% = 1/7 ≈ 14.29%；两条分支：鱼没死 → 获得率 0，鱼死 → 获得率 1/7（条件机率）</t>
  </si>
  <si>
    <t>【2】雷射炮发射：Pᵢ = 威力 W ÷（赔率 Nᵢ × 攻击只数 K）</t>
  </si>
  <si>
    <t>威力 W（同【1】）</t>
  </si>
  <si>
    <t>攻击只数 K</t>
  </si>
  <si>
    <t>鱼</t>
  </si>
  <si>
    <t>赔率 Nᵢ</t>
  </si>
  <si>
    <t>击杀率 Pᵢ = W ÷(Nᵢ × K)</t>
  </si>
  <si>
    <t>贡献 Nᵢ × Pᵢ（倍）</t>
  </si>
  <si>
    <t>占总威力比 = 贡献 ÷ W</t>
  </si>
  <si>
    <t>单位说明：这里的「倍」是以一发普通子弹的成本为单位；威力 W = 200 倍＝中一次雷射炮平均能打回 200 发子弹的钱</t>
  </si>
  <si>
    <t>鱼1</t>
  </si>
  <si>
    <t>原文例：打中 3 只 100 倍鱼 → Pᵢ = 200 ÷ (100 × 3) = 66.67%，每只贡献 200 ÷ 3 = 66.67 倍，合计 200 倍 = 威力</t>
  </si>
  <si>
    <t>鱼2</t>
  </si>
  <si>
    <t>鱼3</t>
  </si>
  <si>
    <t>鱼4</t>
  </si>
  <si>
    <t>鱼5</t>
  </si>
  <si>
    <t>每只鱼的贡献都是 威力 ÷ K，所以怎么分都不会超过威力 —— 这就是「正规做法」</t>
  </si>
  <si>
    <t>合计 Σ NᵢPᵢ</t>
  </si>
  <si>
    <t>验算：Σ NᵢPᵢ = 威力 W ？</t>
  </si>
  <si>
    <t>【3】免费炮：总威力 = 单发威力 × 总发数</t>
  </si>
  <si>
    <t>单发威力</t>
  </si>
  <si>
    <t>免费炮不扣金额，但仍要假设「总威力」才能算 RTP；得到总威力后再套【2】的 Pᵢ 修正</t>
  </si>
  <si>
    <t>总发数</t>
  </si>
  <si>
    <t>总威力</t>
  </si>
  <si>
    <t>【4】原文三种特殊炮与两种获取途径</t>
  </si>
  <si>
    <t>炮种</t>
  </si>
  <si>
    <t>原文说明</t>
  </si>
  <si>
    <t>雷射炮（大陆称激光炮）</t>
  </si>
  <si>
    <t>可攻击大范围鱼群</t>
  </si>
  <si>
    <t>免费炮</t>
  </si>
  <si>
    <t>免费发射、不扣金额（「免费的炮最贵」在此不成立）</t>
  </si>
  <si>
    <t>冰冻炮</t>
  </si>
  <si>
    <t>命中后鱼进入冰冻状态＝变慢或停在原地</t>
  </si>
  <si>
    <t>获取途径①</t>
  </si>
  <si>
    <t>击杀现有鱼种后有机率获得（前端要把带炮的鱼凸显出来：原文形容「像喝了化学药剂会发光的鱼」）</t>
  </si>
  <si>
    <t>获取途径②</t>
  </si>
  <si>
    <t>雷射炮本身作为 item 出现在鱼场中，可攻击并获得（企划处理较容易，玩家有明确目标追打）</t>
  </si>
  <si>
    <t>幼幼班做法（不推荐）</t>
  </si>
  <si>
    <t>把责任丢给 Server：让被攻击的鱼全死、总赔率不超过威力就好｜缺点① 变化性少（倍率永远接近 200）② RTP 偏低 ③ Server 要处理机率问题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</si>
</sst>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000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6" borderId="9">
      <alignment vertical="center"/>
    </xf>
    <xf numFmtId="0" fontId="13" fillId="7" borderId="10">
      <alignment vertical="center"/>
    </xf>
    <xf numFmtId="0" fontId="14" fillId="7" borderId="9">
      <alignment vertical="center"/>
    </xf>
    <xf numFmtId="0" fontId="15" fillId="8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3" borderId="2" xfId="0" applyFont="1" applyFill="1" applyBorder="1"/>
    <xf numFmtId="0" fontId="2" fillId="0" borderId="0" xfId="0" applyFont="1"/>
    <xf numFmtId="0" fontId="0" fillId="0" borderId="2" xfId="0" applyBorder="1"/>
    <xf numFmtId="10" fontId="3" fillId="4" borderId="2" xfId="0" applyNumberFormat="1" applyFont="1" applyFill="1" applyBorder="1"/>
    <xf numFmtId="0" fontId="2" fillId="0" borderId="0" xfId="0" applyFont="1" applyAlignment="1">
      <alignment vertical="center" wrapText="1"/>
    </xf>
    <xf numFmtId="0" fontId="0" fillId="0" borderId="2" xfId="0" applyBorder="1" applyAlignment="1">
      <alignment vertical="top" wrapText="1"/>
    </xf>
    <xf numFmtId="10" fontId="0" fillId="0" borderId="2" xfId="0" applyNumberFormat="1" applyBorder="1"/>
    <xf numFmtId="1" fontId="3" fillId="4" borderId="2" xfId="0" applyNumberFormat="1" applyFont="1" applyFill="1" applyBorder="1"/>
    <xf numFmtId="176" fontId="0" fillId="0" borderId="2" xfId="0" applyNumberFormat="1" applyBorder="1"/>
    <xf numFmtId="0" fontId="0" fillId="0" borderId="3" xfId="0" applyBorder="1"/>
    <xf numFmtId="1" fontId="0" fillId="0" borderId="0" xfId="0" applyNumberFormat="1"/>
    <xf numFmtId="1" fontId="3" fillId="4" borderId="0" xfId="0" applyNumberFormat="1" applyFont="1" applyFill="1"/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center" wrapText="1"/>
    </xf>
    <xf numFmtId="0" fontId="0" fillId="0" borderId="4" xfId="0" applyBorder="1"/>
    <xf numFmtId="2" fontId="0" fillId="0" borderId="2" xfId="0" applyNumberFormat="1" applyBorder="1"/>
    <xf numFmtId="0" fontId="1" fillId="0" borderId="2" xfId="0" applyFont="1" applyBorder="1"/>
    <xf numFmtId="1" fontId="0" fillId="0" borderId="2" xfId="0" applyNumberFormat="1" applyBorder="1"/>
    <xf numFmtId="0" fontId="0" fillId="0" borderId="2" xfId="0" applyBorder="1" applyAlignment="1">
      <alignment vertical="center" wrapText="1"/>
    </xf>
    <xf numFmtId="0" fontId="0" fillId="0" borderId="5" xfId="0" applyBorder="1"/>
    <xf numFmtId="0" fontId="1" fillId="0" borderId="0" xfId="0" applyFont="1"/>
    <xf numFmtId="0" fontId="0" fillId="0" borderId="0" xfId="0" applyAlignment="1">
      <alignment vertical="center" wrapText="1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vertical="top"/>
    </xf>
    <xf numFmtId="0" fontId="2" fillId="0" borderId="0" xfId="0" applyNumberFormat="1" applyFont="1"/>
    <xf numFmtId="177" applyNumberFormat="1" fontId="3" fillId="4" borderId="2" xfId="0" applyFont="1" applyFill="1" applyBorder="1"/>
    <xf numFmtId="177" applyNumberFormat="1" fontId="0" fillId="0" borderId="2" xfId="0" applyBorder="1"/>
    <xf numFmtId="177" applyNumberFormat="1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35" t="s">
        <v>0</v>
      </c>
    </row>
    <row r="2" spans="1:1">
      <c r="A2" s="36" t="s">
        <v>1</v>
      </c>
    </row>
    <row r="3" spans="1:1">
      <c r="A3" s="35" t="s">
        <v>2</v>
      </c>
    </row>
    <row r="4" spans="1:1">
      <c r="A4" s="37" t="s">
        <v>3</v>
      </c>
    </row>
    <row r="5" spans="1:1">
      <c r="A5" s="36" t="s">
        <v>4</v>
      </c>
    </row>
    <row r="6" spans="1:1">
      <c r="A6" s="36" t="s">
        <v>5</v>
      </c>
    </row>
    <row r="7" spans="1:1">
      <c r="A7" s="36" t="s">
        <v>6</v>
      </c>
    </row>
    <row r="8" spans="1:1">
      <c r="A8" s="36" t="s">
        <v>7</v>
      </c>
    </row>
    <row r="9" spans="1:1">
      <c r="A9" s="36" t="s">
        <v>1</v>
      </c>
    </row>
    <row r="10" spans="1:1">
      <c r="A10" s="35" t="s">
        <v>8</v>
      </c>
    </row>
    <row r="11" spans="1:1">
      <c r="A11" s="36" t="s">
        <v>9</v>
      </c>
    </row>
    <row r="12" spans="1:1">
      <c r="A12" s="36" t="s">
        <v>10</v>
      </c>
    </row>
    <row r="13" spans="1:1">
      <c r="A13" s="37" t="s">
        <v>11</v>
      </c>
    </row>
    <row r="14" spans="1:1">
      <c r="A14" s="36" t="s">
        <v>12</v>
      </c>
    </row>
    <row r="15" spans="1:1">
      <c r="A15" s="36" t="s">
        <v>13</v>
      </c>
    </row>
    <row r="16" spans="1:1">
      <c r="A16" s="36" t="s">
        <v>14</v>
      </c>
    </row>
    <row r="17" spans="1:1">
      <c r="A17" s="38" t="s">
        <v>15</v>
      </c>
    </row>
    <row r="18" spans="1:1">
      <c r="A18" s="36" t="s">
        <v>16</v>
      </c>
    </row>
    <row r="19" spans="1:1">
      <c r="A19" s="36" t="s">
        <v>1</v>
      </c>
    </row>
    <row r="20" spans="1:1">
      <c r="A20" s="39" t="s">
        <v>17</v>
      </c>
    </row>
    <row r="21" spans="1:1">
      <c r="A21" s="37" t="s">
        <v>18</v>
      </c>
    </row>
    <row r="22" spans="1:1">
      <c r="A22" s="37" t="s">
        <v>19</v>
      </c>
    </row>
    <row r="23" spans="1:1">
      <c r="A23" s="37" t="s">
        <v>20</v>
      </c>
    </row>
    <row r="24" spans="1:1">
      <c r="A24" s="37" t="s">
        <v>21</v>
      </c>
    </row>
    <row r="25" spans="1:1">
      <c r="A25" s="37" t="s">
        <v>22</v>
      </c>
    </row>
    <row r="26" spans="1:1">
      <c r="A26" s="37" t="s">
        <v>23</v>
      </c>
    </row>
    <row r="27" spans="1:1">
      <c r="A27" s="36" t="s">
        <v>24</v>
      </c>
    </row>
    <row r="28" spans="1:1">
      <c r="A28" s="37" t="s">
        <v>25</v>
      </c>
    </row>
    <row r="29" spans="1:1">
      <c r="A29" s="38" t="s">
        <v>26</v>
      </c>
    </row>
    <row r="30" spans="1:1">
      <c r="A30" s="37" t="s">
        <v>27</v>
      </c>
    </row>
    <row r="31" spans="1:1">
      <c r="A31" s="37" t="s">
        <v>28</v>
      </c>
    </row>
    <row r="32" spans="1:1">
      <c r="A32" s="37" t="s">
        <v>29</v>
      </c>
    </row>
    <row r="33" spans="1:1">
      <c r="A33" s="37" t="s">
        <v>30</v>
      </c>
    </row>
    <row r="34" spans="1:1">
      <c r="A34" s="40" t="s">
        <v>31</v>
      </c>
    </row>
    <row r="35" spans="1:1">
      <c r="A35" s="36" t="s">
        <v>1</v>
      </c>
    </row>
    <row r="36" ht="15" customHeight="1" spans="1:1">
      <c r="A36" s="41" t="s">
        <v>32</v>
      </c>
    </row>
    <row r="37" spans="1:1">
      <c r="A37" s="42" t="s">
        <v>33</v>
      </c>
    </row>
    <row r="38" spans="1:1">
      <c r="A38" s="42" t="s">
        <v>34</v>
      </c>
    </row>
  </sheetData>
  <mergeCells count="17">
    <mergeCell ref="A4:G4"/>
    <mergeCell ref="A13:C13"/>
    <mergeCell ref="A17:F17"/>
    <mergeCell ref="A21:C21"/>
    <mergeCell ref="A22:C22"/>
    <mergeCell ref="A23:C23"/>
    <mergeCell ref="A24:C24"/>
    <mergeCell ref="A25:C25"/>
    <mergeCell ref="A26:C26"/>
    <mergeCell ref="A28:C28"/>
    <mergeCell ref="A29:E29"/>
    <mergeCell ref="A30:C30"/>
    <mergeCell ref="A31:C31"/>
    <mergeCell ref="A32:C32"/>
    <mergeCell ref="A33:C33"/>
    <mergeCell ref="A34:D34"/>
    <mergeCell ref="A36:N36"/>
  </mergeCells>
  <pageMargins left="0.75" right="0.75" top="1" bottom="1" header="0.5" footer="0.5"/>
  <headerFooter/>
  <ignoredErrors>
    <ignoredError sqref="A1:S58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selection activeCell="A1" sqref="A1:H1"/>
    </sheetView>
  </sheetViews>
  <sheetFormatPr defaultColWidth="9" defaultRowHeight="14"/>
  <cols>
    <col min="1" max="1" width="3" customWidth="1"/>
    <col min="2" max="2" width="22" customWidth="1"/>
    <col min="3" max="3" width="13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35</v>
      </c>
    </row>
    <row r="2" spans="1:8">
      <c r="A2" s="2" t="s">
        <v>1</v>
      </c>
      <c r="B2" s="3" t="s">
        <v>36</v>
      </c>
      <c r="C2" s="4"/>
      <c r="D2" s="5" t="s">
        <v>1</v>
      </c>
      <c r="E2" s="5" t="s">
        <v>1</v>
      </c>
      <c r="F2" s="5" t="s">
        <v>1</v>
      </c>
      <c r="G2" t="s">
        <v>1</v>
      </c>
      <c r="H2" s="6" t="s">
        <v>1</v>
      </c>
    </row>
    <row r="3" spans="1:8">
      <c r="A3" s="2" t="s">
        <v>1</v>
      </c>
      <c r="B3" s="5" t="s">
        <v>37</v>
      </c>
      <c r="C3" s="5" t="s">
        <v>38</v>
      </c>
      <c r="D3" s="5" t="s">
        <v>1</v>
      </c>
      <c r="E3" s="5" t="s">
        <v>1</v>
      </c>
      <c r="F3" s="5" t="s">
        <v>1</v>
      </c>
      <c r="G3" t="s">
        <v>1</v>
      </c>
      <c r="H3" s="6" t="s">
        <v>1</v>
      </c>
    </row>
    <row r="4" spans="1:8">
      <c r="A4" s="2" t="s">
        <v>1</v>
      </c>
      <c r="B4" s="7" t="s">
        <v>39</v>
      </c>
      <c r="C4" s="8">
        <v>0.9</v>
      </c>
      <c r="D4" s="5" t="s">
        <v>1</v>
      </c>
      <c r="E4" s="5" t="s">
        <v>1</v>
      </c>
      <c r="F4" s="5" t="s">
        <v>1</v>
      </c>
      <c r="G4" t="s">
        <v>1</v>
      </c>
      <c r="H4" s="9" t="s">
        <v>40</v>
      </c>
    </row>
    <row r="5" spans="1:8">
      <c r="A5" s="2" t="s">
        <v>1</v>
      </c>
      <c r="B5" s="7" t="s">
        <v>41</v>
      </c>
      <c r="C5" s="8">
        <v>0.7</v>
      </c>
      <c r="D5" s="5" t="s">
        <v>1</v>
      </c>
      <c r="E5" s="5" t="s">
        <v>1</v>
      </c>
      <c r="F5" s="5" t="s">
        <v>1</v>
      </c>
      <c r="G5" t="s">
        <v>1</v>
      </c>
      <c r="H5" s="6" t="s">
        <v>1</v>
      </c>
    </row>
    <row r="6" ht="30" customHeight="1" spans="1:8">
      <c r="A6" s="2" t="s">
        <v>1</v>
      </c>
      <c r="B6" s="10" t="s">
        <v>42</v>
      </c>
      <c r="C6" s="44">
        <f>IF(OR(C4="",C5=""),"",C4-C5)</f>
        <v>0.2</v>
      </c>
      <c r="D6" s="5" t="s">
        <v>1</v>
      </c>
      <c r="E6" s="5" t="s">
        <v>1</v>
      </c>
      <c r="F6" s="5" t="s">
        <v>1</v>
      </c>
      <c r="G6" t="s">
        <v>1</v>
      </c>
      <c r="H6" s="6" t="s">
        <v>1</v>
      </c>
    </row>
    <row r="7" spans="1:8">
      <c r="A7" s="2" t="s">
        <v>1</v>
      </c>
      <c r="B7" s="7" t="s">
        <v>43</v>
      </c>
      <c r="C7" s="12">
        <v>100</v>
      </c>
      <c r="D7" s="5" t="s">
        <v>1</v>
      </c>
      <c r="E7" s="5" t="s">
        <v>1</v>
      </c>
      <c r="F7" s="5" t="s">
        <v>1</v>
      </c>
      <c r="G7" t="s">
        <v>1</v>
      </c>
      <c r="H7" s="6" t="s">
        <v>1</v>
      </c>
    </row>
    <row r="8" spans="1:8">
      <c r="A8" s="2" t="s">
        <v>1</v>
      </c>
      <c r="B8" s="7" t="s">
        <v>44</v>
      </c>
      <c r="C8" s="45">
        <f>IF(OR(C5="",C7="",C7=0),"",C5/C7)</f>
        <v>0.007</v>
      </c>
      <c r="D8" s="5" t="s">
        <v>1</v>
      </c>
      <c r="E8" s="5" t="s">
        <v>1</v>
      </c>
      <c r="F8" s="5" t="s">
        <v>1</v>
      </c>
      <c r="G8" t="s">
        <v>1</v>
      </c>
      <c r="H8" s="6" t="s">
        <v>45</v>
      </c>
    </row>
    <row r="9" spans="1:8">
      <c r="A9" s="2" t="s">
        <v>1</v>
      </c>
      <c r="B9" s="7" t="s">
        <v>46</v>
      </c>
      <c r="C9" s="12">
        <v>200</v>
      </c>
      <c r="D9" s="5" t="s">
        <v>1</v>
      </c>
      <c r="E9" s="5" t="s">
        <v>1</v>
      </c>
      <c r="F9" s="5" t="s">
        <v>1</v>
      </c>
      <c r="G9" t="s">
        <v>1</v>
      </c>
      <c r="H9" s="6" t="s">
        <v>1</v>
      </c>
    </row>
    <row r="10" spans="1:8">
      <c r="A10" s="2" t="s">
        <v>1</v>
      </c>
      <c r="B10" s="7" t="s">
        <v>47</v>
      </c>
      <c r="C10" s="45">
        <f>IF(OR(C6="",C9="",C9=0),"",C6/C9)</f>
        <v>0.001</v>
      </c>
      <c r="D10" s="5" t="s">
        <v>1</v>
      </c>
      <c r="E10" s="5" t="s">
        <v>1</v>
      </c>
      <c r="F10" s="5" t="s">
        <v>1</v>
      </c>
      <c r="G10" t="s">
        <v>1</v>
      </c>
      <c r="H10" s="6" t="s">
        <v>48</v>
      </c>
    </row>
    <row r="11" ht="30" customHeight="1" spans="1:8">
      <c r="A11" s="2" t="s">
        <v>1</v>
      </c>
      <c r="B11" s="10" t="s">
        <v>49</v>
      </c>
      <c r="C11" s="44">
        <f>IF(OR(C10="",C8="",C8=0),"",C10/C8)</f>
        <v>0.142857142857143</v>
      </c>
      <c r="D11" s="5" t="s">
        <v>1</v>
      </c>
      <c r="E11" s="5" t="s">
        <v>1</v>
      </c>
      <c r="F11" s="5" t="s">
        <v>1</v>
      </c>
      <c r="G11" t="s">
        <v>1</v>
      </c>
      <c r="H11" s="9" t="s">
        <v>50</v>
      </c>
    </row>
    <row r="12" spans="1:8">
      <c r="A12" s="2" t="s">
        <v>1</v>
      </c>
      <c r="B12" s="7" t="s">
        <v>1</v>
      </c>
      <c r="C12" s="11" t="s">
        <v>1</v>
      </c>
      <c r="D12" s="5" t="s">
        <v>1</v>
      </c>
      <c r="E12" s="5" t="s">
        <v>1</v>
      </c>
      <c r="F12" s="5" t="s">
        <v>1</v>
      </c>
      <c r="G12" t="s">
        <v>1</v>
      </c>
      <c r="H12" s="6" t="s">
        <v>1</v>
      </c>
    </row>
    <row r="13" spans="1:8">
      <c r="A13" s="2" t="s">
        <v>1</v>
      </c>
      <c r="B13" s="3" t="s">
        <v>51</v>
      </c>
      <c r="C13" s="14"/>
      <c r="D13" s="14"/>
      <c r="E13" s="4"/>
      <c r="F13" s="5" t="s">
        <v>1</v>
      </c>
      <c r="G13" t="s">
        <v>1</v>
      </c>
      <c r="H13" s="6" t="s">
        <v>1</v>
      </c>
    </row>
    <row r="14" spans="1:8">
      <c r="A14" s="2" t="s">
        <v>1</v>
      </c>
      <c r="B14" t="s">
        <v>52</v>
      </c>
      <c r="C14" s="15">
        <f>C9</f>
        <v>200</v>
      </c>
      <c r="D14" s="5" t="s">
        <v>1</v>
      </c>
      <c r="E14" s="5" t="s">
        <v>1</v>
      </c>
      <c r="F14" s="5" t="s">
        <v>1</v>
      </c>
      <c r="G14" t="s">
        <v>1</v>
      </c>
      <c r="H14" s="6" t="s">
        <v>1</v>
      </c>
    </row>
    <row r="15" spans="1:8">
      <c r="A15" s="2" t="s">
        <v>1</v>
      </c>
      <c r="B15" t="s">
        <v>53</v>
      </c>
      <c r="C15" s="16">
        <v>3</v>
      </c>
      <c r="D15" s="5" t="s">
        <v>1</v>
      </c>
      <c r="E15" s="5" t="s">
        <v>1</v>
      </c>
      <c r="F15" s="5" t="s">
        <v>1</v>
      </c>
      <c r="G15" t="s">
        <v>1</v>
      </c>
      <c r="H15" s="6" t="s">
        <v>1</v>
      </c>
    </row>
    <row r="16" ht="30" customHeight="1" spans="1:8">
      <c r="A16" s="2" t="s">
        <v>1</v>
      </c>
      <c r="B16" s="5" t="s">
        <v>54</v>
      </c>
      <c r="C16" s="5" t="s">
        <v>55</v>
      </c>
      <c r="D16" s="17" t="s">
        <v>56</v>
      </c>
      <c r="E16" s="17" t="s">
        <v>57</v>
      </c>
      <c r="F16" s="18" t="s">
        <v>58</v>
      </c>
      <c r="G16" s="19"/>
      <c r="H16" s="9" t="s">
        <v>59</v>
      </c>
    </row>
    <row r="17" spans="1:8">
      <c r="A17" s="2" t="s">
        <v>1</v>
      </c>
      <c r="B17" s="7" t="s">
        <v>60</v>
      </c>
      <c r="C17" s="12">
        <v>100</v>
      </c>
      <c r="D17" s="44">
        <f>IF(OR(C17="",C17=0,$C$15="",$C$15=0),"",$C$14/(C17*$C$15))</f>
        <v>0.666666666666667</v>
      </c>
      <c r="E17" s="20">
        <f>IF(OR(D17="",C17=""),"",C17*D17)</f>
        <v>66.6666666666667</v>
      </c>
      <c r="F17" s="44">
        <f t="shared" ref="F17:F22" si="0">IF(OR(E17="",$C$14="",$C$14=0),"",E17/$C$14)</f>
        <v>0.333333333333333</v>
      </c>
      <c r="G17" t="s">
        <v>1</v>
      </c>
      <c r="H17" s="9" t="s">
        <v>61</v>
      </c>
    </row>
    <row r="18" spans="1:8">
      <c r="A18" s="2" t="s">
        <v>1</v>
      </c>
      <c r="B18" s="7" t="s">
        <v>62</v>
      </c>
      <c r="C18" s="12">
        <v>100</v>
      </c>
      <c r="D18" s="44">
        <f>IF(OR(C18="",C18=0,$C$15="",$C$15=0),"",$C$14/(C18*$C$15))</f>
        <v>0.666666666666667</v>
      </c>
      <c r="E18" s="20">
        <f>IF(OR(D18="",C18=""),"",C18*D18)</f>
        <v>66.6666666666667</v>
      </c>
      <c r="F18" s="44">
        <f t="shared" si="0"/>
        <v>0.333333333333333</v>
      </c>
      <c r="G18" t="s">
        <v>1</v>
      </c>
      <c r="H18" s="6" t="s">
        <v>1</v>
      </c>
    </row>
    <row r="19" spans="1:8">
      <c r="A19" s="2" t="s">
        <v>1</v>
      </c>
      <c r="B19" s="7" t="s">
        <v>63</v>
      </c>
      <c r="C19" s="12">
        <v>100</v>
      </c>
      <c r="D19" s="44">
        <f>IF(OR(C19="",C19=0,$C$15="",$C$15=0),"",$C$14/(C19*$C$15))</f>
        <v>0.666666666666667</v>
      </c>
      <c r="E19" s="20">
        <f>IF(OR(D19="",C19=""),"",C19*D19)</f>
        <v>66.6666666666667</v>
      </c>
      <c r="F19" s="44">
        <f t="shared" si="0"/>
        <v>0.333333333333333</v>
      </c>
      <c r="G19" t="s">
        <v>1</v>
      </c>
      <c r="H19" s="6" t="s">
        <v>1</v>
      </c>
    </row>
    <row r="20" spans="1:8">
      <c r="A20" s="2" t="s">
        <v>1</v>
      </c>
      <c r="B20" s="7" t="s">
        <v>64</v>
      </c>
      <c r="C20" s="7"/>
      <c r="D20" s="44" t="str">
        <f>IF(OR(C20="",C20=0,$C$15="",$C$15=0),"",$C$14/(C20*$C$15))</f>
        <v/>
      </c>
      <c r="E20" s="20" t="str">
        <f>IF(OR(D20="",C20=""),"",C20*D20)</f>
        <v/>
      </c>
      <c r="F20" s="44" t="str">
        <f t="shared" si="0"/>
        <v/>
      </c>
      <c r="G20" t="s">
        <v>1</v>
      </c>
      <c r="H20" s="6" t="s">
        <v>1</v>
      </c>
    </row>
    <row r="21" spans="1:8">
      <c r="A21" s="2" t="s">
        <v>1</v>
      </c>
      <c r="B21" s="7" t="s">
        <v>65</v>
      </c>
      <c r="C21" s="7"/>
      <c r="D21" s="44" t="str">
        <f>IF(OR(C21="",C21=0,$C$15="",$C$15=0),"",$C$14/(C21*$C$15))</f>
        <v/>
      </c>
      <c r="E21" s="20" t="str">
        <f>IF(OR(D21="",C21=""),"",C21*D21)</f>
        <v/>
      </c>
      <c r="F21" s="44" t="str">
        <f t="shared" si="0"/>
        <v/>
      </c>
      <c r="G21" t="s">
        <v>1</v>
      </c>
      <c r="H21" s="6" t="s">
        <v>66</v>
      </c>
    </row>
    <row r="22" spans="1:8">
      <c r="A22" s="2" t="s">
        <v>1</v>
      </c>
      <c r="B22" s="7" t="s">
        <v>67</v>
      </c>
      <c r="C22" s="7" t="s">
        <v>1</v>
      </c>
      <c r="D22" s="7" t="s">
        <v>1</v>
      </c>
      <c r="E22" s="20">
        <f>SUM(E17:E21)</f>
        <v>200</v>
      </c>
      <c r="F22" s="44">
        <f t="shared" si="0"/>
        <v>1</v>
      </c>
      <c r="G22" t="s">
        <v>1</v>
      </c>
      <c r="H22" s="6" t="s">
        <v>1</v>
      </c>
    </row>
    <row r="23" ht="30" customHeight="1" spans="1:8">
      <c r="A23" s="2" t="s">
        <v>1</v>
      </c>
      <c r="B23" s="10" t="s">
        <v>68</v>
      </c>
      <c r="C23" s="21" t="str">
        <f>IF(ABS(E22-$C$14)&lt;0.0000001,"✓ 合计 = 威力 W","✗ 只填实际被击中的 K 只鱼（K 要对称）")</f>
        <v>✓ 合计 = 威力 W</v>
      </c>
      <c r="D23" s="7" t="s">
        <v>1</v>
      </c>
      <c r="E23" s="7" t="s">
        <v>1</v>
      </c>
      <c r="F23" s="7" t="s">
        <v>1</v>
      </c>
      <c r="G23" t="s">
        <v>1</v>
      </c>
      <c r="H23" s="6" t="s">
        <v>1</v>
      </c>
    </row>
    <row r="24" spans="1:8">
      <c r="A24" s="2" t="s">
        <v>1</v>
      </c>
      <c r="B24" s="7" t="s">
        <v>1</v>
      </c>
      <c r="C24" s="21" t="s">
        <v>1</v>
      </c>
      <c r="D24" s="7" t="s">
        <v>1</v>
      </c>
      <c r="E24" s="7" t="s">
        <v>1</v>
      </c>
      <c r="F24" s="7" t="s">
        <v>1</v>
      </c>
      <c r="G24" t="s">
        <v>1</v>
      </c>
      <c r="H24" s="6" t="s">
        <v>1</v>
      </c>
    </row>
    <row r="25" spans="1:8">
      <c r="A25" s="2" t="s">
        <v>1</v>
      </c>
      <c r="B25" s="3" t="s">
        <v>69</v>
      </c>
      <c r="C25" s="14"/>
      <c r="D25" s="4"/>
      <c r="E25" s="7" t="s">
        <v>1</v>
      </c>
      <c r="F25" s="7" t="s">
        <v>1</v>
      </c>
      <c r="G25" t="s">
        <v>1</v>
      </c>
      <c r="H25" s="6" t="s">
        <v>1</v>
      </c>
    </row>
    <row r="26" spans="1:8">
      <c r="A26" s="2" t="s">
        <v>1</v>
      </c>
      <c r="B26" s="5" t="s">
        <v>37</v>
      </c>
      <c r="C26" s="5" t="s">
        <v>38</v>
      </c>
      <c r="D26" s="7" t="s">
        <v>1</v>
      </c>
      <c r="E26" s="7" t="s">
        <v>1</v>
      </c>
      <c r="F26" s="7" t="s">
        <v>1</v>
      </c>
      <c r="G26" t="s">
        <v>1</v>
      </c>
      <c r="H26" s="6" t="s">
        <v>1</v>
      </c>
    </row>
    <row r="27" spans="1:8">
      <c r="A27" s="2" t="s">
        <v>1</v>
      </c>
      <c r="B27" s="7" t="s">
        <v>70</v>
      </c>
      <c r="C27" s="12">
        <v>20</v>
      </c>
      <c r="D27" s="7" t="s">
        <v>1</v>
      </c>
      <c r="E27" s="7" t="s">
        <v>1</v>
      </c>
      <c r="F27" s="7" t="s">
        <v>1</v>
      </c>
      <c r="G27" t="s">
        <v>1</v>
      </c>
      <c r="H27" s="9" t="s">
        <v>71</v>
      </c>
    </row>
    <row r="28" spans="1:8">
      <c r="A28" s="2" t="s">
        <v>1</v>
      </c>
      <c r="B28" s="7" t="s">
        <v>72</v>
      </c>
      <c r="C28" s="12">
        <v>10</v>
      </c>
      <c r="D28" s="7" t="s">
        <v>1</v>
      </c>
      <c r="E28" s="7" t="s">
        <v>1</v>
      </c>
      <c r="F28" s="7" t="s">
        <v>1</v>
      </c>
      <c r="G28" t="s">
        <v>1</v>
      </c>
      <c r="H28" s="6" t="s">
        <v>1</v>
      </c>
    </row>
    <row r="29" spans="1:8">
      <c r="A29" s="2" t="s">
        <v>1</v>
      </c>
      <c r="B29" s="7" t="s">
        <v>73</v>
      </c>
      <c r="C29" s="22">
        <f>IF(OR(C27="",C28=""),"",C27*C28)</f>
        <v>200</v>
      </c>
      <c r="D29" s="7" t="s">
        <v>1</v>
      </c>
      <c r="E29" s="7" t="s">
        <v>1</v>
      </c>
      <c r="F29" s="7" t="s">
        <v>1</v>
      </c>
      <c r="G29" t="s">
        <v>1</v>
      </c>
      <c r="H29" s="6" t="s">
        <v>1</v>
      </c>
    </row>
    <row r="30" spans="1:8">
      <c r="A30" s="2" t="s">
        <v>1</v>
      </c>
      <c r="B30" s="7" t="s">
        <v>1</v>
      </c>
      <c r="C30" s="22" t="s">
        <v>1</v>
      </c>
      <c r="D30" s="7" t="s">
        <v>1</v>
      </c>
      <c r="E30" s="7" t="s">
        <v>1</v>
      </c>
      <c r="F30" s="7" t="s">
        <v>1</v>
      </c>
      <c r="G30" t="s">
        <v>1</v>
      </c>
      <c r="H30" s="6" t="s">
        <v>1</v>
      </c>
    </row>
    <row r="31" spans="1:8">
      <c r="A31" s="2" t="s">
        <v>1</v>
      </c>
      <c r="B31" s="3" t="s">
        <v>74</v>
      </c>
      <c r="C31" s="14"/>
      <c r="D31" s="4"/>
      <c r="E31" s="7" t="s">
        <v>1</v>
      </c>
      <c r="F31" s="7" t="s">
        <v>1</v>
      </c>
      <c r="G31" t="s">
        <v>1</v>
      </c>
      <c r="H31" s="6" t="s">
        <v>1</v>
      </c>
    </row>
    <row r="32" spans="1:8">
      <c r="A32" s="2" t="s">
        <v>1</v>
      </c>
      <c r="B32" s="5" t="s">
        <v>75</v>
      </c>
      <c r="C32" s="5" t="s">
        <v>76</v>
      </c>
      <c r="D32" s="7" t="s">
        <v>1</v>
      </c>
      <c r="E32" s="7" t="s">
        <v>1</v>
      </c>
      <c r="F32" s="7" t="s">
        <v>1</v>
      </c>
      <c r="G32" t="s">
        <v>1</v>
      </c>
      <c r="H32" s="6" t="s">
        <v>1</v>
      </c>
    </row>
    <row r="33" spans="1:8">
      <c r="A33" s="2" t="s">
        <v>1</v>
      </c>
      <c r="B33" s="7" t="s">
        <v>77</v>
      </c>
      <c r="C33" s="23" t="s">
        <v>78</v>
      </c>
      <c r="D33" s="19"/>
      <c r="E33" s="7" t="s">
        <v>1</v>
      </c>
      <c r="F33" s="7" t="s">
        <v>1</v>
      </c>
      <c r="G33" t="s">
        <v>1</v>
      </c>
      <c r="H33" s="6" t="s">
        <v>1</v>
      </c>
    </row>
    <row r="34" spans="1:8">
      <c r="A34" s="2" t="s">
        <v>1</v>
      </c>
      <c r="B34" s="7" t="s">
        <v>79</v>
      </c>
      <c r="C34" s="23" t="s">
        <v>80</v>
      </c>
      <c r="D34" s="24"/>
      <c r="E34" s="24"/>
      <c r="F34" s="19"/>
      <c r="G34" t="s">
        <v>1</v>
      </c>
      <c r="H34" s="6" t="s">
        <v>1</v>
      </c>
    </row>
    <row r="35" spans="1:8">
      <c r="A35" s="2" t="s">
        <v>1</v>
      </c>
      <c r="B35" s="7" t="s">
        <v>81</v>
      </c>
      <c r="C35" s="23" t="s">
        <v>82</v>
      </c>
      <c r="D35" s="24"/>
      <c r="E35" s="19"/>
      <c r="F35" s="7" t="s">
        <v>1</v>
      </c>
      <c r="G35" t="s">
        <v>1</v>
      </c>
      <c r="H35" s="6" t="s">
        <v>1</v>
      </c>
    </row>
    <row r="36" spans="1:8">
      <c r="A36" s="2" t="s">
        <v>1</v>
      </c>
      <c r="B36" s="25" t="s">
        <v>83</v>
      </c>
      <c r="C36" s="26" t="s">
        <v>84</v>
      </c>
    </row>
    <row r="37" spans="1:8">
      <c r="A37" s="2" t="s">
        <v>1</v>
      </c>
      <c r="B37" s="25" t="s">
        <v>85</v>
      </c>
      <c r="C37" s="26" t="s">
        <v>86</v>
      </c>
    </row>
    <row r="38" spans="1:8">
      <c r="A38" s="2" t="s">
        <v>1</v>
      </c>
      <c r="B38" s="25" t="s">
        <v>87</v>
      </c>
      <c r="C38" s="26" t="s">
        <v>88</v>
      </c>
    </row>
  </sheetData>
  <mergeCells count="17">
    <mergeCell ref="A1:H1"/>
    <mergeCell ref="B2:C2"/>
    <mergeCell ref="H4:J4"/>
    <mergeCell ref="H11:K11"/>
    <mergeCell ref="B13:E13"/>
    <mergeCell ref="F16:G16"/>
    <mergeCell ref="H16:L16"/>
    <mergeCell ref="H17:L17"/>
    <mergeCell ref="B25:D25"/>
    <mergeCell ref="H27:J27"/>
    <mergeCell ref="B31:D31"/>
    <mergeCell ref="C33:D33"/>
    <mergeCell ref="C34:F34"/>
    <mergeCell ref="C35:E35"/>
    <mergeCell ref="C36:H36"/>
    <mergeCell ref="C37:H37"/>
    <mergeCell ref="C38:I38"/>
  </mergeCells>
  <pageMargins left="0.75" right="0.75" top="1" bottom="1" header="0.5" footer="0.5"/>
  <headerFooter/>
  <ignoredErrors>
    <ignoredError sqref="A1:Q5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II 特殊炮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2026-09-29T16:07:37Z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C3137375CA124322B443BDC299B16D57_12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