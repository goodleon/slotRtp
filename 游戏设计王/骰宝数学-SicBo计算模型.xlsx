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17680" activeTab="1"/>
  </bookViews>
  <sheets>
    <sheet name="说明" sheetId="1" r:id="rId1"/>
    <sheet name="SicBo 递推表+下注RTP" sheetId="2" r:id="rId2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<sst xmlns="http://schemas.openxmlformats.org/spreadsheetml/2006/main" count="315" uniqueCount="82">
  <si>
    <t>骰宝（Sic Bo）—— 可改参数的 RTP 计算模型（复刻自 ezslotdesign.com/sicbo/）</t>
  </si>
  <si>
    <t>用法</t>
  </si>
  <si>
    <t>1) 第 4~21 行「点数和递推表」：B 列是点数和 1~18，C~E 列（Dice 1 / 2 / 3）用递推法自动算出「3 颗骰子加总为该点数」的组合数 Case</t>
  </si>
  <si>
    <t>2) H 列「Odds」是各点数和的可改赔率（蓝字＝输入）。本范例照原文：4/17→60、5/16→20、6/15→18、7/14→12、8/13→8、9~12→6；点数和 3 与 18 未开设，故留空（RTP 也留空）</t>
  </si>
  <si>
    <t>3) 第 27~30 行「单点」：Case 用原文的 25*3 / 5*3 / 1（单点赢 1 / 2 / 3 个）；F 列赔率 1 / 2 / 3 可改，合計 RTP 在第 30 行</t>
  </si>
  <si>
    <t>4) 第 34~40 行「其它下注法」：Case 由递推表或组合数公式得来（大／小用 SUMIF 再扣掉豹子）；F 列是各玩法的赔率（蓝字＝输入）</t>
  </si>
  <si>
    <t>5) 第 44~50 行「赔率敏感度」：照原文的讨论，算「大／小赔率 1 与 0.95」「豹子 24 / 30 / 31 / 32 / 33」的 RTP</t>
  </si>
  <si>
    <t>所有 RTP = Chance ×（赔率 + 1）；总组合数 = 6³ = 216（C23）</t>
  </si>
  <si>
    <t>建模要点</t>
  </si>
  <si>
    <t>· 原文不用穷举 216 种结果，而是「递推组合数」：Cₙ(K) = Σᵢ₌₁..₆ Cₙ₋₁(K−i)。所以 Dice 2 / Dice 3 只要 SUM 上面 1~6 行的左边一列（组合数，不是机率）</t>
  </si>
  <si>
    <t>· Dice 2 最上面一列（点数和 1）没有上方可加总，故为 0；Dice 3 同理</t>
  </si>
  <si>
    <t>· Chance = Case ÷ 216；Freq. = 216 ÷ Case（平均几把中一次）</t>
  </si>
  <si>
    <t>· RTP = Chance ×（Odds + 1）：Odds 是净赔率，「+1」是把本金一起赔回来</t>
  </si>
  <si>
    <t>· 3 颗 6 面骰共 6³ = 216 种结果；三同号（豹子）只有 6 种（围一~围六）</t>
  </si>
  <si>
    <t>· 「豹子通杀」：开出豹子时大／小都算输，所以大／小的 Case = 各自范围内的组合数 − 范围内的豹子数（小扣 6、9；大扣 12、15）＝105</t>
  </si>
  <si>
    <t>· 名词：大 = 总点数 11~17；小 = 总点数 4~10；单点 = 指定点数出现 1/2/3 个；双骰 = 指定点数出现 2 个以上；围骰 = 3 颗全为指定点数；全骰（豹子）= 围一~围六任一种</t>
  </si>
  <si>
    <t>校验（原文「完整计算图」的结果）: 总组合数 216；大／小 105 → 97.22%；单点合计 91 → 92.13%（赢1 75→69.44%、赢2 15→20.83%、赢3 1→1.85%）；两颗骰子 30 → 83.33%；双骰 16 → 81.48%；围骰 1 → 83.80%；全骰（豹子）6 → 86.11%；点数和 4→84.72%、5→58.33%、6→87.96%、7→90.28%、8→87.50%、9→81.02%、10→87.50%、11→87.50%、12→81.02%、13→87.50%、14→90.28%、15→87.96%、16→58.33%、17→84.72%</t>
  </si>
  <si>
    <t>原文结论：押大小 RTP 最高（97.22%，比所有老虎机的 RTP 都高）；越高赔率的下注选项越可能降低 RTP——这是利用赌客心理的设计。</t>
  </si>
  <si>
    <t>Source: ezslotdesign.com《骰寶 SIC BO》（博弈數學）, 2018-07-17, https://ezslotdesign.com/sicbo/</t>
  </si>
  <si>
    <t>配图：原文 6 张配图已下载到 images/sicbo/（下注盘面与赔率、递推表 Excel 截图、完整计算表、单点／其它下注的 Case 公式截图）</t>
  </si>
  <si>
    <t>── 原文赔率表（澳门／外国）──</t>
  </si>
  <si>
    <t>大　｜　总点数 11~17；遇围骰庄家通吃　｜　1赔1</t>
  </si>
  <si>
    <t>小　｜　总点数 4~10；遇围骰庄家通吃　｜　1赔1</t>
  </si>
  <si>
    <t>两颗骰子　｜　猜中两颗骰子的组合（共 15 种，如出现 1 和 2 胜）　｜　1赔5</t>
  </si>
  <si>
    <t>双骰　｜　两颗或以上点数相同，并为指定点数（如最少两颗为一）　｜　1赔8／1赔10</t>
  </si>
  <si>
    <t>围骰　｜　点数全同，并为指定点数（三颗皆为一＝围一，俗称「一豹子」）　｜　1赔150／1赔180</t>
  </si>
  <si>
    <t>全围（俗称豹子）　｜　围一至围六任何一种　｜　1赔24／1赔30</t>
  </si>
  <si>
    <t>注：本范例（原文完整计算图）用的是「外国」那一组：两颗骰子 1赔5、双骰 1赔10、围骰 1赔180、全骰 1赔30。</t>
  </si>
  <si>
    <t>骰宝（Sic Bo）递推表 + 各下注项 RTP　（蓝色字＝可改输入；其余为公式）</t>
  </si>
  <si>
    <t xml:space="preserve"> </t>
  </si>
  <si>
    <t>【1】点数和递推表：Case = 组合数（Dice 2 / Dice 3 由左边一列「加总上面 1~6 行」递推而来）</t>
  </si>
  <si>
    <t>點數</t>
  </si>
  <si>
    <t>Dice 1</t>
  </si>
  <si>
    <t>Dice 2</t>
  </si>
  <si>
    <t>Dice 3</t>
  </si>
  <si>
    <t>Chance</t>
  </si>
  <si>
    <t>Freq.</t>
  </si>
  <si>
    <t>Odds</t>
  </si>
  <si>
    <t>RTP</t>
  </si>
  <si>
    <t>三同号</t>
  </si>
  <si>
    <t>Dice 2 / Dice 3 是「组合数」递推：Cₙ(K) = 上面 1~6 行的左边一列 Cₙ₋₁(K−i) 加总（不是机率）</t>
  </si>
  <si>
    <t>原文例：2 颗骰子加总 10 的组合数 = 上一列 4~9 点的组合数加总 = 1+1+1 = 3</t>
  </si>
  <si>
    <t>Chance = Case ÷ 216；Freq. = 216 ÷ Case（平均几把中一次）</t>
  </si>
  <si>
    <t>RTP = Chance ×（Odds + 1）：Odds 是净赔率，「+1」是把本金一起赔回来</t>
  </si>
  <si>
    <t>原文赔率表：4/17→60、5/16→20、6/15→18、7/14→12、8/13→8、9~12→6（点数和 3、18 未开设）</t>
  </si>
  <si>
    <t>「三同号」列＝该点数和有几种豹子（3、6、9、12、15、18 各 1 种），大／小与全骰都用它</t>
  </si>
  <si>
    <t>總組合數</t>
  </si>
  <si>
    <t>【2】单点（押某一个点数）：指定点数出现 1 / 2 / 3 个，分别赔 1 / 2 / 3 倍</t>
  </si>
  <si>
    <t>單點</t>
  </si>
  <si>
    <t>Case</t>
  </si>
  <si>
    <t>單點贏1</t>
  </si>
  <si>
    <t>原文 Case：赢1 = 25×3 = 75（另两颗为 2~6 点共 5²，再乘「哪一颗当押的点数」3 种）</t>
  </si>
  <si>
    <t>單點贏2</t>
  </si>
  <si>
    <t>赢2 = 5×3 = 15（剩下那颗 2~6 点共 5 种，再乘「哪一颗不是」3 种）</t>
  </si>
  <si>
    <t>單點贏3</t>
  </si>
  <si>
    <t>赢3 = 1（三颗都是）</t>
  </si>
  <si>
    <t>單點合計</t>
  </si>
  <si>
    <t>单点合计 RTP = 三档相加（因为一注只可能落在一档）</t>
  </si>
  <si>
    <t>【3】其它下注法（Case 由递推表或组合数公式得来）</t>
  </si>
  <si>
    <t>押法</t>
  </si>
  <si>
    <t>大</t>
  </si>
  <si>
    <t>大 = 总点数 11~17（含 12、15 两个豹子）；遇豹子通吃 → Case = 11~18 的组合数 108 − 该范围 3 个豹子 = 105</t>
  </si>
  <si>
    <t>小</t>
  </si>
  <si>
    <t>小 = 总点数 4~10（含 6、9 两个豹子）→ Case = 1~10 的组合数 108 − 该范围 3 个豹子 = 105</t>
  </si>
  <si>
    <t>兩顆骰子</t>
  </si>
  <si>
    <t>两颗骰子＝15 种组合任一中：恰一颗 1 一颗 2（4×3! = 24）＋ 两颗 1 一颗 2（3）＋ 一颗 1 两颗 2（3）</t>
  </si>
  <si>
    <t>雙骰</t>
  </si>
  <si>
    <t>双骰＝单点赢 2 ＋ 单点赢 3 = 15 + 1 = 16</t>
  </si>
  <si>
    <t>圍骰</t>
  </si>
  <si>
    <t>围骰＝三颗全为指定点数 → 1</t>
  </si>
  <si>
    <t>全骰（豹子）</t>
  </si>
  <si>
    <t>全骰（豹子）＝围一~围六 → 6（＝「三同号」列加总）</t>
  </si>
  <si>
    <t>1/2/3</t>
  </si>
  <si>
    <t>点数和 4~17 的 RTP 见【1】表 I 列（原文右表下半部就是引用它）</t>
  </si>
  <si>
    <t>【4】赔率敏感度（原文结论用）：大／小的赔率、豹子的赔率各改一下，看 RTP 怎么动</t>
  </si>
  <si>
    <t>下注</t>
  </si>
  <si>
    <t>赔率</t>
  </si>
  <si>
    <t>大／小</t>
  </si>
  <si>
    <t>原文：玩家直觉认为大与小各一半，所以「一定要 1 赔 1」；赔率降到 0.95，RTP 就从 97.22% 掉到 94.79%，爽度会大幅下降</t>
  </si>
  <si>
    <t>原文：豹子赔率 24 → RTP 只有 69.44%</t>
  </si>
  <si>
    <t>原文：豹子赔率 30 / 31 / 32 / 33 对玩家的「爽度」差异不大 → 给了庄家更多降低 RTP 的空间</t>
  </si>
  <si>
    <t>所以骰宝押大小是用「豹子通杀」而不是降赔率来取得庄家优势（少掉 2 个豹子的中奖机会）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</si>
</sst>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64" formatCode="0.0000000000%"/>
  </numFmts>
  <fonts count="25">
    <font>
      <sz val="11"/>
      <color theme="1"/>
      <name val="宋体"/>
      <charset val="134"/>
      <scheme val="minor"/>
    </font>
    <font>
      <b/>
      <sz val="11"/>
      <color rgb="FF1F4E79"/>
      <name val="宋体"/>
      <charset val="134"/>
    </font>
    <font>
      <sz val="11"/>
      <color rgb="FF606060"/>
      <name val="宋体"/>
      <charset val="134"/>
    </font>
    <font>
      <sz val="11"/>
      <name val="宋体"/>
      <charset val="134"/>
    </font>
    <font>
      <sz val="11"/>
      <color rgb="FF0000FF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4C7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2" borderId="0" xfId="0" applyFont="1" applyFill="1" applyAlignment="1"/>
    <xf numFmtId="0" fontId="2" fillId="0" borderId="0" xfId="0" applyFont="1" applyAlignment="1"/>
    <xf numFmtId="0" fontId="1" fillId="3" borderId="1" xfId="0" applyFont="1" applyFill="1" applyBorder="1" applyAlignment="1"/>
    <xf numFmtId="0" fontId="3" fillId="0" borderId="1" xfId="0" applyFont="1" applyBorder="1" applyAlignment="1"/>
    <xf numFmtId="10" fontId="3" fillId="0" borderId="1" xfId="0" applyNumberFormat="1" applyFont="1" applyBorder="1" applyAlignment="1"/>
    <xf numFmtId="2" fontId="3" fillId="0" borderId="1" xfId="0" applyNumberFormat="1" applyFont="1" applyBorder="1" applyAlignment="1"/>
    <xf numFmtId="0" fontId="4" fillId="4" borderId="1" xfId="0" applyFont="1" applyFill="1" applyBorder="1" applyAlignment="1"/>
    <xf numFmtId="0" fontId="1" fillId="0" borderId="0" xfId="0" applyFont="1" applyAlignment="1"/>
    <xf numFmtId="4" fontId="1" fillId="3" borderId="1" xfId="0" applyNumberFormat="1" applyFont="1" applyFill="1" applyBorder="1" applyAlignment="1"/>
    <xf numFmtId="0" fontId="1" fillId="0" borderId="1" xfId="0" applyFont="1" applyBorder="1" applyAlignment="1"/>
    <xf numFmtId="10" fontId="1" fillId="3" borderId="1" xfId="0" applyNumberFormat="1" applyFont="1" applyFill="1" applyBorder="1" applyAlignment="1"/>
    <xf numFmtId="49" fontId="1" fillId="0" borderId="0" xfId="0" applyNumberFormat="1" applyFont="1" applyAlignment="1"/>
    <xf numFmtId="49" fontId="3" fillId="0" borderId="0" xfId="0" applyNumberFormat="1" applyFont="1" applyAlignment="1"/>
    <xf numFmtId="49" fontId="2" fillId="0" borderId="0" xfId="0" applyNumberFormat="1" applyFont="1" applyAlignment="1"/>
    <xf numFmtId="0" fontId="1" fillId="0" borderId="0" xfId="0" applyNumberFormat="1" applyFont="1" applyAlignment="1"/>
    <xf numFmtId="0" fontId="3" fillId="0" borderId="0" xfId="0" applyNumberFormat="1" applyFont="1" applyAlignment="1"/>
    <xf numFmtId="0" fontId="2" fillId="0" borderId="0" xfId="0" applyNumberFormat="1" applyFont="1" applyAlignment="1"/>
    <xf numFmtId="164" applyNumberFormat="1" fontId="3" fillId="0" borderId="1" xfId="0" applyFont="1" applyBorder="1" applyAlignment="1"/>
    <xf numFmtId="164" applyNumberFormat="1" fontId="1" fillId="3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2"/>
  <sheetViews>
    <sheetView workbookViewId="0">
      <selection activeCell="A1" sqref="A1"/>
    </sheetView>
  </sheetViews>
  <sheetFormatPr defaultColWidth="9" defaultRowHeight="14"/>
  <cols>
    <col min="1" max="1" width="94.4272727272727" customWidth="1"/>
    <col min="2" max="30" width="7.85454545454545" customWidth="1"/>
  </cols>
  <sheetData>
    <row r="1" ht="15" customHeight="1" spans="1:11">
      <c r="A1" s="15" t="s">
        <v>0</v>
      </c>
    </row>
    <row r="2" ht="15" customHeight="1" spans="1:11">
      <c r="A2" s="16"/>
    </row>
    <row r="3" ht="15" customHeight="1" spans="1:11">
      <c r="A3" s="15" t="s">
        <v>1</v>
      </c>
    </row>
    <row r="4" ht="15" customHeight="1" spans="1:11">
      <c r="A4" s="16" t="s">
        <v>2</v>
      </c>
      <c r="B4" s="16"/>
      <c r="C4" s="16"/>
      <c r="D4" s="16"/>
      <c r="E4" s="16"/>
      <c r="F4" s="16"/>
      <c r="G4" s="16"/>
      <c r="H4" s="16"/>
      <c r="I4" s="16"/>
    </row>
    <row r="5" ht="30" customHeight="1" spans="1:11">
      <c r="A5" s="16" t="s">
        <v>3</v>
      </c>
      <c r="B5" s="16"/>
      <c r="C5" s="16"/>
      <c r="D5" s="16"/>
      <c r="E5" s="16"/>
      <c r="F5" s="16"/>
      <c r="G5" s="16"/>
      <c r="H5" s="16"/>
      <c r="I5" s="16"/>
      <c r="J5" s="16"/>
      <c r="K5" s="16"/>
    </row>
    <row r="6" ht="15" customHeight="1" spans="1:11">
      <c r="A6" s="16" t="s">
        <v>4</v>
      </c>
      <c r="B6" s="16"/>
      <c r="C6" s="16"/>
      <c r="D6" s="16"/>
      <c r="E6" s="16"/>
      <c r="F6" s="16"/>
      <c r="G6" s="16"/>
      <c r="H6" s="16"/>
      <c r="I6" s="16"/>
    </row>
    <row r="7" ht="15" customHeight="1" spans="1:11">
      <c r="A7" s="16" t="s">
        <v>5</v>
      </c>
      <c r="B7" s="16"/>
      <c r="C7" s="16"/>
      <c r="D7" s="16"/>
      <c r="E7" s="16"/>
      <c r="F7" s="16"/>
      <c r="G7" s="16"/>
      <c r="H7" s="16"/>
      <c r="I7" s="16"/>
    </row>
    <row r="8" ht="15" customHeight="1" spans="1:11">
      <c r="A8" s="16" t="s">
        <v>6</v>
      </c>
      <c r="B8" s="16"/>
      <c r="C8" s="16"/>
      <c r="D8" s="16"/>
      <c r="E8" s="16"/>
      <c r="F8" s="16"/>
      <c r="G8" s="16"/>
      <c r="H8" s="16"/>
    </row>
    <row r="9" ht="15" customHeight="1" spans="1:11">
      <c r="A9" s="16" t="s">
        <v>7</v>
      </c>
      <c r="B9" s="16"/>
      <c r="C9" s="16"/>
      <c r="D9" s="16"/>
    </row>
    <row r="10" ht="15" customHeight="1" spans="1:11">
      <c r="A10" s="16"/>
    </row>
    <row r="11" ht="15" customHeight="1" spans="1:11">
      <c r="A11" s="15" t="s">
        <v>8</v>
      </c>
    </row>
    <row r="12" ht="30" customHeight="1" spans="1:11">
      <c r="A12" s="16" t="s">
        <v>9</v>
      </c>
      <c r="B12" s="16"/>
      <c r="C12" s="16"/>
      <c r="D12" s="16"/>
      <c r="E12" s="16"/>
      <c r="F12" s="16"/>
      <c r="G12" s="16"/>
      <c r="H12" s="16"/>
      <c r="I12" s="16"/>
      <c r="J12" s="16"/>
    </row>
    <row r="13" ht="15" customHeight="1" spans="1:11">
      <c r="A13" s="16" t="s">
        <v>10</v>
      </c>
      <c r="B13" s="16"/>
      <c r="C13" s="16"/>
      <c r="D13" s="16"/>
    </row>
    <row r="14" ht="15" customHeight="1" spans="1:11">
      <c r="A14" s="16" t="s">
        <v>11</v>
      </c>
      <c r="B14" s="16"/>
      <c r="C14" s="16"/>
      <c r="D14" s="16"/>
    </row>
    <row r="15" ht="15" customHeight="1" spans="1:11">
      <c r="A15" s="16" t="s">
        <v>12</v>
      </c>
      <c r="B15" s="16"/>
      <c r="C15" s="16"/>
      <c r="D15" s="16"/>
      <c r="E15" s="16"/>
    </row>
    <row r="16" ht="15" customHeight="1" spans="1:11">
      <c r="A16" s="16" t="s">
        <v>13</v>
      </c>
      <c r="B16" s="16"/>
      <c r="C16" s="16"/>
      <c r="D16" s="16"/>
      <c r="E16" s="16"/>
    </row>
    <row r="17" ht="15" customHeight="1" spans="1:30">
      <c r="A17" s="16" t="s">
        <v>14</v>
      </c>
      <c r="B17" s="16"/>
      <c r="C17" s="16"/>
      <c r="D17" s="16"/>
      <c r="E17" s="16"/>
      <c r="F17" s="16"/>
      <c r="G17" s="16"/>
      <c r="H17" s="16"/>
      <c r="I17" s="16"/>
    </row>
    <row r="18" ht="30" customHeight="1" spans="1:30">
      <c r="A18" s="16" t="s">
        <v>15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ht="15" customHeight="1" spans="1:30">
      <c r="A19" s="16"/>
    </row>
    <row r="20" ht="45" customHeight="1" spans="1:30">
      <c r="A20" s="17" t="s">
        <v>16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ht="15" customHeight="1" spans="1:30">
      <c r="A21" s="17" t="s">
        <v>17</v>
      </c>
      <c r="B21" s="17"/>
      <c r="C21" s="17"/>
      <c r="D21" s="17"/>
      <c r="E21" s="17"/>
      <c r="F21" s="17"/>
      <c r="G21" s="17"/>
      <c r="H21" s="17"/>
      <c r="I21" s="17"/>
    </row>
    <row r="22" ht="15" customHeight="1" spans="1:30">
      <c r="A22" s="17" t="s">
        <v>18</v>
      </c>
      <c r="B22" s="17"/>
      <c r="C22" s="17"/>
      <c r="D22" s="17"/>
      <c r="E22" s="17"/>
      <c r="F22" s="17"/>
      <c r="G22" s="17"/>
    </row>
    <row r="23" ht="15" customHeight="1" spans="1:30">
      <c r="A23" s="17" t="s">
        <v>19</v>
      </c>
      <c r="B23" s="17"/>
      <c r="C23" s="17"/>
      <c r="D23" s="17"/>
      <c r="E23" s="17"/>
      <c r="F23" s="17"/>
      <c r="G23" s="17"/>
      <c r="H23" s="17"/>
      <c r="I23" s="17"/>
    </row>
    <row r="24" ht="15" customHeight="1" spans="1:30">
      <c r="A24" s="16"/>
    </row>
    <row r="25" ht="15" customHeight="1" spans="1:30">
      <c r="A25" s="15" t="s">
        <v>20</v>
      </c>
    </row>
    <row r="26" ht="15" customHeight="1" spans="1:30">
      <c r="A26" s="16" t="s">
        <v>21</v>
      </c>
      <c r="B26" s="16"/>
      <c r="C26" s="16"/>
    </row>
    <row r="27" ht="15" customHeight="1" spans="1:30">
      <c r="A27" s="16" t="s">
        <v>22</v>
      </c>
      <c r="B27" s="16"/>
      <c r="C27" s="16"/>
    </row>
    <row r="28" ht="15" customHeight="1" spans="1:30">
      <c r="A28" s="16" t="s">
        <v>23</v>
      </c>
      <c r="B28" s="16"/>
      <c r="C28" s="16"/>
      <c r="D28" s="16"/>
      <c r="E28" s="16"/>
    </row>
    <row r="29" ht="15" customHeight="1" spans="1:30">
      <c r="A29" s="16" t="s">
        <v>24</v>
      </c>
      <c r="B29" s="16"/>
      <c r="C29" s="16"/>
      <c r="D29" s="16"/>
      <c r="E29" s="16"/>
    </row>
    <row r="30" ht="15" customHeight="1" spans="1:30">
      <c r="A30" s="16" t="s">
        <v>25</v>
      </c>
      <c r="B30" s="16"/>
      <c r="C30" s="16"/>
      <c r="D30" s="16"/>
      <c r="E30" s="16"/>
      <c r="F30" s="16"/>
    </row>
    <row r="31" ht="15" customHeight="1" spans="1:30">
      <c r="A31" s="16" t="s">
        <v>26</v>
      </c>
      <c r="B31" s="16"/>
      <c r="C31" s="16"/>
      <c r="D31" s="16"/>
    </row>
    <row r="32" ht="15" customHeight="1" spans="1:30">
      <c r="A32" s="17" t="s">
        <v>27</v>
      </c>
      <c r="B32" s="17"/>
      <c r="C32" s="17"/>
      <c r="D32" s="17"/>
      <c r="E32" s="17"/>
      <c r="F32" s="17"/>
      <c r="G32" s="17"/>
    </row>
  </sheetData>
  <mergeCells count="24">
    <mergeCell ref="A4:I4"/>
    <mergeCell ref="A5:K5"/>
    <mergeCell ref="A6:I6"/>
    <mergeCell ref="A7:I7"/>
    <mergeCell ref="A8:H8"/>
    <mergeCell ref="A9:D9"/>
    <mergeCell ref="A12:J12"/>
    <mergeCell ref="A13:D13"/>
    <mergeCell ref="A14:D14"/>
    <mergeCell ref="A15:E15"/>
    <mergeCell ref="A16:E16"/>
    <mergeCell ref="A17:I17"/>
    <mergeCell ref="A18:K18"/>
    <mergeCell ref="A20:AD20"/>
    <mergeCell ref="A21:I21"/>
    <mergeCell ref="A22:G22"/>
    <mergeCell ref="A23:I23"/>
    <mergeCell ref="A26:C26"/>
    <mergeCell ref="A27:C27"/>
    <mergeCell ref="A28:E28"/>
    <mergeCell ref="A29:E29"/>
    <mergeCell ref="A30:F30"/>
    <mergeCell ref="A31:D31"/>
    <mergeCell ref="A32:G32"/>
  </mergeCells>
  <pageMargins left="0.7" right="0.7" top="0.75" bottom="0.75" header="0.3" footer="0.3"/>
  <pageSetup paperSize="1" orientation="portrait"/>
  <headerFooter/>
  <ignoredErrors>
    <ignoredError sqref="A1:AI52" evalError="1" twoDigitTextYear="1" numberStoredAsText="1" formula="1" formulaRange="1" unlockedFormula="1" emptyCellReference="1" listDataValidation="1" calculatedColumn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"/>
  <sheetViews>
    <sheetView tabSelected="1" workbookViewId="0">
      <selection activeCell="A1" sqref="A1:K1"/>
    </sheetView>
  </sheetViews>
  <sheetFormatPr defaultColWidth="9" defaultRowHeight="14"/>
  <cols>
    <col min="1" max="2" width="18" customWidth="1"/>
    <col min="3" max="6" width="10" customWidth="1"/>
    <col min="7" max="8" width="9.28181818181818" customWidth="1"/>
    <col min="9" max="9" width="10" customWidth="1"/>
    <col min="10" max="10" width="9.28181818181818" customWidth="1"/>
    <col min="11" max="11" width="38.2818181818182" customWidth="1"/>
    <col min="12" max="18" width="12.2818181818182" customWidth="1"/>
    <col min="19" max="24" width="13.5727272727273" customWidth="1"/>
  </cols>
  <sheetData>
    <row r="1" ht="15" customHeight="1" spans="1:17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5" customHeight="1" spans="1:17">
      <c r="A2" s="1" t="s">
        <v>29</v>
      </c>
      <c r="B2" s="1" t="s">
        <v>30</v>
      </c>
      <c r="C2" s="1"/>
      <c r="D2" s="1"/>
      <c r="E2" s="1"/>
      <c r="F2" s="1"/>
      <c r="G2" s="1"/>
      <c r="H2" s="1"/>
      <c r="I2" s="1"/>
      <c r="J2" s="1"/>
      <c r="K2" s="2" t="s">
        <v>29</v>
      </c>
    </row>
    <row r="3" ht="15" customHeight="1" spans="1:17">
      <c r="A3" s="1" t="s">
        <v>29</v>
      </c>
      <c r="B3" s="3" t="s">
        <v>31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36</v>
      </c>
      <c r="H3" s="3" t="s">
        <v>37</v>
      </c>
      <c r="I3" s="3" t="s">
        <v>38</v>
      </c>
      <c r="J3" s="3" t="s">
        <v>39</v>
      </c>
      <c r="K3" s="2" t="s">
        <v>29</v>
      </c>
    </row>
    <row r="4" ht="15" customHeight="1" spans="1:17">
      <c r="A4" s="1" t="s">
        <v>29</v>
      </c>
      <c r="B4" s="4">
        <v>1</v>
      </c>
      <c r="C4" s="4">
        <f t="shared" ref="C4:C21" si="0">IF($B4&lt;=6,1,0)</f>
        <v>1</v>
      </c>
      <c r="D4" s="4">
        <v>0</v>
      </c>
      <c r="E4" s="4">
        <v>0</v>
      </c>
      <c r="F4" s="18" t="str">
        <f t="shared" ref="F4:F21" si="1">IF($E4=0,"",$E4/$C$23)</f>
        <v/>
      </c>
      <c r="G4" s="6" t="str">
        <f t="shared" ref="G4:G21" si="2">IF($E4=0,"",$C$23/$E4)</f>
        <v/>
      </c>
      <c r="H4" s="4"/>
      <c r="I4" s="18" t="str">
        <f t="shared" ref="I4:I21" si="3">IF(OR($E4=0,$H4=""),"",$F4*($H4+1))</f>
        <v/>
      </c>
      <c r="J4" s="4">
        <f t="shared" ref="J4:J21" si="4">IF(MOD($B4,3)=0,1,0)</f>
        <v>0</v>
      </c>
      <c r="K4" s="2" t="s">
        <v>40</v>
      </c>
      <c r="L4" s="2"/>
      <c r="M4" s="2"/>
      <c r="N4" s="2"/>
      <c r="O4" s="2"/>
      <c r="P4" s="2"/>
      <c r="Q4" s="2"/>
    </row>
    <row r="5" ht="15" customHeight="1" spans="1:17">
      <c r="A5" s="1" t="s">
        <v>29</v>
      </c>
      <c r="B5" s="4">
        <v>2</v>
      </c>
      <c r="C5" s="4">
        <f t="shared" si="0"/>
        <v>1</v>
      </c>
      <c r="D5" s="4">
        <f>SUM(C$4:C4)</f>
        <v>1</v>
      </c>
      <c r="E5" s="4">
        <f>SUM(D$4:D4)</f>
        <v>0</v>
      </c>
      <c r="F5" s="18" t="str">
        <f t="shared" si="1"/>
        <v/>
      </c>
      <c r="G5" s="6" t="str">
        <f t="shared" si="2"/>
        <v/>
      </c>
      <c r="H5" s="4"/>
      <c r="I5" s="18" t="str">
        <f t="shared" si="3"/>
        <v/>
      </c>
      <c r="J5" s="4">
        <f t="shared" si="4"/>
        <v>0</v>
      </c>
      <c r="K5" s="2" t="s">
        <v>41</v>
      </c>
      <c r="L5" s="2"/>
      <c r="M5" s="2"/>
      <c r="N5" s="2"/>
      <c r="O5" s="2"/>
    </row>
    <row r="6" ht="15" customHeight="1" spans="1:17">
      <c r="A6" s="1" t="s">
        <v>29</v>
      </c>
      <c r="B6" s="4">
        <v>3</v>
      </c>
      <c r="C6" s="4">
        <f t="shared" si="0"/>
        <v>1</v>
      </c>
      <c r="D6" s="4">
        <f>SUM(C$4:C5)</f>
        <v>2</v>
      </c>
      <c r="E6" s="4">
        <f>SUM(D$4:D5)</f>
        <v>1</v>
      </c>
      <c r="F6" s="18">
        <f t="shared" si="1"/>
        <v>0.00462962962962963</v>
      </c>
      <c r="G6" s="6">
        <f t="shared" si="2"/>
        <v>216</v>
      </c>
      <c r="H6" s="4"/>
      <c r="I6" s="18" t="str">
        <f t="shared" si="3"/>
        <v/>
      </c>
      <c r="J6" s="4">
        <f t="shared" si="4"/>
        <v>1</v>
      </c>
      <c r="K6" s="2" t="s">
        <v>29</v>
      </c>
    </row>
    <row r="7" ht="15" customHeight="1" spans="1:17">
      <c r="A7" s="1" t="s">
        <v>29</v>
      </c>
      <c r="B7" s="4">
        <v>4</v>
      </c>
      <c r="C7" s="4">
        <f t="shared" si="0"/>
        <v>1</v>
      </c>
      <c r="D7" s="4">
        <f>SUM(C$4:C6)</f>
        <v>3</v>
      </c>
      <c r="E7" s="4">
        <f>SUM(D$4:D6)</f>
        <v>3</v>
      </c>
      <c r="F7" s="18">
        <f t="shared" si="1"/>
        <v>0.0138888888888889</v>
      </c>
      <c r="G7" s="6">
        <f t="shared" si="2"/>
        <v>72</v>
      </c>
      <c r="H7" s="7">
        <v>60</v>
      </c>
      <c r="I7" s="18">
        <f t="shared" si="3"/>
        <v>0.847222222222222</v>
      </c>
      <c r="J7" s="4">
        <f t="shared" si="4"/>
        <v>0</v>
      </c>
      <c r="K7" s="2" t="s">
        <v>42</v>
      </c>
      <c r="L7" s="2"/>
      <c r="M7" s="2"/>
      <c r="N7" s="2"/>
    </row>
    <row r="8" ht="15" customHeight="1" spans="1:17">
      <c r="A8" s="1" t="s">
        <v>29</v>
      </c>
      <c r="B8" s="4">
        <v>5</v>
      </c>
      <c r="C8" s="4">
        <f t="shared" si="0"/>
        <v>1</v>
      </c>
      <c r="D8" s="4">
        <f>SUM(C$4:C7)</f>
        <v>4</v>
      </c>
      <c r="E8" s="4">
        <f>SUM(D$4:D7)</f>
        <v>6</v>
      </c>
      <c r="F8" s="18">
        <f t="shared" si="1"/>
        <v>0.0277777777777778</v>
      </c>
      <c r="G8" s="6">
        <f t="shared" si="2"/>
        <v>36</v>
      </c>
      <c r="H8" s="7">
        <v>20</v>
      </c>
      <c r="I8" s="18">
        <f t="shared" si="3"/>
        <v>0.583333333333333</v>
      </c>
      <c r="J8" s="4">
        <f t="shared" si="4"/>
        <v>0</v>
      </c>
      <c r="K8" s="2" t="s">
        <v>43</v>
      </c>
      <c r="L8" s="2"/>
      <c r="M8" s="2"/>
      <c r="N8" s="2"/>
      <c r="O8" s="2"/>
    </row>
    <row r="9" ht="15" customHeight="1" spans="1:17">
      <c r="A9" s="1" t="s">
        <v>29</v>
      </c>
      <c r="B9" s="4">
        <v>6</v>
      </c>
      <c r="C9" s="4">
        <f t="shared" si="0"/>
        <v>1</v>
      </c>
      <c r="D9" s="4">
        <f>SUM(C$4:C8)</f>
        <v>5</v>
      </c>
      <c r="E9" s="4">
        <f>SUM(D$4:D8)</f>
        <v>10</v>
      </c>
      <c r="F9" s="18">
        <f t="shared" si="1"/>
        <v>0.0462962962962963</v>
      </c>
      <c r="G9" s="6">
        <f t="shared" si="2"/>
        <v>21.6</v>
      </c>
      <c r="H9" s="7">
        <v>18</v>
      </c>
      <c r="I9" s="18">
        <f t="shared" si="3"/>
        <v>0.87962962962963</v>
      </c>
      <c r="J9" s="4">
        <f t="shared" si="4"/>
        <v>1</v>
      </c>
      <c r="K9" s="2" t="s">
        <v>29</v>
      </c>
    </row>
    <row r="10" ht="15" customHeight="1" spans="1:17">
      <c r="A10" s="1" t="s">
        <v>29</v>
      </c>
      <c r="B10" s="4">
        <v>7</v>
      </c>
      <c r="C10" s="4">
        <f t="shared" si="0"/>
        <v>0</v>
      </c>
      <c r="D10" s="4">
        <f>SUM(C$4:C9)</f>
        <v>6</v>
      </c>
      <c r="E10" s="4">
        <f>SUM(D$4:D9)</f>
        <v>15</v>
      </c>
      <c r="F10" s="18">
        <f t="shared" si="1"/>
        <v>0.0694444444444444</v>
      </c>
      <c r="G10" s="6">
        <f t="shared" si="2"/>
        <v>14.4</v>
      </c>
      <c r="H10" s="7">
        <v>12</v>
      </c>
      <c r="I10" s="18">
        <f t="shared" si="3"/>
        <v>0.902777777777778</v>
      </c>
      <c r="J10" s="4">
        <f t="shared" si="4"/>
        <v>0</v>
      </c>
      <c r="K10" s="2" t="s">
        <v>44</v>
      </c>
      <c r="L10" s="2"/>
      <c r="M10" s="2"/>
      <c r="N10" s="2"/>
      <c r="O10" s="2"/>
      <c r="P10" s="2"/>
    </row>
    <row r="11" ht="15" customHeight="1" spans="1:17">
      <c r="A11" s="1" t="s">
        <v>29</v>
      </c>
      <c r="B11" s="4">
        <v>8</v>
      </c>
      <c r="C11" s="4">
        <f t="shared" si="0"/>
        <v>0</v>
      </c>
      <c r="D11" s="4">
        <f t="shared" ref="D11:D21" si="5">SUM(C5:C10)</f>
        <v>5</v>
      </c>
      <c r="E11" s="4">
        <f t="shared" ref="E11:E21" si="6">SUM(D5:D10)</f>
        <v>21</v>
      </c>
      <c r="F11" s="18">
        <f t="shared" si="1"/>
        <v>0.0972222222222222</v>
      </c>
      <c r="G11" s="6">
        <f t="shared" si="2"/>
        <v>10.2857142857143</v>
      </c>
      <c r="H11" s="7">
        <v>8</v>
      </c>
      <c r="I11" s="18">
        <f t="shared" si="3"/>
        <v>0.875</v>
      </c>
      <c r="J11" s="4">
        <f t="shared" si="4"/>
        <v>0</v>
      </c>
      <c r="K11" s="2" t="s">
        <v>45</v>
      </c>
      <c r="L11" s="2"/>
      <c r="M11" s="2"/>
      <c r="N11" s="2"/>
      <c r="O11" s="2"/>
      <c r="P11" s="2"/>
    </row>
    <row r="12" ht="15" customHeight="1" spans="1:17">
      <c r="A12" s="1" t="s">
        <v>29</v>
      </c>
      <c r="B12" s="4">
        <v>9</v>
      </c>
      <c r="C12" s="4">
        <f t="shared" si="0"/>
        <v>0</v>
      </c>
      <c r="D12" s="4">
        <f t="shared" si="5"/>
        <v>4</v>
      </c>
      <c r="E12" s="4">
        <f t="shared" si="6"/>
        <v>25</v>
      </c>
      <c r="F12" s="18">
        <f t="shared" si="1"/>
        <v>0.115740740740741</v>
      </c>
      <c r="G12" s="6">
        <f t="shared" si="2"/>
        <v>8.64</v>
      </c>
      <c r="H12" s="7">
        <v>6</v>
      </c>
      <c r="I12" s="18">
        <f t="shared" si="3"/>
        <v>0.810185185185185</v>
      </c>
      <c r="J12" s="4">
        <f t="shared" si="4"/>
        <v>1</v>
      </c>
      <c r="K12" s="2" t="s">
        <v>29</v>
      </c>
    </row>
    <row r="13" ht="15" customHeight="1" spans="1:17">
      <c r="A13" s="1" t="s">
        <v>29</v>
      </c>
      <c r="B13" s="4">
        <v>10</v>
      </c>
      <c r="C13" s="4">
        <f t="shared" si="0"/>
        <v>0</v>
      </c>
      <c r="D13" s="4">
        <f t="shared" si="5"/>
        <v>3</v>
      </c>
      <c r="E13" s="4">
        <f t="shared" si="6"/>
        <v>27</v>
      </c>
      <c r="F13" s="18">
        <f t="shared" si="1"/>
        <v>0.125</v>
      </c>
      <c r="G13" s="6">
        <f t="shared" si="2"/>
        <v>8</v>
      </c>
      <c r="H13" s="7">
        <v>6</v>
      </c>
      <c r="I13" s="18">
        <f t="shared" si="3"/>
        <v>0.875</v>
      </c>
      <c r="J13" s="4">
        <f t="shared" si="4"/>
        <v>0</v>
      </c>
      <c r="K13" s="2" t="s">
        <v>29</v>
      </c>
    </row>
    <row r="14" ht="15" customHeight="1" spans="1:17">
      <c r="A14" s="1" t="s">
        <v>29</v>
      </c>
      <c r="B14" s="4">
        <v>11</v>
      </c>
      <c r="C14" s="4">
        <f t="shared" si="0"/>
        <v>0</v>
      </c>
      <c r="D14" s="4">
        <f t="shared" si="5"/>
        <v>2</v>
      </c>
      <c r="E14" s="4">
        <f t="shared" si="6"/>
        <v>27</v>
      </c>
      <c r="F14" s="18">
        <f t="shared" si="1"/>
        <v>0.125</v>
      </c>
      <c r="G14" s="6">
        <f t="shared" si="2"/>
        <v>8</v>
      </c>
      <c r="H14" s="7">
        <v>6</v>
      </c>
      <c r="I14" s="18">
        <f t="shared" si="3"/>
        <v>0.875</v>
      </c>
      <c r="J14" s="4">
        <f t="shared" si="4"/>
        <v>0</v>
      </c>
      <c r="K14" s="2" t="s">
        <v>29</v>
      </c>
    </row>
    <row r="15" ht="15" customHeight="1" spans="1:17">
      <c r="A15" s="1" t="s">
        <v>29</v>
      </c>
      <c r="B15" s="4">
        <v>12</v>
      </c>
      <c r="C15" s="4">
        <f t="shared" si="0"/>
        <v>0</v>
      </c>
      <c r="D15" s="4">
        <f t="shared" si="5"/>
        <v>1</v>
      </c>
      <c r="E15" s="4">
        <f t="shared" si="6"/>
        <v>25</v>
      </c>
      <c r="F15" s="18">
        <f t="shared" si="1"/>
        <v>0.115740740740741</v>
      </c>
      <c r="G15" s="6">
        <f t="shared" si="2"/>
        <v>8.64</v>
      </c>
      <c r="H15" s="7">
        <v>6</v>
      </c>
      <c r="I15" s="18">
        <f t="shared" si="3"/>
        <v>0.810185185185185</v>
      </c>
      <c r="J15" s="4">
        <f t="shared" si="4"/>
        <v>1</v>
      </c>
      <c r="K15" s="2" t="s">
        <v>29</v>
      </c>
    </row>
    <row r="16" ht="15" customHeight="1" spans="1:17">
      <c r="A16" s="1" t="s">
        <v>29</v>
      </c>
      <c r="B16" s="4">
        <v>13</v>
      </c>
      <c r="C16" s="4">
        <f t="shared" si="0"/>
        <v>0</v>
      </c>
      <c r="D16" s="4">
        <f t="shared" si="5"/>
        <v>0</v>
      </c>
      <c r="E16" s="4">
        <f t="shared" si="6"/>
        <v>21</v>
      </c>
      <c r="F16" s="18">
        <f t="shared" si="1"/>
        <v>0.0972222222222222</v>
      </c>
      <c r="G16" s="6">
        <f t="shared" si="2"/>
        <v>10.2857142857143</v>
      </c>
      <c r="H16" s="7">
        <v>8</v>
      </c>
      <c r="I16" s="18">
        <f t="shared" si="3"/>
        <v>0.875</v>
      </c>
      <c r="J16" s="4">
        <f t="shared" si="4"/>
        <v>0</v>
      </c>
      <c r="K16" s="2" t="s">
        <v>29</v>
      </c>
    </row>
    <row r="17" ht="15" customHeight="1" spans="1:16">
      <c r="A17" s="1" t="s">
        <v>29</v>
      </c>
      <c r="B17" s="4">
        <v>14</v>
      </c>
      <c r="C17" s="4">
        <f t="shared" si="0"/>
        <v>0</v>
      </c>
      <c r="D17" s="4">
        <f t="shared" si="5"/>
        <v>0</v>
      </c>
      <c r="E17" s="4">
        <f t="shared" si="6"/>
        <v>15</v>
      </c>
      <c r="F17" s="18">
        <f t="shared" si="1"/>
        <v>0.0694444444444444</v>
      </c>
      <c r="G17" s="6">
        <f t="shared" si="2"/>
        <v>14.4</v>
      </c>
      <c r="H17" s="7">
        <v>12</v>
      </c>
      <c r="I17" s="18">
        <f t="shared" si="3"/>
        <v>0.902777777777778</v>
      </c>
      <c r="J17" s="4">
        <f t="shared" si="4"/>
        <v>0</v>
      </c>
      <c r="K17" s="2" t="s">
        <v>29</v>
      </c>
    </row>
    <row r="18" ht="15" customHeight="1" spans="1:16">
      <c r="A18" s="1" t="s">
        <v>29</v>
      </c>
      <c r="B18" s="4">
        <v>15</v>
      </c>
      <c r="C18" s="4">
        <f t="shared" si="0"/>
        <v>0</v>
      </c>
      <c r="D18" s="4">
        <f t="shared" si="5"/>
        <v>0</v>
      </c>
      <c r="E18" s="4">
        <f t="shared" si="6"/>
        <v>10</v>
      </c>
      <c r="F18" s="18">
        <f t="shared" si="1"/>
        <v>0.0462962962962963</v>
      </c>
      <c r="G18" s="6">
        <f t="shared" si="2"/>
        <v>21.6</v>
      </c>
      <c r="H18" s="7">
        <v>18</v>
      </c>
      <c r="I18" s="18">
        <f t="shared" si="3"/>
        <v>0.87962962962963</v>
      </c>
      <c r="J18" s="4">
        <f t="shared" si="4"/>
        <v>1</v>
      </c>
      <c r="K18" s="2" t="s">
        <v>29</v>
      </c>
    </row>
    <row r="19" ht="15" customHeight="1" spans="1:16">
      <c r="A19" s="1" t="s">
        <v>29</v>
      </c>
      <c r="B19" s="4">
        <v>16</v>
      </c>
      <c r="C19" s="4">
        <f t="shared" si="0"/>
        <v>0</v>
      </c>
      <c r="D19" s="4">
        <f t="shared" si="5"/>
        <v>0</v>
      </c>
      <c r="E19" s="4">
        <f t="shared" si="6"/>
        <v>6</v>
      </c>
      <c r="F19" s="18">
        <f t="shared" si="1"/>
        <v>0.0277777777777778</v>
      </c>
      <c r="G19" s="6">
        <f t="shared" si="2"/>
        <v>36</v>
      </c>
      <c r="H19" s="7">
        <v>20</v>
      </c>
      <c r="I19" s="18">
        <f t="shared" si="3"/>
        <v>0.583333333333333</v>
      </c>
      <c r="J19" s="4">
        <f t="shared" si="4"/>
        <v>0</v>
      </c>
      <c r="K19" s="2" t="s">
        <v>29</v>
      </c>
    </row>
    <row r="20" ht="15" customHeight="1" spans="1:16">
      <c r="A20" s="1" t="s">
        <v>29</v>
      </c>
      <c r="B20" s="4">
        <v>17</v>
      </c>
      <c r="C20" s="4">
        <f t="shared" si="0"/>
        <v>0</v>
      </c>
      <c r="D20" s="4">
        <f t="shared" si="5"/>
        <v>0</v>
      </c>
      <c r="E20" s="4">
        <f t="shared" si="6"/>
        <v>3</v>
      </c>
      <c r="F20" s="18">
        <f t="shared" si="1"/>
        <v>0.0138888888888889</v>
      </c>
      <c r="G20" s="6">
        <f t="shared" si="2"/>
        <v>72</v>
      </c>
      <c r="H20" s="7">
        <v>60</v>
      </c>
      <c r="I20" s="18">
        <f t="shared" si="3"/>
        <v>0.847222222222222</v>
      </c>
      <c r="J20" s="4">
        <f t="shared" si="4"/>
        <v>0</v>
      </c>
      <c r="K20" s="2" t="s">
        <v>29</v>
      </c>
    </row>
    <row r="21" ht="15" customHeight="1" spans="1:16">
      <c r="A21" s="1" t="s">
        <v>29</v>
      </c>
      <c r="B21" s="4">
        <v>18</v>
      </c>
      <c r="C21" s="4">
        <f t="shared" si="0"/>
        <v>0</v>
      </c>
      <c r="D21" s="4">
        <f t="shared" si="5"/>
        <v>0</v>
      </c>
      <c r="E21" s="4">
        <f t="shared" si="6"/>
        <v>1</v>
      </c>
      <c r="F21" s="18">
        <f t="shared" si="1"/>
        <v>0.00462962962962963</v>
      </c>
      <c r="G21" s="6">
        <f t="shared" si="2"/>
        <v>216</v>
      </c>
      <c r="H21" s="4"/>
      <c r="I21" s="18" t="str">
        <f t="shared" si="3"/>
        <v/>
      </c>
      <c r="J21" s="4">
        <f t="shared" si="4"/>
        <v>1</v>
      </c>
      <c r="K21" s="2" t="s">
        <v>29</v>
      </c>
    </row>
    <row r="22" ht="15" customHeight="1" spans="1:16">
      <c r="A22" s="1" t="s">
        <v>29</v>
      </c>
      <c r="B22" s="4" t="s">
        <v>29</v>
      </c>
      <c r="C22" s="4" t="s">
        <v>29</v>
      </c>
      <c r="D22" s="4" t="s">
        <v>29</v>
      </c>
      <c r="E22" s="4" t="s">
        <v>29</v>
      </c>
      <c r="F22" s="5" t="s">
        <v>29</v>
      </c>
      <c r="G22" s="6" t="s">
        <v>29</v>
      </c>
      <c r="H22" s="4" t="s">
        <v>29</v>
      </c>
      <c r="I22" s="5" t="s">
        <v>29</v>
      </c>
      <c r="J22" s="4" t="s">
        <v>29</v>
      </c>
      <c r="K22" s="2" t="s">
        <v>29</v>
      </c>
    </row>
    <row r="23" ht="15" customHeight="1" spans="1:16">
      <c r="A23" s="1" t="s">
        <v>29</v>
      </c>
      <c r="B23" s="8" t="s">
        <v>46</v>
      </c>
      <c r="C23" s="9">
        <f>SUM($E$4:$E$21)</f>
        <v>216</v>
      </c>
      <c r="D23" s="4" t="s">
        <v>29</v>
      </c>
      <c r="E23" s="4" t="s">
        <v>29</v>
      </c>
      <c r="F23" s="5" t="s">
        <v>29</v>
      </c>
      <c r="G23" s="6" t="s">
        <v>29</v>
      </c>
      <c r="H23" s="4" t="s">
        <v>29</v>
      </c>
      <c r="I23" s="5" t="s">
        <v>29</v>
      </c>
      <c r="J23" s="4" t="s">
        <v>29</v>
      </c>
      <c r="K23" s="2" t="s">
        <v>29</v>
      </c>
    </row>
    <row r="24" ht="15" customHeight="1" spans="1:16">
      <c r="A24" s="1" t="s">
        <v>29</v>
      </c>
      <c r="B24" s="8" t="s">
        <v>29</v>
      </c>
      <c r="C24" s="9" t="s">
        <v>29</v>
      </c>
      <c r="D24" s="4" t="s">
        <v>29</v>
      </c>
      <c r="E24" s="4" t="s">
        <v>29</v>
      </c>
      <c r="F24" s="5" t="s">
        <v>29</v>
      </c>
      <c r="G24" s="6" t="s">
        <v>29</v>
      </c>
      <c r="H24" s="4" t="s">
        <v>29</v>
      </c>
      <c r="I24" s="5" t="s">
        <v>29</v>
      </c>
      <c r="J24" s="4" t="s">
        <v>29</v>
      </c>
      <c r="K24" s="2" t="s">
        <v>29</v>
      </c>
    </row>
    <row r="25" ht="15" customHeight="1" spans="1:16">
      <c r="A25" s="1" t="s">
        <v>29</v>
      </c>
      <c r="B25" s="1" t="s">
        <v>47</v>
      </c>
      <c r="C25" s="1"/>
      <c r="D25" s="1"/>
      <c r="E25" s="1"/>
      <c r="F25" s="1"/>
      <c r="G25" s="1"/>
      <c r="H25" s="1"/>
      <c r="I25" s="1"/>
      <c r="J25" s="4" t="s">
        <v>29</v>
      </c>
      <c r="K25" s="2" t="s">
        <v>29</v>
      </c>
    </row>
    <row r="26" ht="15" customHeight="1" spans="1:16">
      <c r="A26" s="1" t="s">
        <v>29</v>
      </c>
      <c r="B26" s="3" t="s">
        <v>48</v>
      </c>
      <c r="C26" s="3" t="s">
        <v>49</v>
      </c>
      <c r="D26" s="3" t="s">
        <v>35</v>
      </c>
      <c r="E26" s="3" t="s">
        <v>36</v>
      </c>
      <c r="F26" s="3" t="s">
        <v>37</v>
      </c>
      <c r="G26" s="3" t="s">
        <v>38</v>
      </c>
      <c r="H26" s="4" t="s">
        <v>29</v>
      </c>
      <c r="I26" s="5" t="s">
        <v>29</v>
      </c>
      <c r="J26" s="4" t="s">
        <v>29</v>
      </c>
      <c r="K26" s="2" t="s">
        <v>29</v>
      </c>
    </row>
    <row r="27" ht="15" customHeight="1" spans="1:16">
      <c r="A27" s="1" t="s">
        <v>29</v>
      </c>
      <c r="B27" s="4" t="s">
        <v>50</v>
      </c>
      <c r="C27" s="4">
        <f>25*3</f>
        <v>75</v>
      </c>
      <c r="D27" s="18">
        <f>$C27/$C$23</f>
        <v>0.347222222222222</v>
      </c>
      <c r="E27" s="6">
        <f>$C$23/$C27</f>
        <v>2.88</v>
      </c>
      <c r="F27" s="7">
        <v>1</v>
      </c>
      <c r="G27" s="18">
        <f>$D27*($F27+1)</f>
        <v>0.694444444444444</v>
      </c>
      <c r="H27" s="4" t="s">
        <v>29</v>
      </c>
      <c r="I27" s="5" t="s">
        <v>29</v>
      </c>
      <c r="J27" s="4" t="s">
        <v>29</v>
      </c>
      <c r="K27" s="2" t="s">
        <v>51</v>
      </c>
      <c r="L27" s="2"/>
      <c r="M27" s="2"/>
      <c r="N27" s="2"/>
      <c r="O27" s="2"/>
      <c r="P27" s="2"/>
    </row>
    <row r="28" ht="15" customHeight="1" spans="1:16">
      <c r="A28" s="1" t="s">
        <v>29</v>
      </c>
      <c r="B28" s="4" t="s">
        <v>52</v>
      </c>
      <c r="C28" s="4">
        <f>5*3</f>
        <v>15</v>
      </c>
      <c r="D28" s="18">
        <f>$C28/$C$23</f>
        <v>0.0694444444444444</v>
      </c>
      <c r="E28" s="6">
        <f>$C$23/$C28</f>
        <v>14.4</v>
      </c>
      <c r="F28" s="7">
        <v>2</v>
      </c>
      <c r="G28" s="18">
        <f>$D28*($F28+1)</f>
        <v>0.208333333333333</v>
      </c>
      <c r="H28" s="4" t="s">
        <v>29</v>
      </c>
      <c r="I28" s="5" t="s">
        <v>29</v>
      </c>
      <c r="J28" s="4" t="s">
        <v>29</v>
      </c>
      <c r="K28" s="2" t="s">
        <v>53</v>
      </c>
      <c r="L28" s="2"/>
      <c r="M28" s="2"/>
      <c r="N28" s="2"/>
    </row>
    <row r="29" ht="15" customHeight="1" spans="1:16">
      <c r="A29" s="1" t="s">
        <v>29</v>
      </c>
      <c r="B29" s="4" t="s">
        <v>54</v>
      </c>
      <c r="C29" s="4">
        <v>1</v>
      </c>
      <c r="D29" s="18">
        <f>$C29/$C$23</f>
        <v>0.00462962962962963</v>
      </c>
      <c r="E29" s="6">
        <f>$C$23/$C29</f>
        <v>216</v>
      </c>
      <c r="F29" s="7">
        <v>3</v>
      </c>
      <c r="G29" s="18">
        <f>$D29*($F29+1)</f>
        <v>0.0185185185185185</v>
      </c>
      <c r="H29" s="4" t="s">
        <v>29</v>
      </c>
      <c r="I29" s="5" t="s">
        <v>29</v>
      </c>
      <c r="J29" s="4" t="s">
        <v>29</v>
      </c>
      <c r="K29" s="2" t="s">
        <v>55</v>
      </c>
    </row>
    <row r="30" ht="15" customHeight="1" spans="1:16">
      <c r="A30" s="1" t="s">
        <v>29</v>
      </c>
      <c r="B30" s="10" t="s">
        <v>56</v>
      </c>
      <c r="C30" s="4" t="s">
        <v>29</v>
      </c>
      <c r="D30" s="4" t="s">
        <v>29</v>
      </c>
      <c r="E30" s="4" t="s">
        <v>29</v>
      </c>
      <c r="F30" s="4" t="s">
        <v>29</v>
      </c>
      <c r="G30" s="19">
        <f>SUM($G$27:$G$29)</f>
        <v>0.921296296296296</v>
      </c>
      <c r="H30" s="4" t="s">
        <v>29</v>
      </c>
      <c r="I30" s="5" t="s">
        <v>29</v>
      </c>
      <c r="J30" s="4" t="s">
        <v>29</v>
      </c>
      <c r="K30" s="2" t="s">
        <v>57</v>
      </c>
      <c r="L30" s="2"/>
      <c r="M30" s="2"/>
    </row>
    <row r="31" ht="15" customHeight="1" spans="1:16">
      <c r="A31" s="1" t="s">
        <v>29</v>
      </c>
      <c r="B31" s="10" t="s">
        <v>29</v>
      </c>
      <c r="C31" s="4" t="s">
        <v>29</v>
      </c>
      <c r="D31" s="4" t="s">
        <v>29</v>
      </c>
      <c r="E31" s="4" t="s">
        <v>29</v>
      </c>
      <c r="F31" s="4" t="s">
        <v>29</v>
      </c>
      <c r="G31" s="11" t="s">
        <v>29</v>
      </c>
      <c r="H31" s="4" t="s">
        <v>29</v>
      </c>
      <c r="I31" s="5" t="s">
        <v>29</v>
      </c>
      <c r="J31" s="4" t="s">
        <v>29</v>
      </c>
      <c r="K31" s="2" t="s">
        <v>29</v>
      </c>
    </row>
    <row r="32" ht="15" customHeight="1" spans="1:16">
      <c r="A32" s="1" t="s">
        <v>29</v>
      </c>
      <c r="B32" s="1" t="s">
        <v>58</v>
      </c>
      <c r="C32" s="1"/>
      <c r="D32" s="1"/>
      <c r="E32" s="1"/>
      <c r="F32" s="1"/>
      <c r="G32" s="11" t="s">
        <v>29</v>
      </c>
      <c r="H32" s="4" t="s">
        <v>29</v>
      </c>
      <c r="I32" s="5" t="s">
        <v>29</v>
      </c>
      <c r="J32" s="4" t="s">
        <v>29</v>
      </c>
      <c r="K32" s="2" t="s">
        <v>29</v>
      </c>
    </row>
    <row r="33" ht="15" customHeight="1" spans="1:18">
      <c r="A33" s="1" t="s">
        <v>29</v>
      </c>
      <c r="B33" s="3" t="s">
        <v>59</v>
      </c>
      <c r="C33" s="3" t="s">
        <v>49</v>
      </c>
      <c r="D33" s="3" t="s">
        <v>35</v>
      </c>
      <c r="E33" s="3" t="s">
        <v>36</v>
      </c>
      <c r="F33" s="3" t="s">
        <v>37</v>
      </c>
      <c r="G33" s="3" t="s">
        <v>38</v>
      </c>
      <c r="H33" s="4" t="s">
        <v>29</v>
      </c>
      <c r="I33" s="5" t="s">
        <v>29</v>
      </c>
      <c r="J33" s="4" t="s">
        <v>29</v>
      </c>
      <c r="K33" s="2" t="s">
        <v>29</v>
      </c>
    </row>
    <row r="34" ht="15" customHeight="1" spans="1:18">
      <c r="A34" s="1" t="s">
        <v>29</v>
      </c>
      <c r="B34" s="4" t="s">
        <v>60</v>
      </c>
      <c r="C34" s="4">
        <f>SUMIF($B$4:$B$21,"&gt;=11",$E$4:$E$21)-SUMIF($B$4:$B$21,"&gt;=11",$J$4:$J$21)</f>
        <v>105</v>
      </c>
      <c r="D34" s="18">
        <f t="shared" ref="D34:D40" si="7">$C34/$C$23</f>
        <v>0.486111111111111</v>
      </c>
      <c r="E34" s="6">
        <f t="shared" ref="E34:E40" si="8">$C$23/$C34</f>
        <v>2.05714285714286</v>
      </c>
      <c r="F34" s="7">
        <v>1</v>
      </c>
      <c r="G34" s="18">
        <f t="shared" ref="G34:G39" si="9">$D34*($F34+1)</f>
        <v>0.972222222222222</v>
      </c>
      <c r="H34" s="4" t="s">
        <v>29</v>
      </c>
      <c r="I34" s="5" t="s">
        <v>29</v>
      </c>
      <c r="J34" s="4" t="s">
        <v>29</v>
      </c>
      <c r="K34" s="2" t="s">
        <v>61</v>
      </c>
      <c r="L34" s="2"/>
      <c r="M34" s="2"/>
      <c r="N34" s="2"/>
      <c r="O34" s="2"/>
      <c r="P34" s="2"/>
      <c r="Q34" s="2"/>
      <c r="R34" s="2"/>
    </row>
    <row r="35" ht="15" customHeight="1" spans="1:18">
      <c r="A35" s="1" t="s">
        <v>29</v>
      </c>
      <c r="B35" s="4" t="s">
        <v>62</v>
      </c>
      <c r="C35" s="4">
        <f>SUMIF($B$4:$B$21,"&lt;=10",$E$4:$E$21)-SUMIF($B$4:$B$21,"&lt;=10",$J$4:$J$21)</f>
        <v>105</v>
      </c>
      <c r="D35" s="18">
        <f t="shared" si="7"/>
        <v>0.486111111111111</v>
      </c>
      <c r="E35" s="6">
        <f t="shared" si="8"/>
        <v>2.05714285714286</v>
      </c>
      <c r="F35" s="7">
        <v>1</v>
      </c>
      <c r="G35" s="18">
        <f t="shared" si="9"/>
        <v>0.972222222222222</v>
      </c>
      <c r="H35" s="4" t="s">
        <v>29</v>
      </c>
      <c r="I35" s="5" t="s">
        <v>29</v>
      </c>
      <c r="J35" s="4" t="s">
        <v>29</v>
      </c>
      <c r="K35" s="2" t="s">
        <v>63</v>
      </c>
      <c r="L35" s="2"/>
      <c r="M35" s="2"/>
      <c r="N35" s="2"/>
      <c r="O35" s="2"/>
      <c r="P35" s="2"/>
    </row>
    <row r="36" ht="15" customHeight="1" spans="1:18">
      <c r="A36" s="1" t="s">
        <v>29</v>
      </c>
      <c r="B36" s="4" t="s">
        <v>64</v>
      </c>
      <c r="C36" s="4">
        <f>4*6+3+3</f>
        <v>30</v>
      </c>
      <c r="D36" s="18">
        <f t="shared" si="7"/>
        <v>0.138888888888889</v>
      </c>
      <c r="E36" s="6">
        <f t="shared" si="8"/>
        <v>7.2</v>
      </c>
      <c r="F36" s="7">
        <v>5</v>
      </c>
      <c r="G36" s="18">
        <f t="shared" si="9"/>
        <v>0.833333333333333</v>
      </c>
      <c r="H36" s="4" t="s">
        <v>29</v>
      </c>
      <c r="I36" s="5" t="s">
        <v>29</v>
      </c>
      <c r="J36" s="4" t="s">
        <v>29</v>
      </c>
      <c r="K36" s="2" t="s">
        <v>65</v>
      </c>
      <c r="L36" s="2"/>
      <c r="M36" s="2"/>
      <c r="N36" s="2"/>
      <c r="O36" s="2"/>
      <c r="P36" s="2"/>
      <c r="Q36" s="2"/>
    </row>
    <row r="37" ht="15" customHeight="1" spans="1:18">
      <c r="A37" s="1" t="s">
        <v>29</v>
      </c>
      <c r="B37" s="4" t="s">
        <v>66</v>
      </c>
      <c r="C37" s="4">
        <f>5*3+1</f>
        <v>16</v>
      </c>
      <c r="D37" s="18">
        <f t="shared" si="7"/>
        <v>0.0740740740740741</v>
      </c>
      <c r="E37" s="6">
        <f t="shared" si="8"/>
        <v>13.5</v>
      </c>
      <c r="F37" s="7">
        <v>10</v>
      </c>
      <c r="G37" s="18">
        <f t="shared" si="9"/>
        <v>0.814814814814815</v>
      </c>
      <c r="H37" s="4" t="s">
        <v>29</v>
      </c>
      <c r="I37" s="5" t="s">
        <v>29</v>
      </c>
      <c r="J37" s="4" t="s">
        <v>29</v>
      </c>
      <c r="K37" s="2" t="s">
        <v>67</v>
      </c>
      <c r="L37" s="2"/>
    </row>
    <row r="38" ht="15" customHeight="1" spans="1:18">
      <c r="A38" s="1" t="s">
        <v>29</v>
      </c>
      <c r="B38" s="4" t="s">
        <v>68</v>
      </c>
      <c r="C38" s="4">
        <v>1</v>
      </c>
      <c r="D38" s="18">
        <f t="shared" si="7"/>
        <v>0.00462962962962963</v>
      </c>
      <c r="E38" s="6">
        <f t="shared" si="8"/>
        <v>216</v>
      </c>
      <c r="F38" s="7">
        <v>180</v>
      </c>
      <c r="G38" s="18">
        <f t="shared" si="9"/>
        <v>0.837962962962963</v>
      </c>
      <c r="H38" s="4" t="s">
        <v>29</v>
      </c>
      <c r="I38" s="5" t="s">
        <v>29</v>
      </c>
      <c r="J38" s="4" t="s">
        <v>29</v>
      </c>
      <c r="K38" s="2" t="s">
        <v>69</v>
      </c>
    </row>
    <row r="39" ht="15" customHeight="1" spans="1:18">
      <c r="A39" s="1" t="s">
        <v>29</v>
      </c>
      <c r="B39" s="4" t="s">
        <v>70</v>
      </c>
      <c r="C39" s="4">
        <f>SUM($J$4:$J$21)</f>
        <v>6</v>
      </c>
      <c r="D39" s="18">
        <f t="shared" si="7"/>
        <v>0.0277777777777778</v>
      </c>
      <c r="E39" s="6">
        <f t="shared" si="8"/>
        <v>36</v>
      </c>
      <c r="F39" s="7">
        <v>30</v>
      </c>
      <c r="G39" s="18">
        <f t="shared" si="9"/>
        <v>0.861111111111111</v>
      </c>
      <c r="H39" s="4" t="s">
        <v>29</v>
      </c>
      <c r="I39" s="5" t="s">
        <v>29</v>
      </c>
      <c r="J39" s="4" t="s">
        <v>29</v>
      </c>
      <c r="K39" s="2" t="s">
        <v>71</v>
      </c>
      <c r="L39" s="2"/>
      <c r="M39" s="2"/>
    </row>
    <row r="40" ht="15" customHeight="1" spans="1:18">
      <c r="A40" s="1" t="s">
        <v>29</v>
      </c>
      <c r="B40" s="4" t="s">
        <v>48</v>
      </c>
      <c r="C40" s="4">
        <f>SUM($C$27:$C$29)</f>
        <v>91</v>
      </c>
      <c r="D40" s="18">
        <f t="shared" si="7"/>
        <v>0.421296296296296</v>
      </c>
      <c r="E40" s="6">
        <f t="shared" si="8"/>
        <v>2.37362637362637</v>
      </c>
      <c r="F40" s="4" t="s">
        <v>72</v>
      </c>
      <c r="G40" s="18">
        <f>$G$30</f>
        <v>0.921296296296296</v>
      </c>
      <c r="H40" s="4" t="s">
        <v>29</v>
      </c>
      <c r="I40" s="5" t="s">
        <v>29</v>
      </c>
      <c r="J40" s="4" t="s">
        <v>29</v>
      </c>
      <c r="K40" s="2" t="s">
        <v>73</v>
      </c>
      <c r="L40" s="2"/>
      <c r="M40" s="2"/>
      <c r="N40" s="2"/>
    </row>
    <row r="41" ht="15" customHeight="1" spans="1:18">
      <c r="A41" s="1" t="s">
        <v>29</v>
      </c>
      <c r="B41" s="4" t="s">
        <v>29</v>
      </c>
      <c r="C41" s="4" t="s">
        <v>29</v>
      </c>
      <c r="D41" s="5" t="s">
        <v>29</v>
      </c>
      <c r="E41" s="6" t="s">
        <v>29</v>
      </c>
      <c r="F41" s="4" t="s">
        <v>29</v>
      </c>
      <c r="G41" s="5" t="s">
        <v>29</v>
      </c>
      <c r="H41" s="4" t="s">
        <v>29</v>
      </c>
      <c r="I41" s="5" t="s">
        <v>29</v>
      </c>
      <c r="J41" s="4" t="s">
        <v>29</v>
      </c>
      <c r="K41" s="2" t="s">
        <v>29</v>
      </c>
    </row>
    <row r="42" ht="15" customHeight="1" spans="1:18">
      <c r="A42" s="1" t="s">
        <v>29</v>
      </c>
      <c r="B42" s="1" t="s">
        <v>74</v>
      </c>
      <c r="C42" s="1"/>
      <c r="D42" s="1"/>
      <c r="E42" s="1"/>
      <c r="F42" s="1"/>
      <c r="G42" s="1"/>
      <c r="H42" s="1"/>
      <c r="I42" s="1"/>
      <c r="J42" s="4" t="s">
        <v>29</v>
      </c>
      <c r="K42" s="2" t="s">
        <v>29</v>
      </c>
    </row>
    <row r="43" ht="15" customHeight="1" spans="1:18">
      <c r="A43" s="1" t="s">
        <v>29</v>
      </c>
      <c r="B43" s="3" t="s">
        <v>75</v>
      </c>
      <c r="C43" s="3" t="s">
        <v>76</v>
      </c>
      <c r="D43" s="3" t="s">
        <v>38</v>
      </c>
      <c r="E43" s="6" t="s">
        <v>29</v>
      </c>
      <c r="F43" s="4" t="s">
        <v>29</v>
      </c>
      <c r="G43" s="5" t="s">
        <v>29</v>
      </c>
      <c r="H43" s="4" t="s">
        <v>29</v>
      </c>
      <c r="I43" s="5" t="s">
        <v>29</v>
      </c>
      <c r="J43" s="4" t="s">
        <v>29</v>
      </c>
      <c r="K43" s="2" t="s">
        <v>29</v>
      </c>
    </row>
    <row r="44" ht="15" customHeight="1" spans="1:18">
      <c r="A44" s="1" t="s">
        <v>29</v>
      </c>
      <c r="B44" s="4" t="s">
        <v>77</v>
      </c>
      <c r="C44" s="7">
        <v>1</v>
      </c>
      <c r="D44" s="18">
        <f>$D$34*(C44+1)</f>
        <v>0.972222222222222</v>
      </c>
      <c r="E44" s="6" t="s">
        <v>29</v>
      </c>
      <c r="F44" s="4" t="s">
        <v>29</v>
      </c>
      <c r="G44" s="5" t="s">
        <v>29</v>
      </c>
      <c r="H44" s="4" t="s">
        <v>29</v>
      </c>
      <c r="I44" s="5" t="s">
        <v>29</v>
      </c>
      <c r="J44" s="4" t="s">
        <v>29</v>
      </c>
      <c r="K44" s="2" t="s">
        <v>78</v>
      </c>
      <c r="L44" s="2"/>
      <c r="M44" s="2"/>
      <c r="N44" s="2"/>
      <c r="O44" s="2"/>
      <c r="P44" s="2"/>
      <c r="Q44" s="2"/>
      <c r="R44" s="2"/>
    </row>
    <row r="45" ht="15" customHeight="1" spans="1:18">
      <c r="A45" s="1" t="s">
        <v>29</v>
      </c>
      <c r="B45" s="4" t="s">
        <v>77</v>
      </c>
      <c r="C45" s="7">
        <v>0.95</v>
      </c>
      <c r="D45" s="18">
        <f>$D$34*(C45+1)</f>
        <v>0.947916666666667</v>
      </c>
      <c r="E45" s="6" t="s">
        <v>29</v>
      </c>
      <c r="F45" s="4" t="s">
        <v>29</v>
      </c>
      <c r="G45" s="5" t="s">
        <v>29</v>
      </c>
      <c r="H45" s="4" t="s">
        <v>29</v>
      </c>
      <c r="I45" s="5" t="s">
        <v>29</v>
      </c>
      <c r="J45" s="4" t="s">
        <v>29</v>
      </c>
      <c r="K45" s="2" t="s">
        <v>29</v>
      </c>
    </row>
    <row r="46" ht="15" customHeight="1" spans="1:18">
      <c r="A46" s="1" t="s">
        <v>29</v>
      </c>
      <c r="B46" s="4" t="s">
        <v>70</v>
      </c>
      <c r="C46" s="7">
        <v>24</v>
      </c>
      <c r="D46" s="18">
        <f>$D$39*(C46+1)</f>
        <v>0.694444444444444</v>
      </c>
      <c r="E46" s="6" t="s">
        <v>29</v>
      </c>
      <c r="F46" s="4" t="s">
        <v>29</v>
      </c>
      <c r="G46" s="5" t="s">
        <v>29</v>
      </c>
      <c r="H46" s="4" t="s">
        <v>29</v>
      </c>
      <c r="I46" s="5" t="s">
        <v>29</v>
      </c>
      <c r="J46" s="4" t="s">
        <v>29</v>
      </c>
      <c r="K46" s="2" t="s">
        <v>79</v>
      </c>
    </row>
    <row r="47" ht="15" customHeight="1" spans="1:18">
      <c r="A47" s="1" t="s">
        <v>29</v>
      </c>
      <c r="B47" s="4" t="s">
        <v>70</v>
      </c>
      <c r="C47" s="7">
        <v>30</v>
      </c>
      <c r="D47" s="18">
        <f>$D$39*(C47+1)</f>
        <v>0.861111111111111</v>
      </c>
      <c r="E47" s="6" t="s">
        <v>29</v>
      </c>
      <c r="F47" s="4" t="s">
        <v>29</v>
      </c>
      <c r="G47" s="5" t="s">
        <v>29</v>
      </c>
      <c r="H47" s="4" t="s">
        <v>29</v>
      </c>
      <c r="I47" s="5" t="s">
        <v>29</v>
      </c>
      <c r="J47" s="4" t="s">
        <v>29</v>
      </c>
      <c r="K47" s="2" t="s">
        <v>80</v>
      </c>
      <c r="L47" s="2"/>
      <c r="M47" s="2"/>
      <c r="N47" s="2"/>
      <c r="O47" s="2"/>
      <c r="P47" s="2"/>
    </row>
    <row r="48" ht="15" customHeight="1" spans="1:18">
      <c r="A48" s="1" t="s">
        <v>29</v>
      </c>
      <c r="B48" s="4" t="s">
        <v>70</v>
      </c>
      <c r="C48" s="7">
        <v>31</v>
      </c>
      <c r="D48" s="18">
        <f>$D$39*(C48+1)</f>
        <v>0.888888888888889</v>
      </c>
      <c r="E48" s="6" t="s">
        <v>29</v>
      </c>
      <c r="F48" s="4" t="s">
        <v>29</v>
      </c>
      <c r="G48" s="5" t="s">
        <v>29</v>
      </c>
      <c r="H48" s="4" t="s">
        <v>29</v>
      </c>
      <c r="I48" s="5" t="s">
        <v>29</v>
      </c>
      <c r="J48" s="4" t="s">
        <v>29</v>
      </c>
      <c r="K48" s="2" t="s">
        <v>29</v>
      </c>
    </row>
    <row r="49" ht="15" customHeight="1" spans="1:16">
      <c r="A49" s="1" t="s">
        <v>29</v>
      </c>
      <c r="B49" s="4" t="s">
        <v>70</v>
      </c>
      <c r="C49" s="7">
        <v>32</v>
      </c>
      <c r="D49" s="18">
        <f>$D$39*(C49+1)</f>
        <v>0.916666666666667</v>
      </c>
      <c r="E49" s="6" t="s">
        <v>29</v>
      </c>
      <c r="F49" s="4" t="s">
        <v>29</v>
      </c>
      <c r="G49" s="5" t="s">
        <v>29</v>
      </c>
      <c r="H49" s="4" t="s">
        <v>29</v>
      </c>
      <c r="I49" s="5" t="s">
        <v>29</v>
      </c>
      <c r="J49" s="4" t="s">
        <v>29</v>
      </c>
      <c r="K49" s="2" t="s">
        <v>29</v>
      </c>
    </row>
    <row r="50" ht="15" customHeight="1" spans="1:16">
      <c r="A50" s="1" t="s">
        <v>29</v>
      </c>
      <c r="B50" s="4" t="s">
        <v>70</v>
      </c>
      <c r="C50" s="7">
        <v>33</v>
      </c>
      <c r="D50" s="18">
        <f>$D$39*(C50+1)</f>
        <v>0.944444444444444</v>
      </c>
      <c r="E50" s="6" t="s">
        <v>29</v>
      </c>
      <c r="F50" s="4" t="s">
        <v>29</v>
      </c>
      <c r="G50" s="5" t="s">
        <v>29</v>
      </c>
      <c r="H50" s="4" t="s">
        <v>29</v>
      </c>
      <c r="I50" s="5" t="s">
        <v>29</v>
      </c>
      <c r="J50" s="4" t="s">
        <v>29</v>
      </c>
      <c r="K50" s="2" t="s">
        <v>81</v>
      </c>
      <c r="L50" s="2"/>
      <c r="M50" s="2"/>
      <c r="N50" s="2"/>
      <c r="O50" s="2"/>
      <c r="P50" s="2"/>
    </row>
  </sheetData>
  <mergeCells count="23">
    <mergeCell ref="A1:K1"/>
    <mergeCell ref="B2:J2"/>
    <mergeCell ref="K4:Q4"/>
    <mergeCell ref="K5:O5"/>
    <mergeCell ref="K7:N7"/>
    <mergeCell ref="K8:O8"/>
    <mergeCell ref="K10:P10"/>
    <mergeCell ref="K11:P11"/>
    <mergeCell ref="B25:I25"/>
    <mergeCell ref="K27:P27"/>
    <mergeCell ref="K28:N28"/>
    <mergeCell ref="K30:M30"/>
    <mergeCell ref="B32:F32"/>
    <mergeCell ref="K34:R34"/>
    <mergeCell ref="K35:P35"/>
    <mergeCell ref="K36:Q36"/>
    <mergeCell ref="K37:L37"/>
    <mergeCell ref="K39:M39"/>
    <mergeCell ref="K40:N40"/>
    <mergeCell ref="B42:I42"/>
    <mergeCell ref="K44:R44"/>
    <mergeCell ref="K47:P47"/>
    <mergeCell ref="K50:P50"/>
  </mergeCells>
  <pageMargins left="0.7" right="0.7" top="0.75" bottom="0.75" header="0.3" footer="0.3"/>
  <pageSetup paperSize="1" orientation="portrait"/>
  <headerFooter/>
  <ignoredErrors>
    <ignoredError sqref="A1:W70" evalError="1" twoDigitTextYear="1" numberStoredAsText="1" formula="1" formulaRange="1" unlockedFormula="1" emptyCellReference="1" listDataValidation="1" calculatedColum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SicBo 递推表+下注RTP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wcx_o</cp:lastModifiedBy>
  <dcterms:created xsi:type="dcterms:W3CDTF">2026-09-29T15:46:00Z</dcterms:created>
  <dcterms:modified xsi:type="dcterms:W3CDTF">2026-09-29T16:07:30Z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EACFF8AC35FD4E3893763699E7AF29C1_12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0</vt:i4>
  </property>
</Properties>
</file>