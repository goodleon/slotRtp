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巨型图案 类型一+类型二→RTP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<sst xmlns="http://schemas.openxmlformats.org/spreadsheetml/2006/main" count="1316" uniqueCount="141">
  <si>
    <t>巨型图案 Mega Symbol</t>
  </si>
  <si>
    <t xml:space="preserve"> </t>
  </si>
  <si>
    <t>来源：https://ezslotdesign.com/megasymbol/（数学老王，2018.07.14）</t>
  </si>
  <si>
    <t>类型一（5个转轮带，King Colossus）：巨型图案不实际存在于轮带，</t>
  </si>
  <si>
    <t xml:space="preserve">  只是额外机会覆盖中间三轮的 0/上3/下3/上6/下6/9 六种格子 → 用权重表决定6种Case机率。</t>
  </si>
  <si>
    <t xml:space="preserve">  计算：一条线的中间三轮个别是否被覆盖 → 8种状况，算出各状况RTP；</t>
  </si>
  <si>
    <t xml:space="preserve">  每条线对每种Case对应一个状况RTP → 加权得特色RTP。</t>
  </si>
  <si>
    <t>类型二（3个转轮带，Magic Pearl）：中间三轮只会出现完整巨型图案 → 只剩3个转轮带；</t>
  </si>
  <si>
    <t xml:space="preserve">  赔率表只剩4和5连线；计算当作纯粹的三轮游戏（表中2/3连线即视觉4/5连线）。</t>
  </si>
  <si>
    <t>补充：Golden Goddess 数学完全是一般转轮游戏（视觉合并）。</t>
  </si>
  <si>
    <t>示范数据：轮带 K/Q/J/10/9 各4（轮长20）；被覆盖的轮视为整轮巨型图案（该轮每图案次数=轮长）。</t>
  </si>
  <si>
    <t>Case→状况对应（本模型解读，原文图示）：Line1: case1~3→(0,0,0)、case4~6→(1,1,1)；</t>
  </si>
  <si>
    <t>Line2: case3→(0,1,0)、case4→(1,0,1)、case5~6→(1,1,1)；</t>
  </si>
  <si>
    <t>Line3: case2→(1,0,0)、case3→(0,0,1)、case4→(1,1,0)、case5→(0,1,1)、case6→(1,1,1)。</t>
  </si>
  <si>
    <t>（本簿已合并为 2 个页签：说明、巨型图案 类型一+类型二→RTP；各区块：转轮表 第2~11行，赔率表 第14~21行，类型一-8状况RTP 第24~46行，类型一-RTP 第49~65行，类型二 第68~78行，RTP汇总 第81~82行）</t>
  </si>
  <si>
    <t>── 完整文档（原 老虎机数学专题-巨型图案.md 存档）──</t>
  </si>
  <si>
    <t>老虎机数学专题 —— 巨型图案（Mega Symbol）</t>
  </si>
  <si>
    <t>来源：https://ezslotdesign.com/megasymbol/ （作者：数学老王，2018.07.14；权重表/示意图/计算表为图片）</t>
  </si>
  <si>
    <t>配图：原文 7 张配图已下载到本目录 images/megasymbol/ 并嵌入本文。</t>
  </si>
  <si>
    <t>配套模型：老虎机数学专题-巨型图案.xlsx</t>
  </si>
  <si>
    <t>一、特色定义</t>
  </si>
  <si>
    <t>[图片] 文章题图（巨型图案视觉效果）  images/megasymbol/01-v2-cb4ed9b1879f1014a04e1172993955ea_r-opt.webp</t>
  </si>
  <si>
    <t>Mega Symbol（巨型图案）：占多格的大型图案（常见 3x3），通常出现在免费游戏的中间三轮。让多条线同时中奖机率大增，且有连线就是 4 连线起跳；图案是一般图案的 9 倍大，常配专属短动画。流行于 2013~2015 年，常见于 3x5 机台。</t>
  </si>
  <si>
    <t>二、类型一：5 个转轮带（参考游戏 King Colossus）</t>
  </si>
  <si>
    <t>[图片] 巨型图案覆盖位置：0、上3、下3、上6、下6、9 六种格子  images/megasymbol/02-Mega-Symbol-Positions_--.png</t>
  </si>
  <si>
    <t>免费游戏中间三轮除巨型图案外仍会有一般图案（可能只停到部分巨型图案）。数学上仍是原本的 5 个转轮带，巨型图案不实际存在于轮带上，只是有额外机会覆盖中间三轮的 0、上3、下3、上6、下6、9 六种格子 → 用一个权重表决定这 6 种 Case 的出现机率。</t>
  </si>
  <si>
    <t>6 种 Case 下三条线路的覆盖情况（原文）：</t>
  </si>
  <si>
    <t>Case</t>
  </si>
  <si>
    <t>Line 1</t>
  </si>
  <si>
    <t>Line 2</t>
  </si>
  <si>
    <t>Line 3</t>
  </si>
  <si>
    <t>1</t>
  </si>
  <si>
    <t>一般转轮</t>
  </si>
  <si>
    <t>2</t>
  </si>
  <si>
    <t>第二轮被覆盖</t>
  </si>
  <si>
    <t>3</t>
  </si>
  <si>
    <t>第三轮被覆盖</t>
  </si>
  <si>
    <t>第四轮被覆盖</t>
  </si>
  <si>
    <t>4</t>
  </si>
  <si>
    <t>中间三轮全覆盖</t>
  </si>
  <si>
    <t>第二、四轮被覆盖</t>
  </si>
  <si>
    <t>第一、二轮被覆盖</t>
  </si>
  <si>
    <t>5</t>
  </si>
  <si>
    <t>第三、四轮被覆盖</t>
  </si>
  <si>
    <t>6</t>
  </si>
  <si>
    <t>[图片] 8 种 RTP 状况（绿色=被覆盖轮）与 Case→RTP# 对应表  images/megasymbol/06-RTP_--.png</t>
  </si>
  <si>
    <t>计算方法（原文）：以一条线的中间三轮「个别是否被覆盖」分析，可分为 8 种状况，算出这 8 种状况的 RTP；每条线对每种 Case 都能找到对应的 RTP → 完整算出整个特色的 RTP。</t>
  </si>
  <si>
    <t>三、类型二：3 个转轮带（参考游戏 Magic Pearl）</t>
  </si>
  <si>
    <t>[图片] Line 表  images/megasymbol/04-Line-Table_---opt.webp</t>
  </si>
  <si>
    <t>免费游戏中间三轮只会出现完整的巨型图案 → 只剩 3 个转轮带（中间轮=巨型图案）；赔率表不再有 2、3 连线，只剩 4、5 连线；连线得分按纯三轮游戏计算（表中的 2、3 连线在视觉上就是 4、5 连线）。</t>
  </si>
  <si>
    <t>补充：《Golden Goddess》画面有巨型图案，但数学完全是一般转轮游戏（视觉合并）。</t>
  </si>
  <si>
    <t>四、Excel 模型（示范数据）</t>
  </si>
  <si>
    <t>• 类型一：权重表（6 Case 机率，蓝字）；轮带 K/Q/J/10/9 各 4（轮长 20）；8 种覆盖状况的线 RTP（被覆盖的轮以「整轮只有巨型图案」处理，该轮视为全百搭）；RTP = Σ Case权重 × 对应状况RTP</t>
  </si>
  <si>
    <t>• 类型二：3 轮带（中间轮被巨型图案覆盖），只算 4、5 连线的纯三轮 RTP</t>
  </si>
  <si>
    <t>工作表</t>
  </si>
  <si>
    <t>内容</t>
  </si>
  <si>
    <t>说明</t>
  </si>
  <si>
    <t>两类型方法</t>
  </si>
  <si>
    <t>巨型图案 类型一+类型二→RTP</t>
  </si>
  <si>
    <t>转轮表 / 赔率表 + 类型一（8状况RTP：中间三轮覆盖组合的线 RTP；可填 6 Case 机率，蓝字，合计=100%；RTP：Case × 状况 对应汇总）+ 类型二（3 轮带 4/5 连线 RTP）+ RTP汇总</t>
  </si>
  <si>
    <t>配图清单（images/megasymbol/）</t>
  </si>
  <si>
    <t>文件</t>
  </si>
  <si>
    <t>images/megasymbol/01-v2-cb4ed9b1879f1014a04e1172993955ea_r-opt.webp</t>
  </si>
  <si>
    <t>文章题图</t>
  </si>
  <si>
    <t>images/megasymbol/02-Mega-Symbol-Positions_--.png</t>
  </si>
  <si>
    <t>巨型图案覆盖位置（大图）</t>
  </si>
  <si>
    <t>images/megasymbol/03-Mega-Symbol-Positions_--.png</t>
  </si>
  <si>
    <t>同图（重复）</t>
  </si>
  <si>
    <t>images/megasymbol/04-Line-Table_---opt.webp</t>
  </si>
  <si>
    <t>Line 表（大图）</t>
  </si>
  <si>
    <t>images/megasymbol/05-Line-Table_---opt.webp</t>
  </si>
  <si>
    <t>同图（小图重复）</t>
  </si>
  <si>
    <t>images/megasymbol/06-RTP_--.png</t>
  </si>
  <si>
    <t>8 种 RTP 状况与 Case 对应表（大图）</t>
  </si>
  <si>
    <t>images/megasymbol/07-RTP_--.png</t>
  </si>
  <si>
    <t>【转轮表】</t>
  </si>
  <si>
    <t>转轮表（图案次数，蓝字可改）—— 基础轮带（巨型图案不占轮带）</t>
  </si>
  <si>
    <t>轮长</t>
  </si>
  <si>
    <t>图案</t>
  </si>
  <si>
    <t>轮1</t>
  </si>
  <si>
    <t>轮2</t>
  </si>
  <si>
    <t>轮3</t>
  </si>
  <si>
    <t>轮4</t>
  </si>
  <si>
    <t>轮5</t>
  </si>
  <si>
    <t>K</t>
  </si>
  <si>
    <t>Q</t>
  </si>
  <si>
    <t>J</t>
  </si>
  <si>
    <t>10</t>
  </si>
  <si>
    <t>9</t>
  </si>
  <si>
    <t>W个数</t>
  </si>
  <si>
    <t>【赔率表】</t>
  </si>
  <si>
    <t>赔率表（蓝字可改）</t>
  </si>
  <si>
    <t>3连线</t>
  </si>
  <si>
    <t>4连线</t>
  </si>
  <si>
    <t>5连线</t>
  </si>
  <si>
    <t>【类型一-8状况RTP】</t>
  </si>
  <si>
    <t>中间三轮(轮2,3,4)覆盖组合的线RTP（1=该轮被巨型图案覆盖→每图案次数=轮长）</t>
  </si>
  <si>
    <t>状况\轮</t>
  </si>
  <si>
    <t>轮3覆盖</t>
  </si>
  <si>
    <t>轮4覆盖</t>
  </si>
  <si>
    <t>线RTP</t>
  </si>
  <si>
    <t>原文对应（images/megasymbol/06-RTP）：8种状况=RTP1~RTP8，绿色=被巨型图案覆盖的轮</t>
  </si>
  <si>
    <t>RTP1=无覆盖  RTP2=轮2  RTP3=轮3  RTP4=轮4  RTP5=轮2+3  RTP6=轮2+4  RTP7=轮3+4  RTP8=轮2+3+4</t>
  </si>
  <si>
    <t>本表行序（轮2,轮3,轮4覆盖）：行4=RTP1 行5=RTP2 行6=RTP3 行7=RTP4 行8=RTP5 行9=RTP6 行10=RTP7 行11=RTP8</t>
  </si>
  <si>
    <t>Case→RTP#（原文表）：Line1: 1,1,1,8,8,8；Line2: 1,1,3,6,8,8；Line3: 1,2,4,5,7,8</t>
  </si>
  <si>
    <t>【类型一-RTP】</t>
  </si>
  <si>
    <t>6种Case x 3条线 → 对应状况RTP加权（Case权重蓝字，合计=100%）</t>
  </si>
  <si>
    <t>权重</t>
  </si>
  <si>
    <t>Line1状况</t>
  </si>
  <si>
    <t>Line2状况</t>
  </si>
  <si>
    <t>Line3状况</t>
  </si>
  <si>
    <t>Line1RTP</t>
  </si>
  <si>
    <t>Line2RTP</t>
  </si>
  <si>
    <t>Line3RTP</t>
  </si>
  <si>
    <t>000</t>
  </si>
  <si>
    <t>100</t>
  </si>
  <si>
    <t>010</t>
  </si>
  <si>
    <t>001</t>
  </si>
  <si>
    <t>111</t>
  </si>
  <si>
    <t>101</t>
  </si>
  <si>
    <t>110</t>
  </si>
  <si>
    <t>011</t>
  </si>
  <si>
    <t>权重合计</t>
  </si>
  <si>
    <t>Line1加权RTP</t>
  </si>
  <si>
    <t>Line2加权RTP</t>
  </si>
  <si>
    <t>Line3加权RTP</t>
  </si>
  <si>
    <t>特色RTP（三线平均）</t>
  </si>
  <si>
    <t>原文 Case→RTP#：Line1: 1,1,1,8,8,8；Line2: 1,1,3,6,8,8；Line3: 1,2,4,5,7,8（已按此实现）</t>
  </si>
  <si>
    <t>【类型二】</t>
  </si>
  <si>
    <t>类型二：纯三轮游戏（2连线=视觉4连线、3连线=视觉5连线赔率）</t>
  </si>
  <si>
    <t>轮1次数</t>
  </si>
  <si>
    <t>轮2次数</t>
  </si>
  <si>
    <t>轮3次数</t>
  </si>
  <si>
    <t>2连线组合</t>
  </si>
  <si>
    <t>3连线组合</t>
  </si>
  <si>
    <t>期望值</t>
  </si>
  <si>
    <t>RTP</t>
  </si>
  <si>
    <t>注：2连线用4连线赔率、3连线用5连线赔率（原文：表中2/3连线即视觉4/5连线）</t>
  </si>
  <si>
    <t>【RTP汇总】</t>
  </si>
  <si>
    <t>类型一 特色RTP</t>
  </si>
  <si>
    <t>类型二 特色RTP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</si>
</sst>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31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name val="微软雅黑"/>
      <charset val="134"/>
    </font>
    <font>
      <sz val="11"/>
      <color rgb="FF0000FF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0" borderId="0" xfId="0" applyFont="1" applyBorder="1"/>
    <xf numFmtId="0" fontId="5" fillId="0" borderId="0" xfId="0" applyFont="1" applyBorder="1"/>
    <xf numFmtId="176" fontId="2" fillId="0" borderId="0" xfId="0" applyNumberFormat="1" applyFont="1" applyBorder="1"/>
    <xf numFmtId="9" fontId="5" fillId="0" borderId="0" xfId="0" applyNumberFormat="1" applyFont="1" applyBorder="1"/>
    <xf numFmtId="9" fontId="2" fillId="4" borderId="0" xfId="0" applyNumberFormat="1" applyFont="1" applyFill="1" applyBorder="1"/>
    <xf numFmtId="176" fontId="2" fillId="4" borderId="0" xfId="0" applyNumberFormat="1" applyFont="1" applyFill="1" applyBorder="1"/>
    <xf numFmtId="176" fontId="1" fillId="3" borderId="0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28</xdr:row>
      <xdr:rowOff>0</xdr:rowOff>
    </xdr:from>
    <xdr:to>
      <xdr:col>9</xdr:col>
      <xdr:colOff>463550</xdr:colOff>
      <xdr:row>42</xdr:row>
      <xdr:rowOff>95250</xdr:rowOff>
    </xdr:to>
    <xdr:pic>
      <xdr:nvPicPr>
        <xdr:cNvPr id="2" name="图片 1" descr="01-v2-cb4ed9b1879f1014a04e1172993955ea_r-opt"/>
        <xdr:cNvPicPr/>
      </xdr:nvPicPr>
      <xdr:blipFill>
        <a:blip r:embed="rId1"/>
        <a:stretch>
          <a:fillRect/>
        </a:stretch>
      </xdr:blipFill>
      <xdr:spPr>
        <a:xfrm>
          <a:off x="5943600" y="5486400"/>
          <a:ext cx="5461000" cy="36830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43</xdr:row>
      <xdr:rowOff>19050</xdr:rowOff>
    </xdr:from>
    <xdr:to>
      <xdr:col>9</xdr:col>
      <xdr:colOff>463550</xdr:colOff>
      <xdr:row>50</xdr:row>
      <xdr:rowOff>190500</xdr:rowOff>
    </xdr:to>
    <xdr:pic>
      <xdr:nvPicPr>
        <xdr:cNvPr id="3" name="图片 2" descr="02-Mega-Symbol-Positions_--"/>
        <xdr:cNvPicPr/>
      </xdr:nvPicPr>
      <xdr:blipFill>
        <a:blip r:embed="rId2"/>
        <a:stretch>
          <a:fillRect/>
        </a:stretch>
      </xdr:blipFill>
      <xdr:spPr>
        <a:xfrm>
          <a:off x="5943600" y="9271000"/>
          <a:ext cx="5461000" cy="16510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49</xdr:row>
      <xdr:rowOff>82550</xdr:rowOff>
    </xdr:from>
    <xdr:to>
      <xdr:col>9</xdr:col>
      <xdr:colOff>463550</xdr:colOff>
      <xdr:row>53</xdr:row>
      <xdr:rowOff>133350</xdr:rowOff>
    </xdr:to>
    <xdr:pic>
      <xdr:nvPicPr>
        <xdr:cNvPr id="4" name="图片 3" descr="06-RTP_--"/>
        <xdr:cNvPicPr/>
      </xdr:nvPicPr>
      <xdr:blipFill>
        <a:blip r:embed="rId3"/>
        <a:stretch>
          <a:fillRect/>
        </a:stretch>
      </xdr:blipFill>
      <xdr:spPr>
        <a:xfrm>
          <a:off x="5943600" y="10604500"/>
          <a:ext cx="5461000" cy="9017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54</xdr:row>
      <xdr:rowOff>25400</xdr:rowOff>
    </xdr:from>
    <xdr:to>
      <xdr:col>9</xdr:col>
      <xdr:colOff>463550</xdr:colOff>
      <xdr:row>62</xdr:row>
      <xdr:rowOff>19050</xdr:rowOff>
    </xdr:to>
    <xdr:pic>
      <xdr:nvPicPr>
        <xdr:cNvPr id="5" name="图片 4" descr="04-Line-Table_---opt"/>
        <xdr:cNvPicPr/>
      </xdr:nvPicPr>
      <xdr:blipFill>
        <a:blip r:embed="rId4"/>
        <a:stretch>
          <a:fillRect/>
        </a:stretch>
      </xdr:blipFill>
      <xdr:spPr>
        <a:xfrm>
          <a:off x="5943600" y="11607800"/>
          <a:ext cx="5461000" cy="161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"/>
  <sheetViews>
    <sheetView workbookViewId="0">
      <selection activeCell="A1" sqref="A1:D1"/>
    </sheetView>
  </sheetViews>
  <sheetFormatPr defaultColWidth="9" defaultRowHeight="14"/>
  <cols>
    <col min="1" max="1" width="84.6363636363636" style="14" customWidth="1"/>
  </cols>
  <sheetData>
    <row r="1" ht="22" customHeight="1" spans="1:10">
      <c r="A1" s="15" t="s">
        <v>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</row>
    <row r="2" customHeight="1" spans="1:10">
      <c r="A2" s="17" t="s">
        <v>2</v>
      </c>
      <c r="B2" s="18" t="s">
        <v>1</v>
      </c>
      <c r="C2" s="18" t="s">
        <v>1</v>
      </c>
      <c r="D2" s="18" t="s">
        <v>1</v>
      </c>
      <c r="E2" s="18" t="s">
        <v>1</v>
      </c>
      <c r="F2" s="18" t="s">
        <v>1</v>
      </c>
      <c r="G2" s="18" t="s">
        <v>1</v>
      </c>
      <c r="H2" s="18" t="s">
        <v>1</v>
      </c>
      <c r="I2" s="18" t="s">
        <v>1</v>
      </c>
      <c r="J2" s="18" t="s">
        <v>1</v>
      </c>
    </row>
    <row r="3" customHeight="1" spans="1:10">
      <c r="A3" s="17" t="s">
        <v>1</v>
      </c>
      <c r="B3" s="18" t="s">
        <v>1</v>
      </c>
      <c r="C3" s="18" t="s">
        <v>1</v>
      </c>
      <c r="D3" s="18" t="s">
        <v>1</v>
      </c>
      <c r="E3" s="18" t="s">
        <v>1</v>
      </c>
      <c r="F3" s="18" t="s">
        <v>1</v>
      </c>
      <c r="G3" s="18" t="s">
        <v>1</v>
      </c>
      <c r="H3" s="18" t="s">
        <v>1</v>
      </c>
      <c r="I3" s="18" t="s">
        <v>1</v>
      </c>
      <c r="J3" s="18" t="s">
        <v>1</v>
      </c>
    </row>
    <row r="4" customHeight="1" spans="1:10">
      <c r="A4" s="17" t="s">
        <v>3</v>
      </c>
      <c r="B4" s="18" t="s">
        <v>1</v>
      </c>
      <c r="C4" s="18" t="s">
        <v>1</v>
      </c>
      <c r="D4" s="18" t="s">
        <v>1</v>
      </c>
      <c r="E4" s="18" t="s">
        <v>1</v>
      </c>
      <c r="F4" s="18" t="s">
        <v>1</v>
      </c>
      <c r="G4" s="18" t="s">
        <v>1</v>
      </c>
      <c r="H4" s="18" t="s">
        <v>1</v>
      </c>
      <c r="I4" s="18" t="s">
        <v>1</v>
      </c>
      <c r="J4" s="18" t="s">
        <v>1</v>
      </c>
    </row>
    <row r="5" customHeight="1" spans="1:10">
      <c r="A5" s="17" t="s">
        <v>4</v>
      </c>
      <c r="B5" s="18" t="s">
        <v>1</v>
      </c>
      <c r="C5" s="18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</row>
    <row r="6" customHeight="1" spans="1:10">
      <c r="A6" s="17" t="s">
        <v>5</v>
      </c>
      <c r="B6" s="18" t="s">
        <v>1</v>
      </c>
      <c r="C6" s="18" t="s">
        <v>1</v>
      </c>
      <c r="D6" s="18" t="s">
        <v>1</v>
      </c>
      <c r="E6" s="18" t="s">
        <v>1</v>
      </c>
      <c r="F6" s="18" t="s">
        <v>1</v>
      </c>
      <c r="G6" s="18" t="s">
        <v>1</v>
      </c>
      <c r="H6" s="18" t="s">
        <v>1</v>
      </c>
      <c r="I6" s="18" t="s">
        <v>1</v>
      </c>
      <c r="J6" s="18" t="s">
        <v>1</v>
      </c>
    </row>
    <row r="7" customHeight="1" spans="1:10">
      <c r="A7" s="17" t="s">
        <v>6</v>
      </c>
      <c r="B7" s="18" t="s">
        <v>1</v>
      </c>
      <c r="C7" s="18" t="s">
        <v>1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</row>
    <row r="8" customHeight="1" spans="1:10">
      <c r="A8" s="17" t="s">
        <v>1</v>
      </c>
      <c r="B8" s="18" t="s">
        <v>1</v>
      </c>
      <c r="C8" s="18" t="s">
        <v>1</v>
      </c>
      <c r="D8" s="18" t="s">
        <v>1</v>
      </c>
      <c r="E8" s="18" t="s">
        <v>1</v>
      </c>
      <c r="F8" s="18" t="s">
        <v>1</v>
      </c>
      <c r="G8" s="18" t="s">
        <v>1</v>
      </c>
      <c r="H8" s="18" t="s">
        <v>1</v>
      </c>
      <c r="I8" s="18" t="s">
        <v>1</v>
      </c>
      <c r="J8" s="18" t="s">
        <v>1</v>
      </c>
    </row>
    <row r="9" customHeight="1" spans="1:10">
      <c r="A9" s="17" t="s">
        <v>7</v>
      </c>
      <c r="B9" s="18" t="s">
        <v>1</v>
      </c>
      <c r="C9" s="18" t="s">
        <v>1</v>
      </c>
      <c r="D9" s="18" t="s">
        <v>1</v>
      </c>
      <c r="E9" s="18" t="s">
        <v>1</v>
      </c>
      <c r="F9" s="18" t="s">
        <v>1</v>
      </c>
      <c r="G9" s="18" t="s">
        <v>1</v>
      </c>
      <c r="H9" s="18" t="s">
        <v>1</v>
      </c>
      <c r="I9" s="18" t="s">
        <v>1</v>
      </c>
      <c r="J9" s="18" t="s">
        <v>1</v>
      </c>
    </row>
    <row r="10" customHeight="1" spans="1:10">
      <c r="A10" s="17" t="s">
        <v>8</v>
      </c>
      <c r="B10" s="18" t="s">
        <v>1</v>
      </c>
      <c r="C10" s="18" t="s">
        <v>1</v>
      </c>
      <c r="D10" s="18" t="s">
        <v>1</v>
      </c>
      <c r="E10" s="18" t="s">
        <v>1</v>
      </c>
      <c r="F10" s="18" t="s">
        <v>1</v>
      </c>
      <c r="G10" s="18" t="s">
        <v>1</v>
      </c>
      <c r="H10" s="18" t="s">
        <v>1</v>
      </c>
      <c r="I10" s="18" t="s">
        <v>1</v>
      </c>
      <c r="J10" s="18" t="s">
        <v>1</v>
      </c>
    </row>
    <row r="11" customHeight="1" spans="1:10">
      <c r="A11" s="17" t="s">
        <v>1</v>
      </c>
      <c r="B11" s="18" t="s">
        <v>1</v>
      </c>
      <c r="C11" s="18" t="s">
        <v>1</v>
      </c>
      <c r="D11" s="18" t="s">
        <v>1</v>
      </c>
      <c r="E11" s="18" t="s">
        <v>1</v>
      </c>
      <c r="F11" s="18" t="s">
        <v>1</v>
      </c>
      <c r="G11" s="18" t="s">
        <v>1</v>
      </c>
      <c r="H11" s="18" t="s">
        <v>1</v>
      </c>
      <c r="I11" s="18" t="s">
        <v>1</v>
      </c>
      <c r="J11" s="18" t="s">
        <v>1</v>
      </c>
    </row>
    <row r="12" customHeight="1" spans="1:10">
      <c r="A12" s="17" t="s">
        <v>9</v>
      </c>
      <c r="B12" s="18" t="s">
        <v>1</v>
      </c>
      <c r="C12" s="18" t="s">
        <v>1</v>
      </c>
      <c r="D12" s="18" t="s">
        <v>1</v>
      </c>
      <c r="E12" s="18" t="s">
        <v>1</v>
      </c>
      <c r="F12" s="18" t="s">
        <v>1</v>
      </c>
      <c r="G12" s="18" t="s">
        <v>1</v>
      </c>
      <c r="H12" s="18" t="s">
        <v>1</v>
      </c>
      <c r="I12" s="18" t="s">
        <v>1</v>
      </c>
      <c r="J12" s="18" t="s">
        <v>1</v>
      </c>
    </row>
    <row r="13" customHeight="1" spans="1:10">
      <c r="A13" s="17" t="s">
        <v>1</v>
      </c>
      <c r="B13" s="18" t="s">
        <v>1</v>
      </c>
      <c r="C13" s="18" t="s">
        <v>1</v>
      </c>
      <c r="D13" s="18" t="s">
        <v>1</v>
      </c>
      <c r="E13" s="18" t="s">
        <v>1</v>
      </c>
      <c r="F13" s="18" t="s">
        <v>1</v>
      </c>
      <c r="G13" s="18" t="s">
        <v>1</v>
      </c>
      <c r="H13" s="18" t="s">
        <v>1</v>
      </c>
      <c r="I13" s="18" t="s">
        <v>1</v>
      </c>
      <c r="J13" s="18" t="s">
        <v>1</v>
      </c>
    </row>
    <row r="14" customHeight="1" spans="1:10">
      <c r="A14" s="17" t="s">
        <v>10</v>
      </c>
      <c r="B14" s="18" t="s">
        <v>1</v>
      </c>
      <c r="C14" s="18" t="s">
        <v>1</v>
      </c>
      <c r="D14" s="18" t="s">
        <v>1</v>
      </c>
      <c r="E14" s="18" t="s">
        <v>1</v>
      </c>
      <c r="F14" s="18" t="s">
        <v>1</v>
      </c>
      <c r="G14" s="18" t="s">
        <v>1</v>
      </c>
      <c r="H14" s="18" t="s">
        <v>1</v>
      </c>
      <c r="I14" s="18" t="s">
        <v>1</v>
      </c>
      <c r="J14" s="18" t="s">
        <v>1</v>
      </c>
    </row>
    <row r="15" customHeight="1" spans="1:10">
      <c r="A15" s="17" t="s">
        <v>11</v>
      </c>
      <c r="B15" s="18" t="s">
        <v>1</v>
      </c>
      <c r="C15" s="18" t="s">
        <v>1</v>
      </c>
      <c r="D15" s="18" t="s">
        <v>1</v>
      </c>
      <c r="E15" s="18" t="s">
        <v>1</v>
      </c>
      <c r="F15" s="18" t="s">
        <v>1</v>
      </c>
      <c r="G15" s="18" t="s">
        <v>1</v>
      </c>
      <c r="H15" s="18" t="s">
        <v>1</v>
      </c>
      <c r="I15" s="18" t="s">
        <v>1</v>
      </c>
      <c r="J15" s="18" t="s">
        <v>1</v>
      </c>
    </row>
    <row r="16" customHeight="1" spans="1:10">
      <c r="A16" s="17" t="s">
        <v>12</v>
      </c>
      <c r="B16" s="18" t="s">
        <v>1</v>
      </c>
      <c r="C16" s="18" t="s">
        <v>1</v>
      </c>
      <c r="D16" s="18" t="s">
        <v>1</v>
      </c>
      <c r="E16" s="18" t="s">
        <v>1</v>
      </c>
      <c r="F16" s="18" t="s">
        <v>1</v>
      </c>
      <c r="G16" s="18" t="s">
        <v>1</v>
      </c>
      <c r="H16" s="18" t="s">
        <v>1</v>
      </c>
      <c r="I16" s="18" t="s">
        <v>1</v>
      </c>
      <c r="J16" s="18" t="s">
        <v>1</v>
      </c>
    </row>
    <row r="17" customHeight="1" spans="1:10">
      <c r="A17" s="17" t="s">
        <v>13</v>
      </c>
      <c r="B17" s="18" t="s">
        <v>1</v>
      </c>
      <c r="C17" s="18" t="s">
        <v>1</v>
      </c>
      <c r="D17" s="18" t="s">
        <v>1</v>
      </c>
      <c r="E17" s="18" t="s">
        <v>1</v>
      </c>
      <c r="F17" s="18" t="s">
        <v>1</v>
      </c>
      <c r="G17" s="18" t="s">
        <v>1</v>
      </c>
      <c r="H17" s="18" t="s">
        <v>1</v>
      </c>
      <c r="I17" s="18" t="s">
        <v>1</v>
      </c>
      <c r="J17" s="18" t="s">
        <v>1</v>
      </c>
    </row>
    <row r="18" customHeight="1" spans="1:10">
      <c r="A18" s="17" t="s">
        <v>1</v>
      </c>
      <c r="B18" s="18" t="s">
        <v>1</v>
      </c>
      <c r="C18" s="18" t="s">
        <v>1</v>
      </c>
      <c r="D18" s="18" t="s">
        <v>1</v>
      </c>
      <c r="E18" s="18" t="s">
        <v>1</v>
      </c>
      <c r="F18" s="18" t="s">
        <v>1</v>
      </c>
      <c r="G18" s="18" t="s">
        <v>1</v>
      </c>
      <c r="H18" s="18" t="s">
        <v>1</v>
      </c>
      <c r="I18" s="18" t="s">
        <v>1</v>
      </c>
      <c r="J18" s="18" t="s">
        <v>1</v>
      </c>
    </row>
    <row r="19" customHeight="1" spans="1:10">
      <c r="A19" s="19" t="s">
        <v>14</v>
      </c>
      <c r="B19" s="18" t="s">
        <v>1</v>
      </c>
      <c r="C19" s="18" t="s">
        <v>1</v>
      </c>
      <c r="D19" s="18" t="s">
        <v>1</v>
      </c>
      <c r="E19" s="18" t="s">
        <v>1</v>
      </c>
      <c r="F19" s="18" t="s">
        <v>1</v>
      </c>
      <c r="G19" s="18" t="s">
        <v>1</v>
      </c>
      <c r="H19" s="18" t="s">
        <v>1</v>
      </c>
      <c r="I19" s="18" t="s">
        <v>1</v>
      </c>
      <c r="J19" s="18" t="s">
        <v>1</v>
      </c>
    </row>
    <row r="20" ht="16.5" spans="1:10">
      <c r="A20" s="17" t="s">
        <v>1</v>
      </c>
      <c r="B20" s="18" t="s">
        <v>1</v>
      </c>
      <c r="C20" s="18" t="s">
        <v>1</v>
      </c>
      <c r="D20" s="18" t="s">
        <v>1</v>
      </c>
      <c r="E20" s="18" t="s">
        <v>1</v>
      </c>
      <c r="F20" s="18" t="s">
        <v>1</v>
      </c>
      <c r="G20" s="18" t="s">
        <v>1</v>
      </c>
      <c r="H20" s="18" t="s">
        <v>1</v>
      </c>
      <c r="I20" s="18" t="s">
        <v>1</v>
      </c>
      <c r="J20" s="18" t="s">
        <v>1</v>
      </c>
    </row>
    <row r="21" ht="20" customHeight="1" spans="1:10">
      <c r="A21" s="20" t="s">
        <v>15</v>
      </c>
      <c r="B21" s="18" t="s">
        <v>1</v>
      </c>
      <c r="C21" s="18" t="s">
        <v>1</v>
      </c>
      <c r="D21" s="18" t="s">
        <v>1</v>
      </c>
      <c r="E21" s="18" t="s">
        <v>1</v>
      </c>
      <c r="F21" s="18" t="s">
        <v>1</v>
      </c>
      <c r="G21" s="18" t="s">
        <v>1</v>
      </c>
      <c r="H21" s="18" t="s">
        <v>1</v>
      </c>
      <c r="I21" s="18" t="s">
        <v>1</v>
      </c>
      <c r="J21" s="18" t="s">
        <v>1</v>
      </c>
    </row>
    <row r="22" ht="24" customHeight="1" spans="1:10">
      <c r="A22" s="21" t="s">
        <v>16</v>
      </c>
      <c r="B22" s="22" t="s">
        <v>1</v>
      </c>
      <c r="C22" s="22" t="s">
        <v>1</v>
      </c>
      <c r="D22" s="22" t="s">
        <v>1</v>
      </c>
      <c r="E22" s="22" t="s">
        <v>1</v>
      </c>
      <c r="F22" s="22" t="s">
        <v>1</v>
      </c>
      <c r="G22" s="22" t="s">
        <v>1</v>
      </c>
      <c r="H22" s="22" t="s">
        <v>1</v>
      </c>
      <c r="I22" s="22" t="s">
        <v>1</v>
      </c>
      <c r="J22" s="22" t="s">
        <v>1</v>
      </c>
    </row>
    <row r="23" spans="1:10">
      <c r="A23" s="23" t="s">
        <v>1</v>
      </c>
      <c r="B23" s="22" t="s">
        <v>1</v>
      </c>
      <c r="C23" s="22" t="s">
        <v>1</v>
      </c>
      <c r="D23" s="22" t="s">
        <v>1</v>
      </c>
      <c r="E23" s="22" t="s">
        <v>1</v>
      </c>
      <c r="F23" s="22" t="s">
        <v>1</v>
      </c>
      <c r="G23" s="22" t="s">
        <v>1</v>
      </c>
      <c r="H23" s="22" t="s">
        <v>1</v>
      </c>
      <c r="I23" s="22" t="s">
        <v>1</v>
      </c>
      <c r="J23" s="22" t="s">
        <v>1</v>
      </c>
    </row>
    <row r="24" ht="16.5" spans="1:10">
      <c r="A24" s="24" t="s">
        <v>17</v>
      </c>
      <c r="B24" s="22" t="s">
        <v>1</v>
      </c>
      <c r="C24" s="22" t="s">
        <v>1</v>
      </c>
      <c r="D24" s="22" t="s">
        <v>1</v>
      </c>
      <c r="E24" s="22" t="s">
        <v>1</v>
      </c>
      <c r="F24" s="22" t="s">
        <v>1</v>
      </c>
      <c r="G24" s="22" t="s">
        <v>1</v>
      </c>
      <c r="H24" s="22" t="s">
        <v>1</v>
      </c>
      <c r="I24" s="22" t="s">
        <v>1</v>
      </c>
      <c r="J24" s="22" t="s">
        <v>1</v>
      </c>
    </row>
    <row r="25" ht="16.5" spans="1:10">
      <c r="A25" s="24" t="s">
        <v>18</v>
      </c>
      <c r="B25" s="22" t="s">
        <v>1</v>
      </c>
      <c r="C25" s="22" t="s">
        <v>1</v>
      </c>
      <c r="D25" s="22" t="s">
        <v>1</v>
      </c>
      <c r="E25" s="22" t="s">
        <v>1</v>
      </c>
      <c r="F25" s="22" t="s">
        <v>1</v>
      </c>
      <c r="G25" s="22" t="s">
        <v>1</v>
      </c>
      <c r="H25" s="22" t="s">
        <v>1</v>
      </c>
      <c r="I25" s="22" t="s">
        <v>1</v>
      </c>
      <c r="J25" s="22" t="s">
        <v>1</v>
      </c>
    </row>
    <row r="26" ht="16.5" spans="1:10">
      <c r="A26" s="24" t="s">
        <v>19</v>
      </c>
      <c r="B26" s="22" t="s">
        <v>1</v>
      </c>
      <c r="C26" s="22" t="s">
        <v>1</v>
      </c>
      <c r="D26" s="22" t="s">
        <v>1</v>
      </c>
      <c r="E26" s="22" t="s">
        <v>1</v>
      </c>
      <c r="F26" s="22" t="s">
        <v>1</v>
      </c>
      <c r="G26" s="22" t="s">
        <v>1</v>
      </c>
      <c r="H26" s="22" t="s">
        <v>1</v>
      </c>
      <c r="I26" s="22" t="s">
        <v>1</v>
      </c>
      <c r="J26" s="22" t="s">
        <v>1</v>
      </c>
    </row>
    <row r="27" ht="20" customHeight="1" spans="1:10">
      <c r="A27" s="25" t="s">
        <v>20</v>
      </c>
      <c r="B27" s="22" t="s">
        <v>1</v>
      </c>
      <c r="C27" s="22" t="s">
        <v>1</v>
      </c>
      <c r="D27" s="22" t="s">
        <v>1</v>
      </c>
      <c r="E27" s="22" t="s">
        <v>1</v>
      </c>
      <c r="F27" s="22" t="s">
        <v>1</v>
      </c>
      <c r="G27" s="22" t="s">
        <v>1</v>
      </c>
      <c r="H27" s="22" t="s">
        <v>1</v>
      </c>
      <c r="I27" s="22" t="s">
        <v>1</v>
      </c>
      <c r="J27" s="22" t="s">
        <v>1</v>
      </c>
    </row>
    <row r="28" spans="1:10">
      <c r="A28" s="23" t="s">
        <v>1</v>
      </c>
      <c r="B28" s="22" t="s">
        <v>1</v>
      </c>
      <c r="C28" s="22" t="s">
        <v>1</v>
      </c>
      <c r="D28" s="22" t="s">
        <v>1</v>
      </c>
      <c r="E28" s="22" t="s">
        <v>1</v>
      </c>
      <c r="F28" s="22" t="s">
        <v>1</v>
      </c>
      <c r="G28" s="22" t="s">
        <v>1</v>
      </c>
      <c r="H28" s="22" t="s">
        <v>1</v>
      </c>
      <c r="I28" s="22" t="s">
        <v>1</v>
      </c>
      <c r="J28" s="22" t="s">
        <v>1</v>
      </c>
    </row>
    <row r="29" ht="16.5" spans="1:10">
      <c r="A29" s="26" t="s">
        <v>21</v>
      </c>
      <c r="B29" s="22" t="s">
        <v>1</v>
      </c>
      <c r="C29" s="22" t="s">
        <v>1</v>
      </c>
      <c r="D29" s="22" t="s">
        <v>1</v>
      </c>
      <c r="E29" s="22" t="s">
        <v>1</v>
      </c>
      <c r="F29" s="22" t="s">
        <v>1</v>
      </c>
      <c r="G29" s="22" t="s">
        <v>1</v>
      </c>
      <c r="H29" s="22" t="s">
        <v>1</v>
      </c>
      <c r="I29" s="22" t="s">
        <v>1</v>
      </c>
      <c r="J29" s="22" t="s">
        <v>1</v>
      </c>
    </row>
    <row r="30" ht="16.5" spans="1:10">
      <c r="A30" s="27" t="s">
        <v>22</v>
      </c>
      <c r="B30" s="22" t="s">
        <v>1</v>
      </c>
      <c r="C30" s="22" t="s">
        <v>1</v>
      </c>
      <c r="D30" s="22" t="s">
        <v>1</v>
      </c>
      <c r="E30" s="22" t="s">
        <v>1</v>
      </c>
      <c r="F30" s="22" t="s">
        <v>1</v>
      </c>
      <c r="G30" s="22" t="s">
        <v>1</v>
      </c>
      <c r="H30" s="22" t="s">
        <v>1</v>
      </c>
      <c r="I30" s="22" t="s">
        <v>1</v>
      </c>
      <c r="J30" s="22" t="s">
        <v>1</v>
      </c>
    </row>
    <row r="31" ht="20" customHeight="1" spans="1:10">
      <c r="A31" s="25" t="s">
        <v>23</v>
      </c>
      <c r="B31" s="22" t="s">
        <v>1</v>
      </c>
      <c r="C31" s="22" t="s">
        <v>1</v>
      </c>
      <c r="D31" s="22" t="s">
        <v>1</v>
      </c>
      <c r="E31" s="22" t="s">
        <v>1</v>
      </c>
      <c r="F31" s="22" t="s">
        <v>1</v>
      </c>
      <c r="G31" s="22" t="s">
        <v>1</v>
      </c>
      <c r="H31" s="22" t="s">
        <v>1</v>
      </c>
      <c r="I31" s="22" t="s">
        <v>1</v>
      </c>
      <c r="J31" s="22" t="s">
        <v>1</v>
      </c>
    </row>
    <row r="32" spans="1:10">
      <c r="A32" s="23" t="s">
        <v>1</v>
      </c>
      <c r="B32" s="22" t="s">
        <v>1</v>
      </c>
      <c r="C32" s="22" t="s">
        <v>1</v>
      </c>
      <c r="D32" s="22" t="s">
        <v>1</v>
      </c>
      <c r="E32" s="22" t="s">
        <v>1</v>
      </c>
      <c r="F32" s="22" t="s">
        <v>1</v>
      </c>
      <c r="G32" s="22" t="s">
        <v>1</v>
      </c>
      <c r="H32" s="22" t="s">
        <v>1</v>
      </c>
      <c r="I32" s="22" t="s">
        <v>1</v>
      </c>
      <c r="J32" s="22" t="s">
        <v>1</v>
      </c>
    </row>
    <row r="33" ht="16.5" spans="1:10">
      <c r="A33" s="26" t="s">
        <v>24</v>
      </c>
      <c r="B33" s="22" t="s">
        <v>1</v>
      </c>
      <c r="C33" s="22" t="s">
        <v>1</v>
      </c>
      <c r="D33" s="22" t="s">
        <v>1</v>
      </c>
      <c r="E33" s="22" t="s">
        <v>1</v>
      </c>
      <c r="F33" s="22" t="s">
        <v>1</v>
      </c>
      <c r="G33" s="22" t="s">
        <v>1</v>
      </c>
      <c r="H33" s="22" t="s">
        <v>1</v>
      </c>
      <c r="I33" s="22" t="s">
        <v>1</v>
      </c>
      <c r="J33" s="22" t="s">
        <v>1</v>
      </c>
    </row>
    <row r="34" ht="16.5" spans="1:10">
      <c r="A34" s="27" t="s">
        <v>25</v>
      </c>
      <c r="B34" s="22" t="s">
        <v>1</v>
      </c>
      <c r="C34" s="22" t="s">
        <v>1</v>
      </c>
      <c r="D34" s="22" t="s">
        <v>1</v>
      </c>
      <c r="E34" s="22" t="s">
        <v>1</v>
      </c>
      <c r="F34" s="22" t="s">
        <v>1</v>
      </c>
      <c r="G34" s="22" t="s">
        <v>1</v>
      </c>
      <c r="H34" s="22" t="s">
        <v>1</v>
      </c>
      <c r="I34" s="22" t="s">
        <v>1</v>
      </c>
      <c r="J34" s="22" t="s">
        <v>1</v>
      </c>
    </row>
    <row r="35" ht="16.5" spans="1:10">
      <c r="A35" s="26" t="s">
        <v>26</v>
      </c>
      <c r="B35" s="22" t="s">
        <v>1</v>
      </c>
      <c r="C35" s="22" t="s">
        <v>1</v>
      </c>
      <c r="D35" s="22" t="s">
        <v>1</v>
      </c>
      <c r="E35" s="22" t="s">
        <v>1</v>
      </c>
      <c r="F35" s="22" t="s">
        <v>1</v>
      </c>
      <c r="G35" s="22" t="s">
        <v>1</v>
      </c>
      <c r="H35" s="22" t="s">
        <v>1</v>
      </c>
      <c r="I35" s="22" t="s">
        <v>1</v>
      </c>
      <c r="J35" s="22" t="s">
        <v>1</v>
      </c>
    </row>
    <row r="36" ht="18" customHeight="1" spans="1:10">
      <c r="A36" s="28" t="s">
        <v>27</v>
      </c>
      <c r="B36" s="29" t="s">
        <v>28</v>
      </c>
      <c r="C36" s="29" t="s">
        <v>29</v>
      </c>
      <c r="D36" s="29" t="s">
        <v>30</v>
      </c>
      <c r="E36" s="22" t="s">
        <v>1</v>
      </c>
      <c r="F36" s="22" t="s">
        <v>1</v>
      </c>
      <c r="G36" s="22" t="s">
        <v>1</v>
      </c>
      <c r="H36" s="22" t="s">
        <v>1</v>
      </c>
      <c r="I36" s="22" t="s">
        <v>1</v>
      </c>
      <c r="J36" s="22" t="s">
        <v>1</v>
      </c>
    </row>
    <row r="37" ht="14.5" spans="1:10">
      <c r="A37" s="30" t="s">
        <v>31</v>
      </c>
      <c r="B37" s="31" t="s">
        <v>32</v>
      </c>
      <c r="C37" s="31" t="s">
        <v>32</v>
      </c>
      <c r="D37" s="31" t="s">
        <v>32</v>
      </c>
      <c r="E37" s="22" t="s">
        <v>1</v>
      </c>
      <c r="F37" s="22" t="s">
        <v>1</v>
      </c>
      <c r="G37" s="22" t="s">
        <v>1</v>
      </c>
      <c r="H37" s="22" t="s">
        <v>1</v>
      </c>
      <c r="I37" s="22" t="s">
        <v>1</v>
      </c>
      <c r="J37" s="22" t="s">
        <v>1</v>
      </c>
    </row>
    <row r="38" ht="14.5" spans="1:10">
      <c r="A38" s="30" t="s">
        <v>33</v>
      </c>
      <c r="B38" s="31" t="s">
        <v>32</v>
      </c>
      <c r="C38" s="31" t="s">
        <v>32</v>
      </c>
      <c r="D38" s="31" t="s">
        <v>34</v>
      </c>
    </row>
    <row r="39" ht="29" spans="1:10">
      <c r="A39" s="30" t="s">
        <v>35</v>
      </c>
      <c r="B39" s="31" t="s">
        <v>32</v>
      </c>
      <c r="C39" s="30" t="s">
        <v>36</v>
      </c>
      <c r="D39" s="31" t="s">
        <v>37</v>
      </c>
    </row>
    <row r="40" ht="30" customHeight="1" spans="1:10">
      <c r="A40" s="30" t="s">
        <v>38</v>
      </c>
      <c r="B40" s="30" t="s">
        <v>39</v>
      </c>
      <c r="C40" s="30" t="s">
        <v>40</v>
      </c>
      <c r="D40" s="31" t="s">
        <v>41</v>
      </c>
      <c r="E40" s="22" t="s">
        <v>1</v>
      </c>
      <c r="F40" s="22" t="s">
        <v>1</v>
      </c>
      <c r="G40" s="22" t="s">
        <v>1</v>
      </c>
      <c r="H40" s="22" t="s">
        <v>1</v>
      </c>
      <c r="I40" s="22" t="s">
        <v>1</v>
      </c>
      <c r="J40" s="22" t="s">
        <v>1</v>
      </c>
    </row>
    <row r="41" ht="30" customHeight="1" spans="1:10">
      <c r="A41" s="30" t="s">
        <v>42</v>
      </c>
      <c r="B41" s="30" t="s">
        <v>39</v>
      </c>
      <c r="C41" s="30" t="s">
        <v>39</v>
      </c>
      <c r="D41" s="31" t="s">
        <v>43</v>
      </c>
      <c r="E41" s="22" t="s">
        <v>1</v>
      </c>
      <c r="F41" s="22" t="s">
        <v>1</v>
      </c>
      <c r="G41" s="22" t="s">
        <v>1</v>
      </c>
      <c r="H41" s="22" t="s">
        <v>1</v>
      </c>
      <c r="I41" s="22" t="s">
        <v>1</v>
      </c>
      <c r="J41" s="22" t="s">
        <v>1</v>
      </c>
    </row>
    <row r="42" ht="30" customHeight="1" spans="1:10">
      <c r="A42" s="30" t="s">
        <v>44</v>
      </c>
      <c r="B42" s="30" t="s">
        <v>39</v>
      </c>
      <c r="C42" s="30" t="s">
        <v>39</v>
      </c>
      <c r="D42" s="31" t="s">
        <v>39</v>
      </c>
      <c r="E42" s="22" t="s">
        <v>1</v>
      </c>
      <c r="F42" s="22" t="s">
        <v>1</v>
      </c>
      <c r="G42" s="22" t="s">
        <v>1</v>
      </c>
      <c r="H42" s="22" t="s">
        <v>1</v>
      </c>
      <c r="I42" s="22" t="s">
        <v>1</v>
      </c>
      <c r="J42" s="22" t="s">
        <v>1</v>
      </c>
    </row>
    <row r="43" spans="1:10">
      <c r="A43" s="23" t="s">
        <v>1</v>
      </c>
      <c r="B43" s="22" t="s">
        <v>1</v>
      </c>
      <c r="C43" s="22" t="s">
        <v>1</v>
      </c>
      <c r="D43" s="22" t="s">
        <v>1</v>
      </c>
      <c r="E43" s="22" t="s">
        <v>1</v>
      </c>
      <c r="F43" s="22" t="s">
        <v>1</v>
      </c>
      <c r="G43" s="22" t="s">
        <v>1</v>
      </c>
      <c r="H43" s="22" t="s">
        <v>1</v>
      </c>
      <c r="I43" s="22" t="s">
        <v>1</v>
      </c>
      <c r="J43" s="22" t="s">
        <v>1</v>
      </c>
    </row>
    <row r="44" ht="16.5" spans="1:10">
      <c r="A44" s="26" t="s">
        <v>45</v>
      </c>
      <c r="B44" s="22" t="s">
        <v>1</v>
      </c>
      <c r="C44" s="22" t="s">
        <v>1</v>
      </c>
      <c r="D44" s="22" t="s">
        <v>1</v>
      </c>
      <c r="E44" s="22" t="s">
        <v>1</v>
      </c>
      <c r="F44" s="22" t="s">
        <v>1</v>
      </c>
      <c r="G44" s="22" t="s">
        <v>1</v>
      </c>
      <c r="H44" s="22" t="s">
        <v>1</v>
      </c>
      <c r="I44" s="22" t="s">
        <v>1</v>
      </c>
      <c r="J44" s="22" t="s">
        <v>1</v>
      </c>
    </row>
    <row r="45" ht="16.5" spans="1:10">
      <c r="A45" s="27" t="s">
        <v>46</v>
      </c>
      <c r="B45" s="22" t="s">
        <v>1</v>
      </c>
      <c r="C45" s="22" t="s">
        <v>1</v>
      </c>
      <c r="D45" s="22" t="s">
        <v>1</v>
      </c>
      <c r="E45" s="22" t="s">
        <v>1</v>
      </c>
      <c r="F45" s="22" t="s">
        <v>1</v>
      </c>
      <c r="G45" s="22" t="s">
        <v>1</v>
      </c>
      <c r="H45" s="22" t="s">
        <v>1</v>
      </c>
      <c r="I45" s="22" t="s">
        <v>1</v>
      </c>
      <c r="J45" s="22" t="s">
        <v>1</v>
      </c>
    </row>
    <row r="46" ht="20" customHeight="1" spans="1:10">
      <c r="A46" s="25" t="s">
        <v>47</v>
      </c>
      <c r="B46" s="22" t="s">
        <v>1</v>
      </c>
      <c r="C46" s="22" t="s">
        <v>1</v>
      </c>
      <c r="D46" s="22" t="s">
        <v>1</v>
      </c>
      <c r="E46" s="22" t="s">
        <v>1</v>
      </c>
      <c r="F46" s="22" t="s">
        <v>1</v>
      </c>
      <c r="G46" s="22" t="s">
        <v>1</v>
      </c>
      <c r="H46" s="22" t="s">
        <v>1</v>
      </c>
      <c r="I46" s="22" t="s">
        <v>1</v>
      </c>
      <c r="J46" s="22" t="s">
        <v>1</v>
      </c>
    </row>
    <row r="47" spans="1:10">
      <c r="A47" s="23" t="s">
        <v>1</v>
      </c>
      <c r="B47" s="22" t="s">
        <v>1</v>
      </c>
      <c r="C47" s="22" t="s">
        <v>1</v>
      </c>
      <c r="D47" s="22" t="s">
        <v>1</v>
      </c>
      <c r="E47" s="22" t="s">
        <v>1</v>
      </c>
      <c r="F47" s="22" t="s">
        <v>1</v>
      </c>
      <c r="G47" s="22" t="s">
        <v>1</v>
      </c>
      <c r="H47" s="22" t="s">
        <v>1</v>
      </c>
      <c r="I47" s="22" t="s">
        <v>1</v>
      </c>
      <c r="J47" s="22" t="s">
        <v>1</v>
      </c>
    </row>
    <row r="48" ht="16.5" spans="1:10">
      <c r="A48" s="26" t="s">
        <v>48</v>
      </c>
      <c r="B48" s="22" t="s">
        <v>1</v>
      </c>
      <c r="C48" s="22" t="s">
        <v>1</v>
      </c>
      <c r="D48" s="22" t="s">
        <v>1</v>
      </c>
      <c r="E48" s="22" t="s">
        <v>1</v>
      </c>
      <c r="F48" s="22" t="s">
        <v>1</v>
      </c>
      <c r="G48" s="22" t="s">
        <v>1</v>
      </c>
      <c r="H48" s="22" t="s">
        <v>1</v>
      </c>
      <c r="I48" s="22" t="s">
        <v>1</v>
      </c>
      <c r="J48" s="22" t="s">
        <v>1</v>
      </c>
    </row>
    <row r="49" ht="16.5" spans="1:10">
      <c r="A49" s="27" t="s">
        <v>49</v>
      </c>
      <c r="B49" s="22" t="s">
        <v>1</v>
      </c>
      <c r="C49" s="22" t="s">
        <v>1</v>
      </c>
      <c r="D49" s="22" t="s">
        <v>1</v>
      </c>
      <c r="E49" s="22" t="s">
        <v>1</v>
      </c>
      <c r="F49" s="22" t="s">
        <v>1</v>
      </c>
      <c r="G49" s="22" t="s">
        <v>1</v>
      </c>
      <c r="H49" s="22" t="s">
        <v>1</v>
      </c>
      <c r="I49" s="22" t="s">
        <v>1</v>
      </c>
      <c r="J49" s="22" t="s">
        <v>1</v>
      </c>
    </row>
    <row r="50" ht="16.5" spans="1:10">
      <c r="A50" s="26" t="s">
        <v>50</v>
      </c>
      <c r="B50" s="22" t="s">
        <v>1</v>
      </c>
      <c r="C50" s="22" t="s">
        <v>1</v>
      </c>
      <c r="D50" s="22" t="s">
        <v>1</v>
      </c>
      <c r="E50" s="22" t="s">
        <v>1</v>
      </c>
      <c r="F50" s="22" t="s">
        <v>1</v>
      </c>
      <c r="G50" s="22" t="s">
        <v>1</v>
      </c>
      <c r="H50" s="22" t="s">
        <v>1</v>
      </c>
      <c r="I50" s="22" t="s">
        <v>1</v>
      </c>
      <c r="J50" s="22" t="s">
        <v>1</v>
      </c>
    </row>
    <row r="51" ht="20" customHeight="1" spans="1:10">
      <c r="A51" s="25" t="s">
        <v>51</v>
      </c>
      <c r="B51" s="22" t="s">
        <v>1</v>
      </c>
      <c r="C51" s="22" t="s">
        <v>1</v>
      </c>
      <c r="D51" s="22" t="s">
        <v>1</v>
      </c>
      <c r="E51" s="22" t="s">
        <v>1</v>
      </c>
      <c r="F51" s="22" t="s">
        <v>1</v>
      </c>
      <c r="G51" s="22" t="s">
        <v>1</v>
      </c>
      <c r="H51" s="22" t="s">
        <v>1</v>
      </c>
      <c r="I51" s="22" t="s">
        <v>1</v>
      </c>
      <c r="J51" s="22" t="s">
        <v>1</v>
      </c>
    </row>
    <row r="52" spans="1:10">
      <c r="A52" s="23" t="s">
        <v>1</v>
      </c>
      <c r="B52" s="22" t="s">
        <v>1</v>
      </c>
      <c r="C52" s="22" t="s">
        <v>1</v>
      </c>
      <c r="D52" s="22" t="s">
        <v>1</v>
      </c>
      <c r="E52" s="22" t="s">
        <v>1</v>
      </c>
      <c r="F52" s="22" t="s">
        <v>1</v>
      </c>
      <c r="G52" s="22" t="s">
        <v>1</v>
      </c>
      <c r="H52" s="22" t="s">
        <v>1</v>
      </c>
      <c r="I52" s="22" t="s">
        <v>1</v>
      </c>
      <c r="J52" s="22" t="s">
        <v>1</v>
      </c>
    </row>
    <row r="53" ht="16.5" spans="1:10">
      <c r="A53" s="27" t="s">
        <v>52</v>
      </c>
      <c r="B53" s="22" t="s">
        <v>1</v>
      </c>
      <c r="C53" s="22" t="s">
        <v>1</v>
      </c>
      <c r="D53" s="22" t="s">
        <v>1</v>
      </c>
      <c r="E53" s="22" t="s">
        <v>1</v>
      </c>
      <c r="F53" s="22" t="s">
        <v>1</v>
      </c>
      <c r="G53" s="22" t="s">
        <v>1</v>
      </c>
      <c r="H53" s="22" t="s">
        <v>1</v>
      </c>
      <c r="I53" s="22" t="s">
        <v>1</v>
      </c>
      <c r="J53" s="22" t="s">
        <v>1</v>
      </c>
    </row>
    <row r="54" ht="16.5" spans="1:10">
      <c r="A54" s="26" t="s">
        <v>53</v>
      </c>
      <c r="B54" s="22" t="s">
        <v>1</v>
      </c>
      <c r="C54" s="22" t="s">
        <v>1</v>
      </c>
      <c r="D54" s="22" t="s">
        <v>1</v>
      </c>
      <c r="E54" s="22" t="s">
        <v>1</v>
      </c>
      <c r="F54" s="22" t="s">
        <v>1</v>
      </c>
      <c r="G54" s="22" t="s">
        <v>1</v>
      </c>
      <c r="H54" s="22" t="s">
        <v>1</v>
      </c>
      <c r="I54" s="22" t="s">
        <v>1</v>
      </c>
      <c r="J54" s="22" t="s">
        <v>1</v>
      </c>
    </row>
    <row r="55" ht="18" customHeight="1" spans="1:10">
      <c r="A55" s="28" t="s">
        <v>54</v>
      </c>
      <c r="B55" s="29" t="s">
        <v>55</v>
      </c>
      <c r="C55" s="22" t="s">
        <v>1</v>
      </c>
      <c r="D55" s="22" t="s">
        <v>1</v>
      </c>
      <c r="E55" s="22" t="s">
        <v>1</v>
      </c>
      <c r="F55" s="22" t="s">
        <v>1</v>
      </c>
      <c r="G55" s="22" t="s">
        <v>1</v>
      </c>
      <c r="H55" s="22" t="s">
        <v>1</v>
      </c>
      <c r="I55" s="22" t="s">
        <v>1</v>
      </c>
      <c r="J55" s="22" t="s">
        <v>1</v>
      </c>
    </row>
    <row r="56" ht="14.5" spans="1:10">
      <c r="A56" s="30" t="s">
        <v>56</v>
      </c>
      <c r="B56" s="31" t="s">
        <v>57</v>
      </c>
    </row>
    <row r="57" ht="14.5" spans="1:10">
      <c r="A57" s="30" t="s">
        <v>58</v>
      </c>
      <c r="B57" s="31" t="s">
        <v>59</v>
      </c>
      <c r="C57" s="22" t="s">
        <v>1</v>
      </c>
      <c r="D57" s="22" t="s">
        <v>1</v>
      </c>
      <c r="E57" s="22" t="s">
        <v>1</v>
      </c>
      <c r="F57" s="22" t="s">
        <v>1</v>
      </c>
      <c r="G57" s="22" t="s">
        <v>1</v>
      </c>
      <c r="H57" s="22" t="s">
        <v>1</v>
      </c>
      <c r="I57" s="22" t="s">
        <v>1</v>
      </c>
      <c r="J57" s="22" t="s">
        <v>1</v>
      </c>
    </row>
    <row r="58" spans="1:10">
      <c r="A58" s="23" t="s">
        <v>1</v>
      </c>
      <c r="B58" s="22" t="s">
        <v>1</v>
      </c>
      <c r="C58" s="22" t="s">
        <v>1</v>
      </c>
      <c r="D58" s="22" t="s">
        <v>1</v>
      </c>
      <c r="E58" s="22" t="s">
        <v>1</v>
      </c>
      <c r="F58" s="22" t="s">
        <v>1</v>
      </c>
      <c r="G58" s="22" t="s">
        <v>1</v>
      </c>
      <c r="H58" s="22" t="s">
        <v>1</v>
      </c>
      <c r="I58" s="22" t="s">
        <v>1</v>
      </c>
      <c r="J58" s="22" t="s">
        <v>1</v>
      </c>
    </row>
    <row r="59" ht="20" customHeight="1" spans="1:10">
      <c r="A59" s="25" t="s">
        <v>60</v>
      </c>
      <c r="B59" s="22" t="s">
        <v>1</v>
      </c>
      <c r="C59" s="22" t="s">
        <v>1</v>
      </c>
      <c r="D59" s="22" t="s">
        <v>1</v>
      </c>
      <c r="E59" s="22" t="s">
        <v>1</v>
      </c>
      <c r="F59" s="22" t="s">
        <v>1</v>
      </c>
      <c r="G59" s="22" t="s">
        <v>1</v>
      </c>
      <c r="H59" s="22" t="s">
        <v>1</v>
      </c>
      <c r="I59" s="22" t="s">
        <v>1</v>
      </c>
      <c r="J59" s="22" t="s">
        <v>1</v>
      </c>
    </row>
    <row r="60" spans="1:10">
      <c r="A60" s="23" t="s">
        <v>1</v>
      </c>
      <c r="B60" s="22" t="s">
        <v>1</v>
      </c>
      <c r="C60" s="22" t="s">
        <v>1</v>
      </c>
      <c r="D60" s="22" t="s">
        <v>1</v>
      </c>
      <c r="E60" s="22" t="s">
        <v>1</v>
      </c>
      <c r="F60" s="22" t="s">
        <v>1</v>
      </c>
      <c r="G60" s="22" t="s">
        <v>1</v>
      </c>
      <c r="H60" s="22" t="s">
        <v>1</v>
      </c>
      <c r="I60" s="22" t="s">
        <v>1</v>
      </c>
      <c r="J60" s="22" t="s">
        <v>1</v>
      </c>
    </row>
    <row r="61" ht="18" customHeight="1" spans="1:10">
      <c r="A61" s="28" t="s">
        <v>61</v>
      </c>
      <c r="B61" s="29" t="s">
        <v>56</v>
      </c>
      <c r="C61" s="22" t="s">
        <v>1</v>
      </c>
      <c r="D61" s="22" t="s">
        <v>1</v>
      </c>
      <c r="E61" s="22" t="s">
        <v>1</v>
      </c>
      <c r="F61" s="22" t="s">
        <v>1</v>
      </c>
      <c r="G61" s="22" t="s">
        <v>1</v>
      </c>
      <c r="H61" s="22" t="s">
        <v>1</v>
      </c>
      <c r="I61" s="22" t="s">
        <v>1</v>
      </c>
      <c r="J61" s="22" t="s">
        <v>1</v>
      </c>
    </row>
    <row r="62" ht="14.5" spans="1:10">
      <c r="A62" s="30" t="s">
        <v>62</v>
      </c>
      <c r="B62" s="31" t="s">
        <v>63</v>
      </c>
      <c r="C62" s="22" t="s">
        <v>1</v>
      </c>
      <c r="D62" s="22" t="s">
        <v>1</v>
      </c>
      <c r="E62" s="22" t="s">
        <v>1</v>
      </c>
      <c r="F62" s="22" t="s">
        <v>1</v>
      </c>
      <c r="G62" s="22" t="s">
        <v>1</v>
      </c>
      <c r="H62" s="22" t="s">
        <v>1</v>
      </c>
      <c r="I62" s="22" t="s">
        <v>1</v>
      </c>
      <c r="J62" s="22" t="s">
        <v>1</v>
      </c>
    </row>
    <row r="63" ht="14.5" spans="1:10">
      <c r="A63" s="30" t="s">
        <v>64</v>
      </c>
      <c r="B63" s="31" t="s">
        <v>65</v>
      </c>
      <c r="C63" s="22" t="s">
        <v>1</v>
      </c>
      <c r="D63" s="22" t="s">
        <v>1</v>
      </c>
      <c r="E63" s="22" t="s">
        <v>1</v>
      </c>
      <c r="F63" s="22" t="s">
        <v>1</v>
      </c>
      <c r="G63" s="22" t="s">
        <v>1</v>
      </c>
      <c r="H63" s="22" t="s">
        <v>1</v>
      </c>
      <c r="I63" s="22" t="s">
        <v>1</v>
      </c>
      <c r="J63" s="22" t="s">
        <v>1</v>
      </c>
    </row>
    <row r="64" ht="14.5" spans="1:10">
      <c r="A64" s="30" t="s">
        <v>66</v>
      </c>
      <c r="B64" s="31" t="s">
        <v>67</v>
      </c>
    </row>
    <row r="65" ht="14.5" spans="1:10">
      <c r="A65" s="30" t="s">
        <v>68</v>
      </c>
      <c r="B65" s="31" t="s">
        <v>69</v>
      </c>
      <c r="C65" s="22" t="s">
        <v>1</v>
      </c>
      <c r="D65" s="22" t="s">
        <v>1</v>
      </c>
      <c r="E65" s="22" t="s">
        <v>1</v>
      </c>
      <c r="F65" s="22" t="s">
        <v>1</v>
      </c>
      <c r="G65" s="22" t="s">
        <v>1</v>
      </c>
      <c r="H65" s="22" t="s">
        <v>1</v>
      </c>
      <c r="I65" s="22" t="s">
        <v>1</v>
      </c>
      <c r="J65" s="22" t="s">
        <v>1</v>
      </c>
    </row>
    <row r="66" ht="14.5" spans="1:10">
      <c r="A66" s="30" t="s">
        <v>70</v>
      </c>
      <c r="B66" s="31" t="s">
        <v>71</v>
      </c>
      <c r="C66" s="22" t="s">
        <v>1</v>
      </c>
      <c r="D66" s="22" t="s">
        <v>1</v>
      </c>
      <c r="E66" s="22" t="s">
        <v>1</v>
      </c>
      <c r="F66" s="22" t="s">
        <v>1</v>
      </c>
      <c r="G66" s="22" t="s">
        <v>1</v>
      </c>
      <c r="H66" s="22" t="s">
        <v>1</v>
      </c>
      <c r="I66" s="22" t="s">
        <v>1</v>
      </c>
      <c r="J66" s="22" t="s">
        <v>1</v>
      </c>
    </row>
    <row r="67" ht="14.5" spans="1:10">
      <c r="A67" s="30" t="s">
        <v>72</v>
      </c>
      <c r="B67" s="31" t="s">
        <v>73</v>
      </c>
      <c r="C67" s="22" t="s">
        <v>1</v>
      </c>
      <c r="D67" s="22" t="s">
        <v>1</v>
      </c>
      <c r="E67" s="22" t="s">
        <v>1</v>
      </c>
      <c r="F67" s="22" t="s">
        <v>1</v>
      </c>
      <c r="G67" s="22" t="s">
        <v>1</v>
      </c>
      <c r="H67" s="22" t="s">
        <v>1</v>
      </c>
      <c r="I67" s="22" t="s">
        <v>1</v>
      </c>
      <c r="J67" s="22" t="s">
        <v>1</v>
      </c>
    </row>
    <row r="68" ht="14.5" spans="1:10">
      <c r="A68" s="30" t="s">
        <v>74</v>
      </c>
      <c r="B68" s="31" t="s">
        <v>71</v>
      </c>
      <c r="C68" s="22" t="s">
        <v>1</v>
      </c>
      <c r="D68" s="22" t="s">
        <v>1</v>
      </c>
      <c r="E68" s="22" t="s">
        <v>1</v>
      </c>
      <c r="F68" s="22" t="s">
        <v>1</v>
      </c>
      <c r="G68" s="22" t="s">
        <v>1</v>
      </c>
      <c r="H68" s="22" t="s">
        <v>1</v>
      </c>
      <c r="I68" s="22" t="s">
        <v>1</v>
      </c>
      <c r="J68" s="22" t="s">
        <v>1</v>
      </c>
    </row>
  </sheetData>
  <mergeCells count="22">
    <mergeCell ref="A1:D1"/>
    <mergeCell ref="A5:C5"/>
    <mergeCell ref="A14:C14"/>
    <mergeCell ref="A19:M19"/>
    <mergeCell ref="A24:D24"/>
    <mergeCell ref="A29:D29"/>
    <mergeCell ref="A30:P30"/>
    <mergeCell ref="A33:D33"/>
    <mergeCell ref="A34:R34"/>
    <mergeCell ref="D40:E40"/>
    <mergeCell ref="D41:E41"/>
    <mergeCell ref="D42:E42"/>
    <mergeCell ref="A44:C44"/>
    <mergeCell ref="A45:J45"/>
    <mergeCell ref="A49:M49"/>
    <mergeCell ref="A53:L53"/>
    <mergeCell ref="B57:T57"/>
    <mergeCell ref="B63:D63"/>
    <mergeCell ref="B65:C65"/>
    <mergeCell ref="B66:C66"/>
    <mergeCell ref="B67:E67"/>
    <mergeCell ref="B68:C6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"/>
  <sheetViews>
    <sheetView tabSelected="1" workbookViewId="0">
      <selection activeCell="B63" sqref="B63"/>
    </sheetView>
  </sheetViews>
  <sheetFormatPr defaultColWidth="8.72727272727273" defaultRowHeight="14"/>
  <cols>
    <col min="1" max="1" width="20.6363636363636" customWidth="1"/>
    <col min="2" max="10" width="13.6363636363636" customWidth="1"/>
  </cols>
  <sheetData>
    <row r="1" customHeight="1" spans="1:10">
      <c r="A1" s="1" t="s">
        <v>75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2" t="s">
        <v>1</v>
      </c>
      <c r="I1" s="2" t="s">
        <v>1</v>
      </c>
      <c r="J1" s="2" t="s">
        <v>1</v>
      </c>
    </row>
    <row r="2" ht="16.5" spans="1:10">
      <c r="A2" s="3" t="s">
        <v>76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 ht="16.5" spans="1:10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2" t="s">
        <v>1</v>
      </c>
      <c r="H3" s="2" t="s">
        <v>1</v>
      </c>
      <c r="I3" s="2" t="s">
        <v>1</v>
      </c>
      <c r="J3" s="2" t="s">
        <v>1</v>
      </c>
    </row>
    <row r="4" customHeight="1" spans="1:10">
      <c r="A4" s="5" t="s">
        <v>77</v>
      </c>
      <c r="B4" s="5">
        <f>SUM(B6:B11)</f>
        <v>20</v>
      </c>
      <c r="C4" s="5">
        <f>SUM(C6:C11)</f>
        <v>20</v>
      </c>
      <c r="D4" s="5">
        <f>SUM(D6:D11)</f>
        <v>20</v>
      </c>
      <c r="E4" s="5">
        <f>SUM(E6:E11)</f>
        <v>20</v>
      </c>
      <c r="F4" s="5">
        <f>SUM(F6:F11)</f>
        <v>20</v>
      </c>
      <c r="G4" s="6" t="s">
        <v>1</v>
      </c>
      <c r="H4" s="2" t="s">
        <v>1</v>
      </c>
      <c r="I4" s="2" t="s">
        <v>1</v>
      </c>
      <c r="J4" s="2" t="s">
        <v>1</v>
      </c>
    </row>
    <row r="5" ht="16.5" spans="1:10">
      <c r="A5" s="4" t="s">
        <v>78</v>
      </c>
      <c r="B5" s="7" t="s">
        <v>79</v>
      </c>
      <c r="C5" s="7" t="s">
        <v>80</v>
      </c>
      <c r="D5" s="7" t="s">
        <v>81</v>
      </c>
      <c r="E5" s="7" t="s">
        <v>82</v>
      </c>
      <c r="F5" s="7" t="s">
        <v>83</v>
      </c>
      <c r="G5" s="2" t="s">
        <v>1</v>
      </c>
      <c r="H5" s="2" t="s">
        <v>1</v>
      </c>
      <c r="I5" s="2" t="s">
        <v>1</v>
      </c>
      <c r="J5" s="2" t="s">
        <v>1</v>
      </c>
    </row>
    <row r="6" ht="16.5" spans="1:10">
      <c r="A6" s="4" t="s">
        <v>84</v>
      </c>
      <c r="B6" s="8">
        <v>4</v>
      </c>
      <c r="C6" s="8">
        <v>4</v>
      </c>
      <c r="D6" s="8">
        <v>4</v>
      </c>
      <c r="E6" s="8">
        <v>4</v>
      </c>
      <c r="F6" s="8">
        <v>4</v>
      </c>
      <c r="G6" s="2" t="s">
        <v>1</v>
      </c>
      <c r="H6" s="2" t="s">
        <v>1</v>
      </c>
      <c r="I6" s="2" t="s">
        <v>1</v>
      </c>
      <c r="J6" s="2" t="s">
        <v>1</v>
      </c>
    </row>
    <row r="7" ht="16.5" spans="1:10">
      <c r="A7" s="4" t="s">
        <v>85</v>
      </c>
      <c r="B7" s="8">
        <v>4</v>
      </c>
      <c r="C7" s="8">
        <v>4</v>
      </c>
      <c r="D7" s="8">
        <v>4</v>
      </c>
      <c r="E7" s="8">
        <v>4</v>
      </c>
      <c r="F7" s="8">
        <v>4</v>
      </c>
      <c r="G7" s="2" t="s">
        <v>1</v>
      </c>
      <c r="H7" s="2" t="s">
        <v>1</v>
      </c>
      <c r="I7" s="2" t="s">
        <v>1</v>
      </c>
      <c r="J7" s="2" t="s">
        <v>1</v>
      </c>
    </row>
    <row r="8" ht="16.5" spans="1:10">
      <c r="A8" s="4" t="s">
        <v>86</v>
      </c>
      <c r="B8" s="8">
        <v>4</v>
      </c>
      <c r="C8" s="8">
        <v>4</v>
      </c>
      <c r="D8" s="8">
        <v>4</v>
      </c>
      <c r="E8" s="8">
        <v>4</v>
      </c>
      <c r="F8" s="8">
        <v>4</v>
      </c>
      <c r="G8" s="2" t="s">
        <v>1</v>
      </c>
      <c r="H8" s="2" t="s">
        <v>1</v>
      </c>
      <c r="I8" s="2" t="s">
        <v>1</v>
      </c>
      <c r="J8" s="2" t="s">
        <v>1</v>
      </c>
    </row>
    <row r="9" ht="16.5" spans="1:10">
      <c r="A9" s="4" t="s">
        <v>87</v>
      </c>
      <c r="B9" s="8">
        <v>4</v>
      </c>
      <c r="C9" s="8">
        <v>4</v>
      </c>
      <c r="D9" s="8">
        <v>4</v>
      </c>
      <c r="E9" s="8">
        <v>4</v>
      </c>
      <c r="F9" s="8">
        <v>4</v>
      </c>
      <c r="G9" s="2" t="s">
        <v>1</v>
      </c>
      <c r="H9" s="2" t="s">
        <v>1</v>
      </c>
      <c r="I9" s="2" t="s">
        <v>1</v>
      </c>
      <c r="J9" s="2" t="s">
        <v>1</v>
      </c>
    </row>
    <row r="10" ht="16.5" spans="1:10">
      <c r="A10" s="4" t="s">
        <v>88</v>
      </c>
      <c r="B10" s="8">
        <v>4</v>
      </c>
      <c r="C10" s="8">
        <v>4</v>
      </c>
      <c r="D10" s="8">
        <v>4</v>
      </c>
      <c r="E10" s="8">
        <v>4</v>
      </c>
      <c r="F10" s="8">
        <v>4</v>
      </c>
      <c r="G10" s="2" t="s">
        <v>1</v>
      </c>
      <c r="H10" s="2" t="s">
        <v>1</v>
      </c>
      <c r="I10" s="2" t="s">
        <v>1</v>
      </c>
      <c r="J10" s="2" t="s">
        <v>1</v>
      </c>
    </row>
    <row r="11" ht="16.5" spans="1:10">
      <c r="A11" s="4" t="s">
        <v>89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2" t="s">
        <v>1</v>
      </c>
      <c r="H11" s="2" t="s">
        <v>1</v>
      </c>
      <c r="I11" s="2" t="s">
        <v>1</v>
      </c>
      <c r="J11" s="2" t="s">
        <v>1</v>
      </c>
    </row>
    <row r="12" ht="16.5" spans="1:10">
      <c r="A12" s="2" t="s">
        <v>1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</row>
    <row r="13" customHeight="1" spans="1:10">
      <c r="A13" s="1" t="s">
        <v>90</v>
      </c>
      <c r="B13" s="1" t="s">
        <v>1</v>
      </c>
      <c r="C13" s="1" t="s">
        <v>1</v>
      </c>
      <c r="D13" s="1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</row>
    <row r="14" ht="16.5" spans="1:10">
      <c r="A14" s="3" t="s">
        <v>91</v>
      </c>
      <c r="B14" s="4" t="s">
        <v>1</v>
      </c>
      <c r="C14" s="4" t="s">
        <v>1</v>
      </c>
      <c r="D14" s="4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</row>
    <row r="15" ht="16.5" spans="1:10">
      <c r="A15" s="4" t="s">
        <v>1</v>
      </c>
      <c r="B15" s="4" t="s">
        <v>1</v>
      </c>
      <c r="C15" s="4" t="s">
        <v>1</v>
      </c>
      <c r="D15" s="4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</row>
    <row r="16" customHeight="1" spans="1:10">
      <c r="A16" s="5" t="s">
        <v>78</v>
      </c>
      <c r="B16" s="5" t="s">
        <v>92</v>
      </c>
      <c r="C16" s="5" t="s">
        <v>93</v>
      </c>
      <c r="D16" s="5" t="s">
        <v>94</v>
      </c>
      <c r="E16" s="6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</row>
    <row r="17" ht="16.5" spans="1:10">
      <c r="A17" s="4" t="s">
        <v>84</v>
      </c>
      <c r="B17" s="8">
        <v>5</v>
      </c>
      <c r="C17" s="8">
        <v>15</v>
      </c>
      <c r="D17" s="8">
        <v>50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</row>
    <row r="18" ht="16.5" spans="1:10">
      <c r="A18" s="4" t="s">
        <v>85</v>
      </c>
      <c r="B18" s="8">
        <v>4</v>
      </c>
      <c r="C18" s="8">
        <v>12</v>
      </c>
      <c r="D18" s="8">
        <v>40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</row>
    <row r="19" ht="16.5" spans="1:10">
      <c r="A19" s="4" t="s">
        <v>86</v>
      </c>
      <c r="B19" s="8">
        <v>3</v>
      </c>
      <c r="C19" s="8">
        <v>10</v>
      </c>
      <c r="D19" s="8">
        <v>30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</row>
    <row r="20" ht="16.5" spans="1:10">
      <c r="A20" s="4" t="s">
        <v>87</v>
      </c>
      <c r="B20" s="8">
        <v>3</v>
      </c>
      <c r="C20" s="8">
        <v>8</v>
      </c>
      <c r="D20" s="8">
        <v>25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</row>
    <row r="21" ht="16.5" spans="1:10">
      <c r="A21" s="4" t="s">
        <v>88</v>
      </c>
      <c r="B21" s="8">
        <v>2</v>
      </c>
      <c r="C21" s="8">
        <v>6</v>
      </c>
      <c r="D21" s="8">
        <v>20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</row>
    <row r="22" ht="16.5" spans="1:10">
      <c r="A22" s="2" t="s">
        <v>1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</row>
    <row r="23" customHeight="1" spans="1:10">
      <c r="A23" s="1" t="s">
        <v>95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</row>
    <row r="24" ht="16.5" spans="1:10">
      <c r="A24" s="3" t="s">
        <v>96</v>
      </c>
      <c r="B24" s="4" t="s">
        <v>1</v>
      </c>
      <c r="C24" s="4" t="s">
        <v>1</v>
      </c>
      <c r="D24" s="4" t="s">
        <v>1</v>
      </c>
      <c r="E24" s="4" t="s">
        <v>1</v>
      </c>
      <c r="F24" s="4" t="s">
        <v>1</v>
      </c>
      <c r="G24" s="4" t="s">
        <v>1</v>
      </c>
      <c r="H24" s="4" t="s">
        <v>1</v>
      </c>
      <c r="I24" s="4" t="s">
        <v>1</v>
      </c>
      <c r="J24" s="4" t="s">
        <v>1</v>
      </c>
    </row>
    <row r="25" ht="16.5" spans="1:10">
      <c r="A25" s="4" t="s">
        <v>1</v>
      </c>
      <c r="B25" s="4" t="s">
        <v>1</v>
      </c>
      <c r="C25" s="4" t="s">
        <v>1</v>
      </c>
      <c r="D25" s="4" t="s">
        <v>1</v>
      </c>
      <c r="E25" s="4" t="s">
        <v>1</v>
      </c>
      <c r="F25" s="4" t="s">
        <v>1</v>
      </c>
      <c r="G25" s="4" t="s">
        <v>1</v>
      </c>
      <c r="H25" s="4" t="s">
        <v>1</v>
      </c>
      <c r="I25" s="4" t="s">
        <v>1</v>
      </c>
      <c r="J25" s="4" t="s">
        <v>1</v>
      </c>
    </row>
    <row r="26" customHeight="1" spans="1:10">
      <c r="A26" s="5" t="s">
        <v>97</v>
      </c>
      <c r="B26" s="5" t="s">
        <v>98</v>
      </c>
      <c r="C26" s="5" t="s">
        <v>99</v>
      </c>
      <c r="D26" s="5" t="s">
        <v>100</v>
      </c>
      <c r="E26" s="5">
        <f>B4</f>
        <v>20</v>
      </c>
      <c r="F26" s="5">
        <f>C4</f>
        <v>20</v>
      </c>
      <c r="G26" s="5">
        <f>D4</f>
        <v>20</v>
      </c>
      <c r="H26" s="5">
        <f>E4</f>
        <v>20</v>
      </c>
      <c r="I26" s="5">
        <f>F4</f>
        <v>20</v>
      </c>
      <c r="J26" s="5">
        <f>F4</f>
        <v>20</v>
      </c>
    </row>
    <row r="27" ht="16.5" spans="1:10">
      <c r="A27" s="4">
        <v>0</v>
      </c>
      <c r="B27" s="4">
        <v>0</v>
      </c>
      <c r="C27" s="4">
        <v>0</v>
      </c>
      <c r="D27" s="9">
        <f>((B$6*C$6*D$6*(H$26-E$6)*(I$26-F$6))*B$17+(B$6*C$6*D$6*E$6*(I$26-F$6))*C$17+(B$6*C$6*D$6*E$6*F$6)*D$17+(B$7*C$7*D$7*(H$26-E$7)*(I$26-F$7))*B$18+(B$7*C$7*D$7*E$7*(I$26-F$7))*C$18+(B$7*C$7*D$7*E$7*F$7)*D$18+(B$8*C$8*D$8*(H$26-E$8)*(I$26-F$8))*B$19+(B$8*C$8*D$8*E$8*(I$26-F$8))*C$19+(B$8*C$8*D$8*E$8*F$8)*D$19+(B$9*C$9*D$9*(H$26-E$9)*(I$26-F$9))*B$20+(B$9*C$9*D$9*E$9*(I$26-F$9))*C$20+(B$9*C$9*D$9*E$9*F$9)*D$20+(B$10*C$10*D$10*(H$26-E$10)*(I$26-F$10))*B$21+(B$10*C$10*D$10*E$10*(I$26-F$10))*C$21+(B$10*C$10*D$10*E$10*F$10)*D$21)/PRODUCT($E$26:$I$26)</f>
        <v>0.20512</v>
      </c>
      <c r="E27" s="4" t="s">
        <v>1</v>
      </c>
      <c r="F27" s="4" t="s">
        <v>1</v>
      </c>
      <c r="G27" s="4" t="s">
        <v>1</v>
      </c>
      <c r="H27" s="4" t="s">
        <v>1</v>
      </c>
      <c r="I27" s="4" t="s">
        <v>1</v>
      </c>
      <c r="J27" s="4" t="s">
        <v>1</v>
      </c>
    </row>
    <row r="28" ht="16.5" spans="1:10">
      <c r="A28" s="4">
        <v>1</v>
      </c>
      <c r="B28" s="4">
        <v>0</v>
      </c>
      <c r="C28" s="4">
        <v>0</v>
      </c>
      <c r="D28" s="9">
        <f>((B$6*F$26*D$6*(H$26-E$6)*(I$26-F$6))*B$17+(B$6*F$26*D$6*E$6*(I$26-F$6))*C$17+(B$6*F$26*D$6*E$6*F$6)*D$17+(B$7*F$26*D$7*(H$26-E$7)*(I$26-F$7))*B$18+(B$7*F$26*D$7*E$7*(I$26-F$7))*C$18+(B$7*F$26*D$7*E$7*F$7)*D$18+(B$8*F$26*D$8*(H$26-E$8)*(I$26-F$8))*B$19+(B$8*F$26*D$8*E$8*(I$26-F$8))*C$19+(B$8*F$26*D$8*E$8*F$8)*D$19+(B$9*F$26*D$9*(H$26-E$9)*(I$26-F$9))*B$20+(B$9*F$26*D$9*E$9*(I$26-F$9))*C$20+(B$9*F$26*D$9*E$9*F$9)*D$20+(B$10*F$26*D$10*(H$26-E$10)*(I$26-F$10))*B$21+(B$10*F$26*D$10*E$10*(I$26-F$10))*C$21+(B$10*F$26*D$10*E$10*F$10)*D$21)/PRODUCT($E$26:$I$26)</f>
        <v>1.0256</v>
      </c>
      <c r="E28" s="4" t="s">
        <v>1</v>
      </c>
      <c r="F28" s="4" t="s">
        <v>1</v>
      </c>
      <c r="G28" s="4" t="s">
        <v>1</v>
      </c>
      <c r="H28" s="4" t="s">
        <v>1</v>
      </c>
      <c r="I28" s="4" t="s">
        <v>1</v>
      </c>
      <c r="J28" s="4" t="s">
        <v>1</v>
      </c>
    </row>
    <row r="29" ht="16.5" spans="1:10">
      <c r="A29" s="4">
        <v>0</v>
      </c>
      <c r="B29" s="4">
        <v>1</v>
      </c>
      <c r="C29" s="4">
        <v>0</v>
      </c>
      <c r="D29" s="9">
        <f>((B$6*C$6*G$26*(H$26-E$6)*(I$26-F$6))*B$17+(B$6*C$6*G$26*E$6*(I$26-F$6))*C$17+(B$6*C$6*G$26*E$6*F$6)*D$17+(B$7*C$7*G$26*(H$26-E$7)*(I$26-F$7))*B$18+(B$7*C$7*G$26*E$7*(I$26-F$7))*C$18+(B$7*C$7*G$26*E$7*F$7)*D$18+(B$8*C$8*G$26*(H$26-E$8)*(I$26-F$8))*B$19+(B$8*C$8*G$26*E$8*(I$26-F$8))*C$19+(B$8*C$8*G$26*E$8*F$8)*D$19+(B$9*C$9*G$26*(H$26-E$9)*(I$26-F$9))*B$20+(B$9*C$9*G$26*E$9*(I$26-F$9))*C$20+(B$9*C$9*G$26*E$9*F$9)*D$20+(B$10*C$10*G$26*(H$26-E$10)*(I$26-F$10))*B$21+(B$10*C$10*G$26*E$10*(I$26-F$10))*C$21+(B$10*C$10*G$26*E$10*F$10)*D$21)/PRODUCT($E$26:$I$26)</f>
        <v>1.0256</v>
      </c>
      <c r="E29" s="4" t="s">
        <v>1</v>
      </c>
      <c r="F29" s="4" t="s">
        <v>1</v>
      </c>
      <c r="G29" s="4" t="s">
        <v>1</v>
      </c>
      <c r="H29" s="4" t="s">
        <v>1</v>
      </c>
      <c r="I29" s="4" t="s">
        <v>1</v>
      </c>
      <c r="J29" s="4" t="s">
        <v>1</v>
      </c>
    </row>
    <row r="30" ht="16.5" spans="1:10">
      <c r="A30" s="4">
        <v>1</v>
      </c>
      <c r="B30" s="4">
        <v>1</v>
      </c>
      <c r="C30" s="4">
        <v>0</v>
      </c>
      <c r="D30" s="9">
        <f>((B$6*F$26*G$26*(H$26-E$6)*(I$26-F$6))*B$17+(B$6*F$26*G$26*E$6*(I$26-F$6))*C$17+(B$6*F$26*G$26*E$6*F$6)*D$17+(B$7*F$26*G$26*(H$26-E$7)*(I$26-F$7))*B$18+(B$7*F$26*G$26*E$7*(I$26-F$7))*C$18+(B$7*F$26*G$26*E$7*F$7)*D$18+(B$8*F$26*G$26*(H$26-E$8)*(I$26-F$8))*B$19+(B$8*F$26*G$26*E$8*(I$26-F$8))*C$19+(B$8*F$26*G$26*E$8*F$8)*D$19+(B$9*F$26*G$26*(H$26-E$9)*(I$26-F$9))*B$20+(B$9*F$26*G$26*E$9*(I$26-F$9))*C$20+(B$9*F$26*G$26*E$9*F$9)*D$20+(B$10*F$26*G$26*(H$26-E$10)*(I$26-F$10))*B$21+(B$10*F$26*G$26*E$10*(I$26-F$10))*C$21+(B$10*F$26*G$26*E$10*F$10)*D$21)/PRODUCT($E$26:$I$26)</f>
        <v>5.128</v>
      </c>
      <c r="E30" s="4" t="s">
        <v>1</v>
      </c>
      <c r="F30" s="4" t="s">
        <v>1</v>
      </c>
      <c r="G30" s="4" t="s">
        <v>1</v>
      </c>
      <c r="H30" s="4" t="s">
        <v>1</v>
      </c>
      <c r="I30" s="4" t="s">
        <v>1</v>
      </c>
      <c r="J30" s="4" t="s">
        <v>1</v>
      </c>
    </row>
    <row r="31" ht="16.5" spans="1:10">
      <c r="A31" s="4">
        <v>0</v>
      </c>
      <c r="B31" s="4">
        <v>0</v>
      </c>
      <c r="C31" s="4">
        <v>1</v>
      </c>
      <c r="D31" s="9">
        <f>((B$6*C$6*D$6*(H$26-H$26)*(I$26-F$6))*B$17+(B$6*C$6*D$6*H$26*(I$26-F$6))*C$17+(B$6*C$6*D$6*H$26*F$6)*D$17+(B$7*C$7*D$7*(H$26-H$26)*(I$26-F$7))*B$18+(B$7*C$7*D$7*H$26*(I$26-F$7))*C$18+(B$7*C$7*D$7*H$26*F$7)*D$18+(B$8*C$8*D$8*(H$26-H$26)*(I$26-F$8))*B$19+(B$8*C$8*D$8*H$26*(I$26-F$8))*C$19+(B$8*C$8*D$8*H$26*F$8)*D$19+(B$9*C$9*D$9*(H$26-H$26)*(I$26-F$9))*B$20+(B$9*C$9*D$9*H$26*(I$26-F$9))*C$20+(B$9*C$9*D$9*H$26*F$9)*D$20+(B$10*C$10*D$10*(H$26-H$26)*(I$26-F$10))*B$21+(B$10*C$10*D$10*H$26*(I$26-F$10))*C$21+(B$10*C$10*D$10*H$26*F$10)*D$21)/PRODUCT($E$26:$I$26)</f>
        <v>0.5904</v>
      </c>
      <c r="E31" s="4" t="s">
        <v>1</v>
      </c>
      <c r="F31" s="4" t="s">
        <v>1</v>
      </c>
      <c r="G31" s="4" t="s">
        <v>1</v>
      </c>
      <c r="H31" s="4" t="s">
        <v>1</v>
      </c>
      <c r="I31" s="4" t="s">
        <v>1</v>
      </c>
      <c r="J31" s="4" t="s">
        <v>1</v>
      </c>
    </row>
    <row r="32" ht="16.5" spans="1:10">
      <c r="A32" s="4">
        <v>1</v>
      </c>
      <c r="B32" s="4">
        <v>0</v>
      </c>
      <c r="C32" s="4">
        <v>1</v>
      </c>
      <c r="D32" s="9">
        <f>((B$6*F$26*D$6*(H$26-H$26)*(I$26-F$6))*B$17+(B$6*F$26*D$6*H$26*(I$26-F$6))*C$17+(B$6*F$26*D$6*H$26*F$6)*D$17+(B$7*F$26*D$7*(H$26-H$26)*(I$26-F$7))*B$18+(B$7*F$26*D$7*H$26*(I$26-F$7))*C$18+(B$7*F$26*D$7*H$26*F$7)*D$18+(B$8*F$26*D$8*(H$26-H$26)*(I$26-F$8))*B$19+(B$8*F$26*D$8*H$26*(I$26-F$8))*C$19+(B$8*F$26*D$8*H$26*F$8)*D$19+(B$9*F$26*D$9*(H$26-H$26)*(I$26-F$9))*B$20+(B$9*F$26*D$9*H$26*(I$26-F$9))*C$20+(B$9*F$26*D$9*H$26*F$9)*D$20+(B$10*F$26*D$10*(H$26-H$26)*(I$26-F$10))*B$21+(B$10*F$26*D$10*H$26*(I$26-F$10))*C$21+(B$10*F$26*D$10*H$26*F$10)*D$21)/PRODUCT($E$26:$I$26)</f>
        <v>2.952</v>
      </c>
      <c r="E32" s="4" t="s">
        <v>1</v>
      </c>
      <c r="F32" s="4" t="s">
        <v>1</v>
      </c>
      <c r="G32" s="4" t="s">
        <v>1</v>
      </c>
      <c r="H32" s="4" t="s">
        <v>1</v>
      </c>
      <c r="I32" s="4" t="s">
        <v>1</v>
      </c>
      <c r="J32" s="4" t="s">
        <v>1</v>
      </c>
    </row>
    <row r="33" ht="16.5" spans="1:10">
      <c r="A33" s="4">
        <v>0</v>
      </c>
      <c r="B33" s="4">
        <v>1</v>
      </c>
      <c r="C33" s="4">
        <v>1</v>
      </c>
      <c r="D33" s="9">
        <f>((B$6*C$6*G$26*(H$26-H$26)*(I$26-F$6))*B$17+(B$6*C$6*G$26*H$26*(I$26-F$6))*C$17+(B$6*C$6*G$26*H$26*F$6)*D$17+(B$7*C$7*G$26*(H$26-H$26)*(I$26-F$7))*B$18+(B$7*C$7*G$26*H$26*(I$26-F$7))*C$18+(B$7*C$7*G$26*H$26*F$7)*D$18+(B$8*C$8*G$26*(H$26-H$26)*(I$26-F$8))*B$19+(B$8*C$8*G$26*H$26*(I$26-F$8))*C$19+(B$8*C$8*G$26*H$26*F$8)*D$19+(B$9*C$9*G$26*(H$26-H$26)*(I$26-F$9))*B$20+(B$9*C$9*G$26*H$26*(I$26-F$9))*C$20+(B$9*C$9*G$26*H$26*F$9)*D$20+(B$10*C$10*G$26*(H$26-H$26)*(I$26-F$10))*B$21+(B$10*C$10*G$26*H$26*(I$26-F$10))*C$21+(B$10*C$10*G$26*H$26*F$10)*D$21)/PRODUCT($E$26:$I$26)</f>
        <v>2.952</v>
      </c>
      <c r="E33" s="4" t="s">
        <v>1</v>
      </c>
      <c r="F33" s="4" t="s">
        <v>1</v>
      </c>
      <c r="G33" s="4" t="s">
        <v>1</v>
      </c>
      <c r="H33" s="4" t="s">
        <v>1</v>
      </c>
      <c r="I33" s="4" t="s">
        <v>1</v>
      </c>
      <c r="J33" s="4" t="s">
        <v>1</v>
      </c>
    </row>
    <row r="34" ht="16.5" spans="1:10">
      <c r="A34" s="4">
        <v>1</v>
      </c>
      <c r="B34" s="4">
        <v>1</v>
      </c>
      <c r="C34" s="4">
        <v>1</v>
      </c>
      <c r="D34" s="9">
        <f>((B$6*F$26*G$26*(H$26-H$26)*(I$26-F$6))*B$17+(B$6*F$26*G$26*H$26*(I$26-F$6))*C$17+(B$6*F$26*G$26*H$26*F$6)*D$17+(B$7*F$26*G$26*(H$26-H$26)*(I$26-F$7))*B$18+(B$7*F$26*G$26*H$26*(I$26-F$7))*C$18+(B$7*F$26*G$26*H$26*F$7)*D$18+(B$8*F$26*G$26*(H$26-H$26)*(I$26-F$8))*B$19+(B$8*F$26*G$26*H$26*(I$26-F$8))*C$19+(B$8*F$26*G$26*H$26*F$8)*D$19+(B$9*F$26*G$26*(H$26-H$26)*(I$26-F$9))*B$20+(B$9*F$26*G$26*H$26*(I$26-F$9))*C$20+(B$9*F$26*G$26*H$26*F$9)*D$20+(B$10*F$26*G$26*(H$26-H$26)*(I$26-F$10))*B$21+(B$10*F$26*G$26*H$26*(I$26-F$10))*C$21+(B$10*F$26*G$26*H$26*F$10)*D$21)/PRODUCT($E$26:$I$26)</f>
        <v>14.76</v>
      </c>
      <c r="E34" s="4" t="s">
        <v>1</v>
      </c>
      <c r="F34" s="4" t="s">
        <v>1</v>
      </c>
      <c r="G34" s="4" t="s">
        <v>1</v>
      </c>
      <c r="H34" s="4" t="s">
        <v>1</v>
      </c>
      <c r="I34" s="4" t="s">
        <v>1</v>
      </c>
      <c r="J34" s="4" t="s">
        <v>1</v>
      </c>
    </row>
    <row r="35" ht="16.5" spans="1:10">
      <c r="A35" s="4" t="s">
        <v>1</v>
      </c>
      <c r="B35" s="4" t="s">
        <v>1</v>
      </c>
      <c r="C35" s="4" t="s">
        <v>1</v>
      </c>
      <c r="D35" s="4" t="s">
        <v>1</v>
      </c>
      <c r="E35" s="4" t="s">
        <v>1</v>
      </c>
      <c r="F35" s="4" t="s">
        <v>1</v>
      </c>
      <c r="G35" s="4" t="s">
        <v>1</v>
      </c>
      <c r="H35" s="4" t="s">
        <v>1</v>
      </c>
      <c r="I35" s="4" t="s">
        <v>1</v>
      </c>
      <c r="J35" s="4" t="s">
        <v>1</v>
      </c>
    </row>
    <row r="36" ht="16.5" spans="1:10">
      <c r="A36" s="4" t="s">
        <v>1</v>
      </c>
      <c r="B36" s="4" t="s">
        <v>1</v>
      </c>
      <c r="C36" s="4" t="s">
        <v>1</v>
      </c>
      <c r="D36" s="4" t="s">
        <v>1</v>
      </c>
      <c r="E36" s="4" t="s">
        <v>1</v>
      </c>
      <c r="F36" s="4" t="s">
        <v>1</v>
      </c>
      <c r="G36" s="4" t="s">
        <v>1</v>
      </c>
      <c r="H36" s="4" t="s">
        <v>1</v>
      </c>
      <c r="I36" s="4" t="s">
        <v>1</v>
      </c>
      <c r="J36" s="4" t="s">
        <v>1</v>
      </c>
    </row>
    <row r="37" ht="16.5" spans="1:10">
      <c r="A37" s="4" t="s">
        <v>1</v>
      </c>
      <c r="B37" s="4" t="s">
        <v>1</v>
      </c>
      <c r="C37" s="4" t="s">
        <v>1</v>
      </c>
      <c r="D37" s="4" t="s">
        <v>1</v>
      </c>
      <c r="E37" s="4" t="s">
        <v>1</v>
      </c>
      <c r="F37" s="4" t="s">
        <v>1</v>
      </c>
      <c r="G37" s="4" t="s">
        <v>1</v>
      </c>
      <c r="H37" s="4" t="s">
        <v>1</v>
      </c>
      <c r="I37" s="4" t="s">
        <v>1</v>
      </c>
      <c r="J37" s="4" t="s">
        <v>1</v>
      </c>
    </row>
    <row r="38" ht="16.5" spans="1:10">
      <c r="A38" s="4" t="s">
        <v>1</v>
      </c>
      <c r="B38" s="4" t="s">
        <v>1</v>
      </c>
      <c r="C38" s="4" t="s">
        <v>1</v>
      </c>
      <c r="D38" s="4" t="s">
        <v>1</v>
      </c>
      <c r="E38" s="4" t="s">
        <v>1</v>
      </c>
      <c r="F38" s="4" t="s">
        <v>1</v>
      </c>
      <c r="G38" s="4" t="s">
        <v>1</v>
      </c>
      <c r="H38" s="4" t="s">
        <v>1</v>
      </c>
      <c r="I38" s="4" t="s">
        <v>1</v>
      </c>
      <c r="J38" s="4" t="s">
        <v>1</v>
      </c>
    </row>
    <row r="39" ht="16.5" spans="1:10">
      <c r="A39" s="4" t="s">
        <v>1</v>
      </c>
      <c r="B39" s="4" t="s">
        <v>1</v>
      </c>
      <c r="C39" s="4" t="s">
        <v>1</v>
      </c>
      <c r="D39" s="4" t="s">
        <v>1</v>
      </c>
      <c r="E39" s="4" t="s">
        <v>1</v>
      </c>
      <c r="F39" s="4" t="s">
        <v>1</v>
      </c>
      <c r="G39" s="4" t="s">
        <v>1</v>
      </c>
      <c r="H39" s="4" t="s">
        <v>1</v>
      </c>
      <c r="I39" s="4" t="s">
        <v>1</v>
      </c>
      <c r="J39" s="4" t="s">
        <v>1</v>
      </c>
    </row>
    <row r="40" ht="16.5" spans="1:10">
      <c r="A40" s="4" t="s">
        <v>1</v>
      </c>
      <c r="B40" s="4" t="s">
        <v>1</v>
      </c>
      <c r="C40" s="4" t="s">
        <v>1</v>
      </c>
      <c r="D40" s="4" t="s">
        <v>1</v>
      </c>
      <c r="E40" s="4" t="s">
        <v>1</v>
      </c>
      <c r="F40" s="4" t="s">
        <v>1</v>
      </c>
      <c r="G40" s="4" t="s">
        <v>1</v>
      </c>
      <c r="H40" s="4" t="s">
        <v>1</v>
      </c>
      <c r="I40" s="4" t="s">
        <v>1</v>
      </c>
      <c r="J40" s="4" t="s">
        <v>1</v>
      </c>
    </row>
    <row r="41" ht="16.5" spans="1:10">
      <c r="A41" s="4" t="s">
        <v>1</v>
      </c>
      <c r="B41" s="4" t="s">
        <v>1</v>
      </c>
      <c r="C41" s="4" t="s">
        <v>1</v>
      </c>
      <c r="D41" s="4" t="s">
        <v>1</v>
      </c>
      <c r="E41" s="4" t="s">
        <v>1</v>
      </c>
      <c r="F41" s="4" t="s">
        <v>1</v>
      </c>
      <c r="G41" s="4" t="s">
        <v>1</v>
      </c>
      <c r="H41" s="4" t="s">
        <v>1</v>
      </c>
      <c r="I41" s="4" t="s">
        <v>1</v>
      </c>
      <c r="J41" s="4" t="s">
        <v>1</v>
      </c>
    </row>
    <row r="42" ht="16.5" spans="1:10">
      <c r="A42" s="4" t="s">
        <v>1</v>
      </c>
      <c r="B42" s="4" t="s">
        <v>1</v>
      </c>
      <c r="C42" s="4" t="s">
        <v>1</v>
      </c>
      <c r="D42" s="4" t="s">
        <v>1</v>
      </c>
      <c r="E42" s="4" t="s">
        <v>1</v>
      </c>
      <c r="F42" s="4" t="s">
        <v>1</v>
      </c>
      <c r="G42" s="4" t="s">
        <v>1</v>
      </c>
      <c r="H42" s="4" t="s">
        <v>1</v>
      </c>
      <c r="I42" s="4" t="s">
        <v>1</v>
      </c>
      <c r="J42" s="4" t="s">
        <v>1</v>
      </c>
    </row>
    <row r="43" ht="16.5" spans="1:10">
      <c r="A43" s="4" t="s">
        <v>101</v>
      </c>
      <c r="B43" s="4" t="s">
        <v>1</v>
      </c>
      <c r="C43" s="4" t="s">
        <v>1</v>
      </c>
      <c r="D43" s="4" t="s">
        <v>1</v>
      </c>
      <c r="E43" s="4" t="s">
        <v>1</v>
      </c>
      <c r="F43" s="4" t="s">
        <v>1</v>
      </c>
      <c r="G43" s="4" t="s">
        <v>1</v>
      </c>
      <c r="H43" s="4" t="s">
        <v>1</v>
      </c>
      <c r="I43" s="4" t="s">
        <v>1</v>
      </c>
      <c r="J43" s="4" t="s">
        <v>1</v>
      </c>
    </row>
    <row r="44" ht="16.5" spans="1:10">
      <c r="A44" s="4" t="s">
        <v>102</v>
      </c>
      <c r="B44" s="4" t="s">
        <v>1</v>
      </c>
      <c r="C44" s="4" t="s">
        <v>1</v>
      </c>
      <c r="D44" s="4" t="s">
        <v>1</v>
      </c>
      <c r="E44" s="4" t="s">
        <v>1</v>
      </c>
      <c r="F44" s="4" t="s">
        <v>1</v>
      </c>
      <c r="G44" s="4" t="s">
        <v>1</v>
      </c>
      <c r="H44" s="4" t="s">
        <v>1</v>
      </c>
      <c r="I44" s="4" t="s">
        <v>1</v>
      </c>
      <c r="J44" s="4" t="s">
        <v>1</v>
      </c>
    </row>
    <row r="45" ht="16.5" spans="1:10">
      <c r="A45" s="4" t="s">
        <v>103</v>
      </c>
      <c r="B45" s="4" t="s">
        <v>1</v>
      </c>
      <c r="C45" s="4" t="s">
        <v>1</v>
      </c>
      <c r="D45" s="4" t="s">
        <v>1</v>
      </c>
      <c r="E45" s="4" t="s">
        <v>1</v>
      </c>
      <c r="F45" s="4" t="s">
        <v>1</v>
      </c>
      <c r="G45" s="4" t="s">
        <v>1</v>
      </c>
      <c r="H45" s="4" t="s">
        <v>1</v>
      </c>
      <c r="I45" s="4" t="s">
        <v>1</v>
      </c>
      <c r="J45" s="4" t="s">
        <v>1</v>
      </c>
    </row>
    <row r="46" ht="16.5" spans="1:10">
      <c r="A46" s="4" t="s">
        <v>104</v>
      </c>
      <c r="B46" s="4" t="s">
        <v>1</v>
      </c>
      <c r="C46" s="4" t="s">
        <v>1</v>
      </c>
      <c r="D46" s="4" t="s">
        <v>1</v>
      </c>
      <c r="E46" s="4" t="s">
        <v>1</v>
      </c>
      <c r="F46" s="4" t="s">
        <v>1</v>
      </c>
      <c r="G46" s="4" t="s">
        <v>1</v>
      </c>
      <c r="H46" s="4" t="s">
        <v>1</v>
      </c>
      <c r="I46" s="4" t="s">
        <v>1</v>
      </c>
      <c r="J46" s="4" t="s">
        <v>1</v>
      </c>
    </row>
    <row r="47" ht="16.5" spans="1:10">
      <c r="A47" s="2" t="s">
        <v>1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</row>
    <row r="48" customHeight="1" spans="1:10">
      <c r="A48" s="1" t="s">
        <v>105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2" t="s">
        <v>1</v>
      </c>
      <c r="J48" s="2" t="s">
        <v>1</v>
      </c>
    </row>
    <row r="49" ht="16.5" spans="1:10">
      <c r="A49" s="3" t="s">
        <v>106</v>
      </c>
      <c r="B49" s="4" t="s">
        <v>1</v>
      </c>
      <c r="C49" s="4" t="s">
        <v>1</v>
      </c>
      <c r="D49" s="4" t="s">
        <v>1</v>
      </c>
      <c r="E49" s="4" t="s">
        <v>1</v>
      </c>
      <c r="F49" s="4" t="s">
        <v>1</v>
      </c>
      <c r="G49" s="4" t="s">
        <v>1</v>
      </c>
      <c r="H49" s="4" t="s">
        <v>1</v>
      </c>
      <c r="I49" s="2" t="s">
        <v>1</v>
      </c>
      <c r="J49" s="2" t="s">
        <v>1</v>
      </c>
    </row>
    <row r="50" ht="16.5" spans="1:10">
      <c r="A50" s="4" t="s">
        <v>1</v>
      </c>
      <c r="B50" s="4" t="s">
        <v>1</v>
      </c>
      <c r="C50" s="4" t="s">
        <v>1</v>
      </c>
      <c r="D50" s="4" t="s">
        <v>1</v>
      </c>
      <c r="E50" s="4" t="s">
        <v>1</v>
      </c>
      <c r="F50" s="4" t="s">
        <v>1</v>
      </c>
      <c r="G50" s="4" t="s">
        <v>1</v>
      </c>
      <c r="H50" s="4" t="s">
        <v>1</v>
      </c>
      <c r="I50" s="2" t="s">
        <v>1</v>
      </c>
      <c r="J50" s="2" t="s">
        <v>1</v>
      </c>
    </row>
    <row r="51" customHeight="1" spans="1:10">
      <c r="A51" s="5" t="s">
        <v>27</v>
      </c>
      <c r="B51" s="5" t="s">
        <v>107</v>
      </c>
      <c r="C51" s="5" t="s">
        <v>108</v>
      </c>
      <c r="D51" s="5" t="s">
        <v>109</v>
      </c>
      <c r="E51" s="5" t="s">
        <v>110</v>
      </c>
      <c r="F51" s="5" t="s">
        <v>111</v>
      </c>
      <c r="G51" s="5" t="s">
        <v>112</v>
      </c>
      <c r="H51" s="5" t="s">
        <v>113</v>
      </c>
      <c r="I51" s="6" t="s">
        <v>1</v>
      </c>
      <c r="J51" s="2" t="s">
        <v>1</v>
      </c>
    </row>
    <row r="52" ht="16.5" spans="1:10">
      <c r="A52" s="4">
        <v>1</v>
      </c>
      <c r="B52" s="10">
        <v>0.1</v>
      </c>
      <c r="C52" s="4" t="s">
        <v>114</v>
      </c>
      <c r="D52" s="4" t="s">
        <v>114</v>
      </c>
      <c r="E52" s="4" t="s">
        <v>114</v>
      </c>
      <c r="F52" s="9">
        <f>D27</f>
        <v>0.20512</v>
      </c>
      <c r="G52" s="9">
        <f>D27</f>
        <v>0.20512</v>
      </c>
      <c r="H52" s="9">
        <f>D27</f>
        <v>0.20512</v>
      </c>
      <c r="I52" s="2" t="s">
        <v>1</v>
      </c>
      <c r="J52" s="2" t="s">
        <v>1</v>
      </c>
    </row>
    <row r="53" ht="16.5" spans="1:10">
      <c r="A53" s="4">
        <v>2</v>
      </c>
      <c r="B53" s="10">
        <v>0.15</v>
      </c>
      <c r="C53" s="4" t="s">
        <v>114</v>
      </c>
      <c r="D53" s="4" t="s">
        <v>114</v>
      </c>
      <c r="E53" s="4" t="s">
        <v>115</v>
      </c>
      <c r="F53" s="9">
        <f>D27</f>
        <v>0.20512</v>
      </c>
      <c r="G53" s="9">
        <f>D27</f>
        <v>0.20512</v>
      </c>
      <c r="H53" s="9">
        <f>D28</f>
        <v>1.0256</v>
      </c>
      <c r="I53" s="2" t="s">
        <v>1</v>
      </c>
      <c r="J53" s="2" t="s">
        <v>1</v>
      </c>
    </row>
    <row r="54" ht="16.5" spans="1:10">
      <c r="A54" s="4">
        <v>3</v>
      </c>
      <c r="B54" s="10">
        <v>0.15</v>
      </c>
      <c r="C54" s="4" t="s">
        <v>114</v>
      </c>
      <c r="D54" s="4" t="s">
        <v>116</v>
      </c>
      <c r="E54" s="4" t="s">
        <v>117</v>
      </c>
      <c r="F54" s="9">
        <f>D27</f>
        <v>0.20512</v>
      </c>
      <c r="G54" s="9">
        <f>D29</f>
        <v>1.0256</v>
      </c>
      <c r="H54" s="9">
        <f>D31</f>
        <v>0.5904</v>
      </c>
      <c r="I54" s="2" t="s">
        <v>1</v>
      </c>
      <c r="J54" s="2" t="s">
        <v>1</v>
      </c>
    </row>
    <row r="55" ht="16.5" spans="1:10">
      <c r="A55" s="4">
        <v>4</v>
      </c>
      <c r="B55" s="10">
        <v>0.2</v>
      </c>
      <c r="C55" s="4" t="s">
        <v>118</v>
      </c>
      <c r="D55" s="4" t="s">
        <v>119</v>
      </c>
      <c r="E55" s="4" t="s">
        <v>120</v>
      </c>
      <c r="F55" s="9">
        <f>D34</f>
        <v>14.76</v>
      </c>
      <c r="G55" s="9">
        <f>D32</f>
        <v>2.952</v>
      </c>
      <c r="H55" s="9">
        <f>D30</f>
        <v>5.128</v>
      </c>
      <c r="I55" s="2" t="s">
        <v>1</v>
      </c>
      <c r="J55" s="2" t="s">
        <v>1</v>
      </c>
    </row>
    <row r="56" ht="16.5" spans="1:10">
      <c r="A56" s="4">
        <v>5</v>
      </c>
      <c r="B56" s="10">
        <v>0.2</v>
      </c>
      <c r="C56" s="4" t="s">
        <v>118</v>
      </c>
      <c r="D56" s="4" t="s">
        <v>118</v>
      </c>
      <c r="E56" s="4" t="s">
        <v>121</v>
      </c>
      <c r="F56" s="9">
        <f>D34</f>
        <v>14.76</v>
      </c>
      <c r="G56" s="9">
        <f>D34</f>
        <v>14.76</v>
      </c>
      <c r="H56" s="9">
        <f>D33</f>
        <v>2.952</v>
      </c>
      <c r="I56" s="2" t="s">
        <v>1</v>
      </c>
      <c r="J56" s="2" t="s">
        <v>1</v>
      </c>
    </row>
    <row r="57" ht="16.5" spans="1:10">
      <c r="A57" s="4">
        <v>6</v>
      </c>
      <c r="B57" s="10">
        <v>0.2</v>
      </c>
      <c r="C57" s="4" t="s">
        <v>118</v>
      </c>
      <c r="D57" s="4" t="s">
        <v>118</v>
      </c>
      <c r="E57" s="4" t="s">
        <v>118</v>
      </c>
      <c r="F57" s="9">
        <f>D34</f>
        <v>14.76</v>
      </c>
      <c r="G57" s="9">
        <f>D34</f>
        <v>14.76</v>
      </c>
      <c r="H57" s="9">
        <f>D34</f>
        <v>14.76</v>
      </c>
      <c r="I57" s="2" t="s">
        <v>1</v>
      </c>
      <c r="J57" s="2" t="s">
        <v>1</v>
      </c>
    </row>
    <row r="58" ht="16.5" spans="1:10">
      <c r="A58" s="4" t="s">
        <v>1</v>
      </c>
      <c r="B58" s="4" t="s">
        <v>1</v>
      </c>
      <c r="C58" s="4" t="s">
        <v>1</v>
      </c>
      <c r="D58" s="4" t="s">
        <v>1</v>
      </c>
      <c r="E58" s="4" t="s">
        <v>1</v>
      </c>
      <c r="F58" s="4" t="s">
        <v>1</v>
      </c>
      <c r="G58" s="4" t="s">
        <v>1</v>
      </c>
      <c r="H58" s="4" t="s">
        <v>1</v>
      </c>
      <c r="I58" s="2" t="s">
        <v>1</v>
      </c>
      <c r="J58" s="2" t="s">
        <v>1</v>
      </c>
    </row>
    <row r="59" ht="16.5" spans="1:10">
      <c r="A59" s="4" t="s">
        <v>122</v>
      </c>
      <c r="B59" s="11">
        <f>SUM(B52:B57)</f>
        <v>1</v>
      </c>
      <c r="C59" s="4" t="s">
        <v>1</v>
      </c>
      <c r="D59" s="4" t="s">
        <v>1</v>
      </c>
      <c r="E59" s="4" t="s">
        <v>1</v>
      </c>
      <c r="F59" s="4" t="s">
        <v>1</v>
      </c>
      <c r="G59" s="4" t="s">
        <v>1</v>
      </c>
      <c r="H59" s="4" t="s">
        <v>1</v>
      </c>
      <c r="I59" s="2" t="s">
        <v>1</v>
      </c>
      <c r="J59" s="2" t="s">
        <v>1</v>
      </c>
    </row>
    <row r="60" ht="16.5" spans="1:10">
      <c r="A60" s="4" t="s">
        <v>123</v>
      </c>
      <c r="B60" s="9">
        <f>SUMPRODUCT($B$52:$B$57,F52:F57)</f>
        <v>8.938048</v>
      </c>
      <c r="C60" s="4" t="s">
        <v>1</v>
      </c>
      <c r="D60" s="4" t="s">
        <v>1</v>
      </c>
      <c r="E60" s="4" t="s">
        <v>1</v>
      </c>
      <c r="F60" s="4" t="s">
        <v>1</v>
      </c>
      <c r="G60" s="4" t="s">
        <v>1</v>
      </c>
      <c r="H60" s="4" t="s">
        <v>1</v>
      </c>
      <c r="I60" s="2" t="s">
        <v>1</v>
      </c>
      <c r="J60" s="2" t="s">
        <v>1</v>
      </c>
    </row>
    <row r="61" ht="16.5" spans="1:10">
      <c r="A61" s="4" t="s">
        <v>124</v>
      </c>
      <c r="B61" s="9">
        <f>SUMPRODUCT($B$52:$B$57,G52:G57)</f>
        <v>6.69952</v>
      </c>
      <c r="C61" s="4" t="s">
        <v>1</v>
      </c>
      <c r="D61" s="4" t="s">
        <v>1</v>
      </c>
      <c r="E61" s="4" t="s">
        <v>1</v>
      </c>
      <c r="F61" s="4" t="s">
        <v>1</v>
      </c>
      <c r="G61" s="4" t="s">
        <v>1</v>
      </c>
      <c r="H61" s="4" t="s">
        <v>1</v>
      </c>
      <c r="I61" s="2" t="s">
        <v>1</v>
      </c>
      <c r="J61" s="2" t="s">
        <v>1</v>
      </c>
    </row>
    <row r="62" ht="16.5" spans="1:10">
      <c r="A62" s="4" t="s">
        <v>125</v>
      </c>
      <c r="B62" s="9">
        <f>SUMPRODUCT($B$52:$B$57,H52:H57)</f>
        <v>4.830912</v>
      </c>
      <c r="C62" s="4" t="s">
        <v>1</v>
      </c>
      <c r="D62" s="4" t="s">
        <v>1</v>
      </c>
      <c r="E62" s="4" t="s">
        <v>1</v>
      </c>
      <c r="F62" s="4" t="s">
        <v>1</v>
      </c>
      <c r="G62" s="4" t="s">
        <v>1</v>
      </c>
      <c r="H62" s="4" t="s">
        <v>1</v>
      </c>
      <c r="I62" s="2" t="s">
        <v>1</v>
      </c>
      <c r="J62" s="2" t="s">
        <v>1</v>
      </c>
    </row>
    <row r="63" ht="16.5" spans="1:10">
      <c r="A63" s="7" t="s">
        <v>126</v>
      </c>
      <c r="B63" s="12">
        <f>AVERAGE(B60:B62)</f>
        <v>6.82282666666667</v>
      </c>
      <c r="C63" s="4" t="s">
        <v>1</v>
      </c>
      <c r="D63" s="4" t="s">
        <v>1</v>
      </c>
      <c r="E63" s="4" t="s">
        <v>1</v>
      </c>
      <c r="F63" s="4" t="s">
        <v>1</v>
      </c>
      <c r="G63" s="4" t="s">
        <v>1</v>
      </c>
      <c r="H63" s="4" t="s">
        <v>1</v>
      </c>
      <c r="I63" s="2" t="s">
        <v>1</v>
      </c>
      <c r="J63" s="2" t="s">
        <v>1</v>
      </c>
    </row>
    <row r="64" ht="16.5" spans="1:10">
      <c r="A64" s="4" t="s">
        <v>1</v>
      </c>
      <c r="B64" s="4" t="s">
        <v>1</v>
      </c>
      <c r="C64" s="4" t="s">
        <v>1</v>
      </c>
      <c r="D64" s="4" t="s">
        <v>1</v>
      </c>
      <c r="E64" s="4" t="s">
        <v>1</v>
      </c>
      <c r="F64" s="4" t="s">
        <v>1</v>
      </c>
      <c r="G64" s="4" t="s">
        <v>1</v>
      </c>
      <c r="H64" s="4" t="s">
        <v>1</v>
      </c>
      <c r="I64" s="2" t="s">
        <v>1</v>
      </c>
      <c r="J64" s="2" t="s">
        <v>1</v>
      </c>
    </row>
    <row r="65" ht="16.5" spans="1:10">
      <c r="A65" s="4" t="s">
        <v>127</v>
      </c>
      <c r="B65" s="4" t="s">
        <v>1</v>
      </c>
      <c r="C65" s="4" t="s">
        <v>1</v>
      </c>
      <c r="D65" s="4" t="s">
        <v>1</v>
      </c>
      <c r="E65" s="4" t="s">
        <v>1</v>
      </c>
      <c r="F65" s="4" t="s">
        <v>1</v>
      </c>
      <c r="G65" s="4" t="s">
        <v>1</v>
      </c>
      <c r="H65" s="4" t="s">
        <v>1</v>
      </c>
      <c r="I65" s="2" t="s">
        <v>1</v>
      </c>
      <c r="J65" s="2" t="s">
        <v>1</v>
      </c>
    </row>
    <row r="66" ht="16.5" spans="1:10">
      <c r="A66" s="2" t="s">
        <v>1</v>
      </c>
      <c r="B66" s="2" t="s">
        <v>1</v>
      </c>
      <c r="C66" s="2" t="s">
        <v>1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</row>
    <row r="67" customHeight="1" spans="1:10">
      <c r="A67" s="1" t="s">
        <v>128</v>
      </c>
      <c r="B67" s="1" t="s">
        <v>1</v>
      </c>
      <c r="C67" s="1" t="s">
        <v>1</v>
      </c>
      <c r="D67" s="1" t="s">
        <v>1</v>
      </c>
      <c r="E67" s="1" t="s">
        <v>1</v>
      </c>
      <c r="F67" s="1" t="s">
        <v>1</v>
      </c>
      <c r="G67" s="1" t="s">
        <v>1</v>
      </c>
      <c r="H67" s="2" t="s">
        <v>1</v>
      </c>
      <c r="I67" s="2" t="s">
        <v>1</v>
      </c>
      <c r="J67" s="2" t="s">
        <v>1</v>
      </c>
    </row>
    <row r="68" ht="16.5" spans="1:10">
      <c r="A68" s="3" t="s">
        <v>129</v>
      </c>
      <c r="B68" s="4" t="s">
        <v>1</v>
      </c>
      <c r="C68" s="4" t="s">
        <v>1</v>
      </c>
      <c r="D68" s="4" t="s">
        <v>1</v>
      </c>
      <c r="E68" s="4" t="s">
        <v>1</v>
      </c>
      <c r="F68" s="4" t="s">
        <v>1</v>
      </c>
      <c r="G68" s="4" t="s">
        <v>1</v>
      </c>
      <c r="H68" s="2" t="s">
        <v>1</v>
      </c>
      <c r="I68" s="2" t="s">
        <v>1</v>
      </c>
      <c r="J68" s="2" t="s">
        <v>1</v>
      </c>
    </row>
    <row r="69" ht="16.5" spans="1:10">
      <c r="A69" s="4" t="s">
        <v>1</v>
      </c>
      <c r="B69" s="4" t="s">
        <v>1</v>
      </c>
      <c r="C69" s="4" t="s">
        <v>1</v>
      </c>
      <c r="D69" s="4" t="s">
        <v>1</v>
      </c>
      <c r="E69" s="4" t="s">
        <v>1</v>
      </c>
      <c r="F69" s="4" t="s">
        <v>1</v>
      </c>
      <c r="G69" s="4" t="s">
        <v>1</v>
      </c>
      <c r="H69" s="2" t="s">
        <v>1</v>
      </c>
      <c r="I69" s="2" t="s">
        <v>1</v>
      </c>
      <c r="J69" s="2" t="s">
        <v>1</v>
      </c>
    </row>
    <row r="70" customHeight="1" spans="1:10">
      <c r="A70" s="5" t="s">
        <v>78</v>
      </c>
      <c r="B70" s="5" t="s">
        <v>130</v>
      </c>
      <c r="C70" s="5" t="s">
        <v>131</v>
      </c>
      <c r="D70" s="5" t="s">
        <v>132</v>
      </c>
      <c r="E70" s="5" t="s">
        <v>133</v>
      </c>
      <c r="F70" s="5" t="s">
        <v>134</v>
      </c>
      <c r="G70" s="5" t="s">
        <v>135</v>
      </c>
      <c r="H70" s="6" t="s">
        <v>1</v>
      </c>
      <c r="I70" s="2" t="s">
        <v>1</v>
      </c>
      <c r="J70" s="2" t="s">
        <v>1</v>
      </c>
    </row>
    <row r="71" ht="16.5" spans="1:10">
      <c r="A71" s="4" t="s">
        <v>84</v>
      </c>
      <c r="B71" s="8">
        <v>4</v>
      </c>
      <c r="C71" s="8">
        <v>4</v>
      </c>
      <c r="D71" s="8">
        <v>4</v>
      </c>
      <c r="E71" s="4">
        <f>B71*C71*(D$4-D71)</f>
        <v>256</v>
      </c>
      <c r="F71" s="4">
        <f>B71*C71*D71</f>
        <v>64</v>
      </c>
      <c r="G71" s="4">
        <f>E71*C17+F71*D17</f>
        <v>7040</v>
      </c>
      <c r="H71" s="2" t="s">
        <v>1</v>
      </c>
      <c r="I71" s="2" t="s">
        <v>1</v>
      </c>
      <c r="J71" s="2" t="s">
        <v>1</v>
      </c>
    </row>
    <row r="72" ht="16.5" spans="1:10">
      <c r="A72" s="4" t="s">
        <v>85</v>
      </c>
      <c r="B72" s="8">
        <v>4</v>
      </c>
      <c r="C72" s="8">
        <v>4</v>
      </c>
      <c r="D72" s="8">
        <v>4</v>
      </c>
      <c r="E72" s="4">
        <f>B72*C72*(D$4-D72)</f>
        <v>256</v>
      </c>
      <c r="F72" s="4">
        <f>B72*C72*D72</f>
        <v>64</v>
      </c>
      <c r="G72" s="4">
        <f>E72*C18+F72*D18</f>
        <v>5632</v>
      </c>
      <c r="H72" s="2" t="s">
        <v>1</v>
      </c>
      <c r="I72" s="2" t="s">
        <v>1</v>
      </c>
      <c r="J72" s="2" t="s">
        <v>1</v>
      </c>
    </row>
    <row r="73" ht="16.5" spans="1:10">
      <c r="A73" s="4" t="s">
        <v>86</v>
      </c>
      <c r="B73" s="8">
        <v>4</v>
      </c>
      <c r="C73" s="8">
        <v>4</v>
      </c>
      <c r="D73" s="8">
        <v>4</v>
      </c>
      <c r="E73" s="4">
        <f>B73*C73*(D$4-D73)</f>
        <v>256</v>
      </c>
      <c r="F73" s="4">
        <f>B73*C73*D73</f>
        <v>64</v>
      </c>
      <c r="G73" s="4">
        <f>E73*C19+F73*D19</f>
        <v>4480</v>
      </c>
      <c r="H73" s="2" t="s">
        <v>1</v>
      </c>
      <c r="I73" s="2" t="s">
        <v>1</v>
      </c>
      <c r="J73" s="2" t="s">
        <v>1</v>
      </c>
    </row>
    <row r="74" ht="16.5" spans="1:10">
      <c r="A74" s="4" t="s">
        <v>87</v>
      </c>
      <c r="B74" s="8">
        <v>4</v>
      </c>
      <c r="C74" s="8">
        <v>4</v>
      </c>
      <c r="D74" s="8">
        <v>4</v>
      </c>
      <c r="E74" s="4">
        <f>B74*C74*(D$4-D74)</f>
        <v>256</v>
      </c>
      <c r="F74" s="4">
        <f>B74*C74*D74</f>
        <v>64</v>
      </c>
      <c r="G74" s="4">
        <f>E74*C20+F74*D20</f>
        <v>3648</v>
      </c>
      <c r="H74" s="2" t="s">
        <v>1</v>
      </c>
      <c r="I74" s="2" t="s">
        <v>1</v>
      </c>
      <c r="J74" s="2" t="s">
        <v>1</v>
      </c>
    </row>
    <row r="75" ht="16.5" spans="1:10">
      <c r="A75" s="4" t="s">
        <v>88</v>
      </c>
      <c r="B75" s="8">
        <v>4</v>
      </c>
      <c r="C75" s="8">
        <v>4</v>
      </c>
      <c r="D75" s="8">
        <v>4</v>
      </c>
      <c r="E75" s="4">
        <f>B75*C75*(D$4-D75)</f>
        <v>256</v>
      </c>
      <c r="F75" s="4">
        <f>B75*C75*D75</f>
        <v>64</v>
      </c>
      <c r="G75" s="4">
        <f>E75*C21+F75*D21</f>
        <v>2816</v>
      </c>
      <c r="H75" s="2" t="s">
        <v>1</v>
      </c>
      <c r="I75" s="2" t="s">
        <v>1</v>
      </c>
      <c r="J75" s="2" t="s">
        <v>1</v>
      </c>
    </row>
    <row r="76" ht="16.5" spans="1:10">
      <c r="A76" s="4" t="s">
        <v>1</v>
      </c>
      <c r="B76" s="4" t="s">
        <v>1</v>
      </c>
      <c r="C76" s="4" t="s">
        <v>1</v>
      </c>
      <c r="D76" s="4" t="s">
        <v>1</v>
      </c>
      <c r="E76" s="4" t="s">
        <v>1</v>
      </c>
      <c r="F76" s="4" t="s">
        <v>1</v>
      </c>
      <c r="G76" s="4" t="s">
        <v>1</v>
      </c>
      <c r="H76" s="2" t="s">
        <v>1</v>
      </c>
      <c r="I76" s="2" t="s">
        <v>1</v>
      </c>
      <c r="J76" s="2" t="s">
        <v>1</v>
      </c>
    </row>
    <row r="77" ht="16.5" spans="1:10">
      <c r="A77" s="4" t="s">
        <v>136</v>
      </c>
      <c r="B77" s="4" t="s">
        <v>1</v>
      </c>
      <c r="C77" s="4" t="s">
        <v>1</v>
      </c>
      <c r="D77" s="4" t="s">
        <v>1</v>
      </c>
      <c r="E77" s="4" t="s">
        <v>1</v>
      </c>
      <c r="F77" s="4" t="s">
        <v>1</v>
      </c>
      <c r="G77" s="12">
        <f>SUM(G71:G75)/PRODUCT(B$4:D$4)</f>
        <v>2.952</v>
      </c>
      <c r="H77" s="2" t="s">
        <v>1</v>
      </c>
      <c r="I77" s="2" t="s">
        <v>1</v>
      </c>
      <c r="J77" s="2" t="s">
        <v>1</v>
      </c>
    </row>
    <row r="78" ht="16.5" spans="1:10">
      <c r="A78" s="4" t="s">
        <v>137</v>
      </c>
      <c r="B78" s="4" t="s">
        <v>1</v>
      </c>
      <c r="C78" s="4" t="s">
        <v>1</v>
      </c>
      <c r="D78" s="4" t="s">
        <v>1</v>
      </c>
      <c r="E78" s="4" t="s">
        <v>1</v>
      </c>
      <c r="F78" s="4" t="s">
        <v>1</v>
      </c>
      <c r="G78" s="4" t="s">
        <v>1</v>
      </c>
      <c r="H78" s="2" t="s">
        <v>1</v>
      </c>
      <c r="I78" s="2" t="s">
        <v>1</v>
      </c>
      <c r="J78" s="2" t="s">
        <v>1</v>
      </c>
    </row>
    <row r="79" ht="16.5" spans="1:10">
      <c r="A79" s="2" t="s">
        <v>1</v>
      </c>
      <c r="B79" s="2" t="s">
        <v>1</v>
      </c>
      <c r="C79" s="2" t="s">
        <v>1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</row>
    <row r="80" customHeight="1" spans="1:10">
      <c r="A80" s="1" t="s">
        <v>138</v>
      </c>
      <c r="B80" s="1" t="s">
        <v>1</v>
      </c>
      <c r="C80" s="2" t="s">
        <v>1</v>
      </c>
      <c r="D80" s="2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</row>
    <row r="81" customHeight="1" spans="1:10">
      <c r="A81" s="5" t="s">
        <v>139</v>
      </c>
      <c r="B81" s="13">
        <f>B63</f>
        <v>6.82282666666667</v>
      </c>
      <c r="C81" s="6" t="s">
        <v>1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</row>
    <row r="82" ht="16.5" spans="1:10">
      <c r="A82" s="4" t="s">
        <v>140</v>
      </c>
      <c r="B82" s="9">
        <f>G77</f>
        <v>2.952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</row>
  </sheetData>
  <mergeCells count="16">
    <mergeCell ref="A1:J1"/>
    <mergeCell ref="A2:E2"/>
    <mergeCell ref="A13:C13"/>
    <mergeCell ref="A23:C23"/>
    <mergeCell ref="A24:F24"/>
    <mergeCell ref="A43:G43"/>
    <mergeCell ref="A44:H44"/>
    <mergeCell ref="A45:I45"/>
    <mergeCell ref="A46:G46"/>
    <mergeCell ref="A48:C48"/>
    <mergeCell ref="A49:E49"/>
    <mergeCell ref="A65:H65"/>
    <mergeCell ref="A67:C67"/>
    <mergeCell ref="A68:E68"/>
    <mergeCell ref="A78:F78"/>
    <mergeCell ref="A80:C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巨型图案 类型一+类型二→RTP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2026-09-27T17:17:00Z</dcterms:created>
  <dcterms:modified xsi:type="dcterms:W3CDTF">2026-09-29T16:07:29Z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5AA7C82C44644A6EAE24E37B95D2A352_12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