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 击杀率+多只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<sst xmlns="http://schemas.openxmlformats.org/spreadsheetml/2006/main" count="244" uniqueCount="77">
  <si>
    <t>捕鱼游戏数学 PART Ⅰ —— 击杀率与「一发子弹打中多只鱼」（复刻自 ezslotdesign.com/fishgame1/）</t>
  </si>
  <si>
    <t/>
  </si>
  <si>
    <t>用法</t>
  </si>
  <si>
    <t>1) B4:C6「击杀率计算器」：填赔率 N 与 RTP R，即得击杀率 P = R ÷ N（原文核心公式）</t>
  </si>
  <si>
    <t>2) B9:C11 反过来：由 R 与 P 反算赔率 N = R ÷ P</t>
  </si>
  <si>
    <t>3) B17:F23「一发子弹同时打中 K 只鱼」：填击中只数 K、RTP R 与各鱼赔率，表自动算「原始击杀率 P = R/N」与「修正后 P/K」，并验算合计 RTP 是否仍等于 R</t>
  </si>
  <si>
    <t>4) B27:C32「节奏与波动」：填每秒击发数与每发成本，看每分钟投注／期望返还／期望净损（原文重点：捕鱼收敛速度比老虎机快得多）</t>
  </si>
  <si>
    <t>蓝字＝可改输入；其余为公式。</t>
  </si>
  <si>
    <t>建模要点</t>
  </si>
  <si>
    <t>· 单条鱼的一次射击＝伯努利分布（1 = 击杀成功、0 = 击杀失败），参数 P 就是击杀率</t>
  </si>
  <si>
    <t>· 三个变量：N（赔率）、R（RTP）、P（击杀率）→ 核心公式 P = R ÷ N</t>
  </si>
  <si>
    <t>· 企划顺序：先定赔率 N 与想给的 RTP R，反推击杀率 P；前端只要在子弹碰撞时判定鱼种，再用乱数决定死活即可</t>
  </si>
  <si>
    <t>· 一发子弹同时打中 K 只鱼，原文比较了两种做法：</t>
  </si>
  <si>
    <t>　思路一（不推荐）：把 1 发子弹当成「1/K 元 × K 发」，玩家打死 A 鱼却只拿 (1/K) × 赔率 → 玩家无法接受；一次打中三只体验更差</t>
  </si>
  <si>
    <t>　思路二（推荐）：赔率不变，把每只鱼的击杀率 Pᵢ 修正成 Pᵢ ÷ K（机率是前端看不见的，改它最干净）</t>
  </si>
  <si>
    <t>· 数学证明：N₁P₁ + … + N_K P_K = K × R，两边同除 K → N₁(P₁/K) + … + N_K(P_K/K) = R，所以这一发子弹的 RTP 与只打中一只鱼时相同</t>
  </si>
  <si>
    <t>· 代价：打低赔率鱼时 Hit Rate（至少杀掉一只的机率）会明显下降；一次打中多只鱼也会让玩家焦点模糊（原文说这没有绝对对错）</t>
  </si>
  <si>
    <t>· 出奖情形会随打中的鱼数爆炸：2 只鱼就有 4 种（A死B死、A死B活、A活B死、A活B活）→ 所以原文不建议穷举</t>
  </si>
  <si>
    <t>── 原文公式与示例（照抄）──</t>
  </si>
  <si>
    <t>【变量定义】N = 赔率（Payout）；R = RTP；P = 击杀率（击中并杀死的机率）</t>
  </si>
  <si>
    <t>【核心公式】击杀率 P = R ÷ N</t>
  </si>
  <si>
    <t>【推导逻辑】企划阶段先假设「赔率 = N」以及「RTP = R」，即可算出「击杀率 P = R / N」。有了击杀率后，只要在玩家子弹碰撞时判定鱼种，并乱数决定结果为击杀成功或失败即可。</t>
  </si>
  <si>
    <t>【示例一·单条鱼】以赔率 100 倍的鱼、RTP = 90% 为例：击杀率 P = 90% ÷ 100 = 0.9%（运算：0.90 ÷ 100 = 0.009 = 0.9%）</t>
  </si>
  <si>
    <t>【示例二·同时打中多只鱼】1 发子弹同时击中 A、B 两只鱼 → 出奖情形 4 种：｛A死B死，A死B活，A活B死，A活B活｝。原文明讲：不是算命的，所以别把所有鱼的生死情况都列出来算机率（三只、四只会更多）。</t>
  </si>
  <si>
    <t>【修正法·思路一（原文认为不可行）】假设 1 发子弹 = 1 元，则视为「每发 0.5 元的 2 发子弹」分别击中 A、B 两只鱼。</t>
  </si>
  <si>
    <t>　→ 玩家明明花 1 元发射的子弹打死了 A 鱼，却只获得 0.5 × A 鱼赔率，从玩家角度无法接受；若一次击中三只鱼，体验更差。</t>
  </si>
  <si>
    <t>【修正法·思路二（原文推荐）】赔率不变，把每只鱼的击杀率 Pᵢ 修正为 Pᵢ ÷ K（K = 这发子弹打中的只数）。</t>
  </si>
  <si>
    <t>【数学证明】</t>
  </si>
  <si>
    <t>　① 假设击中 K 只鱼，赔率分别为 N₁、N₂、…、N_K，击杀率分别为 P₁、P₂、…、P_K，且击中每只鱼的 RTP 相同为 R</t>
  </si>
  <si>
    <t>　② 加总每只鱼的 RTP：N₁P₁ + N₂P₂ + … + N_K P_K = R + R + … + R = K × R</t>
  </si>
  <si>
    <t>　③ 两边同除以 K：N₁(P₁/K) + N₂(P₂/K) + … + N_K(P_K/K) = R</t>
  </si>
  <si>
    <t>　→ 结论：在赔率不变的情形下，把每只鱼的原始机率 Pᵢ 修正为 (Pᵢ / K)，即可确保这发子弹打出去的 RTP 与只打到一只鱼时相同。</t>
  </si>
  <si>
    <t>【该方法的两个缺点（原文）】</t>
  </si>
  <si>
    <t>　① 打赔率低的鱼时，Hit Rate（至少击杀一只鱼的机率）会明显降低很多（但大家都连发在打，体验影响不大）</t>
  </si>
  <si>
    <t>　② 一次打中多只鱼时，玩家的焦点会被稍微模糊（这没有绝对的对错，端看设计者如何考量）</t>
  </si>
  <si>
    <t>【游戏节奏（原文数字）】一般老虎机约 3~5 秒完成一局（看赢分表演）；捕鱼游戏 1 秒钟可击发 3~5 发子弹，甚至更高 → 同样单位时间内捕鱼的收敛速度比老虎机快得多，专业说法是 Volatility（波动性）太低。</t>
  </si>
  <si>
    <t>校验（原文数字）: 赔率 100 倍、RTP 90% → 击杀率 P = 90% ÷ 100 = 0.9%。一发子弹同时打中 3 只 100 倍鱼 → 每只修正为 0.3%，总 RTP 仍 = 90%。节奏：老虎机约 3~5 秒一局，捕鱼 1 秒可击发 3~5 发 → Volatility 低。</t>
  </si>
  <si>
    <t>Source: ezslotdesign.com《捕魚遊戲 Part Ⅰ》（作者 好賭書生）, 2018-07-23, https://ezslotdesign.com/fishgame1/</t>
  </si>
  <si>
    <t>配图：原文配图只有装饰性照片（Unsplash 题图）与示范影片，没有数据图表，数字都在正文。</t>
  </si>
  <si>
    <t>捕鱼游戏 PART Ⅰ：击杀率 P = R ÷ N ＋ 一发子弹打中多只鱼　（蓝字＝可改输入）</t>
  </si>
  <si>
    <t>【1】击杀率计算器（原文核心公式）</t>
  </si>
  <si>
    <t>项目</t>
  </si>
  <si>
    <t>值</t>
  </si>
  <si>
    <t>赔率 N（倍）</t>
  </si>
  <si>
    <t>N = 赔率（Payout 倍数）、R = RTP、P = 击杀率（击中并杀死的机率）</t>
  </si>
  <si>
    <t>RTP R</t>
  </si>
  <si>
    <t>原文例：赔率 100 倍、RTP 90% → P = 90% ÷ 100 = 0.9%</t>
  </si>
  <si>
    <t>击杀率 P = R ÷ N</t>
  </si>
  <si>
    <t>企划顺序：先定赔率与想给的 RTP，反推击杀率；前端只要判定鱼种 + 乱数决定死活</t>
  </si>
  <si>
    <t>击杀率 P</t>
  </si>
  <si>
    <t>反算赔率 N = R ÷ P</t>
  </si>
  <si>
    <t>【2】一发子弹同时打中 K 只鱼（原文修正法：每只鱼的 Pᵢ ÷ K）</t>
  </si>
  <si>
    <t>击中只数 K</t>
  </si>
  <si>
    <t>RTP R（每只鱼相同）</t>
  </si>
  <si>
    <t>鱼</t>
  </si>
  <si>
    <t>赔率 Nᵢ</t>
  </si>
  <si>
    <t>原始击杀率 Pᵢ = R ÷ Nᵢ</t>
  </si>
  <si>
    <t>修正后 Pᵢ ÷ K</t>
  </si>
  <si>
    <t>RTP 贡献 = Nᵢ ×(Pᵢ ÷ K)</t>
  </si>
  <si>
    <t>鱼1</t>
  </si>
  <si>
    <t>原文例：一发子弹同时打中 3 只 100 倍鱼 → 每只 0.9% ÷ 3 = 0.3%，每只贡献 RTP = 100 × 0.3% = 30%，合计 90% = R</t>
  </si>
  <si>
    <t>鱼2</t>
  </si>
  <si>
    <t>鱼3</t>
  </si>
  <si>
    <t>鱼4</t>
  </si>
  <si>
    <t>只填「这一发子弹实际打中」的 K 只鱼；多填或少填，验算就会报错</t>
  </si>
  <si>
    <t>鱼5</t>
  </si>
  <si>
    <t>合计</t>
  </si>
  <si>
    <t>验算：合计 = RTP R ？</t>
  </si>
  <si>
    <t>【3】节奏与波动（原文：老虎机约 3~5 秒一局；捕鱼 1 秒可击发 3~5 发）</t>
  </si>
  <si>
    <t>原文：单位时间内捕鱼的收敛速度比老虎机快得多 → Volatility 低（玩家体感：怎么每次打完都小输）</t>
  </si>
  <si>
    <t>每秒击发数（原文 3~5）</t>
  </si>
  <si>
    <t>每发成本（元，假设）</t>
  </si>
  <si>
    <t>每发成本原文没有给，这里是假设值（蓝字可改），用来说明「每秒投注 = 发数 × 成本」</t>
  </si>
  <si>
    <t>每秒投注（元）</t>
  </si>
  <si>
    <t>每分钟投注（元）</t>
  </si>
  <si>
    <t>每分钟期望返还（元）</t>
  </si>
  <si>
    <t>每分钟期望净损（元）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</si>
</sst>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1" fillId="3" borderId="3" xfId="0" applyFont="1" applyFill="1" applyBorder="1"/>
    <xf numFmtId="0" fontId="2" fillId="0" borderId="0" xfId="0" applyFont="1"/>
    <xf numFmtId="0" fontId="0" fillId="0" borderId="3" xfId="0" applyBorder="1"/>
    <xf numFmtId="1" fontId="3" fillId="4" borderId="3" xfId="0" applyNumberFormat="1" applyFont="1" applyFill="1" applyBorder="1"/>
    <xf numFmtId="10" fontId="3" fillId="4" borderId="3" xfId="0" applyNumberFormat="1" applyFont="1" applyFill="1" applyBorder="1"/>
    <xf numFmtId="176" fontId="0" fillId="0" borderId="3" xfId="0" applyNumberFormat="1" applyBorder="1"/>
    <xf numFmtId="0" fontId="2" fillId="0" borderId="0" xfId="0" applyFont="1" applyAlignment="1">
      <alignment vertical="center" wrapText="1"/>
    </xf>
    <xf numFmtId="176" fontId="3" fillId="4" borderId="3" xfId="0" applyNumberFormat="1" applyFont="1" applyFill="1" applyBorder="1"/>
    <xf numFmtId="2" fontId="0" fillId="0" borderId="3" xfId="0" applyNumberFormat="1" applyBorder="1"/>
    <xf numFmtId="1" fontId="3" fillId="4" borderId="0" xfId="0" applyNumberFormat="1" applyFont="1" applyFill="1"/>
    <xf numFmtId="10" fontId="3" fillId="4" borderId="0" xfId="0" applyNumberFormat="1" applyFont="1" applyFill="1"/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center" wrapText="1"/>
    </xf>
    <xf numFmtId="0" fontId="0" fillId="0" borderId="4" xfId="0" applyBorder="1"/>
    <xf numFmtId="10" fontId="0" fillId="0" borderId="3" xfId="0" applyNumberFormat="1" applyBorder="1"/>
    <xf numFmtId="0" fontId="1" fillId="0" borderId="3" xfId="0" applyFont="1" applyBorder="1"/>
    <xf numFmtId="177" fontId="3" fillId="4" borderId="3" xfId="0" applyNumberFormat="1" applyFont="1" applyFill="1" applyBorder="1"/>
    <xf numFmtId="2" fontId="3" fillId="4" borderId="3" xfId="0" applyNumberFormat="1" applyFont="1" applyFill="1" applyBorder="1"/>
    <xf numFmtId="4" fontId="0" fillId="0" borderId="3" xfId="0" applyNumberFormat="1" applyBorder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/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25" t="s">
        <v>0</v>
      </c>
    </row>
    <row r="2" spans="1:1">
      <c r="A2" s="26" t="s">
        <v>1</v>
      </c>
    </row>
    <row r="3" spans="1:1">
      <c r="A3" s="25" t="s">
        <v>2</v>
      </c>
    </row>
    <row r="4" spans="1:1">
      <c r="A4" s="26" t="s">
        <v>3</v>
      </c>
    </row>
    <row r="5" spans="1:1">
      <c r="A5" s="26" t="s">
        <v>4</v>
      </c>
    </row>
    <row r="6" spans="1:1">
      <c r="A6" s="27" t="s">
        <v>5</v>
      </c>
    </row>
    <row r="7" spans="1:1">
      <c r="A7" s="27" t="s">
        <v>6</v>
      </c>
    </row>
    <row r="8" spans="1:1">
      <c r="A8" s="26" t="s">
        <v>7</v>
      </c>
    </row>
    <row r="9" spans="1:1">
      <c r="A9" s="26" t="s">
        <v>1</v>
      </c>
    </row>
    <row r="10" spans="1:1">
      <c r="A10" s="25" t="s">
        <v>8</v>
      </c>
    </row>
    <row r="11" spans="1:1">
      <c r="A11" s="26" t="s">
        <v>9</v>
      </c>
    </row>
    <row r="12" spans="1:1">
      <c r="A12" s="26" t="s">
        <v>10</v>
      </c>
    </row>
    <row r="13" spans="1:1">
      <c r="A13" s="26" t="s">
        <v>11</v>
      </c>
    </row>
    <row r="14" spans="1:1">
      <c r="A14" s="26" t="s">
        <v>12</v>
      </c>
    </row>
    <row r="15" spans="1:1">
      <c r="A15" s="27" t="s">
        <v>13</v>
      </c>
    </row>
    <row r="16" spans="1:1">
      <c r="A16" s="26" t="s">
        <v>14</v>
      </c>
    </row>
    <row r="17" spans="1:1">
      <c r="A17" s="27" t="s">
        <v>15</v>
      </c>
    </row>
    <row r="18" spans="1:1">
      <c r="A18" s="27" t="s">
        <v>16</v>
      </c>
    </row>
    <row r="19" spans="1:1">
      <c r="A19" s="26" t="s">
        <v>17</v>
      </c>
    </row>
    <row r="20" spans="1:1">
      <c r="A20" s="26" t="s">
        <v>1</v>
      </c>
    </row>
    <row r="21" spans="1:1">
      <c r="A21" s="28" t="s">
        <v>18</v>
      </c>
    </row>
    <row r="22" spans="1:1">
      <c r="A22" s="27" t="s">
        <v>19</v>
      </c>
    </row>
    <row r="23" spans="1:1">
      <c r="A23" s="27" t="s">
        <v>20</v>
      </c>
    </row>
    <row r="24" spans="1:1">
      <c r="A24" s="29" t="s">
        <v>21</v>
      </c>
    </row>
    <row r="25" spans="1:1">
      <c r="A25" s="27" t="s">
        <v>22</v>
      </c>
    </row>
    <row r="26" spans="1:1">
      <c r="A26" s="29" t="s">
        <v>23</v>
      </c>
    </row>
    <row r="27" spans="1:1">
      <c r="A27" s="27" t="s">
        <v>24</v>
      </c>
    </row>
    <row r="28" spans="1:1">
      <c r="A28" s="27" t="s">
        <v>25</v>
      </c>
    </row>
    <row r="29" spans="1:1">
      <c r="A29" s="27" t="s">
        <v>26</v>
      </c>
    </row>
    <row r="30" spans="1:1">
      <c r="A30" s="27" t="s">
        <v>27</v>
      </c>
    </row>
    <row r="31" spans="1:1">
      <c r="A31" s="26" t="s">
        <v>28</v>
      </c>
    </row>
    <row r="32" spans="1:1">
      <c r="A32" s="26" t="s">
        <v>29</v>
      </c>
    </row>
    <row r="33" spans="1:1">
      <c r="A33" s="26" t="s">
        <v>30</v>
      </c>
    </row>
    <row r="34" spans="1:1">
      <c r="A34" s="27" t="s">
        <v>31</v>
      </c>
    </row>
    <row r="35" spans="1:1">
      <c r="A35" s="27" t="s">
        <v>32</v>
      </c>
    </row>
    <row r="36" spans="1:1">
      <c r="A36" s="26" t="s">
        <v>33</v>
      </c>
    </row>
    <row r="37" spans="1:1">
      <c r="A37" s="26" t="s">
        <v>34</v>
      </c>
    </row>
    <row r="38" spans="1:1">
      <c r="A38" s="30" t="s">
        <v>35</v>
      </c>
    </row>
    <row r="39" spans="1:1">
      <c r="A39" s="26" t="s">
        <v>1</v>
      </c>
    </row>
    <row r="40" ht="15" customHeight="1" spans="1:1">
      <c r="A40" s="31" t="s">
        <v>36</v>
      </c>
    </row>
    <row r="41" spans="1:1">
      <c r="A41" s="32" t="s">
        <v>37</v>
      </c>
    </row>
    <row r="42" spans="1:1">
      <c r="A42" s="32" t="s">
        <v>38</v>
      </c>
    </row>
  </sheetData>
  <mergeCells count="18">
    <mergeCell ref="A6:E6"/>
    <mergeCell ref="A7:C7"/>
    <mergeCell ref="A15:C15"/>
    <mergeCell ref="A17:D17"/>
    <mergeCell ref="A18:C18"/>
    <mergeCell ref="A22:C22"/>
    <mergeCell ref="A23:C23"/>
    <mergeCell ref="A24:G24"/>
    <mergeCell ref="A25:C25"/>
    <mergeCell ref="A26:J26"/>
    <mergeCell ref="A27:C27"/>
    <mergeCell ref="A28:C28"/>
    <mergeCell ref="A29:C29"/>
    <mergeCell ref="A30:C30"/>
    <mergeCell ref="A34:C34"/>
    <mergeCell ref="A35:C35"/>
    <mergeCell ref="A38:J38"/>
    <mergeCell ref="A40:K40"/>
  </mergeCells>
  <pageMargins left="0.75" right="0.75" top="1" bottom="1" header="0.5" footer="0.5"/>
  <headerFooter/>
  <ignoredErrors>
    <ignoredError sqref="A1:P62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A1" sqref="A1:H1"/>
    </sheetView>
  </sheetViews>
  <sheetFormatPr defaultColWidth="9" defaultRowHeight="14"/>
  <cols>
    <col min="1" max="1" width="3" customWidth="1"/>
    <col min="2" max="2" width="22" customWidth="1"/>
    <col min="3" max="3" width="13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39</v>
      </c>
    </row>
    <row r="2" spans="1:8">
      <c r="A2" s="2" t="s">
        <v>1</v>
      </c>
      <c r="B2" s="3" t="s">
        <v>40</v>
      </c>
      <c r="C2" s="4"/>
      <c r="D2" s="5"/>
      <c r="E2" s="6" t="s">
        <v>1</v>
      </c>
      <c r="F2" s="6" t="s">
        <v>1</v>
      </c>
      <c r="G2" t="s">
        <v>1</v>
      </c>
      <c r="H2" s="7" t="s">
        <v>1</v>
      </c>
    </row>
    <row r="3" spans="1:8">
      <c r="A3" s="2" t="s">
        <v>1</v>
      </c>
      <c r="B3" s="6" t="s">
        <v>41</v>
      </c>
      <c r="C3" s="6" t="s">
        <v>42</v>
      </c>
      <c r="D3" s="6" t="s">
        <v>1</v>
      </c>
      <c r="E3" s="6" t="s">
        <v>1</v>
      </c>
      <c r="F3" s="6" t="s">
        <v>1</v>
      </c>
      <c r="G3" t="s">
        <v>1</v>
      </c>
      <c r="H3" s="7" t="s">
        <v>1</v>
      </c>
    </row>
    <row r="4" spans="1:8">
      <c r="A4" s="2" t="s">
        <v>1</v>
      </c>
      <c r="B4" s="8" t="s">
        <v>43</v>
      </c>
      <c r="C4" s="9">
        <v>100</v>
      </c>
      <c r="D4" s="6" t="s">
        <v>1</v>
      </c>
      <c r="E4" s="6" t="s">
        <v>1</v>
      </c>
      <c r="F4" s="6" t="s">
        <v>1</v>
      </c>
      <c r="G4" t="s">
        <v>1</v>
      </c>
      <c r="H4" s="7" t="s">
        <v>44</v>
      </c>
    </row>
    <row r="5" spans="1:8">
      <c r="A5" s="2" t="s">
        <v>1</v>
      </c>
      <c r="B5" s="8" t="s">
        <v>45</v>
      </c>
      <c r="C5" s="10">
        <v>0.9</v>
      </c>
      <c r="D5" s="6" t="s">
        <v>1</v>
      </c>
      <c r="E5" s="6" t="s">
        <v>1</v>
      </c>
      <c r="F5" s="6" t="s">
        <v>1</v>
      </c>
      <c r="G5" t="s">
        <v>1</v>
      </c>
      <c r="H5" s="7" t="s">
        <v>46</v>
      </c>
    </row>
    <row r="6" spans="1:8">
      <c r="A6" s="2" t="s">
        <v>1</v>
      </c>
      <c r="B6" s="8" t="s">
        <v>47</v>
      </c>
      <c r="C6" s="11">
        <f>IF(OR(C4="",C4=0),"",C5/C4)</f>
        <v>0.009</v>
      </c>
      <c r="D6" s="6" t="s">
        <v>1</v>
      </c>
      <c r="E6" s="6" t="s">
        <v>1</v>
      </c>
      <c r="F6" s="6" t="s">
        <v>1</v>
      </c>
      <c r="G6" t="s">
        <v>1</v>
      </c>
      <c r="H6" s="7" t="s">
        <v>1</v>
      </c>
    </row>
    <row r="7" spans="1:8">
      <c r="A7" s="2" t="s">
        <v>1</v>
      </c>
      <c r="B7" s="8" t="s">
        <v>1</v>
      </c>
      <c r="C7" s="11" t="s">
        <v>1</v>
      </c>
      <c r="D7" s="6" t="s">
        <v>1</v>
      </c>
      <c r="E7" s="6" t="s">
        <v>1</v>
      </c>
      <c r="F7" s="6" t="s">
        <v>1</v>
      </c>
      <c r="G7" t="s">
        <v>1</v>
      </c>
      <c r="H7" s="7" t="s">
        <v>1</v>
      </c>
    </row>
    <row r="8" spans="1:8">
      <c r="A8" s="2" t="s">
        <v>1</v>
      </c>
      <c r="B8" s="6" t="s">
        <v>41</v>
      </c>
      <c r="C8" s="6" t="s">
        <v>42</v>
      </c>
      <c r="D8" s="6" t="s">
        <v>1</v>
      </c>
      <c r="E8" s="6" t="s">
        <v>1</v>
      </c>
      <c r="F8" s="6" t="s">
        <v>1</v>
      </c>
      <c r="G8" t="s">
        <v>1</v>
      </c>
      <c r="H8" s="12" t="s">
        <v>48</v>
      </c>
    </row>
    <row r="9" spans="1:8">
      <c r="A9" s="2" t="s">
        <v>1</v>
      </c>
      <c r="B9" s="8" t="s">
        <v>45</v>
      </c>
      <c r="C9" s="10">
        <v>0.9</v>
      </c>
      <c r="D9" s="6" t="s">
        <v>1</v>
      </c>
      <c r="E9" s="6" t="s">
        <v>1</v>
      </c>
      <c r="F9" s="6" t="s">
        <v>1</v>
      </c>
      <c r="G9" t="s">
        <v>1</v>
      </c>
      <c r="H9" s="7" t="s">
        <v>1</v>
      </c>
    </row>
    <row r="10" spans="1:8">
      <c r="A10" s="2" t="s">
        <v>1</v>
      </c>
      <c r="B10" s="8" t="s">
        <v>49</v>
      </c>
      <c r="C10" s="13">
        <v>0.009</v>
      </c>
      <c r="D10" s="6" t="s">
        <v>1</v>
      </c>
      <c r="E10" s="6" t="s">
        <v>1</v>
      </c>
      <c r="F10" s="6" t="s">
        <v>1</v>
      </c>
      <c r="G10" t="s">
        <v>1</v>
      </c>
      <c r="H10" s="7" t="s">
        <v>1</v>
      </c>
    </row>
    <row r="11" spans="1:8">
      <c r="A11" s="2" t="s">
        <v>1</v>
      </c>
      <c r="B11" s="8" t="s">
        <v>50</v>
      </c>
      <c r="C11" s="14">
        <f>IF(OR(C10="",C10=0),"",C9/C10)</f>
        <v>100</v>
      </c>
      <c r="D11" s="6" t="s">
        <v>1</v>
      </c>
      <c r="E11" s="6" t="s">
        <v>1</v>
      </c>
      <c r="F11" s="6" t="s">
        <v>1</v>
      </c>
      <c r="G11" t="s">
        <v>1</v>
      </c>
      <c r="H11" s="7" t="s">
        <v>1</v>
      </c>
    </row>
    <row r="12" spans="1:8">
      <c r="A12" s="2" t="s">
        <v>1</v>
      </c>
      <c r="B12" s="8" t="s">
        <v>1</v>
      </c>
      <c r="C12" s="14" t="s">
        <v>1</v>
      </c>
      <c r="D12" s="6" t="s">
        <v>1</v>
      </c>
      <c r="E12" s="6" t="s">
        <v>1</v>
      </c>
      <c r="F12" s="6" t="s">
        <v>1</v>
      </c>
      <c r="G12" t="s">
        <v>1</v>
      </c>
      <c r="H12" s="7" t="s">
        <v>1</v>
      </c>
    </row>
    <row r="13" spans="1:8">
      <c r="A13" s="2" t="s">
        <v>1</v>
      </c>
      <c r="B13" s="3" t="s">
        <v>51</v>
      </c>
      <c r="C13" s="4"/>
      <c r="D13" s="4"/>
      <c r="E13" s="4"/>
      <c r="F13" s="5"/>
      <c r="G13" t="s">
        <v>1</v>
      </c>
      <c r="H13" s="7" t="s">
        <v>1</v>
      </c>
    </row>
    <row r="14" spans="1:8">
      <c r="A14" s="2" t="s">
        <v>1</v>
      </c>
      <c r="B14" t="s">
        <v>52</v>
      </c>
      <c r="C14" s="15">
        <v>3</v>
      </c>
      <c r="D14" s="6" t="s">
        <v>1</v>
      </c>
      <c r="E14" s="6" t="s">
        <v>1</v>
      </c>
      <c r="F14" s="6" t="s">
        <v>1</v>
      </c>
      <c r="G14" t="s">
        <v>1</v>
      </c>
      <c r="H14" s="7" t="s">
        <v>1</v>
      </c>
    </row>
    <row r="15" spans="1:8">
      <c r="A15" s="2" t="s">
        <v>1</v>
      </c>
      <c r="B15" t="s">
        <v>53</v>
      </c>
      <c r="C15" s="16">
        <v>0.9</v>
      </c>
      <c r="D15" s="6" t="s">
        <v>1</v>
      </c>
      <c r="E15" s="6" t="s">
        <v>1</v>
      </c>
      <c r="F15" s="6" t="s">
        <v>1</v>
      </c>
      <c r="G15" t="s">
        <v>1</v>
      </c>
      <c r="H15" s="7" t="s">
        <v>1</v>
      </c>
    </row>
    <row r="16" ht="30" customHeight="1" spans="1:8">
      <c r="A16" s="2" t="s">
        <v>1</v>
      </c>
      <c r="B16" s="6" t="s">
        <v>54</v>
      </c>
      <c r="C16" s="6" t="s">
        <v>55</v>
      </c>
      <c r="D16" s="17" t="s">
        <v>56</v>
      </c>
      <c r="E16" s="6" t="s">
        <v>57</v>
      </c>
      <c r="F16" s="18" t="s">
        <v>58</v>
      </c>
      <c r="G16" s="19"/>
      <c r="H16" s="7" t="s">
        <v>1</v>
      </c>
    </row>
    <row r="17" spans="1:8">
      <c r="A17" s="2" t="s">
        <v>1</v>
      </c>
      <c r="B17" s="8" t="s">
        <v>59</v>
      </c>
      <c r="C17" s="9">
        <v>100</v>
      </c>
      <c r="D17" s="11">
        <f>IF(OR(C17="",C17=0),"",$C$15/C17)</f>
        <v>0.009</v>
      </c>
      <c r="E17" s="11">
        <f>IF(OR(D17="",$C$14="",$C$14=0),"",D17/$C$14)</f>
        <v>0.003</v>
      </c>
      <c r="F17" s="20">
        <f>IF(OR(E17="",C17=""),"",C17*E17)</f>
        <v>0.3</v>
      </c>
      <c r="G17" t="s">
        <v>1</v>
      </c>
      <c r="H17" s="12" t="s">
        <v>60</v>
      </c>
    </row>
    <row r="18" spans="1:8">
      <c r="A18" s="2" t="s">
        <v>1</v>
      </c>
      <c r="B18" s="8" t="s">
        <v>61</v>
      </c>
      <c r="C18" s="9">
        <v>100</v>
      </c>
      <c r="D18" s="11">
        <f>IF(OR(C18="",C18=0),"",$C$15/C18)</f>
        <v>0.009</v>
      </c>
      <c r="E18" s="11">
        <f>IF(OR(D18="",$C$14="",$C$14=0),"",D18/$C$14)</f>
        <v>0.003</v>
      </c>
      <c r="F18" s="20">
        <f>IF(OR(E18="",C18=""),"",C18*E18)</f>
        <v>0.3</v>
      </c>
      <c r="G18" t="s">
        <v>1</v>
      </c>
      <c r="H18" s="7" t="s">
        <v>1</v>
      </c>
    </row>
    <row r="19" spans="1:8">
      <c r="A19" s="2" t="s">
        <v>1</v>
      </c>
      <c r="B19" s="8" t="s">
        <v>62</v>
      </c>
      <c r="C19" s="9">
        <v>100</v>
      </c>
      <c r="D19" s="11">
        <f>IF(OR(C19="",C19=0),"",$C$15/C19)</f>
        <v>0.009</v>
      </c>
      <c r="E19" s="11">
        <f>IF(OR(D19="",$C$14="",$C$14=0),"",D19/$C$14)</f>
        <v>0.003</v>
      </c>
      <c r="F19" s="20">
        <f>IF(OR(E19="",C19=""),"",C19*E19)</f>
        <v>0.3</v>
      </c>
      <c r="G19" t="s">
        <v>1</v>
      </c>
      <c r="H19" s="7" t="s">
        <v>1</v>
      </c>
    </row>
    <row r="20" spans="1:8">
      <c r="A20" s="2" t="s">
        <v>1</v>
      </c>
      <c r="B20" s="8" t="s">
        <v>63</v>
      </c>
      <c r="C20" s="8"/>
      <c r="D20" s="11" t="str">
        <f>IF(OR(C20="",C20=0),"",$C$15/C20)</f>
        <v/>
      </c>
      <c r="E20" s="11" t="str">
        <f>IF(OR(D20="",$C$14="",$C$14=0),"",D20/$C$14)</f>
        <v/>
      </c>
      <c r="F20" s="20" t="str">
        <f>IF(OR(E20="",C20=""),"",C20*E20)</f>
        <v/>
      </c>
      <c r="G20" t="s">
        <v>1</v>
      </c>
      <c r="H20" s="7" t="s">
        <v>64</v>
      </c>
    </row>
    <row r="21" spans="1:8">
      <c r="A21" s="2" t="s">
        <v>1</v>
      </c>
      <c r="B21" s="8" t="s">
        <v>65</v>
      </c>
      <c r="C21" s="8"/>
      <c r="D21" s="11" t="str">
        <f>IF(OR(C21="",C21=0),"",$C$15/C21)</f>
        <v/>
      </c>
      <c r="E21" s="11" t="str">
        <f>IF(OR(D21="",$C$14="",$C$14=0),"",D21/$C$14)</f>
        <v/>
      </c>
      <c r="F21" s="20" t="str">
        <f>IF(OR(E21="",C21=""),"",C21*E21)</f>
        <v/>
      </c>
      <c r="G21" t="s">
        <v>1</v>
      </c>
      <c r="H21" s="7" t="s">
        <v>1</v>
      </c>
    </row>
    <row r="22" spans="1:8">
      <c r="A22" s="2" t="s">
        <v>1</v>
      </c>
      <c r="B22" s="8" t="s">
        <v>66</v>
      </c>
      <c r="C22" s="8" t="s">
        <v>1</v>
      </c>
      <c r="D22" s="8" t="s">
        <v>1</v>
      </c>
      <c r="E22" s="8" t="s">
        <v>1</v>
      </c>
      <c r="F22" s="20">
        <f>SUM(F17:F21)</f>
        <v>0.9</v>
      </c>
      <c r="G22" t="s">
        <v>1</v>
      </c>
      <c r="H22" s="7" t="s">
        <v>1</v>
      </c>
    </row>
    <row r="23" spans="1:8">
      <c r="A23" s="2" t="s">
        <v>1</v>
      </c>
      <c r="B23" s="8" t="s">
        <v>67</v>
      </c>
      <c r="C23" s="21" t="str">
        <f>IF(ABS(F22-$C$15)&lt;0.0000001,"✓ 合计 = R","✗ 只填实际打中的 K 只鱼、且 K 要对称")</f>
        <v>✓ 合计 = R</v>
      </c>
      <c r="D23" s="8" t="s">
        <v>1</v>
      </c>
      <c r="E23" s="8" t="s">
        <v>1</v>
      </c>
      <c r="F23" s="8" t="s">
        <v>1</v>
      </c>
      <c r="G23" t="s">
        <v>1</v>
      </c>
      <c r="H23" s="7" t="s">
        <v>1</v>
      </c>
    </row>
    <row r="24" spans="1:8">
      <c r="A24" s="2" t="s">
        <v>1</v>
      </c>
      <c r="B24" s="8" t="s">
        <v>1</v>
      </c>
      <c r="C24" s="21" t="s">
        <v>1</v>
      </c>
      <c r="D24" s="8" t="s">
        <v>1</v>
      </c>
      <c r="E24" s="8" t="s">
        <v>1</v>
      </c>
      <c r="F24" s="8" t="s">
        <v>1</v>
      </c>
      <c r="G24" t="s">
        <v>1</v>
      </c>
      <c r="H24" s="7" t="s">
        <v>1</v>
      </c>
    </row>
    <row r="25" spans="1:8">
      <c r="A25" s="2" t="s">
        <v>1</v>
      </c>
      <c r="B25" s="3" t="s">
        <v>68</v>
      </c>
      <c r="C25" s="4"/>
      <c r="D25" s="4"/>
      <c r="E25" s="4"/>
      <c r="F25" s="5"/>
      <c r="G25" t="s">
        <v>1</v>
      </c>
      <c r="H25" s="12" t="s">
        <v>69</v>
      </c>
    </row>
    <row r="26" spans="1:8">
      <c r="A26" s="2" t="s">
        <v>1</v>
      </c>
      <c r="B26" s="6" t="s">
        <v>41</v>
      </c>
      <c r="C26" s="6" t="s">
        <v>42</v>
      </c>
      <c r="D26" s="8" t="s">
        <v>1</v>
      </c>
      <c r="E26" s="8" t="s">
        <v>1</v>
      </c>
      <c r="F26" s="8" t="s">
        <v>1</v>
      </c>
      <c r="G26" t="s">
        <v>1</v>
      </c>
      <c r="H26" s="7" t="s">
        <v>1</v>
      </c>
    </row>
    <row r="27" spans="1:8">
      <c r="A27" s="2" t="s">
        <v>1</v>
      </c>
      <c r="B27" s="8" t="s">
        <v>70</v>
      </c>
      <c r="C27" s="22">
        <v>4</v>
      </c>
      <c r="D27" s="8" t="s">
        <v>1</v>
      </c>
      <c r="E27" s="8" t="s">
        <v>1</v>
      </c>
      <c r="F27" s="8" t="s">
        <v>1</v>
      </c>
      <c r="G27" t="s">
        <v>1</v>
      </c>
      <c r="H27" s="7" t="s">
        <v>1</v>
      </c>
    </row>
    <row r="28" spans="1:8">
      <c r="A28" s="2" t="s">
        <v>1</v>
      </c>
      <c r="B28" s="8" t="s">
        <v>71</v>
      </c>
      <c r="C28" s="23">
        <v>1</v>
      </c>
      <c r="D28" s="8" t="s">
        <v>1</v>
      </c>
      <c r="E28" s="8" t="s">
        <v>1</v>
      </c>
      <c r="F28" s="8" t="s">
        <v>1</v>
      </c>
      <c r="G28" t="s">
        <v>1</v>
      </c>
      <c r="H28" s="12" t="s">
        <v>72</v>
      </c>
    </row>
    <row r="29" spans="1:8">
      <c r="A29" s="2" t="s">
        <v>1</v>
      </c>
      <c r="B29" s="8" t="s">
        <v>73</v>
      </c>
      <c r="C29" s="24">
        <f>IF(OR(C27="",C28=""),"",C27*C28)</f>
        <v>4</v>
      </c>
      <c r="D29" s="8" t="s">
        <v>1</v>
      </c>
      <c r="E29" s="8" t="s">
        <v>1</v>
      </c>
      <c r="F29" s="8" t="s">
        <v>1</v>
      </c>
      <c r="G29" t="s">
        <v>1</v>
      </c>
      <c r="H29" s="7" t="s">
        <v>1</v>
      </c>
    </row>
    <row r="30" spans="1:8">
      <c r="A30" s="2" t="s">
        <v>1</v>
      </c>
      <c r="B30" s="8" t="s">
        <v>74</v>
      </c>
      <c r="C30" s="24">
        <f>IF(C29="","",C29*60)</f>
        <v>240</v>
      </c>
      <c r="D30" s="8" t="s">
        <v>1</v>
      </c>
      <c r="E30" s="8" t="s">
        <v>1</v>
      </c>
      <c r="F30" s="8" t="s">
        <v>1</v>
      </c>
      <c r="G30" t="s">
        <v>1</v>
      </c>
      <c r="H30" s="7" t="s">
        <v>1</v>
      </c>
    </row>
    <row r="31" spans="1:8">
      <c r="A31" s="2" t="s">
        <v>1</v>
      </c>
      <c r="B31" s="8" t="s">
        <v>75</v>
      </c>
      <c r="C31" s="24">
        <f>IF(C30="","",C30*$C$5)</f>
        <v>216</v>
      </c>
      <c r="D31" s="8" t="s">
        <v>1</v>
      </c>
      <c r="E31" s="8" t="s">
        <v>1</v>
      </c>
      <c r="F31" s="8" t="s">
        <v>1</v>
      </c>
      <c r="G31" t="s">
        <v>1</v>
      </c>
      <c r="H31" s="7" t="s">
        <v>1</v>
      </c>
    </row>
    <row r="32" spans="1:8">
      <c r="A32" s="2" t="s">
        <v>1</v>
      </c>
      <c r="B32" s="8" t="s">
        <v>76</v>
      </c>
      <c r="C32" s="24">
        <f>IF(C30="","",C30-C31)</f>
        <v>24</v>
      </c>
      <c r="D32" s="8" t="s">
        <v>1</v>
      </c>
      <c r="E32" s="8" t="s">
        <v>1</v>
      </c>
      <c r="F32" s="8" t="s">
        <v>1</v>
      </c>
      <c r="G32" t="s">
        <v>1</v>
      </c>
      <c r="H32" s="7" t="s">
        <v>1</v>
      </c>
    </row>
  </sheetData>
  <mergeCells count="9">
    <mergeCell ref="A1:H1"/>
    <mergeCell ref="B2:D2"/>
    <mergeCell ref="H8:I8"/>
    <mergeCell ref="B13:F13"/>
    <mergeCell ref="F16:G16"/>
    <mergeCell ref="H17:L17"/>
    <mergeCell ref="B25:F25"/>
    <mergeCell ref="H25:K25"/>
    <mergeCell ref="H28:J28"/>
  </mergeCells>
  <pageMargins left="0.75" right="0.75" top="1" bottom="1" header="0.5" footer="0.5"/>
  <headerFooter/>
  <ignoredErrors>
    <ignoredError sqref="A1:Q52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 击杀率+多只鱼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2026-09-29T16:07:32Z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D4946606B4814987A5BE37BBF88B117B_12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