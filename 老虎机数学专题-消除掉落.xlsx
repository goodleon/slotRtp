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消除掉落 连消机率+RTP换算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<sst xmlns="http://schemas.openxmlformats.org/spreadsheetml/2006/main" count="601" uniqueCount="62">
  <si>
    <t>消除掉落 Cascading Reels</t>
  </si>
  <si>
    <t xml:space="preserve"> </t>
  </si>
  <si>
    <t>来源：https://ezslotdesign.com/cascading/（数学老王，2018.06.13）</t>
  </si>
  <si>
    <t/>
  </si>
  <si>
    <t>机制：连线得分→中奖图案消除→上方掉落补齐→重复结算直到没有连线。</t>
  </si>
  <si>
    <t>首创：IGT Davinci Diamonds；进化1：+Progressive Wild（Big Bad Wolf）；</t>
  </si>
  <si>
    <t>进化2：Exploding Reels（3 Emperors）；融合例：Sevens High（每连消2次转1种颜色的7为百搭，</t>
  </si>
  <si>
    <t>免费游戏每2把有得分+2次并转百搭，最多+6次）。</t>
  </si>
  <si>
    <t>设计要点（原文）：更注意连消率 → 命中率要高、赔率可较低；表现上搭配连消音效动画。</t>
  </si>
  <si>
    <t>本模型按原文要点补建（原文无计算数据，蓝字可改）：</t>
  </si>
  <si>
    <t xml:space="preserve">  P(恰好连消k次) = 命中率 x 连消率^(k-1) x (1-连消率)</t>
  </si>
  <si>
    <t xml:space="preserve">  期望连消次数 = 命中率/(1-连消率)；RTP放大倍率 = 1/(1-连消率)</t>
  </si>
  <si>
    <t>（本簿已合并为 2 个页签：说明、消除掉落 连消机率+RTP换算；各区块：连消机率 第2~22行，RTP换算 第25~29行）</t>
  </si>
  <si>
    <t>── 完整文档（原 老虎机数学专题-消除掉落.md 存档）──</t>
  </si>
  <si>
    <t>老虎机数学专题 —— 消除掉落（Cascading Reels）</t>
  </si>
  <si>
    <t>来源：https://ezslotdesign.com/cascading/ （作者：数学老王，2018.06.13；机制介绍文，无计算表）</t>
  </si>
  <si>
    <t>配图：原文 1 张配图已下载到本目录 images/cascading/ 并嵌入本文。</t>
  </si>
  <si>
    <t>配套模型：老虎机数学专题-消除掉落.xlsx（按原文设计要点补建的连消机率模型）</t>
  </si>
  <si>
    <t>一、特色定义</t>
  </si>
  <si>
    <t>[图片] IGT《Davinci Diamonds》——消除掉落玩法首创  images/cascading/01-davinci-diamonds-3-opt.webp</t>
  </si>
  <si>
    <t>Cascading Reels（消除掉落，又称 Tumbling Reels / Avalanche）：连线得分后中奖图案消除、上方图案掉落补齐，重复结算直到没有连线。首创：IGT《Davinci Diamonds》。</t>
  </si>
  <si>
    <t>二、两种进化方向（原文）</t>
  </si>
  <si>
    <t>• 1. + Progressive Wild：连消时给予图案转换成百搭的奖励，增加连消机率，也让玩家有明确的连消目标与成就感（例：QuickSpin《Big Bad Wolf》）。</t>
  </si>
  <si>
    <t>• 2. Exploding Reels：连消时直接让连线的轮子重转，同样为了增加连消机率（例：Aristocrat《3 Emperors》）。</t>
  </si>
  <si>
    <t>三、重头戏：Sevens High（原文）</t>
  </si>
  <si>
    <t>主游戏：</t>
  </si>
  <si>
    <t>• 1. 任意连线得分即可重转，重转中有得分又可再次重转，直到没得分</t>
  </si>
  <si>
    <t>• 2. 每连续重转 2 次将 1 种颜色的 7 转成百搭，最多 3 种颜色的 7 都转成百搭</t>
  </si>
  <si>
    <t>免费游戏：每 2 把免费游戏（不用连续）有得分 → +2 免费游戏次数并将 1 种颜色的 7 转成百搭；最多 +6 次并将 3 种颜色的 7 都转成百搭。</t>
  </si>
  <si>
    <t>四、设计要点（原文）</t>
  </si>
  <si>
    <t>机率设计上除了原本该注意的点，必须更加注意连消率：命中率要比较高、赔率可以比较低；画面音效在连消时搭配起来，带起玩家兴奋期待的情绪更好。</t>
  </si>
  <si>
    <t>五、Excel 模型（按原文要点补建）</t>
  </si>
  <si>
    <t>原文无计算数据，模型实现连消的机率结构（示范数据，蓝字可改）：</t>
  </si>
  <si>
    <t>• 输入：单次结算的命中率 p_hit、每次消除后再连消的机率 p_cascade</t>
  </si>
  <si>
    <t>• P(恰好连消 k 次) = p_hit × p_cascade^(k−1) × (1−p_cascade)</t>
  </si>
  <si>
    <t>• 期望连消次数 = 1/(1−p_cascade)；连消 ≥4 次机率 = p_cascade³</t>
  </si>
  <si>
    <t>• RTP 放大倍率 = 1/(1−p_cascade)（总 RTP = 单次结算 RTP × 此倍率）</t>
  </si>
  <si>
    <t>工作表</t>
  </si>
  <si>
    <t>内容</t>
  </si>
  <si>
    <t>说明</t>
  </si>
  <si>
    <t>机制、两种进化、设计要点</t>
  </si>
  <si>
    <t>消除掉落 连消机率+RTP换算</t>
  </si>
  <si>
    <t>连消机率（k=1~12 次连消的机率、累计、期望连消次数）+ RTP换算（连消放大倍率与总 RTP）</t>
  </si>
  <si>
    <t>配图清单（images/cascading/）</t>
  </si>
  <si>
    <t>文件</t>
  </si>
  <si>
    <t>images/cascading/01-davinci-diamonds-3-opt.webp</t>
  </si>
  <si>
    <t>Davinci Diamonds 游戏图</t>
  </si>
  <si>
    <t>【连消机率】</t>
  </si>
  <si>
    <t>连消机率（蓝字可改）</t>
  </si>
  <si>
    <t>单次结算命中率</t>
  </si>
  <si>
    <t>每次消除后再连消率</t>
  </si>
  <si>
    <t>连消次数k</t>
  </si>
  <si>
    <t>恰好k次机率</t>
  </si>
  <si>
    <t>至少k次机率</t>
  </si>
  <si>
    <t>累计机率(恰好1~k)</t>
  </si>
  <si>
    <t>期望连消次数 = 命中率/(1-连消率)</t>
  </si>
  <si>
    <t>连消4次以上机率（原文：比进免费游戏还难）</t>
  </si>
  <si>
    <t>【RTP换算】</t>
  </si>
  <si>
    <t>RTP换算</t>
  </si>
  <si>
    <t>单次结算RTP</t>
  </si>
  <si>
    <t>连消放大倍率 = 1/(1-连消率)</t>
  </si>
  <si>
    <t>总RTP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</si>
</sst>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%"/>
    <numFmt numFmtId="178" formatCode="0.0000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176" fontId="4" fillId="0" borderId="0" xfId="0" applyNumberFormat="1" applyFont="1" applyBorder="1"/>
    <xf numFmtId="0" fontId="5" fillId="0" borderId="0" xfId="0" applyFont="1" applyBorder="1"/>
    <xf numFmtId="177" fontId="3" fillId="0" borderId="0" xfId="0" applyNumberFormat="1" applyFont="1" applyBorder="1"/>
    <xf numFmtId="178" fontId="3" fillId="4" borderId="0" xfId="0" applyNumberFormat="1" applyFont="1" applyFill="1" applyBorder="1"/>
    <xf numFmtId="0" fontId="3" fillId="0" borderId="0" xfId="0" applyFont="1"/>
    <xf numFmtId="0" fontId="3" fillId="0" borderId="0" xfId="0" applyFont="1" applyAlignment="1"/>
    <xf numFmtId="178" fontId="3" fillId="0" borderId="0" xfId="0" applyNumberFormat="1" applyFont="1" applyBorder="1"/>
    <xf numFmtId="177" fontId="3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9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25400</xdr:colOff>
      <xdr:row>23</xdr:row>
      <xdr:rowOff>107950</xdr:rowOff>
    </xdr:from>
    <xdr:to>
      <xdr:col>18</xdr:col>
      <xdr:colOff>457200</xdr:colOff>
      <xdr:row>38</xdr:row>
      <xdr:rowOff>0</xdr:rowOff>
    </xdr:to>
    <xdr:pic>
      <xdr:nvPicPr>
        <xdr:cNvPr id="2" name="图片 1" descr="01-davinci-diamonds-3-opt"/>
        <xdr:cNvPicPr/>
      </xdr:nvPicPr>
      <xdr:blipFill>
        <a:blip r:embed="rId1"/>
        <a:stretch>
          <a:fillRect/>
        </a:stretch>
      </xdr:blipFill>
      <xdr:spPr>
        <a:xfrm>
          <a:off x="11595100" y="4705350"/>
          <a:ext cx="5461000" cy="304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opLeftCell="A2" workbookViewId="0">
      <selection activeCell="N11" sqref="N1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  <c r="B2" s="19" t="s">
        <v>1</v>
      </c>
      <c r="C2" s="19" t="s">
        <v>1</v>
      </c>
      <c r="D2" s="19" t="s">
        <v>1</v>
      </c>
      <c r="E2" s="19" t="s">
        <v>1</v>
      </c>
      <c r="F2" s="19" t="s">
        <v>1</v>
      </c>
      <c r="G2" s="19" t="s">
        <v>1</v>
      </c>
      <c r="H2" s="19" t="s">
        <v>1</v>
      </c>
      <c r="I2" s="19" t="s">
        <v>1</v>
      </c>
      <c r="J2" s="19" t="s">
        <v>1</v>
      </c>
    </row>
    <row r="3" customHeight="1" spans="1:10">
      <c r="A3" s="18" t="s">
        <v>3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</row>
    <row r="4" customHeight="1" spans="1:10">
      <c r="A4" s="18" t="s">
        <v>4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</row>
    <row r="5" customHeight="1" spans="1:10">
      <c r="A5" s="18" t="s">
        <v>5</v>
      </c>
      <c r="B5" s="19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</row>
    <row r="6" customHeight="1" spans="1:10">
      <c r="A6" s="18" t="s">
        <v>6</v>
      </c>
      <c r="B6" s="19" t="s">
        <v>1</v>
      </c>
      <c r="C6" s="19" t="s">
        <v>1</v>
      </c>
      <c r="D6" s="19" t="s">
        <v>1</v>
      </c>
      <c r="E6" s="19" t="s">
        <v>1</v>
      </c>
      <c r="F6" s="19" t="s">
        <v>1</v>
      </c>
      <c r="G6" s="19" t="s">
        <v>1</v>
      </c>
      <c r="H6" s="19" t="s">
        <v>1</v>
      </c>
      <c r="I6" s="19" t="s">
        <v>1</v>
      </c>
      <c r="J6" s="19" t="s">
        <v>1</v>
      </c>
    </row>
    <row r="7" customHeight="1" spans="1:10">
      <c r="A7" s="18" t="s">
        <v>7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</row>
    <row r="8" customHeight="1" spans="1:10">
      <c r="A8" s="18" t="s">
        <v>3</v>
      </c>
      <c r="B8" s="19" t="s">
        <v>1</v>
      </c>
      <c r="C8" s="19" t="s">
        <v>1</v>
      </c>
      <c r="D8" s="19" t="s">
        <v>1</v>
      </c>
      <c r="E8" s="19" t="s">
        <v>1</v>
      </c>
      <c r="F8" s="19" t="s">
        <v>1</v>
      </c>
      <c r="G8" s="19" t="s">
        <v>1</v>
      </c>
      <c r="H8" s="19" t="s">
        <v>1</v>
      </c>
      <c r="I8" s="19" t="s">
        <v>1</v>
      </c>
      <c r="J8" s="19" t="s">
        <v>1</v>
      </c>
    </row>
    <row r="9" customHeight="1" spans="1:10">
      <c r="A9" s="18" t="s">
        <v>8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</row>
    <row r="10" customHeight="1" spans="1:10">
      <c r="A10" s="18" t="s">
        <v>3</v>
      </c>
      <c r="B10" s="19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19" t="s">
        <v>1</v>
      </c>
    </row>
    <row r="11" customHeight="1" spans="1:10">
      <c r="A11" s="18" t="s">
        <v>9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</row>
    <row r="12" customHeight="1" spans="1:10">
      <c r="A12" s="18" t="s">
        <v>10</v>
      </c>
      <c r="B12" s="19" t="s">
        <v>1</v>
      </c>
      <c r="C12" s="19" t="s">
        <v>1</v>
      </c>
      <c r="D12" s="19" t="s">
        <v>1</v>
      </c>
      <c r="E12" s="19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19" t="s">
        <v>1</v>
      </c>
    </row>
    <row r="13" customHeight="1" spans="1:10">
      <c r="A13" s="18" t="s">
        <v>11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</row>
    <row r="14" customHeight="1" spans="1:10">
      <c r="A14" s="18" t="s">
        <v>1</v>
      </c>
      <c r="B14" s="19" t="s">
        <v>1</v>
      </c>
      <c r="C14" s="19" t="s">
        <v>1</v>
      </c>
      <c r="D14" s="19" t="s">
        <v>1</v>
      </c>
      <c r="E14" s="19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19" t="s">
        <v>1</v>
      </c>
    </row>
    <row r="15" customHeight="1" spans="1:10">
      <c r="A15" s="18" t="s">
        <v>12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</row>
    <row r="16" ht="16.5" spans="1:10">
      <c r="A16" s="18" t="s">
        <v>1</v>
      </c>
      <c r="B16" s="19" t="s">
        <v>1</v>
      </c>
      <c r="C16" s="19" t="s">
        <v>1</v>
      </c>
      <c r="D16" s="19" t="s">
        <v>1</v>
      </c>
      <c r="E16" s="19" t="s">
        <v>1</v>
      </c>
      <c r="F16" s="19" t="s">
        <v>1</v>
      </c>
      <c r="G16" s="19" t="s">
        <v>1</v>
      </c>
      <c r="H16" s="19" t="s">
        <v>1</v>
      </c>
      <c r="I16" s="19" t="s">
        <v>1</v>
      </c>
      <c r="J16" s="19" t="s">
        <v>1</v>
      </c>
    </row>
    <row r="17" ht="20" customHeight="1" spans="1:10">
      <c r="A17" s="20" t="s">
        <v>13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  <c r="H17" s="19" t="s">
        <v>1</v>
      </c>
      <c r="I17" s="19" t="s">
        <v>1</v>
      </c>
      <c r="J17" s="19" t="s">
        <v>1</v>
      </c>
    </row>
    <row r="18" ht="24" customHeight="1" spans="1:10">
      <c r="A18" s="21" t="s">
        <v>14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spans="1:10">
      <c r="A19" s="23" t="s">
        <v>1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16.5" spans="1:10">
      <c r="A20" s="24" t="s">
        <v>15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ht="16.5" spans="1:10">
      <c r="A21" s="24" t="s">
        <v>16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ht="16.5" spans="1:10">
      <c r="A22" s="24" t="s">
        <v>17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20" customHeight="1" spans="1:10">
      <c r="A23" s="25" t="s">
        <v>18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spans="1:10">
      <c r="A24" s="23" t="s">
        <v>1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16.5" spans="1:10">
      <c r="A25" s="26" t="s">
        <v>19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ht="16.5" spans="1:10">
      <c r="A26" s="27" t="s">
        <v>20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20" customHeight="1" spans="1:10">
      <c r="A27" s="25" t="s">
        <v>21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spans="1:10">
      <c r="A28" s="23" t="s">
        <v>1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ht="16.5" spans="1:10">
      <c r="A29" s="27" t="s">
        <v>22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ht="16.5" spans="1:10">
      <c r="A30" s="26" t="s">
        <v>23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20" customHeight="1" spans="1:10">
      <c r="A31" s="25" t="s">
        <v>24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spans="1:10">
      <c r="A32" s="23" t="s">
        <v>1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6" t="s">
        <v>25</v>
      </c>
      <c r="B33" s="22" t="s">
        <v>1</v>
      </c>
      <c r="C33" s="22" t="s">
        <v>1</v>
      </c>
      <c r="D33" s="22" t="s">
        <v>1</v>
      </c>
      <c r="E33" s="22" t="s">
        <v>1</v>
      </c>
      <c r="F33" s="22" t="s">
        <v>1</v>
      </c>
      <c r="G33" s="22" t="s">
        <v>1</v>
      </c>
      <c r="H33" s="22" t="s">
        <v>1</v>
      </c>
      <c r="I33" s="22" t="s">
        <v>1</v>
      </c>
      <c r="J33" s="22" t="s">
        <v>1</v>
      </c>
    </row>
    <row r="34" ht="16.5" spans="1:10">
      <c r="A34" s="26" t="s">
        <v>26</v>
      </c>
      <c r="B34" s="22" t="s">
        <v>1</v>
      </c>
      <c r="C34" s="22" t="s">
        <v>1</v>
      </c>
      <c r="D34" s="22" t="s">
        <v>1</v>
      </c>
      <c r="E34" s="22" t="s">
        <v>1</v>
      </c>
      <c r="F34" s="22" t="s">
        <v>1</v>
      </c>
      <c r="G34" s="22" t="s">
        <v>1</v>
      </c>
      <c r="H34" s="22" t="s">
        <v>1</v>
      </c>
      <c r="I34" s="22" t="s">
        <v>1</v>
      </c>
      <c r="J34" s="22" t="s">
        <v>1</v>
      </c>
    </row>
    <row r="35" ht="16.5" spans="1:10">
      <c r="A35" s="26" t="s">
        <v>27</v>
      </c>
      <c r="B35" s="22" t="s">
        <v>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6.5" spans="1:10">
      <c r="A36" s="27" t="s">
        <v>28</v>
      </c>
      <c r="B36" s="22" t="s">
        <v>1</v>
      </c>
      <c r="C36" s="22" t="s">
        <v>1</v>
      </c>
      <c r="D36" s="22" t="s">
        <v>1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20" customHeight="1" spans="1:10">
      <c r="A37" s="25" t="s">
        <v>29</v>
      </c>
      <c r="B37" s="22" t="s">
        <v>1</v>
      </c>
      <c r="C37" s="22" t="s">
        <v>1</v>
      </c>
      <c r="D37" s="22" t="s">
        <v>1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spans="1:10">
      <c r="A38" s="23" t="s">
        <v>1</v>
      </c>
      <c r="B38" s="22" t="s">
        <v>1</v>
      </c>
      <c r="C38" s="22" t="s">
        <v>1</v>
      </c>
      <c r="D38" s="22" t="s">
        <v>1</v>
      </c>
      <c r="E38" s="22" t="s">
        <v>1</v>
      </c>
      <c r="F38" s="22" t="s">
        <v>1</v>
      </c>
      <c r="G38" s="22" t="s">
        <v>1</v>
      </c>
      <c r="H38" s="22" t="s">
        <v>1</v>
      </c>
      <c r="I38" s="22" t="s">
        <v>1</v>
      </c>
      <c r="J38" s="22" t="s">
        <v>1</v>
      </c>
    </row>
    <row r="39" ht="16.5" spans="1:10">
      <c r="A39" s="28" t="s">
        <v>30</v>
      </c>
      <c r="B39" s="22" t="s">
        <v>1</v>
      </c>
      <c r="C39" s="22" t="s">
        <v>1</v>
      </c>
      <c r="D39" s="22" t="s">
        <v>1</v>
      </c>
      <c r="E39" s="22" t="s">
        <v>1</v>
      </c>
      <c r="F39" s="22" t="s">
        <v>1</v>
      </c>
      <c r="G39" s="22" t="s">
        <v>1</v>
      </c>
      <c r="H39" s="22" t="s">
        <v>1</v>
      </c>
      <c r="I39" s="22" t="s">
        <v>1</v>
      </c>
      <c r="J39" s="22" t="s">
        <v>1</v>
      </c>
    </row>
    <row r="40" ht="20" customHeight="1" spans="1:10">
      <c r="A40" s="25" t="s">
        <v>31</v>
      </c>
      <c r="B40" s="22" t="s">
        <v>1</v>
      </c>
      <c r="C40" s="22" t="s">
        <v>1</v>
      </c>
      <c r="D40" s="22" t="s">
        <v>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spans="1:10">
      <c r="A41" s="23" t="s">
        <v>1</v>
      </c>
      <c r="B41" s="22" t="s">
        <v>1</v>
      </c>
      <c r="C41" s="22" t="s">
        <v>1</v>
      </c>
      <c r="D41" s="22" t="s">
        <v>1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16.5" spans="1:10">
      <c r="A42" s="26" t="s">
        <v>32</v>
      </c>
      <c r="B42" s="22" t="s">
        <v>1</v>
      </c>
      <c r="C42" s="22" t="s">
        <v>1</v>
      </c>
      <c r="D42" s="22" t="s">
        <v>1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ht="16.5" spans="1:10">
      <c r="A43" s="26" t="s">
        <v>33</v>
      </c>
      <c r="B43" s="22" t="s">
        <v>1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ht="16.5" spans="1:10">
      <c r="A44" s="26" t="s">
        <v>34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16.5" spans="1:10">
      <c r="A45" s="26" t="s">
        <v>35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ht="16.5" spans="1:10">
      <c r="A46" s="26" t="s">
        <v>36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ht="18" customHeight="1" spans="1:10">
      <c r="A47" s="29" t="s">
        <v>37</v>
      </c>
      <c r="B47" s="30" t="s">
        <v>38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ht="14.5" spans="1:10">
      <c r="A48" s="31" t="s">
        <v>39</v>
      </c>
      <c r="B48" s="32" t="s">
        <v>40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4.5" spans="1:10">
      <c r="A49" s="31" t="s">
        <v>41</v>
      </c>
      <c r="B49" s="32" t="s">
        <v>42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spans="1:10">
      <c r="A50" s="23" t="s">
        <v>1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20" customHeight="1" spans="1:10">
      <c r="A51" s="25" t="s">
        <v>43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spans="1:10">
      <c r="A52" s="23" t="s">
        <v>1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8" customHeight="1" spans="1:10">
      <c r="A53" s="29" t="s">
        <v>44</v>
      </c>
      <c r="B53" s="30" t="s">
        <v>39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14.5" spans="1:10">
      <c r="A54" s="31" t="s">
        <v>45</v>
      </c>
      <c r="B54" s="32" t="s">
        <v>46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</sheetData>
  <mergeCells count="13">
    <mergeCell ref="A1:B1"/>
    <mergeCell ref="A6:C6"/>
    <mergeCell ref="A15:D15"/>
    <mergeCell ref="A20:C20"/>
    <mergeCell ref="A25:C25"/>
    <mergeCell ref="A26:J26"/>
    <mergeCell ref="A29:G29"/>
    <mergeCell ref="A30:D30"/>
    <mergeCell ref="A36:F36"/>
    <mergeCell ref="A39:G39"/>
    <mergeCell ref="B48:D48"/>
    <mergeCell ref="B49:K49"/>
    <mergeCell ref="B54:D5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H23" sqref="H23"/>
    </sheetView>
  </sheetViews>
  <sheetFormatPr defaultColWidth="8.72727272727273" defaultRowHeight="14" outlineLevelCol="4"/>
  <cols>
    <col min="1" max="1" width="51.5454545454545" customWidth="1"/>
    <col min="2" max="2" width="23.6363636363636" customWidth="1"/>
    <col min="3" max="4" width="13.6363636363636" customWidth="1"/>
  </cols>
  <sheetData>
    <row r="1" customHeight="1" spans="1:4">
      <c r="A1" s="1" t="s">
        <v>47</v>
      </c>
      <c r="B1" s="1" t="s">
        <v>1</v>
      </c>
      <c r="C1" s="1" t="s">
        <v>1</v>
      </c>
      <c r="D1" s="1" t="s">
        <v>1</v>
      </c>
    </row>
    <row r="2" ht="16.5" spans="1:4">
      <c r="A2" s="2" t="s">
        <v>48</v>
      </c>
      <c r="B2" s="3" t="s">
        <v>1</v>
      </c>
      <c r="C2" s="3" t="s">
        <v>1</v>
      </c>
      <c r="D2" s="3" t="s">
        <v>1</v>
      </c>
    </row>
    <row r="3" ht="16.5" spans="1:4">
      <c r="A3" s="3" t="s">
        <v>1</v>
      </c>
      <c r="B3" s="3" t="s">
        <v>1</v>
      </c>
      <c r="C3" s="3" t="s">
        <v>1</v>
      </c>
      <c r="D3" s="3" t="s">
        <v>1</v>
      </c>
    </row>
    <row r="4" ht="16.5" spans="1:4">
      <c r="A4" s="4" t="s">
        <v>49</v>
      </c>
      <c r="B4" s="5">
        <v>0.25</v>
      </c>
      <c r="C4" s="4" t="s">
        <v>1</v>
      </c>
      <c r="D4" s="6" t="s">
        <v>1</v>
      </c>
    </row>
    <row r="5" ht="30" customHeight="1" spans="1:4">
      <c r="A5" s="3" t="s">
        <v>50</v>
      </c>
      <c r="B5" s="7">
        <v>0.4</v>
      </c>
      <c r="C5" s="3" t="s">
        <v>1</v>
      </c>
      <c r="D5" s="3" t="s">
        <v>1</v>
      </c>
    </row>
    <row r="6" ht="16.5" spans="1:4">
      <c r="A6" s="3" t="s">
        <v>1</v>
      </c>
      <c r="B6" s="3" t="s">
        <v>1</v>
      </c>
      <c r="C6" s="3" t="s">
        <v>1</v>
      </c>
      <c r="D6" s="3" t="s">
        <v>1</v>
      </c>
    </row>
    <row r="7" ht="16.5" spans="1:4">
      <c r="A7" s="8" t="s">
        <v>51</v>
      </c>
      <c r="B7" s="8" t="s">
        <v>52</v>
      </c>
      <c r="C7" s="8" t="s">
        <v>53</v>
      </c>
      <c r="D7" s="8" t="s">
        <v>54</v>
      </c>
    </row>
    <row r="8" ht="16.5" spans="1:4">
      <c r="A8" s="3">
        <v>1</v>
      </c>
      <c r="B8" s="9">
        <f t="shared" ref="B8:B19" si="0">$B$4*$B$5^(A8-1)*(1-$B$5)</f>
        <v>0.15</v>
      </c>
      <c r="C8" s="9">
        <f t="shared" ref="C8:C19" si="1">$B$4*$B$5^(A8-1)</f>
        <v>0.25</v>
      </c>
      <c r="D8" s="9">
        <f>SUM($B$8:$B8)</f>
        <v>0.15</v>
      </c>
    </row>
    <row r="9" ht="16.5" spans="1:4">
      <c r="A9" s="3">
        <v>2</v>
      </c>
      <c r="B9" s="9">
        <f t="shared" si="0"/>
        <v>0.06</v>
      </c>
      <c r="C9" s="9">
        <f t="shared" si="1"/>
        <v>0.1</v>
      </c>
      <c r="D9" s="9">
        <f>SUM($B$8:$B9)</f>
        <v>0.21</v>
      </c>
    </row>
    <row r="10" ht="16.5" spans="1:4">
      <c r="A10" s="3">
        <v>3</v>
      </c>
      <c r="B10" s="9">
        <f t="shared" si="0"/>
        <v>0.024</v>
      </c>
      <c r="C10" s="9">
        <f t="shared" si="1"/>
        <v>0.04</v>
      </c>
      <c r="D10" s="9">
        <f>SUM($B$8:$B10)</f>
        <v>0.234</v>
      </c>
    </row>
    <row r="11" ht="16.5" spans="1:4">
      <c r="A11" s="3">
        <v>4</v>
      </c>
      <c r="B11" s="9">
        <f t="shared" si="0"/>
        <v>0.0096</v>
      </c>
      <c r="C11" s="9">
        <f t="shared" si="1"/>
        <v>0.016</v>
      </c>
      <c r="D11" s="9">
        <f>SUM($B$8:$B11)</f>
        <v>0.2436</v>
      </c>
    </row>
    <row r="12" ht="16.5" spans="1:4">
      <c r="A12" s="3">
        <v>5</v>
      </c>
      <c r="B12" s="9">
        <f t="shared" si="0"/>
        <v>0.00384</v>
      </c>
      <c r="C12" s="9">
        <f t="shared" si="1"/>
        <v>0.0064</v>
      </c>
      <c r="D12" s="9">
        <f>SUM($B$8:$B12)</f>
        <v>0.24744</v>
      </c>
    </row>
    <row r="13" ht="16.5" spans="1:4">
      <c r="A13" s="3">
        <v>6</v>
      </c>
      <c r="B13" s="9">
        <f t="shared" si="0"/>
        <v>0.001536</v>
      </c>
      <c r="C13" s="9">
        <f t="shared" si="1"/>
        <v>0.00256</v>
      </c>
      <c r="D13" s="9">
        <f>SUM($B$8:$B13)</f>
        <v>0.248976</v>
      </c>
    </row>
    <row r="14" ht="16.5" spans="1:4">
      <c r="A14" s="3">
        <v>7</v>
      </c>
      <c r="B14" s="9">
        <f t="shared" si="0"/>
        <v>0.0006144</v>
      </c>
      <c r="C14" s="9">
        <f t="shared" si="1"/>
        <v>0.001024</v>
      </c>
      <c r="D14" s="9">
        <f>SUM($B$8:$B14)</f>
        <v>0.2495904</v>
      </c>
    </row>
    <row r="15" ht="16.5" spans="1:4">
      <c r="A15" s="3">
        <v>8</v>
      </c>
      <c r="B15" s="9">
        <f t="shared" si="0"/>
        <v>0.00024576</v>
      </c>
      <c r="C15" s="9">
        <f t="shared" si="1"/>
        <v>0.0004096</v>
      </c>
      <c r="D15" s="9">
        <f>SUM($B$8:$B15)</f>
        <v>0.24983616</v>
      </c>
    </row>
    <row r="16" ht="16.5" spans="1:4">
      <c r="A16" s="3">
        <v>9</v>
      </c>
      <c r="B16" s="9">
        <f t="shared" si="0"/>
        <v>9.83040000000001e-5</v>
      </c>
      <c r="C16" s="9">
        <f t="shared" si="1"/>
        <v>0.00016384</v>
      </c>
      <c r="D16" s="9">
        <f>SUM($B$8:$B16)</f>
        <v>0.249934464</v>
      </c>
    </row>
    <row r="17" ht="16.5" spans="1:4">
      <c r="A17" s="3">
        <v>10</v>
      </c>
      <c r="B17" s="9">
        <f t="shared" si="0"/>
        <v>3.93216e-5</v>
      </c>
      <c r="C17" s="9">
        <f t="shared" si="1"/>
        <v>6.5536e-5</v>
      </c>
      <c r="D17" s="9">
        <f>SUM($B$8:$B17)</f>
        <v>0.2499737856</v>
      </c>
    </row>
    <row r="18" ht="16.5" spans="1:4">
      <c r="A18" s="3">
        <v>11</v>
      </c>
      <c r="B18" s="9">
        <f t="shared" si="0"/>
        <v>1.572864e-5</v>
      </c>
      <c r="C18" s="9">
        <f t="shared" si="1"/>
        <v>2.62144e-5</v>
      </c>
      <c r="D18" s="9">
        <f>SUM($B$8:$B18)</f>
        <v>0.24998951424</v>
      </c>
    </row>
    <row r="19" ht="16.5" spans="1:4">
      <c r="A19" s="3">
        <v>12</v>
      </c>
      <c r="B19" s="9">
        <f t="shared" si="0"/>
        <v>6.291456e-6</v>
      </c>
      <c r="C19" s="9">
        <f t="shared" si="1"/>
        <v>1.048576e-5</v>
      </c>
      <c r="D19" s="9">
        <f>SUM($B$8:$B19)</f>
        <v>0.249995805696</v>
      </c>
    </row>
    <row r="20" ht="16.5" spans="1:4">
      <c r="A20" s="3" t="s">
        <v>1</v>
      </c>
      <c r="B20" s="3" t="s">
        <v>1</v>
      </c>
      <c r="C20" s="3" t="s">
        <v>1</v>
      </c>
      <c r="D20" s="3" t="s">
        <v>1</v>
      </c>
    </row>
    <row r="21" ht="60" customHeight="1" spans="1:4">
      <c r="A21" s="3" t="s">
        <v>55</v>
      </c>
      <c r="B21" s="10">
        <f>B4/(1-B5)</f>
        <v>0.416666666666667</v>
      </c>
      <c r="C21" s="3" t="s">
        <v>1</v>
      </c>
      <c r="D21" s="3" t="s">
        <v>1</v>
      </c>
    </row>
    <row r="22" ht="75" customHeight="1" spans="1:4">
      <c r="A22" s="3" t="s">
        <v>56</v>
      </c>
      <c r="B22" s="9">
        <f>B4*B5^3</f>
        <v>0.016</v>
      </c>
      <c r="C22" s="3" t="s">
        <v>1</v>
      </c>
      <c r="D22" s="3" t="s">
        <v>1</v>
      </c>
    </row>
    <row r="23" ht="16.5" spans="1:4">
      <c r="A23" s="11" t="s">
        <v>1</v>
      </c>
      <c r="B23" s="11" t="s">
        <v>1</v>
      </c>
      <c r="C23" s="11" t="s">
        <v>1</v>
      </c>
      <c r="D23" s="11" t="s">
        <v>1</v>
      </c>
    </row>
    <row r="24" customHeight="1" spans="1:4">
      <c r="A24" s="1" t="s">
        <v>57</v>
      </c>
      <c r="B24" s="1" t="s">
        <v>1</v>
      </c>
      <c r="C24" s="11" t="s">
        <v>1</v>
      </c>
      <c r="D24" s="11" t="s">
        <v>1</v>
      </c>
    </row>
    <row r="25" ht="16.5" spans="1:4">
      <c r="A25" s="2" t="s">
        <v>58</v>
      </c>
      <c r="B25" s="3" t="s">
        <v>1</v>
      </c>
      <c r="C25" s="11" t="s">
        <v>1</v>
      </c>
      <c r="D25" s="11" t="s">
        <v>1</v>
      </c>
    </row>
    <row r="26" ht="16.5" spans="1:4">
      <c r="A26" s="3" t="s">
        <v>1</v>
      </c>
      <c r="B26" s="3" t="s">
        <v>1</v>
      </c>
      <c r="C26" s="11" t="s">
        <v>1</v>
      </c>
      <c r="D26" s="11" t="s">
        <v>1</v>
      </c>
    </row>
    <row r="27" ht="16.5" spans="1:4">
      <c r="A27" s="4" t="s">
        <v>59</v>
      </c>
      <c r="B27" s="5">
        <v>0.6</v>
      </c>
      <c r="C27" s="12" t="s">
        <v>1</v>
      </c>
      <c r="D27" s="11" t="s">
        <v>1</v>
      </c>
    </row>
    <row r="28" ht="45" customHeight="1" spans="1:4">
      <c r="A28" s="3" t="s">
        <v>60</v>
      </c>
      <c r="B28" s="13">
        <f>1/(1-B5)</f>
        <v>1.66666666666667</v>
      </c>
      <c r="C28" s="11" t="s">
        <v>1</v>
      </c>
      <c r="D28" s="11" t="s">
        <v>1</v>
      </c>
    </row>
    <row r="29" ht="16.5" spans="1:4">
      <c r="A29" s="8" t="s">
        <v>61</v>
      </c>
      <c r="B29" s="14">
        <f>B27*B28</f>
        <v>1</v>
      </c>
      <c r="C29" s="11" t="s">
        <v>1</v>
      </c>
      <c r="D29" s="11" t="s">
        <v>1</v>
      </c>
    </row>
  </sheetData>
  <mergeCells count="4">
    <mergeCell ref="A1:D1"/>
    <mergeCell ref="A2:B2"/>
    <mergeCell ref="D7:E7"/>
    <mergeCell ref="A24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消除掉落 连消机率+RTP换算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2026-09-27T17:16:00Z</dcterms:created>
  <dcterms:modified xsi:type="dcterms:W3CDTF">2026-09-29T15:50:21Z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D2C075D18DDD4EE0B7F1D668B1160A47_12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